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1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F831DA936538B69C/Documents/Vipasha/"/>
    </mc:Choice>
  </mc:AlternateContent>
  <xr:revisionPtr revIDLastSave="1487" documentId="8_{3C9C2F99-D8A5-4C79-8870-B6C0D0FA9192}" xr6:coauthVersionLast="47" xr6:coauthVersionMax="47" xr10:uidLastSave="{E54399A0-10E5-45B5-A0CB-462B1F6A342A}"/>
  <bookViews>
    <workbookView xWindow="-108" yWindow="-108" windowWidth="23256" windowHeight="12456" firstSheet="11" activeTab="15" xr2:uid="{00000000-000D-0000-FFFF-FFFF00000000}"/>
  </bookViews>
  <sheets>
    <sheet name="Dataset_1" sheetId="1" r:id="rId1"/>
    <sheet name="Dataset_2" sheetId="2" r:id="rId2"/>
    <sheet name="Dataset_A" sheetId="5" r:id="rId3"/>
    <sheet name="Hourly rental" sheetId="21" r:id="rId4"/>
    <sheet name="seasonal rents" sheetId="7" r:id="rId5"/>
    <sheet name="weather imp" sheetId="9" r:id="rId6"/>
    <sheet name="casual vs registerd" sheetId="10" r:id="rId7"/>
    <sheet name="Temp effect" sheetId="11" r:id="rId8"/>
    <sheet name="Dataset_3" sheetId="14" r:id="rId9"/>
    <sheet name="Dataset_B" sheetId="15" r:id="rId10"/>
    <sheet name="Average rental " sheetId="23" r:id="rId11"/>
    <sheet name="weekdays vs weekensa" sheetId="16" r:id="rId12"/>
    <sheet name="Time period" sheetId="18" r:id="rId13"/>
    <sheet name="Temperature effect" sheetId="32" r:id="rId14"/>
    <sheet name="weather impact" sheetId="19" r:id="rId15"/>
    <sheet name="Dashboard" sheetId="25" r:id="rId16"/>
  </sheets>
  <definedNames>
    <definedName name="ExternalData_1" localSheetId="2" hidden="1">Dataset_A!$A$1:$P$1222</definedName>
    <definedName name="ExternalData_1" localSheetId="9" hidden="1">Dataset_B!$A$1:$P$1612</definedName>
    <definedName name="Slicer_casual">#N/A</definedName>
    <definedName name="Slicer_cnt">#N/A</definedName>
    <definedName name="Slicer_holiday">#N/A</definedName>
    <definedName name="Slicer_hr">#N/A</definedName>
    <definedName name="Slicer_hr_Time_period">#N/A</definedName>
    <definedName name="Slicer_hr_Time_period1">#N/A</definedName>
    <definedName name="Slicer_hr1">#N/A</definedName>
    <definedName name="Slicer_mnth2">#N/A</definedName>
    <definedName name="Slicer_mnth3">#N/A</definedName>
    <definedName name="Slicer_registered">#N/A</definedName>
    <definedName name="Slicer_season">#N/A</definedName>
    <definedName name="Slicer_season1">#N/A</definedName>
    <definedName name="Slicer_season2">#N/A</definedName>
    <definedName name="Slicer_season3">#N/A</definedName>
    <definedName name="Slicer_temp">#N/A</definedName>
    <definedName name="Slicer_temp2">#N/A</definedName>
    <definedName name="Slicer_Weather_Name">#N/A</definedName>
    <definedName name="Slicer_weathersit">#N/A</definedName>
    <definedName name="Slicer_weathersit1">#N/A</definedName>
    <definedName name="Slicer_weathersit2">#N/A</definedName>
    <definedName name="Slicer_weathersit3">#N/A</definedName>
    <definedName name="Slicer_weathersit4">#N/A</definedName>
    <definedName name="Slicer_weathersit5">#N/A</definedName>
    <definedName name="Slicer_weathersit6">#N/A</definedName>
    <definedName name="Slicer_weekday">#N/A</definedName>
    <definedName name="Slicer_weekday1">#N/A</definedName>
    <definedName name="Slicer_weekday2">#N/A</definedName>
    <definedName name="Slicer_weekday3">#N/A</definedName>
    <definedName name="Slicer_Weekend_weekdays1">#N/A</definedName>
    <definedName name="Slicer_Weekend_weekdays2">#N/A</definedName>
  </definedNames>
  <calcPr calcId="191029"/>
  <pivotCaches>
    <pivotCache cacheId="0" r:id="rId17"/>
    <pivotCache cacheId="12" r:id="rId18"/>
    <pivotCache cacheId="9" r:id="rId19"/>
    <pivotCache cacheId="3" r:id="rId20"/>
    <pivotCache cacheId="4"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5" l="1"/>
  <c r="S3" i="15"/>
  <c r="S4" i="15"/>
  <c r="S5" i="15"/>
  <c r="S6" i="15"/>
  <c r="S7"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33" i="15"/>
  <c r="S34" i="15"/>
  <c r="S35" i="15"/>
  <c r="S36" i="15"/>
  <c r="S37" i="15"/>
  <c r="S38" i="15"/>
  <c r="S39" i="15"/>
  <c r="S40" i="15"/>
  <c r="S41" i="15"/>
  <c r="S42" i="15"/>
  <c r="S43" i="15"/>
  <c r="S44" i="15"/>
  <c r="S45" i="15"/>
  <c r="S46" i="15"/>
  <c r="S47" i="15"/>
  <c r="S48" i="15"/>
  <c r="S49" i="15"/>
  <c r="S50" i="15"/>
  <c r="S51" i="15"/>
  <c r="S52" i="15"/>
  <c r="S53" i="15"/>
  <c r="S54" i="15"/>
  <c r="S55" i="15"/>
  <c r="S56" i="15"/>
  <c r="S57" i="15"/>
  <c r="S58" i="15"/>
  <c r="S59" i="15"/>
  <c r="S60" i="15"/>
  <c r="S61" i="15"/>
  <c r="S62" i="15"/>
  <c r="S63" i="15"/>
  <c r="S64" i="15"/>
  <c r="S65" i="15"/>
  <c r="S66" i="15"/>
  <c r="S67" i="15"/>
  <c r="S68" i="15"/>
  <c r="S69" i="15"/>
  <c r="S70" i="15"/>
  <c r="S71" i="15"/>
  <c r="S72" i="15"/>
  <c r="S73" i="15"/>
  <c r="S74" i="15"/>
  <c r="S75" i="15"/>
  <c r="S76" i="15"/>
  <c r="S77" i="15"/>
  <c r="S78" i="15"/>
  <c r="S79" i="15"/>
  <c r="S80" i="15"/>
  <c r="S81" i="15"/>
  <c r="S82" i="15"/>
  <c r="S83" i="15"/>
  <c r="S84" i="15"/>
  <c r="S85" i="15"/>
  <c r="S86" i="15"/>
  <c r="S87" i="15"/>
  <c r="S88" i="15"/>
  <c r="S89" i="15"/>
  <c r="S90" i="15"/>
  <c r="S91" i="15"/>
  <c r="S92" i="15"/>
  <c r="S93" i="15"/>
  <c r="S94" i="15"/>
  <c r="S95" i="15"/>
  <c r="S96" i="15"/>
  <c r="S97" i="15"/>
  <c r="S98" i="15"/>
  <c r="S99" i="15"/>
  <c r="S100" i="15"/>
  <c r="S101" i="15"/>
  <c r="S102" i="15"/>
  <c r="S103" i="15"/>
  <c r="S104" i="15"/>
  <c r="S105" i="15"/>
  <c r="S106" i="15"/>
  <c r="S107" i="15"/>
  <c r="S108" i="15"/>
  <c r="S109" i="15"/>
  <c r="S110" i="15"/>
  <c r="S111" i="15"/>
  <c r="S112" i="15"/>
  <c r="S113" i="15"/>
  <c r="S114" i="15"/>
  <c r="S115" i="15"/>
  <c r="S116" i="15"/>
  <c r="S117" i="15"/>
  <c r="S118" i="15"/>
  <c r="S119" i="15"/>
  <c r="S120" i="15"/>
  <c r="S121" i="15"/>
  <c r="S122" i="15"/>
  <c r="S123" i="15"/>
  <c r="S124" i="15"/>
  <c r="S125" i="15"/>
  <c r="S126" i="15"/>
  <c r="S127" i="15"/>
  <c r="S128" i="15"/>
  <c r="S129" i="15"/>
  <c r="S130" i="15"/>
  <c r="S131" i="15"/>
  <c r="S132" i="15"/>
  <c r="S133" i="15"/>
  <c r="S134" i="15"/>
  <c r="S135" i="15"/>
  <c r="S136" i="15"/>
  <c r="S137" i="15"/>
  <c r="S138" i="15"/>
  <c r="S139" i="15"/>
  <c r="S140" i="15"/>
  <c r="S141" i="15"/>
  <c r="S142" i="15"/>
  <c r="S143" i="15"/>
  <c r="S144" i="15"/>
  <c r="S145" i="15"/>
  <c r="S146" i="15"/>
  <c r="S147" i="15"/>
  <c r="S148" i="15"/>
  <c r="S149" i="15"/>
  <c r="S150" i="15"/>
  <c r="S151" i="15"/>
  <c r="S152" i="15"/>
  <c r="S153" i="15"/>
  <c r="S154" i="15"/>
  <c r="S155" i="15"/>
  <c r="S156" i="15"/>
  <c r="S157" i="15"/>
  <c r="S158" i="15"/>
  <c r="S159" i="15"/>
  <c r="S160" i="15"/>
  <c r="S161" i="15"/>
  <c r="S162" i="15"/>
  <c r="S163" i="15"/>
  <c r="S164" i="15"/>
  <c r="S165" i="15"/>
  <c r="S166" i="15"/>
  <c r="S167" i="15"/>
  <c r="S168" i="15"/>
  <c r="S169" i="15"/>
  <c r="S170" i="15"/>
  <c r="S171" i="15"/>
  <c r="S172" i="15"/>
  <c r="S173" i="15"/>
  <c r="S174" i="15"/>
  <c r="S175" i="15"/>
  <c r="S176" i="15"/>
  <c r="S177" i="15"/>
  <c r="S178" i="15"/>
  <c r="S179" i="15"/>
  <c r="S180" i="15"/>
  <c r="S181" i="15"/>
  <c r="S182" i="15"/>
  <c r="S183" i="15"/>
  <c r="S184" i="15"/>
  <c r="S185" i="15"/>
  <c r="S186" i="15"/>
  <c r="S187" i="15"/>
  <c r="S188" i="15"/>
  <c r="S189" i="15"/>
  <c r="S190" i="15"/>
  <c r="S191" i="15"/>
  <c r="S192" i="15"/>
  <c r="S193" i="15"/>
  <c r="S194" i="15"/>
  <c r="S195" i="15"/>
  <c r="S196" i="15"/>
  <c r="S197" i="15"/>
  <c r="S198" i="15"/>
  <c r="S199" i="15"/>
  <c r="S200" i="15"/>
  <c r="S201" i="15"/>
  <c r="S202" i="15"/>
  <c r="S203" i="15"/>
  <c r="S204" i="15"/>
  <c r="S205" i="15"/>
  <c r="S206" i="15"/>
  <c r="S207" i="15"/>
  <c r="S208" i="15"/>
  <c r="S209" i="15"/>
  <c r="S210" i="15"/>
  <c r="S211" i="15"/>
  <c r="S212" i="15"/>
  <c r="S213" i="15"/>
  <c r="S214" i="15"/>
  <c r="S215" i="15"/>
  <c r="S216" i="15"/>
  <c r="S217" i="15"/>
  <c r="S218" i="15"/>
  <c r="S219" i="15"/>
  <c r="S220" i="15"/>
  <c r="S221" i="15"/>
  <c r="S222" i="15"/>
  <c r="S223" i="15"/>
  <c r="S224" i="15"/>
  <c r="S225" i="15"/>
  <c r="S226" i="15"/>
  <c r="S227" i="15"/>
  <c r="S228" i="15"/>
  <c r="S229" i="15"/>
  <c r="S230" i="15"/>
  <c r="S231" i="15"/>
  <c r="S232" i="15"/>
  <c r="S233" i="15"/>
  <c r="S234" i="15"/>
  <c r="S235" i="15"/>
  <c r="S236" i="15"/>
  <c r="S237" i="15"/>
  <c r="S238" i="15"/>
  <c r="S239" i="15"/>
  <c r="S240" i="15"/>
  <c r="S241" i="15"/>
  <c r="S242" i="15"/>
  <c r="S243" i="15"/>
  <c r="S244" i="15"/>
  <c r="S245" i="15"/>
  <c r="S246" i="15"/>
  <c r="S247" i="15"/>
  <c r="S248" i="15"/>
  <c r="S249" i="15"/>
  <c r="S250" i="15"/>
  <c r="S251" i="15"/>
  <c r="S252" i="15"/>
  <c r="S253" i="15"/>
  <c r="S254" i="15"/>
  <c r="S255" i="15"/>
  <c r="S256" i="15"/>
  <c r="S257" i="15"/>
  <c r="S258" i="15"/>
  <c r="S259" i="15"/>
  <c r="S260" i="15"/>
  <c r="S261" i="15"/>
  <c r="S262" i="15"/>
  <c r="S263" i="15"/>
  <c r="S264" i="15"/>
  <c r="S265" i="15"/>
  <c r="S266" i="15"/>
  <c r="S267" i="15"/>
  <c r="S268" i="15"/>
  <c r="S269" i="15"/>
  <c r="S270" i="15"/>
  <c r="S271" i="15"/>
  <c r="S272" i="15"/>
  <c r="S273" i="15"/>
  <c r="S274" i="15"/>
  <c r="S275" i="15"/>
  <c r="S276" i="15"/>
  <c r="S277" i="15"/>
  <c r="S278" i="15"/>
  <c r="S279" i="15"/>
  <c r="S280" i="15"/>
  <c r="S281" i="15"/>
  <c r="S282" i="15"/>
  <c r="S283" i="15"/>
  <c r="S284" i="15"/>
  <c r="S285" i="15"/>
  <c r="S286" i="15"/>
  <c r="S287" i="15"/>
  <c r="S288" i="15"/>
  <c r="S289" i="15"/>
  <c r="S290" i="15"/>
  <c r="S291" i="15"/>
  <c r="S292" i="15"/>
  <c r="S293" i="15"/>
  <c r="S294" i="15"/>
  <c r="S295" i="15"/>
  <c r="S296" i="15"/>
  <c r="S297" i="15"/>
  <c r="S298" i="15"/>
  <c r="S299" i="15"/>
  <c r="S300" i="15"/>
  <c r="S301" i="15"/>
  <c r="S302" i="15"/>
  <c r="S303" i="15"/>
  <c r="S304" i="15"/>
  <c r="S305" i="15"/>
  <c r="S306" i="15"/>
  <c r="S307" i="15"/>
  <c r="S308" i="15"/>
  <c r="S309" i="15"/>
  <c r="S310" i="15"/>
  <c r="S311" i="15"/>
  <c r="S312" i="15"/>
  <c r="S313" i="15"/>
  <c r="S314" i="15"/>
  <c r="S315" i="15"/>
  <c r="S316" i="15"/>
  <c r="S317" i="15"/>
  <c r="S318" i="15"/>
  <c r="S319" i="15"/>
  <c r="S320" i="15"/>
  <c r="S321" i="15"/>
  <c r="S322" i="15"/>
  <c r="S323" i="15"/>
  <c r="S324" i="15"/>
  <c r="S325" i="15"/>
  <c r="S326" i="15"/>
  <c r="S327" i="15"/>
  <c r="S328" i="15"/>
  <c r="S329" i="15"/>
  <c r="S330" i="15"/>
  <c r="S331" i="15"/>
  <c r="S332" i="15"/>
  <c r="S333" i="15"/>
  <c r="S334" i="15"/>
  <c r="S335" i="15"/>
  <c r="S336" i="15"/>
  <c r="S337" i="15"/>
  <c r="S338" i="15"/>
  <c r="S339" i="15"/>
  <c r="S340" i="15"/>
  <c r="S341" i="15"/>
  <c r="S342" i="15"/>
  <c r="S343" i="15"/>
  <c r="S344" i="15"/>
  <c r="S345" i="15"/>
  <c r="S346" i="15"/>
  <c r="S347" i="15"/>
  <c r="S348" i="15"/>
  <c r="S349" i="15"/>
  <c r="S350" i="15"/>
  <c r="S351" i="15"/>
  <c r="S352" i="15"/>
  <c r="S353" i="15"/>
  <c r="S354" i="15"/>
  <c r="S355" i="15"/>
  <c r="S356" i="15"/>
  <c r="S357" i="15"/>
  <c r="S358" i="15"/>
  <c r="S359" i="15"/>
  <c r="S360" i="15"/>
  <c r="S361" i="15"/>
  <c r="S362" i="15"/>
  <c r="S363" i="15"/>
  <c r="S364" i="15"/>
  <c r="S365" i="15"/>
  <c r="S366" i="15"/>
  <c r="S367" i="15"/>
  <c r="S368" i="15"/>
  <c r="S369" i="15"/>
  <c r="S370" i="15"/>
  <c r="S371" i="15"/>
  <c r="S372" i="15"/>
  <c r="S373" i="15"/>
  <c r="S374" i="15"/>
  <c r="S375" i="15"/>
  <c r="S376" i="15"/>
  <c r="S377" i="15"/>
  <c r="S378" i="15"/>
  <c r="S379" i="15"/>
  <c r="S380" i="15"/>
  <c r="S381" i="15"/>
  <c r="S382" i="15"/>
  <c r="S383" i="15"/>
  <c r="S384" i="15"/>
  <c r="S385" i="15"/>
  <c r="S386" i="15"/>
  <c r="S387" i="15"/>
  <c r="S388" i="15"/>
  <c r="S389" i="15"/>
  <c r="S390" i="15"/>
  <c r="S391" i="15"/>
  <c r="S392" i="15"/>
  <c r="S393" i="15"/>
  <c r="S394" i="15"/>
  <c r="S395" i="15"/>
  <c r="S396" i="15"/>
  <c r="S397" i="15"/>
  <c r="S398" i="15"/>
  <c r="S399" i="15"/>
  <c r="S400" i="15"/>
  <c r="S401" i="15"/>
  <c r="S402" i="15"/>
  <c r="S403" i="15"/>
  <c r="S404" i="15"/>
  <c r="S405" i="15"/>
  <c r="S406" i="15"/>
  <c r="S407" i="15"/>
  <c r="S408" i="15"/>
  <c r="S409" i="15"/>
  <c r="S410" i="15"/>
  <c r="S411" i="15"/>
  <c r="S412" i="15"/>
  <c r="S413" i="15"/>
  <c r="S414" i="15"/>
  <c r="S415" i="15"/>
  <c r="S416" i="15"/>
  <c r="S417" i="15"/>
  <c r="S418" i="15"/>
  <c r="S419" i="15"/>
  <c r="S420" i="15"/>
  <c r="S421" i="15"/>
  <c r="S422" i="15"/>
  <c r="S423" i="15"/>
  <c r="S424" i="15"/>
  <c r="S425" i="15"/>
  <c r="S426" i="15"/>
  <c r="S427" i="15"/>
  <c r="S428" i="15"/>
  <c r="S429" i="15"/>
  <c r="S430" i="15"/>
  <c r="S431" i="15"/>
  <c r="S432" i="15"/>
  <c r="S433" i="15"/>
  <c r="S434" i="15"/>
  <c r="S435" i="15"/>
  <c r="S436" i="15"/>
  <c r="S437" i="15"/>
  <c r="S438" i="15"/>
  <c r="S439" i="15"/>
  <c r="S440" i="15"/>
  <c r="S441" i="15"/>
  <c r="S442" i="15"/>
  <c r="S443" i="15"/>
  <c r="S444" i="15"/>
  <c r="S445" i="15"/>
  <c r="S446" i="15"/>
  <c r="S447" i="15"/>
  <c r="S448" i="15"/>
  <c r="S449" i="15"/>
  <c r="S450" i="15"/>
  <c r="S451" i="15"/>
  <c r="S452" i="15"/>
  <c r="S453" i="15"/>
  <c r="S454" i="15"/>
  <c r="S455" i="15"/>
  <c r="S456" i="15"/>
  <c r="S457" i="15"/>
  <c r="S458" i="15"/>
  <c r="S459" i="15"/>
  <c r="S460" i="15"/>
  <c r="S461" i="15"/>
  <c r="S462" i="15"/>
  <c r="S463" i="15"/>
  <c r="S464" i="15"/>
  <c r="S465" i="15"/>
  <c r="S466" i="15"/>
  <c r="S467" i="15"/>
  <c r="S468" i="15"/>
  <c r="S469" i="15"/>
  <c r="S470" i="15"/>
  <c r="S471" i="15"/>
  <c r="S472" i="15"/>
  <c r="S473" i="15"/>
  <c r="S474" i="15"/>
  <c r="S475" i="15"/>
  <c r="S476" i="15"/>
  <c r="S477" i="15"/>
  <c r="S478" i="15"/>
  <c r="S479" i="15"/>
  <c r="S480" i="15"/>
  <c r="S481" i="15"/>
  <c r="S482" i="15"/>
  <c r="S483" i="15"/>
  <c r="S484" i="15"/>
  <c r="S485" i="15"/>
  <c r="S486" i="15"/>
  <c r="S487" i="15"/>
  <c r="S488" i="15"/>
  <c r="S489" i="15"/>
  <c r="S490" i="15"/>
  <c r="S491" i="15"/>
  <c r="S492" i="15"/>
  <c r="S493" i="15"/>
  <c r="S494" i="15"/>
  <c r="S495" i="15"/>
  <c r="S496" i="15"/>
  <c r="S497" i="15"/>
  <c r="S498" i="15"/>
  <c r="S499" i="15"/>
  <c r="S500" i="15"/>
  <c r="S501" i="15"/>
  <c r="S502" i="15"/>
  <c r="S503" i="15"/>
  <c r="S504" i="15"/>
  <c r="S505" i="15"/>
  <c r="S506" i="15"/>
  <c r="S507" i="15"/>
  <c r="S508" i="15"/>
  <c r="S509" i="15"/>
  <c r="S510" i="15"/>
  <c r="S511" i="15"/>
  <c r="S512" i="15"/>
  <c r="S513" i="15"/>
  <c r="S514" i="15"/>
  <c r="S515" i="15"/>
  <c r="S516" i="15"/>
  <c r="S517" i="15"/>
  <c r="S518" i="15"/>
  <c r="S519" i="15"/>
  <c r="S520" i="15"/>
  <c r="S521" i="15"/>
  <c r="S522" i="15"/>
  <c r="S523" i="15"/>
  <c r="S524" i="15"/>
  <c r="S525" i="15"/>
  <c r="S526" i="15"/>
  <c r="S527" i="15"/>
  <c r="S528" i="15"/>
  <c r="S529" i="15"/>
  <c r="S530" i="15"/>
  <c r="S531" i="15"/>
  <c r="S532" i="15"/>
  <c r="S533" i="15"/>
  <c r="S534" i="15"/>
  <c r="S535" i="15"/>
  <c r="S536" i="15"/>
  <c r="S537" i="15"/>
  <c r="S538" i="15"/>
  <c r="S539" i="15"/>
  <c r="S540" i="15"/>
  <c r="S541" i="15"/>
  <c r="S542" i="15"/>
  <c r="S543" i="15"/>
  <c r="S544" i="15"/>
  <c r="S545" i="15"/>
  <c r="S546" i="15"/>
  <c r="S547" i="15"/>
  <c r="S548" i="15"/>
  <c r="S549" i="15"/>
  <c r="S550" i="15"/>
  <c r="S551" i="15"/>
  <c r="S552" i="15"/>
  <c r="S553" i="15"/>
  <c r="S554" i="15"/>
  <c r="S555" i="15"/>
  <c r="S556" i="15"/>
  <c r="S557" i="15"/>
  <c r="S558" i="15"/>
  <c r="S559" i="15"/>
  <c r="S560" i="15"/>
  <c r="S561" i="15"/>
  <c r="S562" i="15"/>
  <c r="S563" i="15"/>
  <c r="S564" i="15"/>
  <c r="S565" i="15"/>
  <c r="S566" i="15"/>
  <c r="S567" i="15"/>
  <c r="S568" i="15"/>
  <c r="S569" i="15"/>
  <c r="S570" i="15"/>
  <c r="S571" i="15"/>
  <c r="S572" i="15"/>
  <c r="S573" i="15"/>
  <c r="S574" i="15"/>
  <c r="S575" i="15"/>
  <c r="S576" i="15"/>
  <c r="S577" i="15"/>
  <c r="S578" i="15"/>
  <c r="S579" i="15"/>
  <c r="S580" i="15"/>
  <c r="S581" i="15"/>
  <c r="S582" i="15"/>
  <c r="S583" i="15"/>
  <c r="S584" i="15"/>
  <c r="S585" i="15"/>
  <c r="S586" i="15"/>
  <c r="S587" i="15"/>
  <c r="S588" i="15"/>
  <c r="S589" i="15"/>
  <c r="S590" i="15"/>
  <c r="S591" i="15"/>
  <c r="S592" i="15"/>
  <c r="S593" i="15"/>
  <c r="S594" i="15"/>
  <c r="S595" i="15"/>
  <c r="S596" i="15"/>
  <c r="S597" i="15"/>
  <c r="S598" i="15"/>
  <c r="S599" i="15"/>
  <c r="S600" i="15"/>
  <c r="S601" i="15"/>
  <c r="S602" i="15"/>
  <c r="S603" i="15"/>
  <c r="S604" i="15"/>
  <c r="S605" i="15"/>
  <c r="S606" i="15"/>
  <c r="S607" i="15"/>
  <c r="S608" i="15"/>
  <c r="S609" i="15"/>
  <c r="S610" i="15"/>
  <c r="S611" i="15"/>
  <c r="S612" i="15"/>
  <c r="S613" i="15"/>
  <c r="S614" i="15"/>
  <c r="S615" i="15"/>
  <c r="S616" i="15"/>
  <c r="S617" i="15"/>
  <c r="S618" i="15"/>
  <c r="S619" i="15"/>
  <c r="S620" i="15"/>
  <c r="S621" i="15"/>
  <c r="S622" i="15"/>
  <c r="S623" i="15"/>
  <c r="S624" i="15"/>
  <c r="S625" i="15"/>
  <c r="S626" i="15"/>
  <c r="S627" i="15"/>
  <c r="S628" i="15"/>
  <c r="S629" i="15"/>
  <c r="S630" i="15"/>
  <c r="S631" i="15"/>
  <c r="S632" i="15"/>
  <c r="S633" i="15"/>
  <c r="S634" i="15"/>
  <c r="S635" i="15"/>
  <c r="S636" i="15"/>
  <c r="S637" i="15"/>
  <c r="S638" i="15"/>
  <c r="S639" i="15"/>
  <c r="S640" i="15"/>
  <c r="S641" i="15"/>
  <c r="S642" i="15"/>
  <c r="S643" i="15"/>
  <c r="S644" i="15"/>
  <c r="S645" i="15"/>
  <c r="S646" i="15"/>
  <c r="S647" i="15"/>
  <c r="S648" i="15"/>
  <c r="S649" i="15"/>
  <c r="S650" i="15"/>
  <c r="S651" i="15"/>
  <c r="S652" i="15"/>
  <c r="S653" i="15"/>
  <c r="S654" i="15"/>
  <c r="S655" i="15"/>
  <c r="S656" i="15"/>
  <c r="S657" i="15"/>
  <c r="S658" i="15"/>
  <c r="S659" i="15"/>
  <c r="S660" i="15"/>
  <c r="S661" i="15"/>
  <c r="S662" i="15"/>
  <c r="S663" i="15"/>
  <c r="S664" i="15"/>
  <c r="S665" i="15"/>
  <c r="S666" i="15"/>
  <c r="S667" i="15"/>
  <c r="S668" i="15"/>
  <c r="S669" i="15"/>
  <c r="S670" i="15"/>
  <c r="S671" i="15"/>
  <c r="S672" i="15"/>
  <c r="S673" i="15"/>
  <c r="S674" i="15"/>
  <c r="S675" i="15"/>
  <c r="S676" i="15"/>
  <c r="S677" i="15"/>
  <c r="S678" i="15"/>
  <c r="S679" i="15"/>
  <c r="S680" i="15"/>
  <c r="S681" i="15"/>
  <c r="S682" i="15"/>
  <c r="S683" i="15"/>
  <c r="S684" i="15"/>
  <c r="S685" i="15"/>
  <c r="S686" i="15"/>
  <c r="S687" i="15"/>
  <c r="S688" i="15"/>
  <c r="S689" i="15"/>
  <c r="S690" i="15"/>
  <c r="S691" i="15"/>
  <c r="S692" i="15"/>
  <c r="S693" i="15"/>
  <c r="S694" i="15"/>
  <c r="S695" i="15"/>
  <c r="S696" i="15"/>
  <c r="S697" i="15"/>
  <c r="S698" i="15"/>
  <c r="S699" i="15"/>
  <c r="S700" i="15"/>
  <c r="S701" i="15"/>
  <c r="S702" i="15"/>
  <c r="S703" i="15"/>
  <c r="S704" i="15"/>
  <c r="S705" i="15"/>
  <c r="S706" i="15"/>
  <c r="S707" i="15"/>
  <c r="S708" i="15"/>
  <c r="S709" i="15"/>
  <c r="S710" i="15"/>
  <c r="S711" i="15"/>
  <c r="S712" i="15"/>
  <c r="S713" i="15"/>
  <c r="S714" i="15"/>
  <c r="S715" i="15"/>
  <c r="S716" i="15"/>
  <c r="S717" i="15"/>
  <c r="S718" i="15"/>
  <c r="S719" i="15"/>
  <c r="S720" i="15"/>
  <c r="S721" i="15"/>
  <c r="S722" i="15"/>
  <c r="S723" i="15"/>
  <c r="S724" i="15"/>
  <c r="S725" i="15"/>
  <c r="S726" i="15"/>
  <c r="S727" i="15"/>
  <c r="S728" i="15"/>
  <c r="S729" i="15"/>
  <c r="S730" i="15"/>
  <c r="S731" i="15"/>
  <c r="S732" i="15"/>
  <c r="S733" i="15"/>
  <c r="S734" i="15"/>
  <c r="S735" i="15"/>
  <c r="S736" i="15"/>
  <c r="S737" i="15"/>
  <c r="S738" i="15"/>
  <c r="S739" i="15"/>
  <c r="S740" i="15"/>
  <c r="S741" i="15"/>
  <c r="S742" i="15"/>
  <c r="S743" i="15"/>
  <c r="S744" i="15"/>
  <c r="S745" i="15"/>
  <c r="S746" i="15"/>
  <c r="S747" i="15"/>
  <c r="S748" i="15"/>
  <c r="S749" i="15"/>
  <c r="S750" i="15"/>
  <c r="S751" i="15"/>
  <c r="S752" i="15"/>
  <c r="S753" i="15"/>
  <c r="S754" i="15"/>
  <c r="S755" i="15"/>
  <c r="S756" i="15"/>
  <c r="S757" i="15"/>
  <c r="S758" i="15"/>
  <c r="S759" i="15"/>
  <c r="S760" i="15"/>
  <c r="S761" i="15"/>
  <c r="S762" i="15"/>
  <c r="S763" i="15"/>
  <c r="S764" i="15"/>
  <c r="S765" i="15"/>
  <c r="S766" i="15"/>
  <c r="S767" i="15"/>
  <c r="S768" i="15"/>
  <c r="S769" i="15"/>
  <c r="S770" i="15"/>
  <c r="S771" i="15"/>
  <c r="S772" i="15"/>
  <c r="S773" i="15"/>
  <c r="S774" i="15"/>
  <c r="S775" i="15"/>
  <c r="S776" i="15"/>
  <c r="S777" i="15"/>
  <c r="S778" i="15"/>
  <c r="S779" i="15"/>
  <c r="S780" i="15"/>
  <c r="S781" i="15"/>
  <c r="S782" i="15"/>
  <c r="S783" i="15"/>
  <c r="S784" i="15"/>
  <c r="S785" i="15"/>
  <c r="S786" i="15"/>
  <c r="S787" i="15"/>
  <c r="S788" i="15"/>
  <c r="S789" i="15"/>
  <c r="S790" i="15"/>
  <c r="S791" i="15"/>
  <c r="S792" i="15"/>
  <c r="S793" i="15"/>
  <c r="S794" i="15"/>
  <c r="S795" i="15"/>
  <c r="S796" i="15"/>
  <c r="S797" i="15"/>
  <c r="S798" i="15"/>
  <c r="S799" i="15"/>
  <c r="S800" i="15"/>
  <c r="S801" i="15"/>
  <c r="S802" i="15"/>
  <c r="S803" i="15"/>
  <c r="S804" i="15"/>
  <c r="S805" i="15"/>
  <c r="S806" i="15"/>
  <c r="S807" i="15"/>
  <c r="S808" i="15"/>
  <c r="S809" i="15"/>
  <c r="S810" i="15"/>
  <c r="S811" i="15"/>
  <c r="S812" i="15"/>
  <c r="S813" i="15"/>
  <c r="S814" i="15"/>
  <c r="S815" i="15"/>
  <c r="S816" i="15"/>
  <c r="S817" i="15"/>
  <c r="S818" i="15"/>
  <c r="S819" i="15"/>
  <c r="S820" i="15"/>
  <c r="S821" i="15"/>
  <c r="S822" i="15"/>
  <c r="S823" i="15"/>
  <c r="S824" i="15"/>
  <c r="S825" i="15"/>
  <c r="S826" i="15"/>
  <c r="S827" i="15"/>
  <c r="S828" i="15"/>
  <c r="S829" i="15"/>
  <c r="S830" i="15"/>
  <c r="S831" i="15"/>
  <c r="S832" i="15"/>
  <c r="S833" i="15"/>
  <c r="S834" i="15"/>
  <c r="S835" i="15"/>
  <c r="S836" i="15"/>
  <c r="S837" i="15"/>
  <c r="S838" i="15"/>
  <c r="S839" i="15"/>
  <c r="S840" i="15"/>
  <c r="S841" i="15"/>
  <c r="S842" i="15"/>
  <c r="S843" i="15"/>
  <c r="S844" i="15"/>
  <c r="S845" i="15"/>
  <c r="S846" i="15"/>
  <c r="S847" i="15"/>
  <c r="S848" i="15"/>
  <c r="S849" i="15"/>
  <c r="S850" i="15"/>
  <c r="S851" i="15"/>
  <c r="S852" i="15"/>
  <c r="S853" i="15"/>
  <c r="S854" i="15"/>
  <c r="S855" i="15"/>
  <c r="S856" i="15"/>
  <c r="S857" i="15"/>
  <c r="S858" i="15"/>
  <c r="S859" i="15"/>
  <c r="S860" i="15"/>
  <c r="S861" i="15"/>
  <c r="S862" i="15"/>
  <c r="S863" i="15"/>
  <c r="S864" i="15"/>
  <c r="S865" i="15"/>
  <c r="S866" i="15"/>
  <c r="S867" i="15"/>
  <c r="S868" i="15"/>
  <c r="S869" i="15"/>
  <c r="S870" i="15"/>
  <c r="S871" i="15"/>
  <c r="S872" i="15"/>
  <c r="S873" i="15"/>
  <c r="S874" i="15"/>
  <c r="S875" i="15"/>
  <c r="S876" i="15"/>
  <c r="S877" i="15"/>
  <c r="S878" i="15"/>
  <c r="S879" i="15"/>
  <c r="S880" i="15"/>
  <c r="S881" i="15"/>
  <c r="S882" i="15"/>
  <c r="S883" i="15"/>
  <c r="S884" i="15"/>
  <c r="S885" i="15"/>
  <c r="S886" i="15"/>
  <c r="S887" i="15"/>
  <c r="S888" i="15"/>
  <c r="S889" i="15"/>
  <c r="S890" i="15"/>
  <c r="S891" i="15"/>
  <c r="S892" i="15"/>
  <c r="S893" i="15"/>
  <c r="S894" i="15"/>
  <c r="S895" i="15"/>
  <c r="S896" i="15"/>
  <c r="S897" i="15"/>
  <c r="S898" i="15"/>
  <c r="S899" i="15"/>
  <c r="S900" i="15"/>
  <c r="S901" i="15"/>
  <c r="S902" i="15"/>
  <c r="S903" i="15"/>
  <c r="S904" i="15"/>
  <c r="S905" i="15"/>
  <c r="S906" i="15"/>
  <c r="S907" i="15"/>
  <c r="S908" i="15"/>
  <c r="S909" i="15"/>
  <c r="S910" i="15"/>
  <c r="S911" i="15"/>
  <c r="S912" i="15"/>
  <c r="S913" i="15"/>
  <c r="S914" i="15"/>
  <c r="S915" i="15"/>
  <c r="S916" i="15"/>
  <c r="S917" i="15"/>
  <c r="S918" i="15"/>
  <c r="S919" i="15"/>
  <c r="S920" i="15"/>
  <c r="S921" i="15"/>
  <c r="S922" i="15"/>
  <c r="S923" i="15"/>
  <c r="S924" i="15"/>
  <c r="S925" i="15"/>
  <c r="S926" i="15"/>
  <c r="S927" i="15"/>
  <c r="S928" i="15"/>
  <c r="S929" i="15"/>
  <c r="S930" i="15"/>
  <c r="S931" i="15"/>
  <c r="S932" i="15"/>
  <c r="S933" i="15"/>
  <c r="S934" i="15"/>
  <c r="S935" i="15"/>
  <c r="S936" i="15"/>
  <c r="S937" i="15"/>
  <c r="S938" i="15"/>
  <c r="S939" i="15"/>
  <c r="S940" i="15"/>
  <c r="S941" i="15"/>
  <c r="S942" i="15"/>
  <c r="S943" i="15"/>
  <c r="S944" i="15"/>
  <c r="S945" i="15"/>
  <c r="S946" i="15"/>
  <c r="S947" i="15"/>
  <c r="S948" i="15"/>
  <c r="S949" i="15"/>
  <c r="S950" i="15"/>
  <c r="S951" i="15"/>
  <c r="S952" i="15"/>
  <c r="S953" i="15"/>
  <c r="S954" i="15"/>
  <c r="S955" i="15"/>
  <c r="S956" i="15"/>
  <c r="S957" i="15"/>
  <c r="S958" i="15"/>
  <c r="S959" i="15"/>
  <c r="S960" i="15"/>
  <c r="S961" i="15"/>
  <c r="S962" i="15"/>
  <c r="S963" i="15"/>
  <c r="S964" i="15"/>
  <c r="S965" i="15"/>
  <c r="S966" i="15"/>
  <c r="S967" i="15"/>
  <c r="S968" i="15"/>
  <c r="S969" i="15"/>
  <c r="S970" i="15"/>
  <c r="S971" i="15"/>
  <c r="S972" i="15"/>
  <c r="S973" i="15"/>
  <c r="S974" i="15"/>
  <c r="S975" i="15"/>
  <c r="S976" i="15"/>
  <c r="S977" i="15"/>
  <c r="S978" i="15"/>
  <c r="S979" i="15"/>
  <c r="S980" i="15"/>
  <c r="S981" i="15"/>
  <c r="S982" i="15"/>
  <c r="S983" i="15"/>
  <c r="S984" i="15"/>
  <c r="S985" i="15"/>
  <c r="S986" i="15"/>
  <c r="S987" i="15"/>
  <c r="S988" i="15"/>
  <c r="S989" i="15"/>
  <c r="S990" i="15"/>
  <c r="S991" i="15"/>
  <c r="S992" i="15"/>
  <c r="S993" i="15"/>
  <c r="S994" i="15"/>
  <c r="S995" i="15"/>
  <c r="S996" i="15"/>
  <c r="S997" i="15"/>
  <c r="S998" i="15"/>
  <c r="S999" i="15"/>
  <c r="S1000" i="15"/>
  <c r="S1001" i="15"/>
  <c r="S1002" i="15"/>
  <c r="S1003" i="15"/>
  <c r="S1004" i="15"/>
  <c r="S1005" i="15"/>
  <c r="S1006" i="15"/>
  <c r="S1007" i="15"/>
  <c r="S1008" i="15"/>
  <c r="S1009" i="15"/>
  <c r="S1010" i="15"/>
  <c r="S1011" i="15"/>
  <c r="S1012" i="15"/>
  <c r="S1013" i="15"/>
  <c r="S1014" i="15"/>
  <c r="S1015" i="15"/>
  <c r="S1016" i="15"/>
  <c r="S1017" i="15"/>
  <c r="S1018" i="15"/>
  <c r="S1019" i="15"/>
  <c r="S1020" i="15"/>
  <c r="S1021" i="15"/>
  <c r="S1022" i="15"/>
  <c r="S1023" i="15"/>
  <c r="S1024" i="15"/>
  <c r="S1025" i="15"/>
  <c r="S1026" i="15"/>
  <c r="S1027" i="15"/>
  <c r="S1028" i="15"/>
  <c r="S1029" i="15"/>
  <c r="S1030" i="15"/>
  <c r="S1031" i="15"/>
  <c r="S1032" i="15"/>
  <c r="S1033" i="15"/>
  <c r="S1034" i="15"/>
  <c r="S1035" i="15"/>
  <c r="S1036" i="15"/>
  <c r="S1037" i="15"/>
  <c r="S1038" i="15"/>
  <c r="S1039" i="15"/>
  <c r="S1040" i="15"/>
  <c r="S1041" i="15"/>
  <c r="S1042" i="15"/>
  <c r="S1043" i="15"/>
  <c r="S1044" i="15"/>
  <c r="S1045" i="15"/>
  <c r="S1046" i="15"/>
  <c r="S1047" i="15"/>
  <c r="S1048" i="15"/>
  <c r="S1049" i="15"/>
  <c r="S1050" i="15"/>
  <c r="S1051" i="15"/>
  <c r="S1052" i="15"/>
  <c r="S1053" i="15"/>
  <c r="S1054" i="15"/>
  <c r="S1055" i="15"/>
  <c r="S1056" i="15"/>
  <c r="S1057" i="15"/>
  <c r="S1058" i="15"/>
  <c r="S1059" i="15"/>
  <c r="S1060" i="15"/>
  <c r="S1061" i="15"/>
  <c r="S1062" i="15"/>
  <c r="S1063" i="15"/>
  <c r="S1064" i="15"/>
  <c r="S1065" i="15"/>
  <c r="S1066" i="15"/>
  <c r="S1067" i="15"/>
  <c r="S1068" i="15"/>
  <c r="S1069" i="15"/>
  <c r="S1070" i="15"/>
  <c r="S1071" i="15"/>
  <c r="S1072" i="15"/>
  <c r="S1073" i="15"/>
  <c r="S1074" i="15"/>
  <c r="S1075" i="15"/>
  <c r="S1076" i="15"/>
  <c r="S1077" i="15"/>
  <c r="S1078" i="15"/>
  <c r="S1079" i="15"/>
  <c r="S1080" i="15"/>
  <c r="S1081" i="15"/>
  <c r="S1082" i="15"/>
  <c r="S1083" i="15"/>
  <c r="S1084" i="15"/>
  <c r="S1085" i="15"/>
  <c r="S1086" i="15"/>
  <c r="S1087" i="15"/>
  <c r="S1088" i="15"/>
  <c r="S1089" i="15"/>
  <c r="S1090" i="15"/>
  <c r="S1091" i="15"/>
  <c r="S1092" i="15"/>
  <c r="S1093" i="15"/>
  <c r="S1094" i="15"/>
  <c r="S1095" i="15"/>
  <c r="S1096" i="15"/>
  <c r="S1097" i="15"/>
  <c r="S1098" i="15"/>
  <c r="S1099" i="15"/>
  <c r="S1100" i="15"/>
  <c r="S1101" i="15"/>
  <c r="S1102" i="15"/>
  <c r="S1103" i="15"/>
  <c r="S1104" i="15"/>
  <c r="S1105" i="15"/>
  <c r="S1106" i="15"/>
  <c r="S1107" i="15"/>
  <c r="S1108" i="15"/>
  <c r="S1109" i="15"/>
  <c r="S1110" i="15"/>
  <c r="S1111" i="15"/>
  <c r="S1112" i="15"/>
  <c r="S1113" i="15"/>
  <c r="S1114" i="15"/>
  <c r="S1115" i="15"/>
  <c r="S1116" i="15"/>
  <c r="S1117" i="15"/>
  <c r="S1118" i="15"/>
  <c r="S1119" i="15"/>
  <c r="S1120" i="15"/>
  <c r="S1121" i="15"/>
  <c r="S1122" i="15"/>
  <c r="S1123" i="15"/>
  <c r="S1124" i="15"/>
  <c r="S1125" i="15"/>
  <c r="S1126" i="15"/>
  <c r="S1127" i="15"/>
  <c r="S1128" i="15"/>
  <c r="S1129" i="15"/>
  <c r="S1130" i="15"/>
  <c r="S1131" i="15"/>
  <c r="S1132" i="15"/>
  <c r="S1133" i="15"/>
  <c r="S1134" i="15"/>
  <c r="S1135" i="15"/>
  <c r="S1136" i="15"/>
  <c r="S1137" i="15"/>
  <c r="S1138" i="15"/>
  <c r="S1139" i="15"/>
  <c r="S1140" i="15"/>
  <c r="S1141" i="15"/>
  <c r="S1142" i="15"/>
  <c r="S1143" i="15"/>
  <c r="S1144" i="15"/>
  <c r="S1145" i="15"/>
  <c r="S1146" i="15"/>
  <c r="S1147" i="15"/>
  <c r="S1148" i="15"/>
  <c r="S1149" i="15"/>
  <c r="S1150" i="15"/>
  <c r="S1151" i="15"/>
  <c r="S1152" i="15"/>
  <c r="S1153" i="15"/>
  <c r="S1154" i="15"/>
  <c r="S1155" i="15"/>
  <c r="S1156" i="15"/>
  <c r="S1157" i="15"/>
  <c r="S1158" i="15"/>
  <c r="S1159" i="15"/>
  <c r="S1160" i="15"/>
  <c r="S1161" i="15"/>
  <c r="S1162" i="15"/>
  <c r="S1163" i="15"/>
  <c r="S1164" i="15"/>
  <c r="S1165" i="15"/>
  <c r="S1166" i="15"/>
  <c r="S1167" i="15"/>
  <c r="S1168" i="15"/>
  <c r="S1169" i="15"/>
  <c r="S1170" i="15"/>
  <c r="S1171" i="15"/>
  <c r="S1172" i="15"/>
  <c r="S1173" i="15"/>
  <c r="S1174" i="15"/>
  <c r="S1175" i="15"/>
  <c r="S1176" i="15"/>
  <c r="S1177" i="15"/>
  <c r="S1178" i="15"/>
  <c r="S1179" i="15"/>
  <c r="S1180" i="15"/>
  <c r="S1181" i="15"/>
  <c r="S1182" i="15"/>
  <c r="S1183" i="15"/>
  <c r="S1184" i="15"/>
  <c r="S1185" i="15"/>
  <c r="S1186" i="15"/>
  <c r="S1187" i="15"/>
  <c r="S1188" i="15"/>
  <c r="S1189" i="15"/>
  <c r="S1190" i="15"/>
  <c r="S1191" i="15"/>
  <c r="S1192" i="15"/>
  <c r="S1193" i="15"/>
  <c r="S1194" i="15"/>
  <c r="S1195" i="15"/>
  <c r="S1196" i="15"/>
  <c r="S1197" i="15"/>
  <c r="S1198" i="15"/>
  <c r="S1199" i="15"/>
  <c r="S1200" i="15"/>
  <c r="S1201" i="15"/>
  <c r="S1202" i="15"/>
  <c r="S1203" i="15"/>
  <c r="S1204" i="15"/>
  <c r="S1205" i="15"/>
  <c r="S1206" i="15"/>
  <c r="S1207" i="15"/>
  <c r="S1208" i="15"/>
  <c r="S1209" i="15"/>
  <c r="S1210" i="15"/>
  <c r="S1211" i="15"/>
  <c r="S1212" i="15"/>
  <c r="S1213" i="15"/>
  <c r="S1214" i="15"/>
  <c r="S1215" i="15"/>
  <c r="S1216" i="15"/>
  <c r="S1217" i="15"/>
  <c r="S1218" i="15"/>
  <c r="S1219" i="15"/>
  <c r="S1220" i="15"/>
  <c r="S1221" i="15"/>
  <c r="S1222" i="15"/>
  <c r="S1223" i="15"/>
  <c r="S1224" i="15"/>
  <c r="S1225" i="15"/>
  <c r="S1226" i="15"/>
  <c r="S1227" i="15"/>
  <c r="S1228" i="15"/>
  <c r="S1229" i="15"/>
  <c r="S1230" i="15"/>
  <c r="S1231" i="15"/>
  <c r="S1232" i="15"/>
  <c r="S1233" i="15"/>
  <c r="S1234" i="15"/>
  <c r="S1235" i="15"/>
  <c r="S1236" i="15"/>
  <c r="S1237" i="15"/>
  <c r="S1238" i="15"/>
  <c r="S1239" i="15"/>
  <c r="S1240" i="15"/>
  <c r="S1241" i="15"/>
  <c r="S1242" i="15"/>
  <c r="S1243" i="15"/>
  <c r="S1244" i="15"/>
  <c r="S1245" i="15"/>
  <c r="S1246" i="15"/>
  <c r="S1247" i="15"/>
  <c r="S1248" i="15"/>
  <c r="S1249" i="15"/>
  <c r="S1250" i="15"/>
  <c r="S1251" i="15"/>
  <c r="S1252" i="15"/>
  <c r="S1253" i="15"/>
  <c r="S1254" i="15"/>
  <c r="S1255" i="15"/>
  <c r="S1256" i="15"/>
  <c r="S1257" i="15"/>
  <c r="S1258" i="15"/>
  <c r="S1259" i="15"/>
  <c r="S1260" i="15"/>
  <c r="S1261" i="15"/>
  <c r="S1262" i="15"/>
  <c r="S1263" i="15"/>
  <c r="S1264" i="15"/>
  <c r="S1265" i="15"/>
  <c r="S1266" i="15"/>
  <c r="S1267" i="15"/>
  <c r="S1268" i="15"/>
  <c r="S1269" i="15"/>
  <c r="S1270" i="15"/>
  <c r="S1271" i="15"/>
  <c r="S1272" i="15"/>
  <c r="S1273" i="15"/>
  <c r="S1274" i="15"/>
  <c r="S1275" i="15"/>
  <c r="S1276" i="15"/>
  <c r="S1277" i="15"/>
  <c r="S1278" i="15"/>
  <c r="S1279" i="15"/>
  <c r="S1280" i="15"/>
  <c r="S1281" i="15"/>
  <c r="S1282" i="15"/>
  <c r="S1283" i="15"/>
  <c r="S1284" i="15"/>
  <c r="S1285" i="15"/>
  <c r="S1286" i="15"/>
  <c r="S1287" i="15"/>
  <c r="S1288" i="15"/>
  <c r="S1289" i="15"/>
  <c r="S1290" i="15"/>
  <c r="S1291" i="15"/>
  <c r="S1292" i="15"/>
  <c r="S1293" i="15"/>
  <c r="S1294" i="15"/>
  <c r="S1295" i="15"/>
  <c r="S1296" i="15"/>
  <c r="S1297" i="15"/>
  <c r="S1298" i="15"/>
  <c r="S1299" i="15"/>
  <c r="S1300" i="15"/>
  <c r="S1301" i="15"/>
  <c r="S1302" i="15"/>
  <c r="S1303" i="15"/>
  <c r="S1304" i="15"/>
  <c r="S1305" i="15"/>
  <c r="S1306" i="15"/>
  <c r="S1307" i="15"/>
  <c r="S1308" i="15"/>
  <c r="S1309" i="15"/>
  <c r="S1310" i="15"/>
  <c r="S1311" i="15"/>
  <c r="S1312" i="15"/>
  <c r="S1313" i="15"/>
  <c r="S1314" i="15"/>
  <c r="S1315" i="15"/>
  <c r="S1316" i="15"/>
  <c r="S1317" i="15"/>
  <c r="S1318" i="15"/>
  <c r="S1319" i="15"/>
  <c r="S1320" i="15"/>
  <c r="S1321" i="15"/>
  <c r="S1322" i="15"/>
  <c r="S1323" i="15"/>
  <c r="S1324" i="15"/>
  <c r="S1325" i="15"/>
  <c r="S1326" i="15"/>
  <c r="S1327" i="15"/>
  <c r="S1328" i="15"/>
  <c r="S1329" i="15"/>
  <c r="S1330" i="15"/>
  <c r="S1331" i="15"/>
  <c r="S1332" i="15"/>
  <c r="S1333" i="15"/>
  <c r="S1334" i="15"/>
  <c r="S1335" i="15"/>
  <c r="S1336" i="15"/>
  <c r="S1337" i="15"/>
  <c r="S1338" i="15"/>
  <c r="S1339" i="15"/>
  <c r="S1340" i="15"/>
  <c r="S1341" i="15"/>
  <c r="S1342" i="15"/>
  <c r="S1343" i="15"/>
  <c r="S1344" i="15"/>
  <c r="S1345" i="15"/>
  <c r="S1346" i="15"/>
  <c r="S1347" i="15"/>
  <c r="S1348" i="15"/>
  <c r="S1349" i="15"/>
  <c r="S1350" i="15"/>
  <c r="S1351" i="15"/>
  <c r="S1352" i="15"/>
  <c r="S1353" i="15"/>
  <c r="S1354" i="15"/>
  <c r="S1355" i="15"/>
  <c r="S1356" i="15"/>
  <c r="S1357" i="15"/>
  <c r="S1358" i="15"/>
  <c r="S1359" i="15"/>
  <c r="S1360" i="15"/>
  <c r="S1361" i="15"/>
  <c r="S1362" i="15"/>
  <c r="S1363" i="15"/>
  <c r="S1364" i="15"/>
  <c r="S1365" i="15"/>
  <c r="S1366" i="15"/>
  <c r="S1367" i="15"/>
  <c r="S1368" i="15"/>
  <c r="S1369" i="15"/>
  <c r="S1370" i="15"/>
  <c r="S1371" i="15"/>
  <c r="S1372" i="15"/>
  <c r="S1373" i="15"/>
  <c r="S1374" i="15"/>
  <c r="S1375" i="15"/>
  <c r="S1376" i="15"/>
  <c r="S1377" i="15"/>
  <c r="S1378" i="15"/>
  <c r="S1379" i="15"/>
  <c r="S1380" i="15"/>
  <c r="S1381" i="15"/>
  <c r="S1382" i="15"/>
  <c r="S1383" i="15"/>
  <c r="S1384" i="15"/>
  <c r="S1385" i="15"/>
  <c r="S1386" i="15"/>
  <c r="S1387" i="15"/>
  <c r="S1388" i="15"/>
  <c r="S1389" i="15"/>
  <c r="S1390" i="15"/>
  <c r="S1391" i="15"/>
  <c r="S1392" i="15"/>
  <c r="S1393" i="15"/>
  <c r="S1394" i="15"/>
  <c r="S1395" i="15"/>
  <c r="S1396" i="15"/>
  <c r="S1397" i="15"/>
  <c r="S1398" i="15"/>
  <c r="S1399" i="15"/>
  <c r="S1400" i="15"/>
  <c r="S1401" i="15"/>
  <c r="S1402" i="15"/>
  <c r="S1403" i="15"/>
  <c r="S1404" i="15"/>
  <c r="S1405" i="15"/>
  <c r="S1406" i="15"/>
  <c r="S1407" i="15"/>
  <c r="S1408" i="15"/>
  <c r="S1409" i="15"/>
  <c r="S1410" i="15"/>
  <c r="S1411" i="15"/>
  <c r="S1412" i="15"/>
  <c r="S1413" i="15"/>
  <c r="S1414" i="15"/>
  <c r="S1415" i="15"/>
  <c r="S1416" i="15"/>
  <c r="S1417" i="15"/>
  <c r="S1418" i="15"/>
  <c r="S1419" i="15"/>
  <c r="S1420" i="15"/>
  <c r="S1421" i="15"/>
  <c r="S1422" i="15"/>
  <c r="S1423" i="15"/>
  <c r="S1424" i="15"/>
  <c r="S1425" i="15"/>
  <c r="S1426" i="15"/>
  <c r="S1427" i="15"/>
  <c r="S1428" i="15"/>
  <c r="S1429" i="15"/>
  <c r="S1430" i="15"/>
  <c r="S1431" i="15"/>
  <c r="S1432" i="15"/>
  <c r="S1433" i="15"/>
  <c r="S1434" i="15"/>
  <c r="S1435" i="15"/>
  <c r="S1436" i="15"/>
  <c r="S1437" i="15"/>
  <c r="S1438" i="15"/>
  <c r="S1439" i="15"/>
  <c r="S1440" i="15"/>
  <c r="S1441" i="15"/>
  <c r="S1442" i="15"/>
  <c r="S1443" i="15"/>
  <c r="S1444" i="15"/>
  <c r="S1445" i="15"/>
  <c r="S1446" i="15"/>
  <c r="S1447" i="15"/>
  <c r="S1448" i="15"/>
  <c r="S1449" i="15"/>
  <c r="S1450" i="15"/>
  <c r="S1451" i="15"/>
  <c r="S1452" i="15"/>
  <c r="S1453" i="15"/>
  <c r="S1454" i="15"/>
  <c r="S1455" i="15"/>
  <c r="S1456" i="15"/>
  <c r="S1457" i="15"/>
  <c r="S1458" i="15"/>
  <c r="S1459" i="15"/>
  <c r="S1460" i="15"/>
  <c r="S1461" i="15"/>
  <c r="S1462" i="15"/>
  <c r="S1463" i="15"/>
  <c r="S1464" i="15"/>
  <c r="S1465" i="15"/>
  <c r="S1466" i="15"/>
  <c r="S1467" i="15"/>
  <c r="S1468" i="15"/>
  <c r="S1469" i="15"/>
  <c r="S1470" i="15"/>
  <c r="S1471" i="15"/>
  <c r="S1472" i="15"/>
  <c r="S1473" i="15"/>
  <c r="S1474" i="15"/>
  <c r="S1475" i="15"/>
  <c r="S1476" i="15"/>
  <c r="S1477" i="15"/>
  <c r="S1478" i="15"/>
  <c r="S1479" i="15"/>
  <c r="S1480" i="15"/>
  <c r="S1481" i="15"/>
  <c r="S1482" i="15"/>
  <c r="S1483" i="15"/>
  <c r="S1484" i="15"/>
  <c r="S1485" i="15"/>
  <c r="S1486" i="15"/>
  <c r="S1487" i="15"/>
  <c r="S1488" i="15"/>
  <c r="S1489" i="15"/>
  <c r="S1490" i="15"/>
  <c r="S1491" i="15"/>
  <c r="S1492" i="15"/>
  <c r="S1493" i="15"/>
  <c r="S1494" i="15"/>
  <c r="S1495" i="15"/>
  <c r="S1496" i="15"/>
  <c r="S1497" i="15"/>
  <c r="S1498" i="15"/>
  <c r="S1499" i="15"/>
  <c r="S1500" i="15"/>
  <c r="S1501" i="15"/>
  <c r="S1502" i="15"/>
  <c r="S1503" i="15"/>
  <c r="S1504" i="15"/>
  <c r="S1505" i="15"/>
  <c r="S1506" i="15"/>
  <c r="S1507" i="15"/>
  <c r="S1508" i="15"/>
  <c r="S1509" i="15"/>
  <c r="S1510" i="15"/>
  <c r="S1511" i="15"/>
  <c r="S1512" i="15"/>
  <c r="S1513" i="15"/>
  <c r="S1514" i="15"/>
  <c r="S1515" i="15"/>
  <c r="S1516" i="15"/>
  <c r="S1517" i="15"/>
  <c r="S1518" i="15"/>
  <c r="S1519" i="15"/>
  <c r="S1520" i="15"/>
  <c r="S1521" i="15"/>
  <c r="S1522" i="15"/>
  <c r="S1523" i="15"/>
  <c r="S1524" i="15"/>
  <c r="S1525" i="15"/>
  <c r="S1526" i="15"/>
  <c r="S1527" i="15"/>
  <c r="S1528" i="15"/>
  <c r="S1529" i="15"/>
  <c r="S1530" i="15"/>
  <c r="S1531" i="15"/>
  <c r="S1532" i="15"/>
  <c r="S1533" i="15"/>
  <c r="S1534" i="15"/>
  <c r="S1535" i="15"/>
  <c r="S1536" i="15"/>
  <c r="S1537" i="15"/>
  <c r="S1538" i="15"/>
  <c r="S1539" i="15"/>
  <c r="S1540" i="15"/>
  <c r="S1541" i="15"/>
  <c r="S1542" i="15"/>
  <c r="S1543" i="15"/>
  <c r="S1544" i="15"/>
  <c r="S1545" i="15"/>
  <c r="S1546" i="15"/>
  <c r="S1547" i="15"/>
  <c r="S1548" i="15"/>
  <c r="S1549" i="15"/>
  <c r="S1550" i="15"/>
  <c r="S1551" i="15"/>
  <c r="S1552" i="15"/>
  <c r="S1553" i="15"/>
  <c r="S1554" i="15"/>
  <c r="S1555" i="15"/>
  <c r="S1556" i="15"/>
  <c r="S1557" i="15"/>
  <c r="S1558" i="15"/>
  <c r="S1559" i="15"/>
  <c r="S1560" i="15"/>
  <c r="S1561" i="15"/>
  <c r="S1562" i="15"/>
  <c r="S1563" i="15"/>
  <c r="S1564" i="15"/>
  <c r="S1565" i="15"/>
  <c r="S1566" i="15"/>
  <c r="S1567" i="15"/>
  <c r="S1568" i="15"/>
  <c r="S1569" i="15"/>
  <c r="S1570" i="15"/>
  <c r="S1571" i="15"/>
  <c r="S1572" i="15"/>
  <c r="S1573" i="15"/>
  <c r="S1574" i="15"/>
  <c r="S1575" i="15"/>
  <c r="S1576" i="15"/>
  <c r="S1577" i="15"/>
  <c r="S1578" i="15"/>
  <c r="S1579" i="15"/>
  <c r="S1580" i="15"/>
  <c r="S1581" i="15"/>
  <c r="S1582" i="15"/>
  <c r="S1583" i="15"/>
  <c r="S1584" i="15"/>
  <c r="S1585" i="15"/>
  <c r="S1586" i="15"/>
  <c r="S1587" i="15"/>
  <c r="S1588" i="15"/>
  <c r="S1589" i="15"/>
  <c r="S1590" i="15"/>
  <c r="S1591" i="15"/>
  <c r="S1592" i="15"/>
  <c r="S1593" i="15"/>
  <c r="S1594" i="15"/>
  <c r="S1595" i="15"/>
  <c r="S1596" i="15"/>
  <c r="S1597" i="15"/>
  <c r="S1598" i="15"/>
  <c r="S1599" i="15"/>
  <c r="S1600" i="15"/>
  <c r="S1601" i="15"/>
  <c r="S1602" i="15"/>
  <c r="S1603" i="15"/>
  <c r="S1604" i="15"/>
  <c r="S1605" i="15"/>
  <c r="S1606" i="15"/>
  <c r="S1607" i="15"/>
  <c r="S1608" i="15"/>
  <c r="S1609" i="15"/>
  <c r="S1610" i="15"/>
  <c r="S1611" i="15"/>
  <c r="S1612" i="15"/>
  <c r="R2" i="15"/>
  <c r="R3" i="15"/>
  <c r="R4" i="15"/>
  <c r="R5" i="15"/>
  <c r="R6" i="15"/>
  <c r="R7" i="15"/>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71" i="15"/>
  <c r="R372" i="15"/>
  <c r="R373" i="15"/>
  <c r="R374" i="15"/>
  <c r="R375" i="15"/>
  <c r="R376" i="15"/>
  <c r="R377" i="15"/>
  <c r="R378" i="15"/>
  <c r="R379" i="15"/>
  <c r="R380" i="15"/>
  <c r="R381" i="15"/>
  <c r="R382" i="15"/>
  <c r="R383" i="15"/>
  <c r="R384" i="15"/>
  <c r="R385" i="15"/>
  <c r="R386" i="15"/>
  <c r="R387" i="15"/>
  <c r="R388" i="15"/>
  <c r="R389" i="15"/>
  <c r="R390" i="15"/>
  <c r="R391" i="15"/>
  <c r="R392" i="15"/>
  <c r="R393" i="15"/>
  <c r="R394" i="15"/>
  <c r="R395" i="15"/>
  <c r="R396" i="15"/>
  <c r="R397" i="15"/>
  <c r="R398" i="15"/>
  <c r="R399" i="15"/>
  <c r="R400" i="15"/>
  <c r="R401" i="15"/>
  <c r="R402" i="15"/>
  <c r="R403" i="15"/>
  <c r="R404" i="15"/>
  <c r="R405" i="15"/>
  <c r="R406" i="15"/>
  <c r="R407" i="15"/>
  <c r="R408" i="15"/>
  <c r="R409" i="15"/>
  <c r="R410" i="15"/>
  <c r="R411" i="15"/>
  <c r="R412" i="15"/>
  <c r="R413" i="15"/>
  <c r="R414" i="15"/>
  <c r="R415" i="15"/>
  <c r="R416" i="15"/>
  <c r="R417" i="15"/>
  <c r="R418" i="15"/>
  <c r="R419" i="15"/>
  <c r="R420" i="15"/>
  <c r="R421" i="15"/>
  <c r="R422" i="15"/>
  <c r="R423" i="15"/>
  <c r="R424" i="15"/>
  <c r="R425" i="15"/>
  <c r="R426" i="15"/>
  <c r="R427" i="15"/>
  <c r="R428" i="15"/>
  <c r="R429" i="15"/>
  <c r="R430" i="15"/>
  <c r="R431" i="15"/>
  <c r="R432" i="15"/>
  <c r="R433" i="15"/>
  <c r="R434" i="15"/>
  <c r="R435" i="15"/>
  <c r="R436" i="15"/>
  <c r="R437" i="15"/>
  <c r="R438" i="15"/>
  <c r="R439" i="15"/>
  <c r="R440" i="15"/>
  <c r="R441" i="15"/>
  <c r="R442" i="15"/>
  <c r="R443" i="15"/>
  <c r="R444" i="15"/>
  <c r="R445" i="15"/>
  <c r="R446" i="15"/>
  <c r="R447" i="15"/>
  <c r="R448" i="15"/>
  <c r="R449" i="15"/>
  <c r="R450" i="15"/>
  <c r="R451" i="15"/>
  <c r="R452" i="15"/>
  <c r="R453" i="15"/>
  <c r="R454" i="15"/>
  <c r="R455" i="15"/>
  <c r="R456" i="15"/>
  <c r="R457" i="15"/>
  <c r="R458" i="15"/>
  <c r="R459" i="15"/>
  <c r="R460" i="15"/>
  <c r="R461" i="15"/>
  <c r="R462" i="15"/>
  <c r="R463" i="15"/>
  <c r="R464" i="15"/>
  <c r="R465" i="15"/>
  <c r="R466" i="15"/>
  <c r="R467" i="15"/>
  <c r="R468" i="15"/>
  <c r="R469" i="15"/>
  <c r="R470" i="15"/>
  <c r="R471" i="15"/>
  <c r="R472" i="15"/>
  <c r="R473" i="15"/>
  <c r="R474" i="15"/>
  <c r="R475" i="15"/>
  <c r="R476" i="15"/>
  <c r="R477" i="15"/>
  <c r="R478" i="15"/>
  <c r="R479" i="15"/>
  <c r="R480" i="15"/>
  <c r="R481" i="15"/>
  <c r="R482" i="15"/>
  <c r="R483" i="15"/>
  <c r="R484" i="15"/>
  <c r="R485" i="15"/>
  <c r="R486" i="15"/>
  <c r="R487" i="15"/>
  <c r="R488" i="15"/>
  <c r="R489" i="15"/>
  <c r="R490" i="15"/>
  <c r="R491" i="15"/>
  <c r="R492" i="15"/>
  <c r="R493" i="15"/>
  <c r="R494" i="15"/>
  <c r="R495" i="15"/>
  <c r="R496" i="15"/>
  <c r="R497" i="15"/>
  <c r="R498" i="15"/>
  <c r="R499" i="15"/>
  <c r="R500" i="15"/>
  <c r="R501" i="15"/>
  <c r="R502" i="15"/>
  <c r="R503" i="15"/>
  <c r="R504" i="15"/>
  <c r="R505" i="15"/>
  <c r="R506" i="15"/>
  <c r="R507" i="15"/>
  <c r="R508" i="15"/>
  <c r="R509" i="15"/>
  <c r="R510" i="15"/>
  <c r="R511" i="15"/>
  <c r="R512" i="15"/>
  <c r="R513" i="15"/>
  <c r="R514" i="15"/>
  <c r="R515" i="15"/>
  <c r="R516" i="15"/>
  <c r="R517" i="15"/>
  <c r="R518" i="15"/>
  <c r="R519" i="15"/>
  <c r="R520" i="15"/>
  <c r="R521" i="15"/>
  <c r="R522" i="15"/>
  <c r="R523" i="15"/>
  <c r="R524" i="15"/>
  <c r="R525" i="15"/>
  <c r="R526" i="15"/>
  <c r="R527" i="15"/>
  <c r="R528" i="15"/>
  <c r="R529" i="15"/>
  <c r="R530" i="15"/>
  <c r="R531" i="15"/>
  <c r="R532" i="15"/>
  <c r="R533" i="15"/>
  <c r="R534" i="15"/>
  <c r="R535" i="15"/>
  <c r="R536" i="15"/>
  <c r="R537" i="15"/>
  <c r="R538" i="15"/>
  <c r="R539" i="15"/>
  <c r="R540" i="15"/>
  <c r="R541" i="15"/>
  <c r="R542" i="15"/>
  <c r="R543" i="15"/>
  <c r="R544" i="15"/>
  <c r="R545" i="15"/>
  <c r="R546" i="15"/>
  <c r="R547" i="15"/>
  <c r="R548" i="15"/>
  <c r="R549" i="15"/>
  <c r="R550" i="15"/>
  <c r="R551" i="15"/>
  <c r="R552" i="15"/>
  <c r="R553" i="15"/>
  <c r="R554" i="15"/>
  <c r="R555" i="15"/>
  <c r="R556" i="15"/>
  <c r="R557" i="15"/>
  <c r="R558" i="15"/>
  <c r="R559" i="15"/>
  <c r="R560" i="15"/>
  <c r="R561" i="15"/>
  <c r="R562" i="15"/>
  <c r="R563" i="15"/>
  <c r="R564" i="15"/>
  <c r="R565" i="15"/>
  <c r="R566" i="15"/>
  <c r="R567" i="15"/>
  <c r="R568" i="15"/>
  <c r="R569" i="15"/>
  <c r="R570" i="15"/>
  <c r="R571" i="15"/>
  <c r="R572" i="15"/>
  <c r="R573" i="15"/>
  <c r="R574" i="15"/>
  <c r="R575" i="15"/>
  <c r="R576" i="15"/>
  <c r="R577" i="15"/>
  <c r="R578" i="15"/>
  <c r="R579" i="15"/>
  <c r="R580" i="15"/>
  <c r="R581" i="15"/>
  <c r="R582" i="15"/>
  <c r="R583" i="15"/>
  <c r="R584" i="15"/>
  <c r="R585" i="15"/>
  <c r="R586" i="15"/>
  <c r="R587" i="15"/>
  <c r="R588" i="15"/>
  <c r="R589" i="15"/>
  <c r="R590" i="15"/>
  <c r="R591" i="15"/>
  <c r="R592" i="15"/>
  <c r="R593" i="15"/>
  <c r="R594" i="15"/>
  <c r="R595" i="15"/>
  <c r="R596" i="15"/>
  <c r="R597" i="15"/>
  <c r="R598" i="15"/>
  <c r="R599" i="15"/>
  <c r="R600" i="15"/>
  <c r="R601" i="15"/>
  <c r="R602" i="15"/>
  <c r="R603" i="15"/>
  <c r="R604" i="15"/>
  <c r="R605" i="15"/>
  <c r="R606" i="15"/>
  <c r="R607" i="15"/>
  <c r="R608" i="15"/>
  <c r="R609" i="15"/>
  <c r="R610" i="15"/>
  <c r="R611" i="15"/>
  <c r="R612" i="15"/>
  <c r="R613" i="15"/>
  <c r="R614" i="15"/>
  <c r="R615" i="15"/>
  <c r="R616" i="15"/>
  <c r="R617" i="15"/>
  <c r="R618" i="15"/>
  <c r="R619" i="15"/>
  <c r="R620" i="15"/>
  <c r="R621" i="15"/>
  <c r="R622" i="15"/>
  <c r="R623" i="15"/>
  <c r="R624" i="15"/>
  <c r="R625" i="15"/>
  <c r="R626" i="15"/>
  <c r="R627" i="15"/>
  <c r="R628" i="15"/>
  <c r="R629" i="15"/>
  <c r="R630" i="15"/>
  <c r="R631" i="15"/>
  <c r="R632" i="15"/>
  <c r="R633" i="15"/>
  <c r="R634" i="15"/>
  <c r="R635" i="15"/>
  <c r="R636" i="15"/>
  <c r="R637" i="15"/>
  <c r="R638" i="15"/>
  <c r="R639" i="15"/>
  <c r="R640" i="15"/>
  <c r="R641" i="15"/>
  <c r="R642" i="15"/>
  <c r="R643" i="15"/>
  <c r="R644" i="15"/>
  <c r="R645" i="15"/>
  <c r="R646" i="15"/>
  <c r="R647" i="15"/>
  <c r="R648" i="15"/>
  <c r="R649" i="15"/>
  <c r="R650" i="15"/>
  <c r="R651" i="15"/>
  <c r="R652" i="15"/>
  <c r="R653" i="15"/>
  <c r="R654" i="15"/>
  <c r="R655" i="15"/>
  <c r="R656" i="15"/>
  <c r="R657" i="15"/>
  <c r="R658" i="15"/>
  <c r="R659" i="15"/>
  <c r="R660" i="15"/>
  <c r="R661" i="15"/>
  <c r="R662" i="15"/>
  <c r="R663" i="15"/>
  <c r="R664" i="15"/>
  <c r="R665" i="15"/>
  <c r="R666" i="15"/>
  <c r="R667" i="15"/>
  <c r="R668" i="15"/>
  <c r="R669" i="15"/>
  <c r="R670" i="15"/>
  <c r="R671" i="15"/>
  <c r="R672" i="15"/>
  <c r="R673" i="15"/>
  <c r="R674" i="15"/>
  <c r="R675" i="15"/>
  <c r="R676" i="15"/>
  <c r="R677" i="15"/>
  <c r="R678" i="15"/>
  <c r="R679" i="15"/>
  <c r="R680" i="15"/>
  <c r="R681" i="15"/>
  <c r="R682" i="15"/>
  <c r="R683" i="15"/>
  <c r="R684" i="15"/>
  <c r="R685" i="15"/>
  <c r="R686" i="15"/>
  <c r="R687" i="15"/>
  <c r="R688" i="15"/>
  <c r="R689" i="15"/>
  <c r="R690" i="15"/>
  <c r="R691" i="15"/>
  <c r="R692" i="15"/>
  <c r="R693" i="15"/>
  <c r="R694" i="15"/>
  <c r="R695" i="15"/>
  <c r="R696" i="15"/>
  <c r="R697" i="15"/>
  <c r="R698" i="15"/>
  <c r="R699" i="15"/>
  <c r="R700" i="15"/>
  <c r="R701" i="15"/>
  <c r="R702" i="15"/>
  <c r="R703" i="15"/>
  <c r="R704" i="15"/>
  <c r="R705" i="15"/>
  <c r="R706" i="15"/>
  <c r="R707" i="15"/>
  <c r="R708" i="15"/>
  <c r="R709" i="15"/>
  <c r="R710" i="15"/>
  <c r="R711" i="15"/>
  <c r="R712" i="15"/>
  <c r="R713" i="15"/>
  <c r="R714" i="15"/>
  <c r="R715" i="15"/>
  <c r="R716" i="15"/>
  <c r="R717" i="15"/>
  <c r="R718" i="15"/>
  <c r="R719" i="15"/>
  <c r="R720" i="15"/>
  <c r="R721" i="15"/>
  <c r="R722" i="15"/>
  <c r="R723" i="15"/>
  <c r="R724" i="15"/>
  <c r="R725" i="15"/>
  <c r="R726" i="15"/>
  <c r="R727" i="15"/>
  <c r="R728" i="15"/>
  <c r="R729" i="15"/>
  <c r="R730" i="15"/>
  <c r="R731" i="15"/>
  <c r="R732" i="15"/>
  <c r="R733" i="15"/>
  <c r="R734" i="15"/>
  <c r="R735" i="15"/>
  <c r="R736" i="15"/>
  <c r="R737" i="15"/>
  <c r="R738" i="15"/>
  <c r="R739" i="15"/>
  <c r="R740" i="15"/>
  <c r="R741" i="15"/>
  <c r="R742" i="15"/>
  <c r="R743" i="15"/>
  <c r="R744" i="15"/>
  <c r="R745" i="15"/>
  <c r="R746" i="15"/>
  <c r="R747" i="15"/>
  <c r="R748" i="15"/>
  <c r="R749" i="15"/>
  <c r="R750" i="15"/>
  <c r="R751" i="15"/>
  <c r="R752" i="15"/>
  <c r="R753" i="15"/>
  <c r="R754" i="15"/>
  <c r="R755" i="15"/>
  <c r="R756" i="15"/>
  <c r="R757" i="15"/>
  <c r="R758" i="15"/>
  <c r="R759" i="15"/>
  <c r="R760" i="15"/>
  <c r="R761" i="15"/>
  <c r="R762" i="15"/>
  <c r="R763" i="15"/>
  <c r="R764" i="15"/>
  <c r="R765" i="15"/>
  <c r="R766" i="15"/>
  <c r="R767" i="15"/>
  <c r="R768" i="15"/>
  <c r="R769" i="15"/>
  <c r="R770" i="15"/>
  <c r="R771" i="15"/>
  <c r="R772" i="15"/>
  <c r="R773" i="15"/>
  <c r="R774" i="15"/>
  <c r="R775" i="15"/>
  <c r="R776" i="15"/>
  <c r="R777" i="15"/>
  <c r="R778" i="15"/>
  <c r="R779" i="15"/>
  <c r="R780" i="15"/>
  <c r="R781" i="15"/>
  <c r="R782" i="15"/>
  <c r="R783" i="15"/>
  <c r="R784" i="15"/>
  <c r="R785" i="15"/>
  <c r="R786" i="15"/>
  <c r="R787" i="15"/>
  <c r="R788" i="15"/>
  <c r="R789" i="15"/>
  <c r="R790" i="15"/>
  <c r="R791" i="15"/>
  <c r="R792" i="15"/>
  <c r="R793" i="15"/>
  <c r="R794" i="15"/>
  <c r="R795" i="15"/>
  <c r="R796" i="15"/>
  <c r="R797" i="15"/>
  <c r="R798" i="15"/>
  <c r="R799" i="15"/>
  <c r="R800" i="15"/>
  <c r="R801" i="15"/>
  <c r="R802" i="15"/>
  <c r="R803" i="15"/>
  <c r="R804" i="15"/>
  <c r="R805" i="15"/>
  <c r="R806" i="15"/>
  <c r="R807" i="15"/>
  <c r="R808" i="15"/>
  <c r="R809" i="15"/>
  <c r="R810" i="15"/>
  <c r="R811" i="15"/>
  <c r="R812" i="15"/>
  <c r="R813" i="15"/>
  <c r="R814" i="15"/>
  <c r="R815" i="15"/>
  <c r="R816" i="15"/>
  <c r="R817" i="15"/>
  <c r="R818" i="15"/>
  <c r="R819" i="15"/>
  <c r="R820" i="15"/>
  <c r="R821" i="15"/>
  <c r="R822" i="15"/>
  <c r="R823" i="15"/>
  <c r="R824" i="15"/>
  <c r="R825" i="15"/>
  <c r="R826" i="15"/>
  <c r="R827" i="15"/>
  <c r="R828" i="15"/>
  <c r="R829" i="15"/>
  <c r="R830" i="15"/>
  <c r="R831" i="15"/>
  <c r="R832" i="15"/>
  <c r="R833" i="15"/>
  <c r="R834" i="15"/>
  <c r="R835" i="15"/>
  <c r="R836" i="15"/>
  <c r="R837" i="15"/>
  <c r="R838" i="15"/>
  <c r="R839" i="15"/>
  <c r="R840" i="15"/>
  <c r="R841" i="15"/>
  <c r="R842" i="15"/>
  <c r="R843" i="15"/>
  <c r="R844" i="15"/>
  <c r="R845" i="15"/>
  <c r="R846" i="15"/>
  <c r="R847" i="15"/>
  <c r="R848" i="15"/>
  <c r="R849" i="15"/>
  <c r="R850" i="15"/>
  <c r="R851" i="15"/>
  <c r="R852" i="15"/>
  <c r="R853" i="15"/>
  <c r="R854" i="15"/>
  <c r="R855" i="15"/>
  <c r="R856" i="15"/>
  <c r="R857" i="15"/>
  <c r="R858" i="15"/>
  <c r="R859" i="15"/>
  <c r="R860" i="15"/>
  <c r="R861" i="15"/>
  <c r="R862" i="15"/>
  <c r="R863" i="15"/>
  <c r="R864" i="15"/>
  <c r="R865" i="15"/>
  <c r="R866" i="15"/>
  <c r="R867" i="15"/>
  <c r="R868" i="15"/>
  <c r="R869" i="15"/>
  <c r="R870" i="15"/>
  <c r="R871" i="15"/>
  <c r="R872" i="15"/>
  <c r="R873" i="15"/>
  <c r="R874" i="15"/>
  <c r="R875" i="15"/>
  <c r="R876" i="15"/>
  <c r="R877" i="15"/>
  <c r="R878" i="15"/>
  <c r="R879" i="15"/>
  <c r="R880" i="15"/>
  <c r="R881" i="15"/>
  <c r="R882" i="15"/>
  <c r="R883" i="15"/>
  <c r="R884" i="15"/>
  <c r="R885" i="15"/>
  <c r="R886" i="15"/>
  <c r="R887" i="15"/>
  <c r="R888" i="15"/>
  <c r="R889" i="15"/>
  <c r="R890" i="15"/>
  <c r="R891" i="15"/>
  <c r="R892" i="15"/>
  <c r="R893" i="15"/>
  <c r="R894" i="15"/>
  <c r="R895" i="15"/>
  <c r="R896" i="15"/>
  <c r="R897" i="15"/>
  <c r="R898" i="15"/>
  <c r="R899" i="15"/>
  <c r="R900" i="15"/>
  <c r="R901" i="15"/>
  <c r="R902" i="15"/>
  <c r="R903" i="15"/>
  <c r="R904" i="15"/>
  <c r="R905" i="15"/>
  <c r="R906" i="15"/>
  <c r="R907" i="15"/>
  <c r="R908" i="15"/>
  <c r="R909" i="15"/>
  <c r="R910" i="15"/>
  <c r="R911" i="15"/>
  <c r="R912" i="15"/>
  <c r="R913" i="15"/>
  <c r="R914" i="15"/>
  <c r="R915" i="15"/>
  <c r="R916" i="15"/>
  <c r="R917" i="15"/>
  <c r="R918" i="15"/>
  <c r="R919" i="15"/>
  <c r="R920" i="15"/>
  <c r="R921" i="15"/>
  <c r="R922" i="15"/>
  <c r="R923" i="15"/>
  <c r="R924" i="15"/>
  <c r="R925" i="15"/>
  <c r="R926" i="15"/>
  <c r="R927" i="15"/>
  <c r="R928" i="15"/>
  <c r="R929" i="15"/>
  <c r="R930" i="15"/>
  <c r="R931" i="15"/>
  <c r="R932" i="15"/>
  <c r="R933" i="15"/>
  <c r="R934" i="15"/>
  <c r="R935" i="15"/>
  <c r="R936" i="15"/>
  <c r="R937" i="15"/>
  <c r="R938" i="15"/>
  <c r="R939" i="15"/>
  <c r="R940" i="15"/>
  <c r="R941" i="15"/>
  <c r="R942" i="15"/>
  <c r="R943" i="15"/>
  <c r="R944" i="15"/>
  <c r="R945" i="15"/>
  <c r="R946" i="15"/>
  <c r="R947" i="15"/>
  <c r="R948" i="15"/>
  <c r="R949" i="15"/>
  <c r="R950" i="15"/>
  <c r="R951" i="15"/>
  <c r="R952" i="15"/>
  <c r="R953" i="15"/>
  <c r="R954" i="15"/>
  <c r="R955" i="15"/>
  <c r="R956" i="15"/>
  <c r="R957" i="15"/>
  <c r="R958" i="15"/>
  <c r="R959" i="15"/>
  <c r="R960" i="15"/>
  <c r="R961" i="15"/>
  <c r="R962" i="15"/>
  <c r="R963" i="15"/>
  <c r="R964" i="15"/>
  <c r="R965" i="15"/>
  <c r="R966" i="15"/>
  <c r="R967" i="15"/>
  <c r="R968" i="15"/>
  <c r="R969" i="15"/>
  <c r="R970" i="15"/>
  <c r="R971" i="15"/>
  <c r="R972" i="15"/>
  <c r="R973" i="15"/>
  <c r="R974" i="15"/>
  <c r="R975" i="15"/>
  <c r="R976" i="15"/>
  <c r="R977" i="15"/>
  <c r="R978" i="15"/>
  <c r="R979" i="15"/>
  <c r="R980" i="15"/>
  <c r="R981" i="15"/>
  <c r="R982" i="15"/>
  <c r="R983" i="15"/>
  <c r="R984" i="15"/>
  <c r="R985" i="15"/>
  <c r="R986" i="15"/>
  <c r="R987" i="15"/>
  <c r="R988" i="15"/>
  <c r="R989" i="15"/>
  <c r="R990" i="15"/>
  <c r="R991" i="15"/>
  <c r="R992" i="15"/>
  <c r="R993" i="15"/>
  <c r="R994" i="15"/>
  <c r="R995" i="15"/>
  <c r="R996" i="15"/>
  <c r="R997" i="15"/>
  <c r="R998" i="15"/>
  <c r="R999" i="15"/>
  <c r="R1000" i="15"/>
  <c r="R1001" i="15"/>
  <c r="R1002" i="15"/>
  <c r="R1003" i="15"/>
  <c r="R1004" i="15"/>
  <c r="R1005" i="15"/>
  <c r="R1006" i="15"/>
  <c r="R1007" i="15"/>
  <c r="R1008" i="15"/>
  <c r="R1009" i="15"/>
  <c r="R1010" i="15"/>
  <c r="R1011" i="15"/>
  <c r="R1012" i="15"/>
  <c r="R1013" i="15"/>
  <c r="R1014" i="15"/>
  <c r="R1015" i="15"/>
  <c r="R1016" i="15"/>
  <c r="R1017" i="15"/>
  <c r="R1018" i="15"/>
  <c r="R1019" i="15"/>
  <c r="R1020" i="15"/>
  <c r="R1021" i="15"/>
  <c r="R1022" i="15"/>
  <c r="R1023" i="15"/>
  <c r="R1024" i="15"/>
  <c r="R1025" i="15"/>
  <c r="R1026" i="15"/>
  <c r="R1027" i="15"/>
  <c r="R1028" i="15"/>
  <c r="R1029" i="15"/>
  <c r="R1030" i="15"/>
  <c r="R1031" i="15"/>
  <c r="R1032" i="15"/>
  <c r="R1033" i="15"/>
  <c r="R1034" i="15"/>
  <c r="R1035" i="15"/>
  <c r="R1036" i="15"/>
  <c r="R1037" i="15"/>
  <c r="R1038" i="15"/>
  <c r="R1039" i="15"/>
  <c r="R1040" i="15"/>
  <c r="R1041" i="15"/>
  <c r="R1042" i="15"/>
  <c r="R1043" i="15"/>
  <c r="R1044" i="15"/>
  <c r="R1045" i="15"/>
  <c r="R1046" i="15"/>
  <c r="R1047" i="15"/>
  <c r="R1048" i="15"/>
  <c r="R1049" i="15"/>
  <c r="R1050" i="15"/>
  <c r="R1051" i="15"/>
  <c r="R1052" i="15"/>
  <c r="R1053" i="15"/>
  <c r="R1054" i="15"/>
  <c r="R1055" i="15"/>
  <c r="R1056" i="15"/>
  <c r="R1057" i="15"/>
  <c r="R1058" i="15"/>
  <c r="R1059" i="15"/>
  <c r="R1060" i="15"/>
  <c r="R1061" i="15"/>
  <c r="R1062" i="15"/>
  <c r="R1063" i="15"/>
  <c r="R1064" i="15"/>
  <c r="R1065" i="15"/>
  <c r="R1066" i="15"/>
  <c r="R1067" i="15"/>
  <c r="R1068" i="15"/>
  <c r="R1069" i="15"/>
  <c r="R1070" i="15"/>
  <c r="R1071" i="15"/>
  <c r="R1072" i="15"/>
  <c r="R1073" i="15"/>
  <c r="R1074" i="15"/>
  <c r="R1075" i="15"/>
  <c r="R1076" i="15"/>
  <c r="R1077" i="15"/>
  <c r="R1078" i="15"/>
  <c r="R1079" i="15"/>
  <c r="R1080" i="15"/>
  <c r="R1081" i="15"/>
  <c r="R1082" i="15"/>
  <c r="R1083" i="15"/>
  <c r="R1084" i="15"/>
  <c r="R1085" i="15"/>
  <c r="R1086" i="15"/>
  <c r="R1087" i="15"/>
  <c r="R1088" i="15"/>
  <c r="R1089" i="15"/>
  <c r="R1090" i="15"/>
  <c r="R1091" i="15"/>
  <c r="R1092" i="15"/>
  <c r="R1093" i="15"/>
  <c r="R1094" i="15"/>
  <c r="R1095" i="15"/>
  <c r="R1096" i="15"/>
  <c r="R1097" i="15"/>
  <c r="R1098" i="15"/>
  <c r="R1099" i="15"/>
  <c r="R1100" i="15"/>
  <c r="R1101" i="15"/>
  <c r="R1102" i="15"/>
  <c r="R1103" i="15"/>
  <c r="R1104" i="15"/>
  <c r="R1105" i="15"/>
  <c r="R1106" i="15"/>
  <c r="R1107" i="15"/>
  <c r="R1108" i="15"/>
  <c r="R1109" i="15"/>
  <c r="R1110" i="15"/>
  <c r="R1111" i="15"/>
  <c r="R1112" i="15"/>
  <c r="R1113" i="15"/>
  <c r="R1114" i="15"/>
  <c r="R1115" i="15"/>
  <c r="R1116" i="15"/>
  <c r="R1117" i="15"/>
  <c r="R1118" i="15"/>
  <c r="R1119" i="15"/>
  <c r="R1120" i="15"/>
  <c r="R1121" i="15"/>
  <c r="R1122" i="15"/>
  <c r="R1123" i="15"/>
  <c r="R1124" i="15"/>
  <c r="R1125" i="15"/>
  <c r="R1126" i="15"/>
  <c r="R1127" i="15"/>
  <c r="R1128" i="15"/>
  <c r="R1129" i="15"/>
  <c r="R1130" i="15"/>
  <c r="R1131" i="15"/>
  <c r="R1132" i="15"/>
  <c r="R1133" i="15"/>
  <c r="R1134" i="15"/>
  <c r="R1135" i="15"/>
  <c r="R1136" i="15"/>
  <c r="R1137" i="15"/>
  <c r="R1138" i="15"/>
  <c r="R1139" i="15"/>
  <c r="R1140" i="15"/>
  <c r="R1141" i="15"/>
  <c r="R1142" i="15"/>
  <c r="R1143" i="15"/>
  <c r="R1144" i="15"/>
  <c r="R1145" i="15"/>
  <c r="R1146" i="15"/>
  <c r="R1147" i="15"/>
  <c r="R1148" i="15"/>
  <c r="R1149" i="15"/>
  <c r="R1150" i="15"/>
  <c r="R1151" i="15"/>
  <c r="R1152" i="15"/>
  <c r="R1153" i="15"/>
  <c r="R1154" i="15"/>
  <c r="R1155" i="15"/>
  <c r="R1156" i="15"/>
  <c r="R1157" i="15"/>
  <c r="R1158" i="15"/>
  <c r="R1159" i="15"/>
  <c r="R1160" i="15"/>
  <c r="R1161" i="15"/>
  <c r="R1162" i="15"/>
  <c r="R1163" i="15"/>
  <c r="R1164" i="15"/>
  <c r="R1165" i="15"/>
  <c r="R1166" i="15"/>
  <c r="R1167" i="15"/>
  <c r="R1168" i="15"/>
  <c r="R1169" i="15"/>
  <c r="R1170" i="15"/>
  <c r="R1171" i="15"/>
  <c r="R1172" i="15"/>
  <c r="R1173" i="15"/>
  <c r="R1174" i="15"/>
  <c r="R1175" i="15"/>
  <c r="R1176" i="15"/>
  <c r="R1177" i="15"/>
  <c r="R1178" i="15"/>
  <c r="R1179" i="15"/>
  <c r="R1180" i="15"/>
  <c r="R1181" i="15"/>
  <c r="R1182" i="15"/>
  <c r="R1183" i="15"/>
  <c r="R1184" i="15"/>
  <c r="R1185" i="15"/>
  <c r="R1186" i="15"/>
  <c r="R1187" i="15"/>
  <c r="R1188" i="15"/>
  <c r="R1189" i="15"/>
  <c r="R1190" i="15"/>
  <c r="R1191" i="15"/>
  <c r="R1192" i="15"/>
  <c r="R1193" i="15"/>
  <c r="R1194" i="15"/>
  <c r="R1195" i="15"/>
  <c r="R1196" i="15"/>
  <c r="R1197" i="15"/>
  <c r="R1198" i="15"/>
  <c r="R1199" i="15"/>
  <c r="R1200" i="15"/>
  <c r="R1201" i="15"/>
  <c r="R1202" i="15"/>
  <c r="R1203" i="15"/>
  <c r="R1204" i="15"/>
  <c r="R1205" i="15"/>
  <c r="R1206" i="15"/>
  <c r="R1207" i="15"/>
  <c r="R1208" i="15"/>
  <c r="R1209" i="15"/>
  <c r="R1210" i="15"/>
  <c r="R1211" i="15"/>
  <c r="R1212" i="15"/>
  <c r="R1213" i="15"/>
  <c r="R1214" i="15"/>
  <c r="R1215" i="15"/>
  <c r="R1216" i="15"/>
  <c r="R1217" i="15"/>
  <c r="R1218" i="15"/>
  <c r="R1219" i="15"/>
  <c r="R1220" i="15"/>
  <c r="R1221" i="15"/>
  <c r="R1222" i="15"/>
  <c r="R1223" i="15"/>
  <c r="R1224" i="15"/>
  <c r="R1225" i="15"/>
  <c r="R1226" i="15"/>
  <c r="R1227" i="15"/>
  <c r="R1228" i="15"/>
  <c r="R1229" i="15"/>
  <c r="R1230" i="15"/>
  <c r="R1231" i="15"/>
  <c r="R1232" i="15"/>
  <c r="R1233" i="15"/>
  <c r="R1234" i="15"/>
  <c r="R1235" i="15"/>
  <c r="R1236" i="15"/>
  <c r="R1237" i="15"/>
  <c r="R1238" i="15"/>
  <c r="R1239" i="15"/>
  <c r="R1240" i="15"/>
  <c r="R1241" i="15"/>
  <c r="R1242" i="15"/>
  <c r="R1243" i="15"/>
  <c r="R1244" i="15"/>
  <c r="R1245" i="15"/>
  <c r="R1246" i="15"/>
  <c r="R1247" i="15"/>
  <c r="R1248" i="15"/>
  <c r="R1249" i="15"/>
  <c r="R1250" i="15"/>
  <c r="R1251" i="15"/>
  <c r="R1252" i="15"/>
  <c r="R1253" i="15"/>
  <c r="R1254" i="15"/>
  <c r="R1255" i="15"/>
  <c r="R1256" i="15"/>
  <c r="R1257" i="15"/>
  <c r="R1258" i="15"/>
  <c r="R1259" i="15"/>
  <c r="R1260" i="15"/>
  <c r="R1261" i="15"/>
  <c r="R1262" i="15"/>
  <c r="R1263" i="15"/>
  <c r="R1264" i="15"/>
  <c r="R1265" i="15"/>
  <c r="R1266" i="15"/>
  <c r="R1267" i="15"/>
  <c r="R1268" i="15"/>
  <c r="R1269" i="15"/>
  <c r="R1270" i="15"/>
  <c r="R1271" i="15"/>
  <c r="R1272" i="15"/>
  <c r="R1273" i="15"/>
  <c r="R1274" i="15"/>
  <c r="R1275" i="15"/>
  <c r="R1276" i="15"/>
  <c r="R1277" i="15"/>
  <c r="R1278" i="15"/>
  <c r="R1279" i="15"/>
  <c r="R1280" i="15"/>
  <c r="R1281" i="15"/>
  <c r="R1282" i="15"/>
  <c r="R1283" i="15"/>
  <c r="R1284" i="15"/>
  <c r="R1285" i="15"/>
  <c r="R1286" i="15"/>
  <c r="R1287" i="15"/>
  <c r="R1288" i="15"/>
  <c r="R1289" i="15"/>
  <c r="R1290" i="15"/>
  <c r="R1291" i="15"/>
  <c r="R1292" i="15"/>
  <c r="R1293" i="15"/>
  <c r="R1294" i="15"/>
  <c r="R1295" i="15"/>
  <c r="R1296" i="15"/>
  <c r="R1297" i="15"/>
  <c r="R1298" i="15"/>
  <c r="R1299" i="15"/>
  <c r="R1300" i="15"/>
  <c r="R1301" i="15"/>
  <c r="R1302" i="15"/>
  <c r="R1303" i="15"/>
  <c r="R1304" i="15"/>
  <c r="R1305" i="15"/>
  <c r="R1306" i="15"/>
  <c r="R1307" i="15"/>
  <c r="R1308" i="15"/>
  <c r="R1309" i="15"/>
  <c r="R1310" i="15"/>
  <c r="R1311" i="15"/>
  <c r="R1312" i="15"/>
  <c r="R1313" i="15"/>
  <c r="R1314" i="15"/>
  <c r="R1315" i="15"/>
  <c r="R1316" i="15"/>
  <c r="R1317" i="15"/>
  <c r="R1318" i="15"/>
  <c r="R1319" i="15"/>
  <c r="R1320" i="15"/>
  <c r="R1321" i="15"/>
  <c r="R1322" i="15"/>
  <c r="R1323" i="15"/>
  <c r="R1324" i="15"/>
  <c r="R1325" i="15"/>
  <c r="R1326" i="15"/>
  <c r="R1327" i="15"/>
  <c r="R1328" i="15"/>
  <c r="R1329" i="15"/>
  <c r="R1330" i="15"/>
  <c r="R1331" i="15"/>
  <c r="R1332" i="15"/>
  <c r="R1333" i="15"/>
  <c r="R1334" i="15"/>
  <c r="R1335" i="15"/>
  <c r="R1336" i="15"/>
  <c r="R1337" i="15"/>
  <c r="R1338" i="15"/>
  <c r="R1339" i="15"/>
  <c r="R1340" i="15"/>
  <c r="R1341" i="15"/>
  <c r="R1342" i="15"/>
  <c r="R1343" i="15"/>
  <c r="R1344" i="15"/>
  <c r="R1345" i="15"/>
  <c r="R1346" i="15"/>
  <c r="R1347" i="15"/>
  <c r="R1348" i="15"/>
  <c r="R1349" i="15"/>
  <c r="R1350" i="15"/>
  <c r="R1351" i="15"/>
  <c r="R1352" i="15"/>
  <c r="R1353" i="15"/>
  <c r="R1354" i="15"/>
  <c r="R1355" i="15"/>
  <c r="R1356" i="15"/>
  <c r="R1357" i="15"/>
  <c r="R1358" i="15"/>
  <c r="R1359" i="15"/>
  <c r="R1360" i="15"/>
  <c r="R1361" i="15"/>
  <c r="R1362" i="15"/>
  <c r="R1363" i="15"/>
  <c r="R1364" i="15"/>
  <c r="R1365" i="15"/>
  <c r="R1366" i="15"/>
  <c r="R1367" i="15"/>
  <c r="R1368" i="15"/>
  <c r="R1369" i="15"/>
  <c r="R1370" i="15"/>
  <c r="R1371" i="15"/>
  <c r="R1372" i="15"/>
  <c r="R1373" i="15"/>
  <c r="R1374" i="15"/>
  <c r="R1375" i="15"/>
  <c r="R1376" i="15"/>
  <c r="R1377" i="15"/>
  <c r="R1378" i="15"/>
  <c r="R1379" i="15"/>
  <c r="R1380" i="15"/>
  <c r="R1381" i="15"/>
  <c r="R1382" i="15"/>
  <c r="R1383" i="15"/>
  <c r="R1384" i="15"/>
  <c r="R1385" i="15"/>
  <c r="R1386" i="15"/>
  <c r="R1387" i="15"/>
  <c r="R1388" i="15"/>
  <c r="R1389" i="15"/>
  <c r="R1390" i="15"/>
  <c r="R1391" i="15"/>
  <c r="R1392" i="15"/>
  <c r="R1393" i="15"/>
  <c r="R1394" i="15"/>
  <c r="R1395" i="15"/>
  <c r="R1396" i="15"/>
  <c r="R1397" i="15"/>
  <c r="R1398" i="15"/>
  <c r="R1399" i="15"/>
  <c r="R1400" i="15"/>
  <c r="R1401" i="15"/>
  <c r="R1402" i="15"/>
  <c r="R1403" i="15"/>
  <c r="R1404" i="15"/>
  <c r="R1405" i="15"/>
  <c r="R1406" i="15"/>
  <c r="R1407" i="15"/>
  <c r="R1408" i="15"/>
  <c r="R1409" i="15"/>
  <c r="R1410" i="15"/>
  <c r="R1411" i="15"/>
  <c r="R1412" i="15"/>
  <c r="R1413" i="15"/>
  <c r="R1414" i="15"/>
  <c r="R1415" i="15"/>
  <c r="R1416" i="15"/>
  <c r="R1417" i="15"/>
  <c r="R1418" i="15"/>
  <c r="R1419" i="15"/>
  <c r="R1420" i="15"/>
  <c r="R1421" i="15"/>
  <c r="R1422" i="15"/>
  <c r="R1423" i="15"/>
  <c r="R1424" i="15"/>
  <c r="R1425" i="15"/>
  <c r="R1426" i="15"/>
  <c r="R1427" i="15"/>
  <c r="R1428" i="15"/>
  <c r="R1429" i="15"/>
  <c r="R1430" i="15"/>
  <c r="R1431" i="15"/>
  <c r="R1432" i="15"/>
  <c r="R1433" i="15"/>
  <c r="R1434" i="15"/>
  <c r="R1435" i="15"/>
  <c r="R1436" i="15"/>
  <c r="R1437" i="15"/>
  <c r="R1438" i="15"/>
  <c r="R1439" i="15"/>
  <c r="R1440" i="15"/>
  <c r="R1441" i="15"/>
  <c r="R1442" i="15"/>
  <c r="R1443" i="15"/>
  <c r="R1444" i="15"/>
  <c r="R1445" i="15"/>
  <c r="R1446" i="15"/>
  <c r="R1447" i="15"/>
  <c r="R1448" i="15"/>
  <c r="R1449" i="15"/>
  <c r="R1450" i="15"/>
  <c r="R1451" i="15"/>
  <c r="R1452" i="15"/>
  <c r="R1453" i="15"/>
  <c r="R1454" i="15"/>
  <c r="R1455" i="15"/>
  <c r="R1456" i="15"/>
  <c r="R1457" i="15"/>
  <c r="R1458" i="15"/>
  <c r="R1459" i="15"/>
  <c r="R1460" i="15"/>
  <c r="R1461" i="15"/>
  <c r="R1462" i="15"/>
  <c r="R1463" i="15"/>
  <c r="R1464" i="15"/>
  <c r="R1465" i="15"/>
  <c r="R1466" i="15"/>
  <c r="R1467" i="15"/>
  <c r="R1468" i="15"/>
  <c r="R1469" i="15"/>
  <c r="R1470" i="15"/>
  <c r="R1471" i="15"/>
  <c r="R1472" i="15"/>
  <c r="R1473" i="15"/>
  <c r="R1474" i="15"/>
  <c r="R1475" i="15"/>
  <c r="R1476" i="15"/>
  <c r="R1477" i="15"/>
  <c r="R1478" i="15"/>
  <c r="R1479" i="15"/>
  <c r="R1480" i="15"/>
  <c r="R1481" i="15"/>
  <c r="R1482" i="15"/>
  <c r="R1483" i="15"/>
  <c r="R1484" i="15"/>
  <c r="R1485" i="15"/>
  <c r="R1486" i="15"/>
  <c r="R1487" i="15"/>
  <c r="R1488" i="15"/>
  <c r="R1489" i="15"/>
  <c r="R1490" i="15"/>
  <c r="R1491" i="15"/>
  <c r="R1492" i="15"/>
  <c r="R1493" i="15"/>
  <c r="R1494" i="15"/>
  <c r="R1495" i="15"/>
  <c r="R1496" i="15"/>
  <c r="R1497" i="15"/>
  <c r="R1498" i="15"/>
  <c r="R1499" i="15"/>
  <c r="R1500" i="15"/>
  <c r="R1501" i="15"/>
  <c r="R1502" i="15"/>
  <c r="R1503" i="15"/>
  <c r="R1504" i="15"/>
  <c r="R1505" i="15"/>
  <c r="R1506" i="15"/>
  <c r="R1507" i="15"/>
  <c r="R1508" i="15"/>
  <c r="R1509" i="15"/>
  <c r="R1510" i="15"/>
  <c r="R1511" i="15"/>
  <c r="R1512" i="15"/>
  <c r="R1513" i="15"/>
  <c r="R1514" i="15"/>
  <c r="R1515" i="15"/>
  <c r="R1516" i="15"/>
  <c r="R1517" i="15"/>
  <c r="R1518" i="15"/>
  <c r="R1519" i="15"/>
  <c r="R1520" i="15"/>
  <c r="R1521" i="15"/>
  <c r="R1522" i="15"/>
  <c r="R1523" i="15"/>
  <c r="R1524" i="15"/>
  <c r="R1525" i="15"/>
  <c r="R1526" i="15"/>
  <c r="R1527" i="15"/>
  <c r="R1528" i="15"/>
  <c r="R1529" i="15"/>
  <c r="R1530" i="15"/>
  <c r="R1531" i="15"/>
  <c r="R1532" i="15"/>
  <c r="R1533" i="15"/>
  <c r="R1534" i="15"/>
  <c r="R1535" i="15"/>
  <c r="R1536" i="15"/>
  <c r="R1537" i="15"/>
  <c r="R1538" i="15"/>
  <c r="R1539" i="15"/>
  <c r="R1540" i="15"/>
  <c r="R1541" i="15"/>
  <c r="R1542" i="15"/>
  <c r="R1543" i="15"/>
  <c r="R1544" i="15"/>
  <c r="R1545" i="15"/>
  <c r="R1546" i="15"/>
  <c r="R1547" i="15"/>
  <c r="R1548" i="15"/>
  <c r="R1549" i="15"/>
  <c r="R1550" i="15"/>
  <c r="R1551" i="15"/>
  <c r="R1552" i="15"/>
  <c r="R1553" i="15"/>
  <c r="R1554" i="15"/>
  <c r="R1555" i="15"/>
  <c r="R1556" i="15"/>
  <c r="R1557" i="15"/>
  <c r="R1558" i="15"/>
  <c r="R1559" i="15"/>
  <c r="R1560" i="15"/>
  <c r="R1561" i="15"/>
  <c r="R1562" i="15"/>
  <c r="R1563" i="15"/>
  <c r="R1564" i="15"/>
  <c r="R1565" i="15"/>
  <c r="R1566" i="15"/>
  <c r="R1567" i="15"/>
  <c r="R1568" i="15"/>
  <c r="R1569" i="15"/>
  <c r="R1570" i="15"/>
  <c r="R1571" i="15"/>
  <c r="R1572" i="15"/>
  <c r="R1573" i="15"/>
  <c r="R1574" i="15"/>
  <c r="R1575" i="15"/>
  <c r="R1576" i="15"/>
  <c r="R1577" i="15"/>
  <c r="R1578" i="15"/>
  <c r="R1579" i="15"/>
  <c r="R1580" i="15"/>
  <c r="R1581" i="15"/>
  <c r="R1582" i="15"/>
  <c r="R1583" i="15"/>
  <c r="R1584" i="15"/>
  <c r="R1585" i="15"/>
  <c r="R1586" i="15"/>
  <c r="R1587" i="15"/>
  <c r="R1588" i="15"/>
  <c r="R1589" i="15"/>
  <c r="R1590" i="15"/>
  <c r="R1591" i="15"/>
  <c r="R1592" i="15"/>
  <c r="R1593" i="15"/>
  <c r="R1594" i="15"/>
  <c r="R1595" i="15"/>
  <c r="R1596" i="15"/>
  <c r="R1597" i="15"/>
  <c r="R1598" i="15"/>
  <c r="R1599" i="15"/>
  <c r="R1600" i="15"/>
  <c r="R1601" i="15"/>
  <c r="R1602" i="15"/>
  <c r="R1603" i="15"/>
  <c r="R1604" i="15"/>
  <c r="R1605" i="15"/>
  <c r="R1606" i="15"/>
  <c r="R1607" i="15"/>
  <c r="R1608" i="15"/>
  <c r="R1609" i="15"/>
  <c r="R1610" i="15"/>
  <c r="R1611" i="15"/>
  <c r="R1612" i="15"/>
  <c r="Q3" i="15"/>
  <c r="Q4" i="15"/>
  <c r="Q5" i="15"/>
  <c r="Q6" i="15"/>
  <c r="Q7" i="15"/>
  <c r="Q8" i="15"/>
  <c r="Q9" i="15"/>
  <c r="Q10" i="15"/>
  <c r="Q11" i="15"/>
  <c r="Q12"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Q430" i="15"/>
  <c r="Q431" i="15"/>
  <c r="Q432" i="15"/>
  <c r="Q433" i="15"/>
  <c r="Q434" i="15"/>
  <c r="Q435" i="15"/>
  <c r="Q436" i="15"/>
  <c r="Q437" i="15"/>
  <c r="Q438" i="15"/>
  <c r="Q439" i="15"/>
  <c r="Q440" i="15"/>
  <c r="Q441" i="15"/>
  <c r="Q442" i="15"/>
  <c r="Q443" i="15"/>
  <c r="Q444" i="15"/>
  <c r="Q445" i="15"/>
  <c r="Q446" i="15"/>
  <c r="Q447" i="15"/>
  <c r="Q448" i="15"/>
  <c r="Q449" i="15"/>
  <c r="Q450" i="15"/>
  <c r="Q451" i="15"/>
  <c r="Q452" i="15"/>
  <c r="Q453" i="15"/>
  <c r="Q454" i="15"/>
  <c r="Q455" i="15"/>
  <c r="Q456" i="15"/>
  <c r="Q457" i="15"/>
  <c r="Q458" i="15"/>
  <c r="Q459" i="15"/>
  <c r="Q460" i="15"/>
  <c r="Q461" i="15"/>
  <c r="Q462" i="15"/>
  <c r="Q463" i="15"/>
  <c r="Q464" i="15"/>
  <c r="Q465" i="15"/>
  <c r="Q466" i="15"/>
  <c r="Q467" i="15"/>
  <c r="Q468" i="15"/>
  <c r="Q469" i="15"/>
  <c r="Q470" i="15"/>
  <c r="Q471" i="15"/>
  <c r="Q472" i="15"/>
  <c r="Q473" i="15"/>
  <c r="Q474" i="15"/>
  <c r="Q475" i="15"/>
  <c r="Q476" i="15"/>
  <c r="Q477" i="15"/>
  <c r="Q478" i="15"/>
  <c r="Q479" i="15"/>
  <c r="Q480" i="15"/>
  <c r="Q481" i="15"/>
  <c r="Q482" i="15"/>
  <c r="Q483" i="15"/>
  <c r="Q484" i="15"/>
  <c r="Q485" i="15"/>
  <c r="Q486" i="15"/>
  <c r="Q487" i="15"/>
  <c r="Q488" i="15"/>
  <c r="Q489" i="15"/>
  <c r="Q490" i="15"/>
  <c r="Q491" i="15"/>
  <c r="Q492" i="15"/>
  <c r="Q493" i="15"/>
  <c r="Q494" i="15"/>
  <c r="Q495" i="15"/>
  <c r="Q496" i="15"/>
  <c r="Q497" i="15"/>
  <c r="Q498" i="15"/>
  <c r="Q499" i="15"/>
  <c r="Q500" i="15"/>
  <c r="Q501" i="15"/>
  <c r="Q502" i="15"/>
  <c r="Q503" i="15"/>
  <c r="Q504" i="15"/>
  <c r="Q505" i="15"/>
  <c r="Q506" i="15"/>
  <c r="Q507" i="15"/>
  <c r="Q508" i="15"/>
  <c r="Q509" i="15"/>
  <c r="Q510" i="15"/>
  <c r="Q511" i="15"/>
  <c r="Q512" i="15"/>
  <c r="Q513" i="15"/>
  <c r="Q514" i="15"/>
  <c r="Q515" i="15"/>
  <c r="Q516" i="15"/>
  <c r="Q517" i="15"/>
  <c r="Q518" i="15"/>
  <c r="Q519" i="15"/>
  <c r="Q520" i="15"/>
  <c r="Q521" i="15"/>
  <c r="Q522" i="15"/>
  <c r="Q523" i="15"/>
  <c r="Q524" i="15"/>
  <c r="Q525" i="15"/>
  <c r="Q526" i="15"/>
  <c r="Q527" i="15"/>
  <c r="Q528" i="15"/>
  <c r="Q529" i="15"/>
  <c r="Q530" i="15"/>
  <c r="Q531" i="15"/>
  <c r="Q532" i="15"/>
  <c r="Q533" i="15"/>
  <c r="Q534" i="15"/>
  <c r="Q535" i="15"/>
  <c r="Q536" i="15"/>
  <c r="Q537" i="15"/>
  <c r="Q538" i="15"/>
  <c r="Q539" i="15"/>
  <c r="Q540" i="15"/>
  <c r="Q541" i="15"/>
  <c r="Q542" i="15"/>
  <c r="Q543" i="15"/>
  <c r="Q544" i="15"/>
  <c r="Q545" i="15"/>
  <c r="Q546" i="15"/>
  <c r="Q547" i="15"/>
  <c r="Q548" i="15"/>
  <c r="Q549" i="15"/>
  <c r="Q550" i="15"/>
  <c r="Q551" i="15"/>
  <c r="Q552" i="15"/>
  <c r="Q553" i="15"/>
  <c r="Q554" i="15"/>
  <c r="Q555" i="15"/>
  <c r="Q556" i="15"/>
  <c r="Q557" i="15"/>
  <c r="Q558" i="15"/>
  <c r="Q559" i="15"/>
  <c r="Q560" i="15"/>
  <c r="Q561" i="15"/>
  <c r="Q562" i="15"/>
  <c r="Q563" i="15"/>
  <c r="Q564" i="15"/>
  <c r="Q565" i="15"/>
  <c r="Q566" i="15"/>
  <c r="Q567" i="15"/>
  <c r="Q568" i="15"/>
  <c r="Q569" i="15"/>
  <c r="Q570" i="15"/>
  <c r="Q571" i="15"/>
  <c r="Q572" i="15"/>
  <c r="Q573" i="15"/>
  <c r="Q574" i="15"/>
  <c r="Q575" i="15"/>
  <c r="Q576" i="15"/>
  <c r="Q577" i="15"/>
  <c r="Q578" i="15"/>
  <c r="Q579" i="15"/>
  <c r="Q580" i="15"/>
  <c r="Q581" i="15"/>
  <c r="Q582" i="15"/>
  <c r="Q583" i="15"/>
  <c r="Q584" i="15"/>
  <c r="Q585" i="15"/>
  <c r="Q586" i="15"/>
  <c r="Q587" i="15"/>
  <c r="Q588" i="15"/>
  <c r="Q589" i="15"/>
  <c r="Q590" i="15"/>
  <c r="Q591" i="15"/>
  <c r="Q592" i="15"/>
  <c r="Q593" i="15"/>
  <c r="Q594" i="15"/>
  <c r="Q595" i="15"/>
  <c r="Q596" i="15"/>
  <c r="Q597" i="15"/>
  <c r="Q598" i="15"/>
  <c r="Q599" i="15"/>
  <c r="Q600" i="15"/>
  <c r="Q601" i="15"/>
  <c r="Q602" i="15"/>
  <c r="Q603" i="15"/>
  <c r="Q604" i="15"/>
  <c r="Q605" i="15"/>
  <c r="Q606" i="15"/>
  <c r="Q607" i="15"/>
  <c r="Q608" i="15"/>
  <c r="Q609" i="15"/>
  <c r="Q610" i="15"/>
  <c r="Q611" i="15"/>
  <c r="Q612" i="15"/>
  <c r="Q613" i="15"/>
  <c r="Q614" i="15"/>
  <c r="Q615" i="15"/>
  <c r="Q616" i="15"/>
  <c r="Q617" i="15"/>
  <c r="Q618" i="15"/>
  <c r="Q619" i="15"/>
  <c r="Q620" i="15"/>
  <c r="Q621" i="15"/>
  <c r="Q622" i="15"/>
  <c r="Q623" i="15"/>
  <c r="Q624" i="15"/>
  <c r="Q625" i="15"/>
  <c r="Q626" i="15"/>
  <c r="Q627" i="15"/>
  <c r="Q628" i="15"/>
  <c r="Q629" i="15"/>
  <c r="Q630" i="15"/>
  <c r="Q631" i="15"/>
  <c r="Q632" i="15"/>
  <c r="Q633" i="15"/>
  <c r="Q634" i="15"/>
  <c r="Q635" i="15"/>
  <c r="Q636" i="15"/>
  <c r="Q637" i="15"/>
  <c r="Q638" i="15"/>
  <c r="Q639" i="15"/>
  <c r="Q640" i="15"/>
  <c r="Q641" i="15"/>
  <c r="Q642" i="15"/>
  <c r="Q643" i="15"/>
  <c r="Q644" i="15"/>
  <c r="Q645" i="15"/>
  <c r="Q646" i="15"/>
  <c r="Q647" i="15"/>
  <c r="Q648" i="15"/>
  <c r="Q649" i="15"/>
  <c r="Q650" i="15"/>
  <c r="Q651" i="15"/>
  <c r="Q652" i="15"/>
  <c r="Q653" i="15"/>
  <c r="Q654" i="15"/>
  <c r="Q655" i="15"/>
  <c r="Q656" i="15"/>
  <c r="Q657" i="15"/>
  <c r="Q658" i="15"/>
  <c r="Q659" i="15"/>
  <c r="Q660" i="15"/>
  <c r="Q661" i="15"/>
  <c r="Q662" i="15"/>
  <c r="Q663" i="15"/>
  <c r="Q664" i="15"/>
  <c r="Q665" i="15"/>
  <c r="Q666" i="15"/>
  <c r="Q667" i="15"/>
  <c r="Q668" i="15"/>
  <c r="Q669" i="15"/>
  <c r="Q670" i="15"/>
  <c r="Q671" i="15"/>
  <c r="Q672" i="15"/>
  <c r="Q673" i="15"/>
  <c r="Q674" i="15"/>
  <c r="Q675" i="15"/>
  <c r="Q676" i="15"/>
  <c r="Q677" i="15"/>
  <c r="Q678" i="15"/>
  <c r="Q679" i="15"/>
  <c r="Q680" i="15"/>
  <c r="Q681" i="15"/>
  <c r="Q682" i="15"/>
  <c r="Q683" i="15"/>
  <c r="Q684" i="15"/>
  <c r="Q685" i="15"/>
  <c r="Q686" i="15"/>
  <c r="Q687" i="15"/>
  <c r="Q688" i="15"/>
  <c r="Q689" i="15"/>
  <c r="Q690" i="15"/>
  <c r="Q691" i="15"/>
  <c r="Q692" i="15"/>
  <c r="Q693" i="15"/>
  <c r="Q694" i="15"/>
  <c r="Q695" i="15"/>
  <c r="Q696" i="15"/>
  <c r="Q697" i="15"/>
  <c r="Q698" i="15"/>
  <c r="Q699" i="15"/>
  <c r="Q700" i="15"/>
  <c r="Q701" i="15"/>
  <c r="Q702" i="15"/>
  <c r="Q703" i="15"/>
  <c r="Q704" i="15"/>
  <c r="Q705" i="15"/>
  <c r="Q706" i="15"/>
  <c r="Q707" i="15"/>
  <c r="Q708" i="15"/>
  <c r="Q709" i="15"/>
  <c r="Q710" i="15"/>
  <c r="Q711" i="15"/>
  <c r="Q712" i="15"/>
  <c r="Q713" i="15"/>
  <c r="Q714" i="15"/>
  <c r="Q715" i="15"/>
  <c r="Q716" i="15"/>
  <c r="Q717" i="15"/>
  <c r="Q718" i="15"/>
  <c r="Q719" i="15"/>
  <c r="Q720" i="15"/>
  <c r="Q721" i="15"/>
  <c r="Q722" i="15"/>
  <c r="Q723" i="15"/>
  <c r="Q724" i="15"/>
  <c r="Q725" i="15"/>
  <c r="Q726" i="15"/>
  <c r="Q727" i="15"/>
  <c r="Q728" i="15"/>
  <c r="Q729" i="15"/>
  <c r="Q730" i="15"/>
  <c r="Q731" i="15"/>
  <c r="Q732" i="15"/>
  <c r="Q733" i="15"/>
  <c r="Q734" i="15"/>
  <c r="Q735" i="15"/>
  <c r="Q736" i="15"/>
  <c r="Q737" i="15"/>
  <c r="Q738" i="15"/>
  <c r="Q739" i="15"/>
  <c r="Q740" i="15"/>
  <c r="Q741" i="15"/>
  <c r="Q742" i="15"/>
  <c r="Q743" i="15"/>
  <c r="Q744" i="15"/>
  <c r="Q745" i="15"/>
  <c r="Q746" i="15"/>
  <c r="Q747" i="15"/>
  <c r="Q748" i="15"/>
  <c r="Q749" i="15"/>
  <c r="Q750" i="15"/>
  <c r="Q751" i="15"/>
  <c r="Q752" i="15"/>
  <c r="Q753" i="15"/>
  <c r="Q754" i="15"/>
  <c r="Q755" i="15"/>
  <c r="Q756" i="15"/>
  <c r="Q757" i="15"/>
  <c r="Q758" i="15"/>
  <c r="Q759" i="15"/>
  <c r="Q760" i="15"/>
  <c r="Q761" i="15"/>
  <c r="Q762" i="15"/>
  <c r="Q763" i="15"/>
  <c r="Q764" i="15"/>
  <c r="Q765" i="15"/>
  <c r="Q766" i="15"/>
  <c r="Q767" i="15"/>
  <c r="Q768" i="15"/>
  <c r="Q769" i="15"/>
  <c r="Q770" i="15"/>
  <c r="Q771" i="15"/>
  <c r="Q772" i="15"/>
  <c r="Q773" i="15"/>
  <c r="Q774" i="15"/>
  <c r="Q775" i="15"/>
  <c r="Q776" i="15"/>
  <c r="Q777" i="15"/>
  <c r="Q778" i="15"/>
  <c r="Q779" i="15"/>
  <c r="Q780" i="15"/>
  <c r="Q781" i="15"/>
  <c r="Q782" i="15"/>
  <c r="Q783" i="15"/>
  <c r="Q784" i="15"/>
  <c r="Q785" i="15"/>
  <c r="Q786" i="15"/>
  <c r="Q787" i="15"/>
  <c r="Q788" i="15"/>
  <c r="Q789" i="15"/>
  <c r="Q790" i="15"/>
  <c r="Q791" i="15"/>
  <c r="Q792" i="15"/>
  <c r="Q793" i="15"/>
  <c r="Q794" i="15"/>
  <c r="Q795" i="15"/>
  <c r="Q796" i="15"/>
  <c r="Q797" i="15"/>
  <c r="Q798" i="15"/>
  <c r="Q799" i="15"/>
  <c r="Q800" i="15"/>
  <c r="Q801" i="15"/>
  <c r="Q802" i="15"/>
  <c r="Q803" i="15"/>
  <c r="Q804" i="15"/>
  <c r="Q805" i="15"/>
  <c r="Q806" i="15"/>
  <c r="Q807" i="15"/>
  <c r="Q808" i="15"/>
  <c r="Q809" i="15"/>
  <c r="Q810" i="15"/>
  <c r="Q811" i="15"/>
  <c r="Q812" i="15"/>
  <c r="Q813" i="15"/>
  <c r="Q814" i="15"/>
  <c r="Q815" i="15"/>
  <c r="Q816" i="15"/>
  <c r="Q817" i="15"/>
  <c r="Q818" i="15"/>
  <c r="Q819" i="15"/>
  <c r="Q820" i="15"/>
  <c r="Q821" i="15"/>
  <c r="Q822" i="15"/>
  <c r="Q823" i="15"/>
  <c r="Q824" i="15"/>
  <c r="Q825" i="15"/>
  <c r="Q826" i="15"/>
  <c r="Q827" i="15"/>
  <c r="Q828" i="15"/>
  <c r="Q829" i="15"/>
  <c r="Q830" i="15"/>
  <c r="Q831" i="15"/>
  <c r="Q832" i="15"/>
  <c r="Q833" i="15"/>
  <c r="Q834" i="15"/>
  <c r="Q835" i="15"/>
  <c r="Q836" i="15"/>
  <c r="Q837" i="15"/>
  <c r="Q838" i="15"/>
  <c r="Q839" i="15"/>
  <c r="Q840" i="15"/>
  <c r="Q841" i="15"/>
  <c r="Q842" i="15"/>
  <c r="Q843" i="15"/>
  <c r="Q844" i="15"/>
  <c r="Q845" i="15"/>
  <c r="Q846" i="15"/>
  <c r="Q847" i="15"/>
  <c r="Q848" i="15"/>
  <c r="Q849" i="15"/>
  <c r="Q850" i="15"/>
  <c r="Q851" i="15"/>
  <c r="Q852" i="15"/>
  <c r="Q853" i="15"/>
  <c r="Q854" i="15"/>
  <c r="Q855" i="15"/>
  <c r="Q856" i="15"/>
  <c r="Q857" i="15"/>
  <c r="Q858" i="15"/>
  <c r="Q859" i="15"/>
  <c r="Q860" i="15"/>
  <c r="Q861" i="15"/>
  <c r="Q862" i="15"/>
  <c r="Q863" i="15"/>
  <c r="Q864" i="15"/>
  <c r="Q865" i="15"/>
  <c r="Q866" i="15"/>
  <c r="Q867" i="15"/>
  <c r="Q868" i="15"/>
  <c r="Q869" i="15"/>
  <c r="Q870" i="15"/>
  <c r="Q871" i="15"/>
  <c r="Q872" i="15"/>
  <c r="Q873" i="15"/>
  <c r="Q874" i="15"/>
  <c r="Q875" i="15"/>
  <c r="Q876" i="15"/>
  <c r="Q877" i="15"/>
  <c r="Q878" i="15"/>
  <c r="Q879" i="15"/>
  <c r="Q880" i="15"/>
  <c r="Q881" i="15"/>
  <c r="Q882" i="15"/>
  <c r="Q883" i="15"/>
  <c r="Q884" i="15"/>
  <c r="Q885" i="15"/>
  <c r="Q886" i="15"/>
  <c r="Q887" i="15"/>
  <c r="Q888" i="15"/>
  <c r="Q889" i="15"/>
  <c r="Q890" i="15"/>
  <c r="Q891" i="15"/>
  <c r="Q892" i="15"/>
  <c r="Q893" i="15"/>
  <c r="Q894" i="15"/>
  <c r="Q895" i="15"/>
  <c r="Q896" i="15"/>
  <c r="Q897" i="15"/>
  <c r="Q898" i="15"/>
  <c r="Q899" i="15"/>
  <c r="Q900" i="15"/>
  <c r="Q901" i="15"/>
  <c r="Q902" i="15"/>
  <c r="Q903" i="15"/>
  <c r="Q904" i="15"/>
  <c r="Q905" i="15"/>
  <c r="Q906" i="15"/>
  <c r="Q907" i="15"/>
  <c r="Q908" i="15"/>
  <c r="Q909" i="15"/>
  <c r="Q910" i="15"/>
  <c r="Q911" i="15"/>
  <c r="Q912" i="15"/>
  <c r="Q913" i="15"/>
  <c r="Q914" i="15"/>
  <c r="Q915" i="15"/>
  <c r="Q916" i="15"/>
  <c r="Q917" i="15"/>
  <c r="Q918" i="15"/>
  <c r="Q919" i="15"/>
  <c r="Q920" i="15"/>
  <c r="Q921" i="15"/>
  <c r="Q922" i="15"/>
  <c r="Q923" i="15"/>
  <c r="Q924" i="15"/>
  <c r="Q925" i="15"/>
  <c r="Q926" i="15"/>
  <c r="Q927" i="15"/>
  <c r="Q928" i="15"/>
  <c r="Q929" i="15"/>
  <c r="Q930" i="15"/>
  <c r="Q931" i="15"/>
  <c r="Q932" i="15"/>
  <c r="Q933" i="15"/>
  <c r="Q934" i="15"/>
  <c r="Q935" i="15"/>
  <c r="Q936" i="15"/>
  <c r="Q937" i="15"/>
  <c r="Q938" i="15"/>
  <c r="Q939" i="15"/>
  <c r="Q940" i="15"/>
  <c r="Q941" i="15"/>
  <c r="Q942" i="15"/>
  <c r="Q943" i="15"/>
  <c r="Q944" i="15"/>
  <c r="Q945" i="15"/>
  <c r="Q946" i="15"/>
  <c r="Q947" i="15"/>
  <c r="Q948" i="15"/>
  <c r="Q949" i="15"/>
  <c r="Q950" i="15"/>
  <c r="Q951" i="15"/>
  <c r="Q952" i="15"/>
  <c r="Q953" i="15"/>
  <c r="Q954" i="15"/>
  <c r="Q955" i="15"/>
  <c r="Q956" i="15"/>
  <c r="Q957" i="15"/>
  <c r="Q958" i="15"/>
  <c r="Q959" i="15"/>
  <c r="Q960" i="15"/>
  <c r="Q961" i="15"/>
  <c r="Q962" i="15"/>
  <c r="Q963" i="15"/>
  <c r="Q964" i="15"/>
  <c r="Q965" i="15"/>
  <c r="Q966" i="15"/>
  <c r="Q967" i="15"/>
  <c r="Q968" i="15"/>
  <c r="Q969" i="15"/>
  <c r="Q970" i="15"/>
  <c r="Q971" i="15"/>
  <c r="Q972" i="15"/>
  <c r="Q973" i="15"/>
  <c r="Q974" i="15"/>
  <c r="Q975" i="15"/>
  <c r="Q976" i="15"/>
  <c r="Q977" i="15"/>
  <c r="Q978" i="15"/>
  <c r="Q979" i="15"/>
  <c r="Q980" i="15"/>
  <c r="Q981" i="15"/>
  <c r="Q982" i="15"/>
  <c r="Q983" i="15"/>
  <c r="Q984" i="15"/>
  <c r="Q985" i="15"/>
  <c r="Q986" i="15"/>
  <c r="Q987" i="15"/>
  <c r="Q988" i="15"/>
  <c r="Q989" i="15"/>
  <c r="Q990" i="15"/>
  <c r="Q991" i="15"/>
  <c r="Q992" i="15"/>
  <c r="Q993" i="15"/>
  <c r="Q994" i="15"/>
  <c r="Q995" i="15"/>
  <c r="Q996" i="15"/>
  <c r="Q997" i="15"/>
  <c r="Q998" i="15"/>
  <c r="Q999" i="15"/>
  <c r="Q1000" i="15"/>
  <c r="Q1001" i="15"/>
  <c r="Q1002" i="15"/>
  <c r="Q1003" i="15"/>
  <c r="Q1004" i="15"/>
  <c r="Q1005" i="15"/>
  <c r="Q1006" i="15"/>
  <c r="Q1007" i="15"/>
  <c r="Q1008" i="15"/>
  <c r="Q1009" i="15"/>
  <c r="Q1010" i="15"/>
  <c r="Q1011" i="15"/>
  <c r="Q1012" i="15"/>
  <c r="Q1013" i="15"/>
  <c r="Q1014" i="15"/>
  <c r="Q1015" i="15"/>
  <c r="Q1016" i="15"/>
  <c r="Q1017" i="15"/>
  <c r="Q1018" i="15"/>
  <c r="Q1019" i="15"/>
  <c r="Q1020" i="15"/>
  <c r="Q1021" i="15"/>
  <c r="Q1022" i="15"/>
  <c r="Q1023" i="15"/>
  <c r="Q1024" i="15"/>
  <c r="Q1025" i="15"/>
  <c r="Q1026" i="15"/>
  <c r="Q1027" i="15"/>
  <c r="Q1028" i="15"/>
  <c r="Q1029" i="15"/>
  <c r="Q1030" i="15"/>
  <c r="Q1031" i="15"/>
  <c r="Q1032" i="15"/>
  <c r="Q1033" i="15"/>
  <c r="Q1034" i="15"/>
  <c r="Q1035" i="15"/>
  <c r="Q1036" i="15"/>
  <c r="Q1037" i="15"/>
  <c r="Q1038" i="15"/>
  <c r="Q1039" i="15"/>
  <c r="Q1040" i="15"/>
  <c r="Q1041" i="15"/>
  <c r="Q1042" i="15"/>
  <c r="Q1043" i="15"/>
  <c r="Q1044" i="15"/>
  <c r="Q1045" i="15"/>
  <c r="Q1046" i="15"/>
  <c r="Q1047" i="15"/>
  <c r="Q1048" i="15"/>
  <c r="Q1049" i="15"/>
  <c r="Q1050" i="15"/>
  <c r="Q1051" i="15"/>
  <c r="Q1052" i="15"/>
  <c r="Q1053" i="15"/>
  <c r="Q1054" i="15"/>
  <c r="Q1055" i="15"/>
  <c r="Q1056" i="15"/>
  <c r="Q1057" i="15"/>
  <c r="Q1058" i="15"/>
  <c r="Q1059" i="15"/>
  <c r="Q1060" i="15"/>
  <c r="Q1061" i="15"/>
  <c r="Q1062" i="15"/>
  <c r="Q1063" i="15"/>
  <c r="Q1064" i="15"/>
  <c r="Q1065" i="15"/>
  <c r="Q1066" i="15"/>
  <c r="Q1067" i="15"/>
  <c r="Q1068" i="15"/>
  <c r="Q1069" i="15"/>
  <c r="Q1070" i="15"/>
  <c r="Q1071" i="15"/>
  <c r="Q1072" i="15"/>
  <c r="Q1073" i="15"/>
  <c r="Q1074" i="15"/>
  <c r="Q1075" i="15"/>
  <c r="Q1076" i="15"/>
  <c r="Q1077" i="15"/>
  <c r="Q1078" i="15"/>
  <c r="Q1079" i="15"/>
  <c r="Q1080" i="15"/>
  <c r="Q1081" i="15"/>
  <c r="Q1082" i="15"/>
  <c r="Q1083" i="15"/>
  <c r="Q1084" i="15"/>
  <c r="Q1085" i="15"/>
  <c r="Q1086" i="15"/>
  <c r="Q1087" i="15"/>
  <c r="Q1088" i="15"/>
  <c r="Q1089" i="15"/>
  <c r="Q1090" i="15"/>
  <c r="Q1091" i="15"/>
  <c r="Q1092" i="15"/>
  <c r="Q1093" i="15"/>
  <c r="Q1094" i="15"/>
  <c r="Q1095" i="15"/>
  <c r="Q1096" i="15"/>
  <c r="Q1097" i="15"/>
  <c r="Q1098" i="15"/>
  <c r="Q1099" i="15"/>
  <c r="Q1100" i="15"/>
  <c r="Q1101" i="15"/>
  <c r="Q1102" i="15"/>
  <c r="Q1103" i="15"/>
  <c r="Q1104" i="15"/>
  <c r="Q1105" i="15"/>
  <c r="Q1106" i="15"/>
  <c r="Q1107" i="15"/>
  <c r="Q1108" i="15"/>
  <c r="Q1109" i="15"/>
  <c r="Q1110" i="15"/>
  <c r="Q1111" i="15"/>
  <c r="Q1112" i="15"/>
  <c r="Q1113" i="15"/>
  <c r="Q1114" i="15"/>
  <c r="Q1115" i="15"/>
  <c r="Q1116" i="15"/>
  <c r="Q1117" i="15"/>
  <c r="Q1118" i="15"/>
  <c r="Q1119" i="15"/>
  <c r="Q1120" i="15"/>
  <c r="Q1121" i="15"/>
  <c r="Q1122" i="15"/>
  <c r="Q1123" i="15"/>
  <c r="Q1124" i="15"/>
  <c r="Q1125" i="15"/>
  <c r="Q1126" i="15"/>
  <c r="Q1127" i="15"/>
  <c r="Q1128" i="15"/>
  <c r="Q1129" i="15"/>
  <c r="Q1130" i="15"/>
  <c r="Q1131" i="15"/>
  <c r="Q1132" i="15"/>
  <c r="Q1133" i="15"/>
  <c r="Q1134" i="15"/>
  <c r="Q1135" i="15"/>
  <c r="Q1136" i="15"/>
  <c r="Q1137" i="15"/>
  <c r="Q1138" i="15"/>
  <c r="Q1139" i="15"/>
  <c r="Q1140" i="15"/>
  <c r="Q1141" i="15"/>
  <c r="Q1142" i="15"/>
  <c r="Q1143" i="15"/>
  <c r="Q1144" i="15"/>
  <c r="Q1145" i="15"/>
  <c r="Q1146" i="15"/>
  <c r="Q1147" i="15"/>
  <c r="Q1148" i="15"/>
  <c r="Q1149" i="15"/>
  <c r="Q1150" i="15"/>
  <c r="Q1151" i="15"/>
  <c r="Q1152" i="15"/>
  <c r="Q1153" i="15"/>
  <c r="Q1154" i="15"/>
  <c r="Q1155" i="15"/>
  <c r="Q1156" i="15"/>
  <c r="Q1157" i="15"/>
  <c r="Q1158" i="15"/>
  <c r="Q1159" i="15"/>
  <c r="Q1160" i="15"/>
  <c r="Q1161" i="15"/>
  <c r="Q1162" i="15"/>
  <c r="Q1163" i="15"/>
  <c r="Q1164" i="15"/>
  <c r="Q1165" i="15"/>
  <c r="Q1166" i="15"/>
  <c r="Q1167" i="15"/>
  <c r="Q1168" i="15"/>
  <c r="Q1169" i="15"/>
  <c r="Q1170" i="15"/>
  <c r="Q1171" i="15"/>
  <c r="Q1172" i="15"/>
  <c r="Q1173" i="15"/>
  <c r="Q1174" i="15"/>
  <c r="Q1175" i="15"/>
  <c r="Q1176" i="15"/>
  <c r="Q1177" i="15"/>
  <c r="Q1178" i="15"/>
  <c r="Q1179" i="15"/>
  <c r="Q1180" i="15"/>
  <c r="Q1181" i="15"/>
  <c r="Q1182" i="15"/>
  <c r="Q1183" i="15"/>
  <c r="Q1184" i="15"/>
  <c r="Q1185" i="15"/>
  <c r="Q1186" i="15"/>
  <c r="Q1187" i="15"/>
  <c r="Q1188" i="15"/>
  <c r="Q1189" i="15"/>
  <c r="Q1190" i="15"/>
  <c r="Q1191" i="15"/>
  <c r="Q1192" i="15"/>
  <c r="Q1193" i="15"/>
  <c r="Q1194" i="15"/>
  <c r="Q1195" i="15"/>
  <c r="Q1196" i="15"/>
  <c r="Q1197" i="15"/>
  <c r="Q1198" i="15"/>
  <c r="Q1199" i="15"/>
  <c r="Q1200" i="15"/>
  <c r="Q1201" i="15"/>
  <c r="Q1202" i="15"/>
  <c r="Q1203" i="15"/>
  <c r="Q1204" i="15"/>
  <c r="Q1205" i="15"/>
  <c r="Q1206" i="15"/>
  <c r="Q1207" i="15"/>
  <c r="Q1208" i="15"/>
  <c r="Q1209" i="15"/>
  <c r="Q1210" i="15"/>
  <c r="Q1211" i="15"/>
  <c r="Q1212" i="15"/>
  <c r="Q1213" i="15"/>
  <c r="Q1214" i="15"/>
  <c r="Q1215" i="15"/>
  <c r="Q1216" i="15"/>
  <c r="Q1217" i="15"/>
  <c r="Q1218" i="15"/>
  <c r="Q1219" i="15"/>
  <c r="Q1220" i="15"/>
  <c r="Q1221" i="15"/>
  <c r="Q1222" i="15"/>
  <c r="Q1223" i="15"/>
  <c r="Q1224" i="15"/>
  <c r="Q1225" i="15"/>
  <c r="Q1226" i="15"/>
  <c r="Q1227" i="15"/>
  <c r="Q1228" i="15"/>
  <c r="Q1229" i="15"/>
  <c r="Q1230" i="15"/>
  <c r="Q1231" i="15"/>
  <c r="Q1232" i="15"/>
  <c r="Q1233" i="15"/>
  <c r="Q1234" i="15"/>
  <c r="Q1235" i="15"/>
  <c r="Q1236" i="15"/>
  <c r="Q1237" i="15"/>
  <c r="Q1238" i="15"/>
  <c r="Q1239" i="15"/>
  <c r="Q1240" i="15"/>
  <c r="Q1241" i="15"/>
  <c r="Q1242" i="15"/>
  <c r="Q1243" i="15"/>
  <c r="Q1244" i="15"/>
  <c r="Q1245" i="15"/>
  <c r="Q1246" i="15"/>
  <c r="Q1247" i="15"/>
  <c r="Q1248" i="15"/>
  <c r="Q1249" i="15"/>
  <c r="Q1250" i="15"/>
  <c r="Q1251" i="15"/>
  <c r="Q1252" i="15"/>
  <c r="Q1253" i="15"/>
  <c r="Q1254" i="15"/>
  <c r="Q1255" i="15"/>
  <c r="Q1256" i="15"/>
  <c r="Q1257" i="15"/>
  <c r="Q1258" i="15"/>
  <c r="Q1259" i="15"/>
  <c r="Q1260" i="15"/>
  <c r="Q1261" i="15"/>
  <c r="Q1262" i="15"/>
  <c r="Q1263" i="15"/>
  <c r="Q1264" i="15"/>
  <c r="Q1265" i="15"/>
  <c r="Q1266" i="15"/>
  <c r="Q1267" i="15"/>
  <c r="Q1268" i="15"/>
  <c r="Q1269" i="15"/>
  <c r="Q1270" i="15"/>
  <c r="Q1271" i="15"/>
  <c r="Q1272" i="15"/>
  <c r="Q1273" i="15"/>
  <c r="Q1274" i="15"/>
  <c r="Q1275" i="15"/>
  <c r="Q1276" i="15"/>
  <c r="Q1277" i="15"/>
  <c r="Q1278" i="15"/>
  <c r="Q1279" i="15"/>
  <c r="Q1280" i="15"/>
  <c r="Q1281" i="15"/>
  <c r="Q1282" i="15"/>
  <c r="Q1283" i="15"/>
  <c r="Q1284" i="15"/>
  <c r="Q1285" i="15"/>
  <c r="Q1286" i="15"/>
  <c r="Q1287" i="15"/>
  <c r="Q1288" i="15"/>
  <c r="Q1289" i="15"/>
  <c r="Q1290" i="15"/>
  <c r="Q1291" i="15"/>
  <c r="Q1292" i="15"/>
  <c r="Q1293" i="15"/>
  <c r="Q1294" i="15"/>
  <c r="Q1295" i="15"/>
  <c r="Q1296" i="15"/>
  <c r="Q1297" i="15"/>
  <c r="Q1298" i="15"/>
  <c r="Q1299" i="15"/>
  <c r="Q1300" i="15"/>
  <c r="Q1301" i="15"/>
  <c r="Q1302" i="15"/>
  <c r="Q1303" i="15"/>
  <c r="Q1304" i="15"/>
  <c r="Q1305" i="15"/>
  <c r="Q1306" i="15"/>
  <c r="Q1307" i="15"/>
  <c r="Q1308" i="15"/>
  <c r="Q1309" i="15"/>
  <c r="Q1310" i="15"/>
  <c r="Q1311" i="15"/>
  <c r="Q1312" i="15"/>
  <c r="Q1313" i="15"/>
  <c r="Q1314" i="15"/>
  <c r="Q1315" i="15"/>
  <c r="Q1316" i="15"/>
  <c r="Q1317" i="15"/>
  <c r="Q1318" i="15"/>
  <c r="Q1319" i="15"/>
  <c r="Q1320" i="15"/>
  <c r="Q1321" i="15"/>
  <c r="Q1322" i="15"/>
  <c r="Q1323" i="15"/>
  <c r="Q1324" i="15"/>
  <c r="Q1325" i="15"/>
  <c r="Q1326" i="15"/>
  <c r="Q1327" i="15"/>
  <c r="Q1328" i="15"/>
  <c r="Q1329" i="15"/>
  <c r="Q1330" i="15"/>
  <c r="Q1331" i="15"/>
  <c r="Q1332" i="15"/>
  <c r="Q1333" i="15"/>
  <c r="Q1334" i="15"/>
  <c r="Q1335" i="15"/>
  <c r="Q1336" i="15"/>
  <c r="Q1337" i="15"/>
  <c r="Q1338" i="15"/>
  <c r="Q1339" i="15"/>
  <c r="Q1340" i="15"/>
  <c r="Q1341" i="15"/>
  <c r="Q1342" i="15"/>
  <c r="Q1343" i="15"/>
  <c r="Q1344" i="15"/>
  <c r="Q1345" i="15"/>
  <c r="Q1346" i="15"/>
  <c r="Q1347" i="15"/>
  <c r="Q1348" i="15"/>
  <c r="Q1349" i="15"/>
  <c r="Q1350" i="15"/>
  <c r="Q1351" i="15"/>
  <c r="Q1352" i="15"/>
  <c r="Q1353" i="15"/>
  <c r="Q1354" i="15"/>
  <c r="Q1355" i="15"/>
  <c r="Q1356" i="15"/>
  <c r="Q1357" i="15"/>
  <c r="Q1358" i="15"/>
  <c r="Q1359" i="15"/>
  <c r="Q1360" i="15"/>
  <c r="Q1361" i="15"/>
  <c r="Q1362" i="15"/>
  <c r="Q1363" i="15"/>
  <c r="Q1364" i="15"/>
  <c r="Q1365" i="15"/>
  <c r="Q1366" i="15"/>
  <c r="Q1367" i="15"/>
  <c r="Q1368" i="15"/>
  <c r="Q1369" i="15"/>
  <c r="Q1370" i="15"/>
  <c r="Q1371" i="15"/>
  <c r="Q1372" i="15"/>
  <c r="Q1373" i="15"/>
  <c r="Q1374" i="15"/>
  <c r="Q1375" i="15"/>
  <c r="Q1376" i="15"/>
  <c r="Q1377" i="15"/>
  <c r="Q1378" i="15"/>
  <c r="Q1379" i="15"/>
  <c r="Q1380" i="15"/>
  <c r="Q1381" i="15"/>
  <c r="Q1382" i="15"/>
  <c r="Q1383" i="15"/>
  <c r="Q1384" i="15"/>
  <c r="Q1385" i="15"/>
  <c r="Q1386" i="15"/>
  <c r="Q1387" i="15"/>
  <c r="Q1388" i="15"/>
  <c r="Q1389" i="15"/>
  <c r="Q1390" i="15"/>
  <c r="Q1391" i="15"/>
  <c r="Q1392" i="15"/>
  <c r="Q1393" i="15"/>
  <c r="Q1394" i="15"/>
  <c r="Q1395" i="15"/>
  <c r="Q1396" i="15"/>
  <c r="Q1397" i="15"/>
  <c r="Q1398" i="15"/>
  <c r="Q1399" i="15"/>
  <c r="Q1400" i="15"/>
  <c r="Q1401" i="15"/>
  <c r="Q1402" i="15"/>
  <c r="Q1403" i="15"/>
  <c r="Q1404" i="15"/>
  <c r="Q1405" i="15"/>
  <c r="Q1406" i="15"/>
  <c r="Q1407" i="15"/>
  <c r="Q1408" i="15"/>
  <c r="Q1409" i="15"/>
  <c r="Q1410" i="15"/>
  <c r="Q1411" i="15"/>
  <c r="Q1412" i="15"/>
  <c r="Q1413" i="15"/>
  <c r="Q1414" i="15"/>
  <c r="Q1415" i="15"/>
  <c r="Q1416" i="15"/>
  <c r="Q1417" i="15"/>
  <c r="Q1418" i="15"/>
  <c r="Q1419" i="15"/>
  <c r="Q1420" i="15"/>
  <c r="Q1421" i="15"/>
  <c r="Q1422" i="15"/>
  <c r="Q1423" i="15"/>
  <c r="Q1424" i="15"/>
  <c r="Q1425" i="15"/>
  <c r="Q1426" i="15"/>
  <c r="Q1427" i="15"/>
  <c r="Q1428" i="15"/>
  <c r="Q1429" i="15"/>
  <c r="Q1430" i="15"/>
  <c r="Q1431" i="15"/>
  <c r="Q1432" i="15"/>
  <c r="Q1433" i="15"/>
  <c r="Q1434" i="15"/>
  <c r="Q1435" i="15"/>
  <c r="Q1436" i="15"/>
  <c r="Q1437" i="15"/>
  <c r="Q1438" i="15"/>
  <c r="Q1439" i="15"/>
  <c r="Q1440" i="15"/>
  <c r="Q1441" i="15"/>
  <c r="Q1442" i="15"/>
  <c r="Q1443" i="15"/>
  <c r="Q1444" i="15"/>
  <c r="Q1445" i="15"/>
  <c r="Q1446" i="15"/>
  <c r="Q1447" i="15"/>
  <c r="Q1448" i="15"/>
  <c r="Q1449" i="15"/>
  <c r="Q1450" i="15"/>
  <c r="Q1451" i="15"/>
  <c r="Q1452" i="15"/>
  <c r="Q1453" i="15"/>
  <c r="Q1454" i="15"/>
  <c r="Q1455" i="15"/>
  <c r="Q1456" i="15"/>
  <c r="Q1457" i="15"/>
  <c r="Q1458" i="15"/>
  <c r="Q1459" i="15"/>
  <c r="Q1460" i="15"/>
  <c r="Q1461" i="15"/>
  <c r="Q1462" i="15"/>
  <c r="Q1463" i="15"/>
  <c r="Q1464" i="15"/>
  <c r="Q1465" i="15"/>
  <c r="Q1466" i="15"/>
  <c r="Q1467" i="15"/>
  <c r="Q1468" i="15"/>
  <c r="Q1469" i="15"/>
  <c r="Q1470" i="15"/>
  <c r="Q1471" i="15"/>
  <c r="Q1472" i="15"/>
  <c r="Q1473" i="15"/>
  <c r="Q1474" i="15"/>
  <c r="Q1475" i="15"/>
  <c r="Q1476" i="15"/>
  <c r="Q1477" i="15"/>
  <c r="Q1478" i="15"/>
  <c r="Q1479" i="15"/>
  <c r="Q1480" i="15"/>
  <c r="Q1481" i="15"/>
  <c r="Q1482" i="15"/>
  <c r="Q1483" i="15"/>
  <c r="Q1484" i="15"/>
  <c r="Q1485" i="15"/>
  <c r="Q1486" i="15"/>
  <c r="Q1487" i="15"/>
  <c r="Q1488" i="15"/>
  <c r="Q1489" i="15"/>
  <c r="Q1490" i="15"/>
  <c r="Q1491" i="15"/>
  <c r="Q1492" i="15"/>
  <c r="Q1493" i="15"/>
  <c r="Q1494" i="15"/>
  <c r="Q1495" i="15"/>
  <c r="Q1496" i="15"/>
  <c r="Q1497" i="15"/>
  <c r="Q1498" i="15"/>
  <c r="Q1499" i="15"/>
  <c r="Q1500" i="15"/>
  <c r="Q1501" i="15"/>
  <c r="Q1502" i="15"/>
  <c r="Q1503" i="15"/>
  <c r="Q1504" i="15"/>
  <c r="Q1505" i="15"/>
  <c r="Q1506" i="15"/>
  <c r="Q1507" i="15"/>
  <c r="Q1508" i="15"/>
  <c r="Q1509" i="15"/>
  <c r="Q1510" i="15"/>
  <c r="Q1511" i="15"/>
  <c r="Q1512" i="15"/>
  <c r="Q1513" i="15"/>
  <c r="Q1514" i="15"/>
  <c r="Q1515" i="15"/>
  <c r="Q1516" i="15"/>
  <c r="Q1517" i="15"/>
  <c r="Q1518" i="15"/>
  <c r="Q1519" i="15"/>
  <c r="Q1520" i="15"/>
  <c r="Q1521" i="15"/>
  <c r="Q1522" i="15"/>
  <c r="Q1523" i="15"/>
  <c r="Q1524" i="15"/>
  <c r="Q1525" i="15"/>
  <c r="Q1526" i="15"/>
  <c r="Q1527" i="15"/>
  <c r="Q1528" i="15"/>
  <c r="Q1529" i="15"/>
  <c r="Q1530" i="15"/>
  <c r="Q1531" i="15"/>
  <c r="Q1532" i="15"/>
  <c r="Q1533" i="15"/>
  <c r="Q1534" i="15"/>
  <c r="Q1535" i="15"/>
  <c r="Q1536" i="15"/>
  <c r="Q1537" i="15"/>
  <c r="Q1538" i="15"/>
  <c r="Q1539" i="15"/>
  <c r="Q1540" i="15"/>
  <c r="Q1541" i="15"/>
  <c r="Q1542" i="15"/>
  <c r="Q1543" i="15"/>
  <c r="Q1544" i="15"/>
  <c r="Q1545" i="15"/>
  <c r="Q1546" i="15"/>
  <c r="Q1547" i="15"/>
  <c r="Q1548" i="15"/>
  <c r="Q1549" i="15"/>
  <c r="Q1550" i="15"/>
  <c r="Q1551" i="15"/>
  <c r="Q1552" i="15"/>
  <c r="Q1553" i="15"/>
  <c r="Q1554" i="15"/>
  <c r="Q1555" i="15"/>
  <c r="Q1556" i="15"/>
  <c r="Q1557" i="15"/>
  <c r="Q1558" i="15"/>
  <c r="Q1559" i="15"/>
  <c r="Q1560" i="15"/>
  <c r="Q1561" i="15"/>
  <c r="Q1562" i="15"/>
  <c r="Q1563" i="15"/>
  <c r="Q1564" i="15"/>
  <c r="Q1565" i="15"/>
  <c r="Q1566" i="15"/>
  <c r="Q1567" i="15"/>
  <c r="Q1568" i="15"/>
  <c r="Q1569" i="15"/>
  <c r="Q1570" i="15"/>
  <c r="Q1571" i="15"/>
  <c r="Q1572" i="15"/>
  <c r="Q1573" i="15"/>
  <c r="Q1574" i="15"/>
  <c r="Q1575" i="15"/>
  <c r="Q1576" i="15"/>
  <c r="Q1577" i="15"/>
  <c r="Q1578" i="15"/>
  <c r="Q1579" i="15"/>
  <c r="Q1580" i="15"/>
  <c r="Q1581" i="15"/>
  <c r="Q1582" i="15"/>
  <c r="Q1583" i="15"/>
  <c r="Q1584" i="15"/>
  <c r="Q1585" i="15"/>
  <c r="Q1586" i="15"/>
  <c r="Q1587" i="15"/>
  <c r="Q1588" i="15"/>
  <c r="Q1589" i="15"/>
  <c r="Q1590" i="15"/>
  <c r="Q1591" i="15"/>
  <c r="Q1592" i="15"/>
  <c r="Q1593" i="15"/>
  <c r="Q1594" i="15"/>
  <c r="Q1595" i="15"/>
  <c r="Q1596" i="15"/>
  <c r="Q1597" i="15"/>
  <c r="Q1598" i="15"/>
  <c r="Q1599" i="15"/>
  <c r="Q1600" i="15"/>
  <c r="Q1601" i="15"/>
  <c r="Q1602" i="15"/>
  <c r="Q1603" i="15"/>
  <c r="Q1604" i="15"/>
  <c r="Q1605" i="15"/>
  <c r="Q1606" i="15"/>
  <c r="Q1607" i="15"/>
  <c r="Q1608" i="15"/>
  <c r="Q1609" i="15"/>
  <c r="Q1610" i="15"/>
  <c r="Q1611" i="15"/>
  <c r="Q1612" i="15"/>
  <c r="Q2"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65CF89-FA5C-4A01-BB8E-A6AE8B5ACF33}"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2" xr16:uid="{8087625B-CC85-4E63-8DB2-237341A5B2FA}"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3" xr16:uid="{694B2E4C-E65E-4CDE-9D70-02615BDDFC4C}"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s>
</file>

<file path=xl/sharedStrings.xml><?xml version="1.0" encoding="utf-8"?>
<sst xmlns="http://schemas.openxmlformats.org/spreadsheetml/2006/main" count="145" uniqueCount="68">
  <si>
    <t>instant</t>
  </si>
  <si>
    <t>dteday</t>
  </si>
  <si>
    <t>season</t>
  </si>
  <si>
    <t>yr</t>
  </si>
  <si>
    <t>mnth</t>
  </si>
  <si>
    <t>hr</t>
  </si>
  <si>
    <t>holiday</t>
  </si>
  <si>
    <t>weekday</t>
  </si>
  <si>
    <t>weathersit</t>
  </si>
  <si>
    <t>temp</t>
  </si>
  <si>
    <t>Unnamed: 0</t>
  </si>
  <si>
    <t>atemp</t>
  </si>
  <si>
    <t>hum</t>
  </si>
  <si>
    <t>windspeed</t>
  </si>
  <si>
    <t>casual</t>
  </si>
  <si>
    <t>registered</t>
  </si>
  <si>
    <t>cnt</t>
  </si>
  <si>
    <t>Sum of cnt</t>
  </si>
  <si>
    <t>Grand Total</t>
  </si>
  <si>
    <t>4.Weather Impact Analysis</t>
  </si>
  <si>
    <t>5.Casual vs Registered User</t>
  </si>
  <si>
    <t>6.Temperature Effect on Rentals</t>
  </si>
  <si>
    <t>Weekend/weekdays</t>
  </si>
  <si>
    <t>Weekdays</t>
  </si>
  <si>
    <t>Weekends</t>
  </si>
  <si>
    <t>Average of cnt</t>
  </si>
  <si>
    <t>Average of casual</t>
  </si>
  <si>
    <t>Average of registered</t>
  </si>
  <si>
    <t>Day type</t>
  </si>
  <si>
    <t>Weekdays vs Weekends Comparison</t>
  </si>
  <si>
    <t>(blank)</t>
  </si>
  <si>
    <t>hr/Time period</t>
  </si>
  <si>
    <t>Afternoon</t>
  </si>
  <si>
    <t>Evening</t>
  </si>
  <si>
    <t>Morning</t>
  </si>
  <si>
    <t>Weather Name</t>
  </si>
  <si>
    <t>Clear</t>
  </si>
  <si>
    <t>Light Snow/Rain</t>
  </si>
  <si>
    <t>Mist</t>
  </si>
  <si>
    <t>Average of Rental</t>
  </si>
  <si>
    <t>ToTal Rental</t>
  </si>
  <si>
    <t>Weather impact on rentals</t>
  </si>
  <si>
    <t>Average of rental</t>
  </si>
  <si>
    <t>Max of rental</t>
  </si>
  <si>
    <t>Min of rental</t>
  </si>
  <si>
    <t>Avg. of rental</t>
  </si>
  <si>
    <t>total rental</t>
  </si>
  <si>
    <t>Hourly rental analysis</t>
  </si>
  <si>
    <t>seasons</t>
  </si>
  <si>
    <t>Total rental</t>
  </si>
  <si>
    <t>2.Seasonal bike Rental Trend</t>
  </si>
  <si>
    <t xml:space="preserve">weather </t>
  </si>
  <si>
    <t>temp.</t>
  </si>
  <si>
    <t>Avg. rental</t>
  </si>
  <si>
    <t>ToTal rental</t>
  </si>
  <si>
    <t>Average of temp</t>
  </si>
  <si>
    <t>Avge of rental</t>
  </si>
  <si>
    <t>Average renral hour per day</t>
  </si>
  <si>
    <t>Bike Sharing Demand Analysis</t>
  </si>
  <si>
    <t>Night</t>
  </si>
  <si>
    <t>Temperature</t>
  </si>
  <si>
    <t>Temperature effect registered vs casual</t>
  </si>
  <si>
    <t>Heavy Rain/Snow</t>
  </si>
  <si>
    <t>shifts</t>
  </si>
  <si>
    <t>Day period Analysis</t>
  </si>
  <si>
    <t>Total sales</t>
  </si>
  <si>
    <t xml:space="preserve">  </t>
  </si>
  <si>
    <t>Average rental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</si>
</sst>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0"/>
      <color rgb="FF000000"/>
      <name val="Arial"/>
      <scheme val="minor"/>
    </font>
    <font>
      <sz val="11"/>
      <color theme="1"/>
      <name val="Arial"/>
      <family val="2"/>
      <scheme val="minor"/>
    </font>
    <font>
      <sz val="10"/>
      <color theme="1"/>
      <name val="Arial"/>
      <family val="2"/>
      <scheme val="minor"/>
    </font>
    <font>
      <sz val="11"/>
      <color theme="0"/>
      <name val="Arial"/>
      <family val="2"/>
      <scheme val="minor"/>
    </font>
    <font>
      <sz val="10"/>
      <color theme="0"/>
      <name val="Arial"/>
      <family val="2"/>
      <scheme val="minor"/>
    </font>
    <font>
      <sz val="10"/>
      <color rgb="FF000000"/>
      <name val="Arial"/>
      <family val="2"/>
      <scheme val="minor"/>
    </font>
    <font>
      <b/>
      <sz val="26"/>
      <color rgb="FF000000"/>
      <name val="Arial"/>
      <family val="2"/>
      <scheme val="minor"/>
    </font>
    <font>
      <sz val="10"/>
      <color theme="2"/>
      <name val="Arial"/>
      <family val="2"/>
      <scheme val="minor"/>
    </font>
    <font>
      <sz val="10"/>
      <color theme="0" tint="-4.9989318521683403E-2"/>
      <name val="Arial"/>
      <family val="2"/>
      <scheme val="minor"/>
    </font>
    <font>
      <b/>
      <sz val="10"/>
      <color theme="0" tint="-4.9989318521683403E-2"/>
      <name val="Arial"/>
      <family val="2"/>
      <scheme val="minor"/>
    </font>
    <font>
      <b/>
      <sz val="10"/>
      <color theme="1"/>
      <name val="Arial"/>
      <family val="2"/>
      <scheme val="minor"/>
    </font>
    <font>
      <b/>
      <sz val="28"/>
      <color rgb="FF000000"/>
      <name val="Arial"/>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8" tint="0.59999389629810485"/>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5" fillId="0" borderId="0"/>
  </cellStyleXfs>
  <cellXfs count="38">
    <xf numFmtId="0" fontId="0" fillId="0" borderId="0" xfId="0"/>
    <xf numFmtId="0" fontId="2" fillId="0" borderId="0" xfId="0" applyFont="1"/>
    <xf numFmtId="164" fontId="2" fillId="0" borderId="0" xfId="0" applyNumberFormat="1" applyFont="1"/>
    <xf numFmtId="0" fontId="4" fillId="0" borderId="0" xfId="0" applyFont="1"/>
    <xf numFmtId="0" fontId="4" fillId="0" borderId="0" xfId="0" applyFont="1" applyAlignment="1">
      <alignment horizontal="center"/>
    </xf>
    <xf numFmtId="0" fontId="1" fillId="0" borderId="0" xfId="0" applyFont="1"/>
    <xf numFmtId="0" fontId="3" fillId="0" borderId="0" xfId="0" applyFont="1" applyAlignment="1">
      <alignment horizontal="center"/>
    </xf>
    <xf numFmtId="0" fontId="3" fillId="0" borderId="0" xfId="0" applyFont="1" applyAlignment="1">
      <alignment horizontal="center" vertical="center"/>
    </xf>
    <xf numFmtId="0" fontId="0" fillId="0" borderId="0" xfId="0" applyAlignment="1">
      <alignment vertical="center"/>
    </xf>
    <xf numFmtId="0" fontId="0" fillId="0" borderId="0" xfId="0" applyAlignment="1">
      <alignment horizontal="center"/>
    </xf>
    <xf numFmtId="0" fontId="0" fillId="0" borderId="0" xfId="0" pivotButton="1"/>
    <xf numFmtId="0" fontId="0" fillId="0" borderId="0" xfId="0" applyAlignment="1">
      <alignment horizontal="left"/>
    </xf>
    <xf numFmtId="0" fontId="2" fillId="0" borderId="0" xfId="1" applyFont="1"/>
    <xf numFmtId="164" fontId="2" fillId="0" borderId="0" xfId="1" applyNumberFormat="1" applyFont="1"/>
    <xf numFmtId="0" fontId="7" fillId="0" borderId="0" xfId="0" applyFont="1"/>
    <xf numFmtId="0" fontId="7" fillId="0" borderId="0" xfId="1" applyFont="1"/>
    <xf numFmtId="0" fontId="5" fillId="0" borderId="0" xfId="0" applyFont="1"/>
    <xf numFmtId="0" fontId="0" fillId="0" borderId="0" xfId="0" applyAlignment="1">
      <alignment horizontal="center" vertical="center"/>
    </xf>
    <xf numFmtId="14" fontId="0" fillId="0" borderId="0" xfId="0" applyNumberFormat="1" applyAlignment="1">
      <alignment horizontal="center"/>
    </xf>
    <xf numFmtId="14" fontId="0" fillId="0" borderId="0" xfId="0" applyNumberFormat="1"/>
    <xf numFmtId="0" fontId="5" fillId="0" borderId="0" xfId="0" applyFont="1" applyAlignment="1">
      <alignment horizontal="center" vertical="center"/>
    </xf>
    <xf numFmtId="0" fontId="5" fillId="0" borderId="0" xfId="0" applyFont="1" applyAlignment="1">
      <alignment horizontal="center"/>
    </xf>
    <xf numFmtId="0" fontId="8" fillId="0" borderId="0" xfId="0" applyFont="1" applyAlignment="1">
      <alignment horizontal="left"/>
    </xf>
    <xf numFmtId="0" fontId="9" fillId="0" borderId="0" xfId="0" applyFont="1" applyAlignment="1">
      <alignment horizontal="left"/>
    </xf>
    <xf numFmtId="0" fontId="9" fillId="0" borderId="0" xfId="0" applyFont="1"/>
    <xf numFmtId="0" fontId="8" fillId="0" borderId="0" xfId="0" applyFont="1"/>
    <xf numFmtId="0" fontId="6" fillId="3" borderId="0" xfId="0" applyFont="1" applyFill="1" applyAlignment="1">
      <alignment horizontal="center" vertical="center"/>
    </xf>
    <xf numFmtId="0" fontId="6" fillId="2" borderId="0" xfId="0" applyFont="1" applyFill="1" applyAlignment="1">
      <alignment horizontal="center" vertical="center"/>
    </xf>
    <xf numFmtId="0" fontId="0" fillId="0" borderId="0" xfId="0" applyNumberFormat="1"/>
    <xf numFmtId="2" fontId="0" fillId="0" borderId="0" xfId="0" applyNumberFormat="1"/>
    <xf numFmtId="0" fontId="0" fillId="4" borderId="0" xfId="0" applyFill="1"/>
    <xf numFmtId="0" fontId="0" fillId="4" borderId="1" xfId="0" applyFill="1" applyBorder="1"/>
    <xf numFmtId="0" fontId="11" fillId="5" borderId="0" xfId="0" applyFont="1" applyFill="1" applyAlignment="1">
      <alignment horizontal="center"/>
    </xf>
    <xf numFmtId="0" fontId="0" fillId="5" borderId="0" xfId="0" applyFill="1"/>
    <xf numFmtId="0" fontId="10" fillId="0" borderId="0" xfId="0" applyFont="1" applyAlignment="1">
      <alignment horizontal="left"/>
    </xf>
    <xf numFmtId="0" fontId="10" fillId="0" borderId="0" xfId="0" applyFont="1"/>
    <xf numFmtId="0" fontId="6" fillId="5" borderId="0" xfId="0" applyFont="1" applyFill="1" applyAlignment="1">
      <alignment horizontal="center" vertical="center"/>
    </xf>
    <xf numFmtId="0" fontId="0" fillId="5" borderId="0" xfId="0" applyFill="1" applyAlignment="1">
      <alignment horizontal="center" vertical="center"/>
    </xf>
  </cellXfs>
  <cellStyles count="2">
    <cellStyle name="Normal" xfId="0" builtinId="0"/>
    <cellStyle name="Normal 2" xfId="1" xr:uid="{0FBDB823-47A2-4633-BB77-69B1CFCAF781}"/>
  </cellStyles>
  <dxfs count="14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theme="1"/>
      </font>
    </dxf>
    <dxf>
      <font>
        <color theme="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dd\-mm\-yyyy"/>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2"/>
        <name val="Arial"/>
        <family val="2"/>
        <scheme val="minor"/>
      </font>
    </dxf>
    <dxf>
      <font>
        <b/>
      </font>
    </dxf>
    <dxf>
      <font>
        <color theme="0" tint="-4.9989318521683403E-2"/>
      </font>
    </dxf>
    <dxf>
      <font>
        <b/>
      </font>
    </dxf>
    <dxf>
      <font>
        <b/>
      </font>
    </dxf>
    <dxf>
      <font>
        <color theme="0" tint="-4.9989318521683403E-2"/>
      </font>
    </dxf>
    <dxf>
      <font>
        <color theme="0" tint="-4.9989318521683403E-2"/>
      </font>
    </dxf>
    <dxf>
      <font>
        <color theme="0" tint="-4.9989318521683403E-2"/>
      </font>
    </dxf>
    <dxf>
      <numFmt numFmtId="19" formatCode="m/d/yyyy"/>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dd\-mm\-yyyy"/>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5.xml"/><Relationship Id="rId39" Type="http://schemas.microsoft.com/office/2007/relationships/slicerCache" Target="slicerCaches/slicerCache18.xml"/><Relationship Id="rId21" Type="http://schemas.openxmlformats.org/officeDocument/2006/relationships/pivotCacheDefinition" Target="pivotCache/pivotCacheDefinition5.xml"/><Relationship Id="rId34" Type="http://schemas.microsoft.com/office/2007/relationships/slicerCache" Target="slicerCaches/slicerCache13.xml"/><Relationship Id="rId42" Type="http://schemas.microsoft.com/office/2007/relationships/slicerCache" Target="slicerCaches/slicerCache21.xml"/><Relationship Id="rId47" Type="http://schemas.microsoft.com/office/2007/relationships/slicerCache" Target="slicerCaches/slicerCache26.xml"/><Relationship Id="rId50" Type="http://schemas.microsoft.com/office/2007/relationships/slicerCache" Target="slicerCaches/slicerCache29.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8.xml"/><Relationship Id="rId11" Type="http://schemas.openxmlformats.org/officeDocument/2006/relationships/worksheet" Target="worksheets/sheet11.xml"/><Relationship Id="rId24" Type="http://schemas.microsoft.com/office/2007/relationships/slicerCache" Target="slicerCaches/slicerCache3.xml"/><Relationship Id="rId32" Type="http://schemas.microsoft.com/office/2007/relationships/slicerCache" Target="slicerCaches/slicerCache11.xml"/><Relationship Id="rId37" Type="http://schemas.microsoft.com/office/2007/relationships/slicerCache" Target="slicerCaches/slicerCache16.xml"/><Relationship Id="rId40" Type="http://schemas.microsoft.com/office/2007/relationships/slicerCache" Target="slicerCaches/slicerCache19.xml"/><Relationship Id="rId45" Type="http://schemas.microsoft.com/office/2007/relationships/slicerCache" Target="slicerCaches/slicerCache24.xml"/><Relationship Id="rId53" Type="http://schemas.openxmlformats.org/officeDocument/2006/relationships/connections" Target="connections.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07/relationships/slicerCache" Target="slicerCaches/slicerCache9.xml"/><Relationship Id="rId35" Type="http://schemas.microsoft.com/office/2007/relationships/slicerCache" Target="slicerCaches/slicerCache14.xml"/><Relationship Id="rId43" Type="http://schemas.microsoft.com/office/2007/relationships/slicerCache" Target="slicerCaches/slicerCache22.xml"/><Relationship Id="rId48" Type="http://schemas.microsoft.com/office/2007/relationships/slicerCache" Target="slicerCaches/slicerCache27.xml"/><Relationship Id="rId56" Type="http://schemas.microsoft.com/office/2017/10/relationships/person" Target="persons/person.xml"/><Relationship Id="rId8" Type="http://schemas.openxmlformats.org/officeDocument/2006/relationships/worksheet" Target="worksheets/sheet8.xml"/><Relationship Id="rId51" Type="http://schemas.microsoft.com/office/2007/relationships/slicerCache" Target="slicerCaches/slicerCache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4.xml"/><Relationship Id="rId33" Type="http://schemas.microsoft.com/office/2007/relationships/slicerCache" Target="slicerCaches/slicerCache12.xml"/><Relationship Id="rId38" Type="http://schemas.microsoft.com/office/2007/relationships/slicerCache" Target="slicerCaches/slicerCache17.xml"/><Relationship Id="rId46" Type="http://schemas.microsoft.com/office/2007/relationships/slicerCache" Target="slicerCaches/slicerCache25.xml"/><Relationship Id="rId20" Type="http://schemas.openxmlformats.org/officeDocument/2006/relationships/pivotCacheDefinition" Target="pivotCache/pivotCacheDefinition4.xml"/><Relationship Id="rId41" Type="http://schemas.microsoft.com/office/2007/relationships/slicerCache" Target="slicerCaches/slicerCache20.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07/relationships/slicerCache" Target="slicerCaches/slicerCache7.xml"/><Relationship Id="rId36" Type="http://schemas.microsoft.com/office/2007/relationships/slicerCache" Target="slicerCaches/slicerCache15.xml"/><Relationship Id="rId49" Type="http://schemas.microsoft.com/office/2007/relationships/slicerCache" Target="slicerCaches/slicerCache28.xml"/><Relationship Id="rId57" Type="http://schemas.openxmlformats.org/officeDocument/2006/relationships/calcChain" Target="calcChain.xml"/><Relationship Id="rId10" Type="http://schemas.openxmlformats.org/officeDocument/2006/relationships/worksheet" Target="worksheets/sheet10.xml"/><Relationship Id="rId31" Type="http://schemas.microsoft.com/office/2007/relationships/slicerCache" Target="slicerCaches/slicerCache10.xml"/><Relationship Id="rId44" Type="http://schemas.microsoft.com/office/2007/relationships/slicerCache" Target="slicerCaches/slicerCache23.xml"/><Relationship Id="rId5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excel.xlsx]Hourly rental!PivotTable6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Hourly</a:t>
            </a:r>
            <a:r>
              <a:rPr lang="en-IN" baseline="0"/>
              <a:t> Analysis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'Hourly rental'!$B$7</c:f>
              <c:strCache>
                <c:ptCount val="1"/>
                <c:pt idx="0">
                  <c:v>Avg.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'Hourly rental'!$A$8:$A$33</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'Hourly rental'!$B$8:$B$33</c:f>
              <c:numCache>
                <c:formatCode>General</c:formatCode>
                <c:ptCount val="25"/>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53.808777429467085</c:v>
                </c:pt>
                <c:pt idx="16">
                  <c:v>16</c:v>
                </c:pt>
                <c:pt idx="17">
                  <c:v>16</c:v>
                </c:pt>
                <c:pt idx="18">
                  <c:v>16</c:v>
                </c:pt>
                <c:pt idx="19">
                  <c:v>16</c:v>
                </c:pt>
                <c:pt idx="20">
                  <c:v>16</c:v>
                </c:pt>
                <c:pt idx="21">
                  <c:v>16</c:v>
                </c:pt>
                <c:pt idx="22">
                  <c:v>16</c:v>
                </c:pt>
                <c:pt idx="23">
                  <c:v>16</c:v>
                </c:pt>
              </c:numCache>
            </c:numRef>
          </c:val>
          <c:smooth val="0"/>
          <c:extLst>
            <c:ext xmlns:c16="http://schemas.microsoft.com/office/drawing/2014/chart" uri="{C3380CC4-5D6E-409C-BE32-E72D297353CC}">
              <c16:uniqueId val="{00000002-5F13-492B-8380-AC6FA3E0E8BC}"/>
            </c:ext>
          </c:extLst>
        </c:ser>
        <c:ser>
          <c:idx val="1"/>
          <c:order val="1"/>
          <c:tx>
            <c:strRef>
              <c:f>'Hourly rental'!$C$7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'Hourly rental'!$A$8:$A$33</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'Hourly rental'!$C$8:$C$33</c:f>
              <c:numCache>
                <c:formatCode>General</c:formatCode>
                <c:ptCount val="25"/>
                <c:pt idx="0">
                  <c:v>416</c:v>
                </c:pt>
                <c:pt idx="1">
                  <c:v>416</c:v>
                </c:pt>
                <c:pt idx="2">
                  <c:v>384</c:v>
                </c:pt>
                <c:pt idx="3">
                  <c:v>256</c:v>
                </c:pt>
                <c:pt idx="4">
                  <c:v>320</c:v>
                </c:pt>
                <c:pt idx="5">
                  <c:v>384</c:v>
                </c:pt>
                <c:pt idx="6">
                  <c:v>416</c:v>
                </c:pt>
                <c:pt idx="7">
                  <c:v>416</c:v>
                </c:pt>
                <c:pt idx="8">
                  <c:v>416</c:v>
                </c:pt>
                <c:pt idx="9">
                  <c:v>416</c:v>
                </c:pt>
                <c:pt idx="10">
                  <c:v>416</c:v>
                </c:pt>
                <c:pt idx="11">
                  <c:v>416</c:v>
                </c:pt>
                <c:pt idx="12">
                  <c:v>432</c:v>
                </c:pt>
                <c:pt idx="13">
                  <c:v>432</c:v>
                </c:pt>
                <c:pt idx="14">
                  <c:v>432</c:v>
                </c:pt>
                <c:pt idx="15">
                  <c:v>34330</c:v>
                </c:pt>
                <c:pt idx="16">
                  <c:v>432</c:v>
                </c:pt>
                <c:pt idx="17">
                  <c:v>432</c:v>
                </c:pt>
                <c:pt idx="18">
                  <c:v>416</c:v>
                </c:pt>
                <c:pt idx="19">
                  <c:v>416</c:v>
                </c:pt>
                <c:pt idx="20">
                  <c:v>416</c:v>
                </c:pt>
                <c:pt idx="21">
                  <c:v>416</c:v>
                </c:pt>
                <c:pt idx="22">
                  <c:v>416</c:v>
                </c:pt>
                <c:pt idx="23">
                  <c:v>416</c:v>
                </c:pt>
              </c:numCache>
            </c:numRef>
          </c:val>
          <c:smooth val="0"/>
          <c:extLst>
            <c:ext xmlns:c16="http://schemas.microsoft.com/office/drawing/2014/chart" uri="{C3380CC4-5D6E-409C-BE32-E72D297353CC}">
              <c16:uniqueId val="{00000003-5F13-492B-8380-AC6FA3E0E8BC}"/>
            </c:ext>
          </c:extLst>
        </c:ser>
        <c:dLbls>
          <c:showLegendKey val="0"/>
          <c:showVal val="0"/>
          <c:showCatName val="0"/>
          <c:showSerName val="0"/>
          <c:showPercent val="0"/>
          <c:showBubbleSize val="0"/>
        </c:dLbls>
        <c:axId val="155144591"/>
        <c:axId val="155154191"/>
        <c:axId val="140262191"/>
      </c:line3DChart>
      <c:catAx>
        <c:axId val="155144591"/>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54191"/>
        <c:crosses val="autoZero"/>
        <c:auto val="1"/>
        <c:lblAlgn val="ctr"/>
        <c:lblOffset val="100"/>
        <c:noMultiLvlLbl val="0"/>
      </c:catAx>
      <c:valAx>
        <c:axId val="1551541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44591"/>
        <c:crosses val="autoZero"/>
        <c:crossBetween val="between"/>
      </c:valAx>
      <c:serAx>
        <c:axId val="14026219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541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excel.xlsx]seasonal rents!PivotTable2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Seasonal rental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'seasonal rents'!$B$7</c:f>
              <c:strCache>
                <c:ptCount val="1"/>
                <c:pt idx="0">
                  <c:v>Average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'seasonal rents'!$A$8:$A$9</c:f>
              <c:strCache>
                <c:ptCount val="1"/>
                <c:pt idx="0">
                  <c:v>1</c:v>
                </c:pt>
              </c:strCache>
            </c:strRef>
          </c:cat>
          <c:val>
            <c:numRef>
              <c:f>'seasonal rents'!$B$8:$B$9</c:f>
              <c:numCache>
                <c:formatCode>General</c:formatCode>
                <c:ptCount val="1"/>
                <c:pt idx="0">
                  <c:v>35.755937755937758</c:v>
                </c:pt>
              </c:numCache>
            </c:numRef>
          </c:val>
          <c:extLst>
            <c:ext xmlns:c16="http://schemas.microsoft.com/office/drawing/2014/chart" uri="{C3380CC4-5D6E-409C-BE32-E72D297353CC}">
              <c16:uniqueId val="{00000000-234A-4E1A-842A-87CB27AD9E66}"/>
            </c:ext>
          </c:extLst>
        </c:ser>
        <c:ser>
          <c:idx val="1"/>
          <c:order val="1"/>
          <c:tx>
            <c:strRef>
              <c:f>'seasonal rents'!$C$7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'seasonal rents'!$A$8:$A$9</c:f>
              <c:strCache>
                <c:ptCount val="1"/>
                <c:pt idx="0">
                  <c:v>1</c:v>
                </c:pt>
              </c:strCache>
            </c:strRef>
          </c:cat>
          <c:val>
            <c:numRef>
              <c:f>'seasonal rents'!$C$8:$C$9</c:f>
              <c:numCache>
                <c:formatCode>General</c:formatCode>
                <c:ptCount val="1"/>
                <c:pt idx="0">
                  <c:v>43658</c:v>
                </c:pt>
              </c:numCache>
            </c:numRef>
          </c:val>
          <c:extLst>
            <c:ext xmlns:c16="http://schemas.microsoft.com/office/drawing/2014/chart" uri="{C3380CC4-5D6E-409C-BE32-E72D297353CC}">
              <c16:uniqueId val="{00000002-0A34-4431-9464-66F995F13858}"/>
            </c:ext>
          </c:extLst>
        </c:ser>
        <c:dLbls>
          <c:showLegendKey val="0"/>
          <c:showVal val="1"/>
          <c:showCatName val="0"/>
          <c:showSerName val="0"/>
          <c:showPercent val="0"/>
          <c:showBubbleSize val="0"/>
        </c:dLbls>
        <c:gapWidth val="150"/>
        <c:shape val="box"/>
        <c:axId val="1666904575"/>
        <c:axId val="1666902175"/>
        <c:axId val="0"/>
      </c:bar3DChart>
      <c:catAx>
        <c:axId val="1666904575"/>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902175"/>
        <c:crosses val="autoZero"/>
        <c:auto val="1"/>
        <c:lblAlgn val="ctr"/>
        <c:lblOffset val="100"/>
        <c:noMultiLvlLbl val="0"/>
      </c:catAx>
      <c:valAx>
        <c:axId val="1666902175"/>
        <c:scaling>
          <c:orientation val="minMax"/>
        </c:scaling>
        <c:delete val="0"/>
        <c:axPos val="b"/>
        <c:majorGridlines>
          <c:spPr>
            <a:ln w="9525" cap="flat" cmpd="sng" algn="ctr">
              <a:solidFill>
                <a:schemeClr val="dk1">
                  <a:lumMod val="50000"/>
                  <a:lumOff val="5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9045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excel.xlsx]weather imp!PivotTable4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Weather</a:t>
            </a:r>
            <a:r>
              <a:rPr lang="en-US" baseline="0"/>
              <a:t> impact analsis</a:t>
            </a:r>
            <a:endParaRPr lang="en-US"/>
          </a:p>
        </c:rich>
      </c:tx>
      <c:layout>
        <c:manualLayout>
          <c:xMode val="edge"/>
          <c:yMode val="edge"/>
          <c:x val="0.2217777777777778"/>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'weather imp'!$B$7</c:f>
              <c:strCache>
                <c:ptCount val="1"/>
                <c:pt idx="0">
                  <c:v>Average of cnt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 imp'!$A$8:$A$31</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'weather imp'!$B$8:$B$31</c:f>
              <c:numCache>
                <c:formatCode>General</c:formatCode>
                <c:ptCount val="23"/>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numCache>
            </c:numRef>
          </c:val>
          <c:extLst>
            <c:ext xmlns:c16="http://schemas.microsoft.com/office/drawing/2014/chart" uri="{C3380CC4-5D6E-409C-BE32-E72D297353CC}">
              <c16:uniqueId val="{00000000-1778-44A5-8A25-CC3C1C619DCE}"/>
            </c:ext>
          </c:extLst>
        </c:ser>
        <c:ser>
          <c:idx val="1"/>
          <c:order val="1"/>
          <c:tx>
            <c:strRef>
              <c:f>'weather imp'!$C$7</c:f>
              <c:strCache>
                <c:ptCount val="1"/>
                <c:pt idx="0">
                  <c:v>Sum of cnt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 imp'!$A$8:$A$31</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'weather imp'!$C$8:$C$31</c:f>
              <c:numCache>
                <c:formatCode>General</c:formatCode>
                <c:ptCount val="23"/>
                <c:pt idx="0">
                  <c:v>96</c:v>
                </c:pt>
                <c:pt idx="1">
                  <c:v>112</c:v>
                </c:pt>
                <c:pt idx="2">
                  <c:v>64</c:v>
                </c:pt>
                <c:pt idx="3">
                  <c:v>80</c:v>
                </c:pt>
                <c:pt idx="4">
                  <c:v>208</c:v>
                </c:pt>
                <c:pt idx="5">
                  <c:v>304</c:v>
                </c:pt>
                <c:pt idx="6">
                  <c:v>784</c:v>
                </c:pt>
                <c:pt idx="7">
                  <c:v>1024</c:v>
                </c:pt>
                <c:pt idx="8">
                  <c:v>480</c:v>
                </c:pt>
                <c:pt idx="9">
                  <c:v>848</c:v>
                </c:pt>
                <c:pt idx="10">
                  <c:v>1024</c:v>
                </c:pt>
                <c:pt idx="11">
                  <c:v>464</c:v>
                </c:pt>
                <c:pt idx="12">
                  <c:v>512</c:v>
                </c:pt>
                <c:pt idx="13">
                  <c:v>144</c:v>
                </c:pt>
                <c:pt idx="14">
                  <c:v>240</c:v>
                </c:pt>
                <c:pt idx="15">
                  <c:v>112</c:v>
                </c:pt>
                <c:pt idx="16">
                  <c:v>64</c:v>
                </c:pt>
                <c:pt idx="17">
                  <c:v>112</c:v>
                </c:pt>
                <c:pt idx="18">
                  <c:v>32</c:v>
                </c:pt>
                <c:pt idx="19">
                  <c:v>80</c:v>
                </c:pt>
                <c:pt idx="20">
                  <c:v>32</c:v>
                </c:pt>
                <c:pt idx="21">
                  <c:v>16</c:v>
                </c:pt>
                <c:pt idx="22">
                  <c:v>48</c:v>
                </c:pt>
              </c:numCache>
            </c:numRef>
          </c:val>
          <c:extLst>
            <c:ext xmlns:c16="http://schemas.microsoft.com/office/drawing/2014/chart" uri="{C3380CC4-5D6E-409C-BE32-E72D297353CC}">
              <c16:uniqueId val="{00000001-379A-4257-9C8F-747A703EC44E}"/>
            </c:ext>
          </c:extLst>
        </c:ser>
        <c:dLbls>
          <c:dLblPos val="outEnd"/>
          <c:showLegendKey val="0"/>
          <c:showVal val="0"/>
          <c:showCatName val="0"/>
          <c:showSerName val="0"/>
          <c:showPercent val="0"/>
          <c:showBubbleSize val="0"/>
        </c:dLbls>
        <c:gapWidth val="150"/>
        <c:axId val="644723151"/>
        <c:axId val="614483967"/>
      </c:barChart>
      <c:catAx>
        <c:axId val="644723151"/>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483967"/>
        <c:crosses val="autoZero"/>
        <c:auto val="1"/>
        <c:lblAlgn val="ctr"/>
        <c:lblOffset val="100"/>
        <c:noMultiLvlLbl val="0"/>
      </c:catAx>
      <c:valAx>
        <c:axId val="614483967"/>
        <c:scaling>
          <c:orientation val="minMax"/>
        </c:scaling>
        <c:delete val="0"/>
        <c:axPos val="b"/>
        <c:majorGridlines>
          <c:spPr>
            <a:ln w="9525" cap="flat" cmpd="sng" algn="ctr">
              <a:solidFill>
                <a:schemeClr val="dk1">
                  <a:lumMod val="50000"/>
                  <a:lumOff val="5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72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excel.xlsx]casual vs registerd!PivotTable5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Casual</a:t>
            </a:r>
            <a:r>
              <a:rPr lang="en-IN" baseline="0"/>
              <a:t> registered user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'casual vs registerd'!$B$7</c:f>
              <c:strCache>
                <c:ptCount val="1"/>
                <c:pt idx="0">
                  <c:v>Average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'casual vs registerd'!$A$8:$A$32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'casual vs registerd'!$B$8:$B$32</c:f>
              <c:numCache>
                <c:formatCode>General</c:formatCode>
                <c:ptCount val="24"/>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4.431034482758621</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00-BF94-42E0-9C36-8AC3910458AE}"/>
            </c:ext>
          </c:extLst>
        </c:ser>
        <c:ser>
          <c:idx val="1"/>
          <c:order val="1"/>
          <c:tx>
            <c:strRef>
              <c:f>'casual vs registerd'!$C$7</c:f>
              <c:strCache>
                <c:ptCount val="1"/>
                <c:pt idx="0">
                  <c:v>Average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'casual vs registerd'!$A$8:$A$32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'casual vs registerd'!$C$8:$C$32</c:f>
              <c:numCache>
                <c:formatCode>General</c:formatCode>
                <c:ptCount val="24"/>
                <c:pt idx="0">
                  <c:v>13</c:v>
                </c:pt>
                <c:pt idx="1">
                  <c:v>13</c:v>
                </c:pt>
                <c:pt idx="2">
                  <c:v>13</c:v>
                </c:pt>
                <c:pt idx="3">
                  <c:v>13</c:v>
                </c:pt>
                <c:pt idx="4">
                  <c:v>13</c:v>
                </c:pt>
                <c:pt idx="5">
                  <c:v>13</c:v>
                </c:pt>
                <c:pt idx="6">
                  <c:v>13</c:v>
                </c:pt>
                <c:pt idx="7">
                  <c:v>13</c:v>
                </c:pt>
                <c:pt idx="8">
                  <c:v>13</c:v>
                </c:pt>
                <c:pt idx="9">
                  <c:v>13</c:v>
                </c:pt>
                <c:pt idx="10">
                  <c:v>13</c:v>
                </c:pt>
                <c:pt idx="11">
                  <c:v>13</c:v>
                </c:pt>
                <c:pt idx="12">
                  <c:v>13</c:v>
                </c:pt>
                <c:pt idx="13">
                  <c:v>13</c:v>
                </c:pt>
                <c:pt idx="14">
                  <c:v>13</c:v>
                </c:pt>
                <c:pt idx="15">
                  <c:v>49.377742946708466</c:v>
                </c:pt>
                <c:pt idx="16">
                  <c:v>13</c:v>
                </c:pt>
                <c:pt idx="17">
                  <c:v>13</c:v>
                </c:pt>
                <c:pt idx="18">
                  <c:v>13</c:v>
                </c:pt>
                <c:pt idx="19">
                  <c:v>13</c:v>
                </c:pt>
                <c:pt idx="20">
                  <c:v>13</c:v>
                </c:pt>
                <c:pt idx="21">
                  <c:v>13</c:v>
                </c:pt>
                <c:pt idx="22">
                  <c:v>13</c:v>
                </c:pt>
                <c:pt idx="23">
                  <c:v>13</c:v>
                </c:pt>
              </c:numCache>
            </c:numRef>
          </c:val>
          <c:extLst>
            <c:ext xmlns:c16="http://schemas.microsoft.com/office/drawing/2014/chart" uri="{C3380CC4-5D6E-409C-BE32-E72D297353CC}">
              <c16:uniqueId val="{00000002-BF94-42E0-9C36-8AC3910458AE}"/>
            </c:ext>
          </c:extLst>
        </c:ser>
        <c:ser>
          <c:idx val="2"/>
          <c:order val="2"/>
          <c:tx>
            <c:strRef>
              <c:f>'casual vs registerd'!$D$7</c:f>
              <c:strCache>
                <c:ptCount val="1"/>
                <c:pt idx="0">
                  <c:v>Sum of cnt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'casual vs registerd'!$A$8:$A$32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'casual vs registerd'!$D$8:$D$32</c:f>
              <c:numCache>
                <c:formatCode>General</c:formatCode>
                <c:ptCount val="24"/>
                <c:pt idx="0">
                  <c:v>416</c:v>
                </c:pt>
                <c:pt idx="1">
                  <c:v>416</c:v>
                </c:pt>
                <c:pt idx="2">
                  <c:v>384</c:v>
                </c:pt>
                <c:pt idx="3">
                  <c:v>256</c:v>
                </c:pt>
                <c:pt idx="4">
                  <c:v>320</c:v>
                </c:pt>
                <c:pt idx="5">
                  <c:v>384</c:v>
                </c:pt>
                <c:pt idx="6">
                  <c:v>416</c:v>
                </c:pt>
                <c:pt idx="7">
                  <c:v>416</c:v>
                </c:pt>
                <c:pt idx="8">
                  <c:v>416</c:v>
                </c:pt>
                <c:pt idx="9">
                  <c:v>416</c:v>
                </c:pt>
                <c:pt idx="10">
                  <c:v>416</c:v>
                </c:pt>
                <c:pt idx="11">
                  <c:v>416</c:v>
                </c:pt>
                <c:pt idx="12">
                  <c:v>432</c:v>
                </c:pt>
                <c:pt idx="13">
                  <c:v>432</c:v>
                </c:pt>
                <c:pt idx="14">
                  <c:v>432</c:v>
                </c:pt>
                <c:pt idx="15">
                  <c:v>34330</c:v>
                </c:pt>
                <c:pt idx="16">
                  <c:v>432</c:v>
                </c:pt>
                <c:pt idx="17">
                  <c:v>432</c:v>
                </c:pt>
                <c:pt idx="18">
                  <c:v>416</c:v>
                </c:pt>
                <c:pt idx="19">
                  <c:v>416</c:v>
                </c:pt>
                <c:pt idx="20">
                  <c:v>416</c:v>
                </c:pt>
                <c:pt idx="21">
                  <c:v>416</c:v>
                </c:pt>
                <c:pt idx="22">
                  <c:v>416</c:v>
                </c:pt>
                <c:pt idx="23">
                  <c:v>416</c:v>
                </c:pt>
              </c:numCache>
            </c:numRef>
          </c:val>
          <c:extLst>
            <c:ext xmlns:c16="http://schemas.microsoft.com/office/drawing/2014/chart" uri="{C3380CC4-5D6E-409C-BE32-E72D297353CC}">
              <c16:uniqueId val="{00000004-E707-458B-BD0D-3CD433A2815C}"/>
            </c:ext>
          </c:extLst>
        </c:ser>
        <c:dLbls>
          <c:showLegendKey val="0"/>
          <c:showVal val="0"/>
          <c:showCatName val="0"/>
          <c:showSerName val="0"/>
          <c:showPercent val="0"/>
          <c:showBubbleSize val="0"/>
        </c:dLbls>
        <c:axId val="614884591"/>
        <c:axId val="614882191"/>
      </c:areaChart>
      <c:catAx>
        <c:axId val="6148845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882191"/>
        <c:crosses val="autoZero"/>
        <c:auto val="1"/>
        <c:lblAlgn val="ctr"/>
        <c:lblOffset val="100"/>
        <c:noMultiLvlLbl val="0"/>
      </c:catAx>
      <c:valAx>
        <c:axId val="6148821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8845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excel.xlsx]Temp effect!PivotTable6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Temperature</a:t>
            </a:r>
            <a:r>
              <a:rPr lang="en-US" baseline="0"/>
              <a:t> effects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97550306211721E-2"/>
          <c:y val="0.26472003499562552"/>
          <c:w val="0.66994335083114609"/>
          <c:h val="0.31093030037911928"/>
        </c:manualLayout>
      </c:layout>
      <c:lineChart>
        <c:grouping val="standard"/>
        <c:varyColors val="0"/>
        <c:ser>
          <c:idx val="0"/>
          <c:order val="0"/>
          <c:tx>
            <c:strRef>
              <c:f>'Temp effect'!$B$7</c:f>
              <c:strCache>
                <c:ptCount val="1"/>
                <c:pt idx="0">
                  <c:v>Avg. rental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'Temp effect'!$A$8:$A$31</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 effect'!$B$8:$B$31</c:f>
              <c:numCache>
                <c:formatCode>General</c:formatCode>
                <c:ptCount val="23"/>
                <c:pt idx="0">
                  <c:v>16</c:v>
                </c:pt>
                <c:pt idx="1">
                  <c:v>16</c:v>
                </c:pt>
                <c:pt idx="2">
                  <c:v>16</c:v>
                </c:pt>
                <c:pt idx="3">
                  <c:v>16</c:v>
                </c:pt>
                <c:pt idx="4">
                  <c:v>16</c:v>
                </c:pt>
                <c:pt idx="5">
                  <c:v>16</c:v>
                </c:pt>
                <c:pt idx="6">
                  <c:v>16</c:v>
                </c:pt>
                <c:pt idx="7">
                  <c:v>16</c:v>
                </c:pt>
                <c:pt idx="8">
                  <c:v>16</c:v>
                </c:pt>
                <c:pt idx="9">
                  <c:v>50.46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numCache>
            </c:numRef>
          </c:val>
          <c:smooth val="1"/>
          <c:extLst>
            <c:ext xmlns:c16="http://schemas.microsoft.com/office/drawing/2014/chart" uri="{C3380CC4-5D6E-409C-BE32-E72D297353CC}">
              <c16:uniqueId val="{00000000-7D29-429E-B115-878C0C603F74}"/>
            </c:ext>
          </c:extLst>
        </c:ser>
        <c:ser>
          <c:idx val="1"/>
          <c:order val="1"/>
          <c:tx>
            <c:strRef>
              <c:f>'Temp effect'!$C$7</c:f>
              <c:strCache>
                <c:ptCount val="1"/>
                <c:pt idx="0">
                  <c:v>ToTal rental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'Temp effect'!$A$8:$A$31</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 effect'!$C$8:$C$31</c:f>
              <c:numCache>
                <c:formatCode>General</c:formatCode>
                <c:ptCount val="23"/>
                <c:pt idx="0">
                  <c:v>160</c:v>
                </c:pt>
                <c:pt idx="1">
                  <c:v>224</c:v>
                </c:pt>
                <c:pt idx="2">
                  <c:v>176</c:v>
                </c:pt>
                <c:pt idx="3">
                  <c:v>144</c:v>
                </c:pt>
                <c:pt idx="4">
                  <c:v>352</c:v>
                </c:pt>
                <c:pt idx="5">
                  <c:v>464</c:v>
                </c:pt>
                <c:pt idx="6">
                  <c:v>896</c:v>
                </c:pt>
                <c:pt idx="7">
                  <c:v>1344</c:v>
                </c:pt>
                <c:pt idx="8">
                  <c:v>864</c:v>
                </c:pt>
                <c:pt idx="9">
                  <c:v>35322</c:v>
                </c:pt>
                <c:pt idx="10">
                  <c:v>1264</c:v>
                </c:pt>
                <c:pt idx="11">
                  <c:v>640</c:v>
                </c:pt>
                <c:pt idx="12">
                  <c:v>512</c:v>
                </c:pt>
                <c:pt idx="13">
                  <c:v>160</c:v>
                </c:pt>
                <c:pt idx="14">
                  <c:v>304</c:v>
                </c:pt>
                <c:pt idx="15">
                  <c:v>208</c:v>
                </c:pt>
                <c:pt idx="16">
                  <c:v>80</c:v>
                </c:pt>
                <c:pt idx="17">
                  <c:v>128</c:v>
                </c:pt>
                <c:pt idx="18">
                  <c:v>48</c:v>
                </c:pt>
                <c:pt idx="19">
                  <c:v>128</c:v>
                </c:pt>
                <c:pt idx="20">
                  <c:v>96</c:v>
                </c:pt>
                <c:pt idx="21">
                  <c:v>48</c:v>
                </c:pt>
                <c:pt idx="22">
                  <c:v>96</c:v>
                </c:pt>
              </c:numCache>
            </c:numRef>
          </c:val>
          <c:smooth val="0"/>
          <c:extLst>
            <c:ext xmlns:c16="http://schemas.microsoft.com/office/drawing/2014/chart" uri="{C3380CC4-5D6E-409C-BE32-E72D297353CC}">
              <c16:uniqueId val="{00000000-C691-431E-9512-10E4E08DB6E7}"/>
            </c:ext>
          </c:extLst>
        </c:ser>
        <c:dLbls>
          <c:showLegendKey val="0"/>
          <c:showVal val="0"/>
          <c:showCatName val="0"/>
          <c:showSerName val="0"/>
          <c:showPercent val="0"/>
          <c:showBubbleSize val="0"/>
        </c:dLbls>
        <c:smooth val="0"/>
        <c:axId val="1667615167"/>
        <c:axId val="588439423"/>
      </c:lineChart>
      <c:catAx>
        <c:axId val="1667615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439423"/>
        <c:crosses val="autoZero"/>
        <c:auto val="1"/>
        <c:lblAlgn val="ctr"/>
        <c:lblOffset val="100"/>
        <c:noMultiLvlLbl val="0"/>
      </c:catAx>
      <c:valAx>
        <c:axId val="5884394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761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excel.xlsx]Average rental !PivotTable1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'Average rental '!$B$6</c:f>
              <c:strCache>
                <c:ptCount val="1"/>
                <c:pt idx="0">
                  <c:v>Avge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'!$B$7:$B$31</c:f>
              <c:numCache>
                <c:formatCode>0.00</c:formatCode>
                <c:ptCount val="24"/>
                <c:pt idx="0">
                  <c:v>17.418604651162791</c:v>
                </c:pt>
                <c:pt idx="1">
                  <c:v>14.813953488372093</c:v>
                </c:pt>
                <c:pt idx="2">
                  <c:v>12.390243902439025</c:v>
                </c:pt>
                <c:pt idx="3">
                  <c:v>10.67741935483871</c:v>
                </c:pt>
                <c:pt idx="4">
                  <c:v>10.96875</c:v>
                </c:pt>
                <c:pt idx="5">
                  <c:v>11.615384615384615</c:v>
                </c:pt>
                <c:pt idx="6">
                  <c:v>18.142857142857142</c:v>
                </c:pt>
                <c:pt idx="7">
                  <c:v>31.674418604651162</c:v>
                </c:pt>
                <c:pt idx="8">
                  <c:v>59.19047619047619</c:v>
                </c:pt>
                <c:pt idx="9">
                  <c:v>45.047619047619051</c:v>
                </c:pt>
                <c:pt idx="10">
                  <c:v>32.571428571428569</c:v>
                </c:pt>
                <c:pt idx="11">
                  <c:v>34.642857142857146</c:v>
                </c:pt>
                <c:pt idx="12">
                  <c:v>41.372093023255815</c:v>
                </c:pt>
                <c:pt idx="13">
                  <c:v>41.697674418604649</c:v>
                </c:pt>
                <c:pt idx="14">
                  <c:v>41.97674418604651</c:v>
                </c:pt>
                <c:pt idx="15">
                  <c:v>54.660550458715598</c:v>
                </c:pt>
                <c:pt idx="16">
                  <c:v>49.090909090909093</c:v>
                </c:pt>
                <c:pt idx="17">
                  <c:v>69.340909090909093</c:v>
                </c:pt>
                <c:pt idx="18">
                  <c:v>60.860465116279073</c:v>
                </c:pt>
                <c:pt idx="19">
                  <c:v>43.348837209302324</c:v>
                </c:pt>
                <c:pt idx="20">
                  <c:v>35.604651162790695</c:v>
                </c:pt>
                <c:pt idx="21">
                  <c:v>31.093023255813954</c:v>
                </c:pt>
                <c:pt idx="22">
                  <c:v>25.255813953488371</c:v>
                </c:pt>
                <c:pt idx="23">
                  <c:v>21.837209302325583</c:v>
                </c:pt>
              </c:numCache>
            </c:numRef>
          </c:val>
          <c:extLst>
            <c:ext xmlns:c16="http://schemas.microsoft.com/office/drawing/2014/chart" uri="{C3380CC4-5D6E-409C-BE32-E72D297353CC}">
              <c16:uniqueId val="{00000002-F76D-4634-B10C-62C3EA471F9B}"/>
            </c:ext>
          </c:extLst>
        </c:ser>
        <c:ser>
          <c:idx val="1"/>
          <c:order val="1"/>
          <c:tx>
            <c:strRef>
              <c:f>'Average rental '!$C$6</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'!$C$7:$C$31</c:f>
              <c:numCache>
                <c:formatCode>General</c:formatCode>
                <c:ptCount val="24"/>
                <c:pt idx="0">
                  <c:v>749</c:v>
                </c:pt>
                <c:pt idx="1">
                  <c:v>637</c:v>
                </c:pt>
                <c:pt idx="2">
                  <c:v>508</c:v>
                </c:pt>
                <c:pt idx="3">
                  <c:v>331</c:v>
                </c:pt>
                <c:pt idx="4">
                  <c:v>351</c:v>
                </c:pt>
                <c:pt idx="5">
                  <c:v>453</c:v>
                </c:pt>
                <c:pt idx="6">
                  <c:v>762</c:v>
                </c:pt>
                <c:pt idx="7">
                  <c:v>1362</c:v>
                </c:pt>
                <c:pt idx="8">
                  <c:v>2486</c:v>
                </c:pt>
                <c:pt idx="9">
                  <c:v>1892</c:v>
                </c:pt>
                <c:pt idx="10">
                  <c:v>1368</c:v>
                </c:pt>
                <c:pt idx="11">
                  <c:v>1455</c:v>
                </c:pt>
                <c:pt idx="12">
                  <c:v>1779</c:v>
                </c:pt>
                <c:pt idx="13">
                  <c:v>1793</c:v>
                </c:pt>
                <c:pt idx="14">
                  <c:v>1805</c:v>
                </c:pt>
                <c:pt idx="15">
                  <c:v>35748</c:v>
                </c:pt>
                <c:pt idx="16">
                  <c:v>2160</c:v>
                </c:pt>
                <c:pt idx="17">
                  <c:v>3051</c:v>
                </c:pt>
                <c:pt idx="18">
                  <c:v>2617</c:v>
                </c:pt>
                <c:pt idx="19">
                  <c:v>1864</c:v>
                </c:pt>
                <c:pt idx="20">
                  <c:v>1531</c:v>
                </c:pt>
                <c:pt idx="21">
                  <c:v>1337</c:v>
                </c:pt>
                <c:pt idx="22">
                  <c:v>1086</c:v>
                </c:pt>
                <c:pt idx="23">
                  <c:v>939</c:v>
                </c:pt>
              </c:numCache>
            </c:numRef>
          </c:val>
          <c:extLst>
            <c:ext xmlns:c16="http://schemas.microsoft.com/office/drawing/2014/chart" uri="{C3380CC4-5D6E-409C-BE32-E72D297353CC}">
              <c16:uniqueId val="{00000003-F76D-4634-B10C-62C3EA471F9B}"/>
            </c:ext>
          </c:extLst>
        </c:ser>
        <c:ser>
          <c:idx val="2"/>
          <c:order val="2"/>
          <c:tx>
            <c:strRef>
              <c:f>'Average rental '!$D$6</c:f>
              <c:strCache>
                <c:ptCount val="1"/>
                <c:pt idx="0">
                  <c:v>Min of rental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'!$D$7:$D$31</c:f>
              <c:numCache>
                <c:formatCode>General</c:formatCode>
                <c:ptCount val="24"/>
                <c:pt idx="0">
                  <c:v>2</c:v>
                </c:pt>
                <c:pt idx="1">
                  <c:v>3</c:v>
                </c:pt>
                <c:pt idx="2">
                  <c:v>1</c:v>
                </c:pt>
                <c:pt idx="3">
                  <c:v>1</c:v>
                </c:pt>
                <c:pt idx="4">
                  <c:v>1</c:v>
                </c:pt>
                <c:pt idx="5">
                  <c:v>1</c:v>
                </c:pt>
                <c:pt idx="6">
                  <c:v>1</c:v>
                </c:pt>
                <c:pt idx="7">
                  <c:v>3</c:v>
                </c:pt>
                <c:pt idx="8">
                  <c:v>10</c:v>
                </c:pt>
                <c:pt idx="9">
                  <c:v>16</c:v>
                </c:pt>
                <c:pt idx="10">
                  <c:v>16</c:v>
                </c:pt>
                <c:pt idx="11">
                  <c:v>16</c:v>
                </c:pt>
                <c:pt idx="12">
                  <c:v>16</c:v>
                </c:pt>
                <c:pt idx="13">
                  <c:v>16</c:v>
                </c:pt>
                <c:pt idx="14">
                  <c:v>16</c:v>
                </c:pt>
                <c:pt idx="15">
                  <c:v>0</c:v>
                </c:pt>
                <c:pt idx="16">
                  <c:v>16</c:v>
                </c:pt>
                <c:pt idx="17">
                  <c:v>16</c:v>
                </c:pt>
                <c:pt idx="18">
                  <c:v>16</c:v>
                </c:pt>
                <c:pt idx="19">
                  <c:v>16</c:v>
                </c:pt>
                <c:pt idx="20">
                  <c:v>16</c:v>
                </c:pt>
                <c:pt idx="21">
                  <c:v>16</c:v>
                </c:pt>
                <c:pt idx="22">
                  <c:v>16</c:v>
                </c:pt>
                <c:pt idx="23">
                  <c:v>12</c:v>
                </c:pt>
              </c:numCache>
            </c:numRef>
          </c:val>
          <c:extLst>
            <c:ext xmlns:c16="http://schemas.microsoft.com/office/drawing/2014/chart" uri="{C3380CC4-5D6E-409C-BE32-E72D297353CC}">
              <c16:uniqueId val="{00000004-F76D-4634-B10C-62C3EA471F9B}"/>
            </c:ext>
          </c:extLst>
        </c:ser>
        <c:ser>
          <c:idx val="3"/>
          <c:order val="3"/>
          <c:tx>
            <c:strRef>
              <c:f>'Average rental '!$E$6</c:f>
              <c:strCache>
                <c:ptCount val="1"/>
                <c:pt idx="0">
                  <c:v>Max of rental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'!$E$7:$E$31</c:f>
              <c:numCache>
                <c:formatCode>General</c:formatCode>
                <c:ptCount val="24"/>
                <c:pt idx="0">
                  <c:v>39</c:v>
                </c:pt>
                <c:pt idx="1">
                  <c:v>44</c:v>
                </c:pt>
                <c:pt idx="2">
                  <c:v>20</c:v>
                </c:pt>
                <c:pt idx="3">
                  <c:v>16</c:v>
                </c:pt>
                <c:pt idx="4">
                  <c:v>16</c:v>
                </c:pt>
                <c:pt idx="5">
                  <c:v>16</c:v>
                </c:pt>
                <c:pt idx="6">
                  <c:v>43</c:v>
                </c:pt>
                <c:pt idx="7">
                  <c:v>100</c:v>
                </c:pt>
                <c:pt idx="8">
                  <c:v>243</c:v>
                </c:pt>
                <c:pt idx="9">
                  <c:v>140</c:v>
                </c:pt>
                <c:pt idx="10">
                  <c:v>105</c:v>
                </c:pt>
                <c:pt idx="11">
                  <c:v>117</c:v>
                </c:pt>
                <c:pt idx="12">
                  <c:v>174</c:v>
                </c:pt>
                <c:pt idx="13">
                  <c:v>182</c:v>
                </c:pt>
                <c:pt idx="14">
                  <c:v>161</c:v>
                </c:pt>
                <c:pt idx="15">
                  <c:v>249</c:v>
                </c:pt>
                <c:pt idx="16">
                  <c:v>157</c:v>
                </c:pt>
                <c:pt idx="17">
                  <c:v>216</c:v>
                </c:pt>
                <c:pt idx="18">
                  <c:v>182</c:v>
                </c:pt>
                <c:pt idx="19">
                  <c:v>128</c:v>
                </c:pt>
                <c:pt idx="20">
                  <c:v>109</c:v>
                </c:pt>
                <c:pt idx="21">
                  <c:v>83</c:v>
                </c:pt>
                <c:pt idx="22">
                  <c:v>62</c:v>
                </c:pt>
                <c:pt idx="23">
                  <c:v>59</c:v>
                </c:pt>
              </c:numCache>
            </c:numRef>
          </c:val>
          <c:extLst>
            <c:ext xmlns:c16="http://schemas.microsoft.com/office/drawing/2014/chart" uri="{C3380CC4-5D6E-409C-BE32-E72D297353CC}">
              <c16:uniqueId val="{00000005-F76D-4634-B10C-62C3EA471F9B}"/>
            </c:ext>
          </c:extLst>
        </c:ser>
        <c:ser>
          <c:idx val="4"/>
          <c:order val="4"/>
          <c:tx>
            <c:strRef>
              <c:f>'Average rental '!$F$6</c:f>
              <c:strCache>
                <c:ptCount val="1"/>
                <c:pt idx="0">
                  <c:v>Average of casual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'!$F$7:$F$31</c:f>
              <c:numCache>
                <c:formatCode>0.00</c:formatCode>
                <c:ptCount val="24"/>
                <c:pt idx="0">
                  <c:v>2.558139534883721</c:v>
                </c:pt>
                <c:pt idx="1">
                  <c:v>2.2790697674418605</c:v>
                </c:pt>
                <c:pt idx="2">
                  <c:v>2.1219512195121952</c:v>
                </c:pt>
                <c:pt idx="3">
                  <c:v>2.064516129032258</c:v>
                </c:pt>
                <c:pt idx="4">
                  <c:v>1.9375</c:v>
                </c:pt>
                <c:pt idx="5">
                  <c:v>1.8717948717948718</c:v>
                </c:pt>
                <c:pt idx="6">
                  <c:v>2.0714285714285716</c:v>
                </c:pt>
                <c:pt idx="7">
                  <c:v>2.3255813953488373</c:v>
                </c:pt>
                <c:pt idx="8">
                  <c:v>2.9761904761904763</c:v>
                </c:pt>
                <c:pt idx="9">
                  <c:v>3.5</c:v>
                </c:pt>
                <c:pt idx="10">
                  <c:v>4.1190476190476186</c:v>
                </c:pt>
                <c:pt idx="11">
                  <c:v>5.3095238095238093</c:v>
                </c:pt>
                <c:pt idx="12">
                  <c:v>6.7674418604651159</c:v>
                </c:pt>
                <c:pt idx="13">
                  <c:v>7.2325581395348841</c:v>
                </c:pt>
                <c:pt idx="14">
                  <c:v>7.0930232558139537</c:v>
                </c:pt>
                <c:pt idx="15">
                  <c:v>4.6957186544342511</c:v>
                </c:pt>
                <c:pt idx="16">
                  <c:v>7.2954545454545459</c:v>
                </c:pt>
                <c:pt idx="17">
                  <c:v>6.0909090909090908</c:v>
                </c:pt>
                <c:pt idx="18">
                  <c:v>3.9767441860465116</c:v>
                </c:pt>
                <c:pt idx="19">
                  <c:v>3.441860465116279</c:v>
                </c:pt>
                <c:pt idx="20">
                  <c:v>3.1627906976744184</c:v>
                </c:pt>
                <c:pt idx="21">
                  <c:v>2.9534883720930232</c:v>
                </c:pt>
                <c:pt idx="22">
                  <c:v>2.9069767441860463</c:v>
                </c:pt>
                <c:pt idx="23">
                  <c:v>2.9767441860465116</c:v>
                </c:pt>
              </c:numCache>
            </c:numRef>
          </c:val>
          <c:extLst>
            <c:ext xmlns:c16="http://schemas.microsoft.com/office/drawing/2014/chart" uri="{C3380CC4-5D6E-409C-BE32-E72D297353CC}">
              <c16:uniqueId val="{00000006-F76D-4634-B10C-62C3EA471F9B}"/>
            </c:ext>
          </c:extLst>
        </c:ser>
        <c:ser>
          <c:idx val="5"/>
          <c:order val="5"/>
          <c:tx>
            <c:strRef>
              <c:f>'Average rental '!$G$6</c:f>
              <c:strCache>
                <c:ptCount val="1"/>
                <c:pt idx="0">
                  <c:v>Average of registered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'!$G$7:$G$31</c:f>
              <c:numCache>
                <c:formatCode>0.00</c:formatCode>
                <c:ptCount val="24"/>
                <c:pt idx="0">
                  <c:v>14.86046511627907</c:v>
                </c:pt>
                <c:pt idx="1">
                  <c:v>12.534883720930232</c:v>
                </c:pt>
                <c:pt idx="2">
                  <c:v>10.268292682926829</c:v>
                </c:pt>
                <c:pt idx="3">
                  <c:v>8.612903225806452</c:v>
                </c:pt>
                <c:pt idx="4">
                  <c:v>9.03125</c:v>
                </c:pt>
                <c:pt idx="5">
                  <c:v>9.7435897435897427</c:v>
                </c:pt>
                <c:pt idx="6">
                  <c:v>16.071428571428573</c:v>
                </c:pt>
                <c:pt idx="7">
                  <c:v>29.348837209302324</c:v>
                </c:pt>
                <c:pt idx="8">
                  <c:v>56.214285714285715</c:v>
                </c:pt>
                <c:pt idx="9">
                  <c:v>41.547619047619051</c:v>
                </c:pt>
                <c:pt idx="10">
                  <c:v>28.452380952380953</c:v>
                </c:pt>
                <c:pt idx="11">
                  <c:v>29.333333333333332</c:v>
                </c:pt>
                <c:pt idx="12">
                  <c:v>34.604651162790695</c:v>
                </c:pt>
                <c:pt idx="13">
                  <c:v>34.465116279069768</c:v>
                </c:pt>
                <c:pt idx="14">
                  <c:v>34.883720930232556</c:v>
                </c:pt>
                <c:pt idx="15">
                  <c:v>49.964831804281346</c:v>
                </c:pt>
                <c:pt idx="16">
                  <c:v>41.795454545454547</c:v>
                </c:pt>
                <c:pt idx="17">
                  <c:v>63.25</c:v>
                </c:pt>
                <c:pt idx="18">
                  <c:v>56.883720930232556</c:v>
                </c:pt>
                <c:pt idx="19">
                  <c:v>39.906976744186046</c:v>
                </c:pt>
                <c:pt idx="20">
                  <c:v>32.441860465116278</c:v>
                </c:pt>
                <c:pt idx="21">
                  <c:v>28.13953488372093</c:v>
                </c:pt>
                <c:pt idx="22">
                  <c:v>22.348837209302324</c:v>
                </c:pt>
                <c:pt idx="23">
                  <c:v>18.86046511627907</c:v>
                </c:pt>
              </c:numCache>
            </c:numRef>
          </c:val>
          <c:extLst>
            <c:ext xmlns:c16="http://schemas.microsoft.com/office/drawing/2014/chart" uri="{C3380CC4-5D6E-409C-BE32-E72D297353CC}">
              <c16:uniqueId val="{00000007-F76D-4634-B10C-62C3EA471F9B}"/>
            </c:ext>
          </c:extLst>
        </c:ser>
        <c:ser>
          <c:idx val="6"/>
          <c:order val="6"/>
          <c:tx>
            <c:strRef>
              <c:f>'Average rental '!$H$6</c:f>
              <c:strCache>
                <c:ptCount val="1"/>
                <c:pt idx="0">
                  <c:v>Average of temp</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'!$H$7:$H$31</c:f>
              <c:numCache>
                <c:formatCode>0.00</c:formatCode>
                <c:ptCount val="24"/>
                <c:pt idx="0">
                  <c:v>0.19069767441860466</c:v>
                </c:pt>
                <c:pt idx="1">
                  <c:v>0.1841860465116279</c:v>
                </c:pt>
                <c:pt idx="2">
                  <c:v>0.1824390243902439</c:v>
                </c:pt>
                <c:pt idx="3">
                  <c:v>0.18193548387096778</c:v>
                </c:pt>
                <c:pt idx="4">
                  <c:v>0.18812500000000001</c:v>
                </c:pt>
                <c:pt idx="5">
                  <c:v>0.16564102564102567</c:v>
                </c:pt>
                <c:pt idx="6">
                  <c:v>0.16714285714285715</c:v>
                </c:pt>
                <c:pt idx="7">
                  <c:v>0.16418604651162791</c:v>
                </c:pt>
                <c:pt idx="8">
                  <c:v>0.16523809523809524</c:v>
                </c:pt>
                <c:pt idx="9">
                  <c:v>0.180952380952381</c:v>
                </c:pt>
                <c:pt idx="10">
                  <c:v>0.19619047619047617</c:v>
                </c:pt>
                <c:pt idx="11">
                  <c:v>0.21428571428571433</c:v>
                </c:pt>
                <c:pt idx="12">
                  <c:v>0.23023255813953494</c:v>
                </c:pt>
                <c:pt idx="13">
                  <c:v>0.24232558139534888</c:v>
                </c:pt>
                <c:pt idx="14">
                  <c:v>0.25488372093023254</c:v>
                </c:pt>
                <c:pt idx="15">
                  <c:v>0.20373088685015475</c:v>
                </c:pt>
                <c:pt idx="16">
                  <c:v>0.25409090909090915</c:v>
                </c:pt>
                <c:pt idx="17">
                  <c:v>0.24318181818181819</c:v>
                </c:pt>
                <c:pt idx="18">
                  <c:v>0.23209302325581396</c:v>
                </c:pt>
                <c:pt idx="19">
                  <c:v>0.22232558139534889</c:v>
                </c:pt>
                <c:pt idx="20">
                  <c:v>0.21069767441860465</c:v>
                </c:pt>
                <c:pt idx="21">
                  <c:v>0.20232558139534881</c:v>
                </c:pt>
                <c:pt idx="22">
                  <c:v>0.19627906976744186</c:v>
                </c:pt>
                <c:pt idx="23">
                  <c:v>0.19488372093023257</c:v>
                </c:pt>
              </c:numCache>
            </c:numRef>
          </c:val>
          <c:extLst>
            <c:ext xmlns:c16="http://schemas.microsoft.com/office/drawing/2014/chart" uri="{C3380CC4-5D6E-409C-BE32-E72D297353CC}">
              <c16:uniqueId val="{00000008-F76D-4634-B10C-62C3EA471F9B}"/>
            </c:ext>
          </c:extLst>
        </c:ser>
        <c:dLbls>
          <c:showLegendKey val="0"/>
          <c:showVal val="0"/>
          <c:showCatName val="0"/>
          <c:showSerName val="0"/>
          <c:showPercent val="0"/>
          <c:showBubbleSize val="0"/>
        </c:dLbls>
        <c:gapWidth val="150"/>
        <c:shape val="box"/>
        <c:axId val="1364383184"/>
        <c:axId val="1364377904"/>
        <c:axId val="1701443200"/>
      </c:bar3DChart>
      <c:catAx>
        <c:axId val="136438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77904"/>
        <c:crosses val="autoZero"/>
        <c:auto val="1"/>
        <c:lblAlgn val="ctr"/>
        <c:lblOffset val="100"/>
        <c:noMultiLvlLbl val="0"/>
      </c:catAx>
      <c:valAx>
        <c:axId val="1364377904"/>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83184"/>
        <c:crosses val="autoZero"/>
        <c:crossBetween val="between"/>
      </c:valAx>
      <c:serAx>
        <c:axId val="1701443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77904"/>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excel.xlsx]weekdays vs weekensa!PivotTable1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Weekdays</a:t>
            </a:r>
            <a:r>
              <a:rPr lang="en-IN" baseline="0"/>
              <a:t> vs Weekend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40332458442694"/>
          <c:y val="0.26009040536599592"/>
          <c:w val="0.31828783902012248"/>
          <c:h val="0.4117512394284048"/>
        </c:manualLayout>
      </c:layout>
      <c:bar3DChart>
        <c:barDir val="col"/>
        <c:grouping val="standard"/>
        <c:varyColors val="0"/>
        <c:ser>
          <c:idx val="0"/>
          <c:order val="0"/>
          <c:tx>
            <c:strRef>
              <c:f>'weekdays vs weekensa'!$B$7</c:f>
              <c:strCache>
                <c:ptCount val="1"/>
                <c:pt idx="0">
                  <c:v>Average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weekensa'!$B$8:$B$10</c:f>
              <c:numCache>
                <c:formatCode>General</c:formatCode>
                <c:ptCount val="2"/>
                <c:pt idx="0">
                  <c:v>33.995689655172413</c:v>
                </c:pt>
                <c:pt idx="1">
                  <c:v>48.527868852459015</c:v>
                </c:pt>
              </c:numCache>
            </c:numRef>
          </c:val>
          <c:extLst>
            <c:ext xmlns:c16="http://schemas.microsoft.com/office/drawing/2014/chart" uri="{C3380CC4-5D6E-409C-BE32-E72D297353CC}">
              <c16:uniqueId val="{00000000-C9E7-4A95-9B74-1C7543C337DF}"/>
            </c:ext>
          </c:extLst>
        </c:ser>
        <c:ser>
          <c:idx val="1"/>
          <c:order val="1"/>
          <c:tx>
            <c:strRef>
              <c:f>'weekdays vs weekensa'!$C$7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weekensa'!$C$8:$C$10</c:f>
              <c:numCache>
                <c:formatCode>General</c:formatCode>
                <c:ptCount val="2"/>
                <c:pt idx="0">
                  <c:v>23661</c:v>
                </c:pt>
                <c:pt idx="1">
                  <c:v>44403</c:v>
                </c:pt>
              </c:numCache>
            </c:numRef>
          </c:val>
          <c:extLst>
            <c:ext xmlns:c16="http://schemas.microsoft.com/office/drawing/2014/chart" uri="{C3380CC4-5D6E-409C-BE32-E72D297353CC}">
              <c16:uniqueId val="{00000001-C9E7-4A95-9B74-1C7543C337DF}"/>
            </c:ext>
          </c:extLst>
        </c:ser>
        <c:ser>
          <c:idx val="2"/>
          <c:order val="2"/>
          <c:tx>
            <c:strRef>
              <c:f>'weekdays vs weekensa'!$D$7</c:f>
              <c:strCache>
                <c:ptCount val="1"/>
                <c:pt idx="0">
                  <c:v>Average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weekensa'!$D$8:$D$10</c:f>
              <c:numCache>
                <c:formatCode>General</c:formatCode>
                <c:ptCount val="2"/>
                <c:pt idx="0">
                  <c:v>3.8721264367816093</c:v>
                </c:pt>
                <c:pt idx="1">
                  <c:v>4.4327868852459016</c:v>
                </c:pt>
              </c:numCache>
            </c:numRef>
          </c:val>
          <c:extLst>
            <c:ext xmlns:c16="http://schemas.microsoft.com/office/drawing/2014/chart" uri="{C3380CC4-5D6E-409C-BE32-E72D297353CC}">
              <c16:uniqueId val="{00000002-C9E7-4A95-9B74-1C7543C337DF}"/>
            </c:ext>
          </c:extLst>
        </c:ser>
        <c:ser>
          <c:idx val="3"/>
          <c:order val="3"/>
          <c:tx>
            <c:strRef>
              <c:f>'weekdays vs weekensa'!$E$7</c:f>
              <c:strCache>
                <c:ptCount val="1"/>
                <c:pt idx="0">
                  <c:v>Average of registered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weekensa'!$E$8:$E$10</c:f>
              <c:numCache>
                <c:formatCode>General</c:formatCode>
                <c:ptCount val="2"/>
                <c:pt idx="0">
                  <c:v>30.123563218390803</c:v>
                </c:pt>
                <c:pt idx="1">
                  <c:v>44.095081967213112</c:v>
                </c:pt>
              </c:numCache>
            </c:numRef>
          </c:val>
          <c:extLst>
            <c:ext xmlns:c16="http://schemas.microsoft.com/office/drawing/2014/chart" uri="{C3380CC4-5D6E-409C-BE32-E72D297353CC}">
              <c16:uniqueId val="{00000003-C9E7-4A95-9B74-1C7543C337DF}"/>
            </c:ext>
          </c:extLst>
        </c:ser>
        <c:dLbls>
          <c:showLegendKey val="0"/>
          <c:showVal val="0"/>
          <c:showCatName val="0"/>
          <c:showSerName val="0"/>
          <c:showPercent val="0"/>
          <c:showBubbleSize val="0"/>
        </c:dLbls>
        <c:gapWidth val="150"/>
        <c:shape val="box"/>
        <c:axId val="1663749439"/>
        <c:axId val="1663747519"/>
        <c:axId val="1684372191"/>
      </c:bar3DChart>
      <c:catAx>
        <c:axId val="166374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7519"/>
        <c:crosses val="autoZero"/>
        <c:auto val="1"/>
        <c:lblAlgn val="ctr"/>
        <c:lblOffset val="100"/>
        <c:noMultiLvlLbl val="0"/>
      </c:catAx>
      <c:valAx>
        <c:axId val="166374751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9439"/>
        <c:crosses val="autoZero"/>
        <c:crossBetween val="between"/>
      </c:valAx>
      <c:serAx>
        <c:axId val="16843721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75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excel.xlsx]Time period!PivotTable3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Time</a:t>
            </a:r>
            <a:r>
              <a:rPr lang="en-IN" baseline="0"/>
              <a:t> period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'Time period'!$B$7</c:f>
              <c:strCache>
                <c:ptCount val="1"/>
                <c:pt idx="0">
                  <c:v>Average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period'!$B$8:$B$13</c:f>
              <c:numCache>
                <c:formatCode>General</c:formatCode>
                <c:ptCount val="5"/>
                <c:pt idx="0">
                  <c:v>52.522349936143037</c:v>
                </c:pt>
                <c:pt idx="1">
                  <c:v>51.718894009216591</c:v>
                </c:pt>
                <c:pt idx="2">
                  <c:v>25.630705394190873</c:v>
                </c:pt>
                <c:pt idx="3">
                  <c:v>26.062015503875969</c:v>
                </c:pt>
              </c:numCache>
            </c:numRef>
          </c:val>
          <c:extLst>
            <c:ext xmlns:c16="http://schemas.microsoft.com/office/drawing/2014/chart" uri="{C3380CC4-5D6E-409C-BE32-E72D297353CC}">
              <c16:uniqueId val="{00000000-4BB0-405A-9A8D-0B7381E7C920}"/>
            </c:ext>
          </c:extLst>
        </c:ser>
        <c:ser>
          <c:idx val="1"/>
          <c:order val="1"/>
          <c:tx>
            <c:strRef>
              <c:f>'Time period'!$C$7</c:f>
              <c:strCache>
                <c:ptCount val="1"/>
                <c:pt idx="0">
                  <c:v>Average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period'!$C$8:$C$13</c:f>
              <c:numCache>
                <c:formatCode>General</c:formatCode>
                <c:ptCount val="5"/>
                <c:pt idx="0">
                  <c:v>47.441890166028095</c:v>
                </c:pt>
                <c:pt idx="1">
                  <c:v>46.907834101382491</c:v>
                </c:pt>
                <c:pt idx="2">
                  <c:v>22.831950207468878</c:v>
                </c:pt>
                <c:pt idx="3">
                  <c:v>23.11627906976744</c:v>
                </c:pt>
              </c:numCache>
            </c:numRef>
          </c:val>
          <c:extLst>
            <c:ext xmlns:c16="http://schemas.microsoft.com/office/drawing/2014/chart" uri="{C3380CC4-5D6E-409C-BE32-E72D297353CC}">
              <c16:uniqueId val="{00000001-4BB0-405A-9A8D-0B7381E7C920}"/>
            </c:ext>
          </c:extLst>
        </c:ser>
        <c:ser>
          <c:idx val="2"/>
          <c:order val="2"/>
          <c:tx>
            <c:strRef>
              <c:f>'Time period'!$D$7</c:f>
              <c:strCache>
                <c:ptCount val="1"/>
                <c:pt idx="0">
                  <c:v>Total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period'!$D$8:$D$13</c:f>
              <c:numCache>
                <c:formatCode>General</c:formatCode>
                <c:ptCount val="5"/>
                <c:pt idx="0">
                  <c:v>41125</c:v>
                </c:pt>
                <c:pt idx="1">
                  <c:v>11223</c:v>
                </c:pt>
                <c:pt idx="2">
                  <c:v>12354</c:v>
                </c:pt>
                <c:pt idx="3">
                  <c:v>3362</c:v>
                </c:pt>
              </c:numCache>
            </c:numRef>
          </c:val>
          <c:extLst>
            <c:ext xmlns:c16="http://schemas.microsoft.com/office/drawing/2014/chart" uri="{C3380CC4-5D6E-409C-BE32-E72D297353CC}">
              <c16:uniqueId val="{00000002-4BB0-405A-9A8D-0B7381E7C920}"/>
            </c:ext>
          </c:extLst>
        </c:ser>
        <c:ser>
          <c:idx val="3"/>
          <c:order val="3"/>
          <c:tx>
            <c:strRef>
              <c:f>'Time period'!$E$7</c:f>
              <c:strCache>
                <c:ptCount val="1"/>
                <c:pt idx="0">
                  <c:v>Average of casual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period'!$E$8:$E$13</c:f>
              <c:numCache>
                <c:formatCode>General</c:formatCode>
                <c:ptCount val="5"/>
                <c:pt idx="0">
                  <c:v>5.0804597701149428</c:v>
                </c:pt>
                <c:pt idx="1">
                  <c:v>4.8110599078341014</c:v>
                </c:pt>
                <c:pt idx="2">
                  <c:v>2.7987551867219915</c:v>
                </c:pt>
                <c:pt idx="3">
                  <c:v>2.945736434108527</c:v>
                </c:pt>
              </c:numCache>
            </c:numRef>
          </c:val>
          <c:extLst>
            <c:ext xmlns:c16="http://schemas.microsoft.com/office/drawing/2014/chart" uri="{C3380CC4-5D6E-409C-BE32-E72D297353CC}">
              <c16:uniqueId val="{00000003-4BB0-405A-9A8D-0B7381E7C920}"/>
            </c:ext>
          </c:extLst>
        </c:ser>
        <c:dLbls>
          <c:showLegendKey val="0"/>
          <c:showVal val="0"/>
          <c:showCatName val="0"/>
          <c:showSerName val="0"/>
          <c:showPercent val="0"/>
          <c:showBubbleSize val="0"/>
        </c:dLbls>
        <c:gapWidth val="150"/>
        <c:shape val="box"/>
        <c:axId val="1753260000"/>
        <c:axId val="1753244640"/>
        <c:axId val="1758039680"/>
      </c:bar3DChart>
      <c:catAx>
        <c:axId val="175326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44640"/>
        <c:crosses val="autoZero"/>
        <c:auto val="1"/>
        <c:lblAlgn val="ctr"/>
        <c:lblOffset val="100"/>
        <c:noMultiLvlLbl val="0"/>
      </c:catAx>
      <c:valAx>
        <c:axId val="17532446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60000"/>
        <c:crosses val="autoZero"/>
        <c:crossBetween val="between"/>
      </c:valAx>
      <c:serAx>
        <c:axId val="17580396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446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excel.xlsx]Temperature effect!PivotTable3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'Temperature effect'!$B$6</c:f>
              <c:strCache>
                <c:ptCount val="1"/>
                <c:pt idx="0">
                  <c:v>Average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'Temperature effect'!$A$7:$A$30</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'Temperature effect'!$B$7:$B$30</c:f>
              <c:numCache>
                <c:formatCode>0.00</c:formatCode>
                <c:ptCount val="23"/>
                <c:pt idx="0">
                  <c:v>3</c:v>
                </c:pt>
                <c:pt idx="1">
                  <c:v>3</c:v>
                </c:pt>
                <c:pt idx="2">
                  <c:v>2.4666666666666668</c:v>
                </c:pt>
                <c:pt idx="3">
                  <c:v>2.4166666666666665</c:v>
                </c:pt>
                <c:pt idx="4">
                  <c:v>2.5</c:v>
                </c:pt>
                <c:pt idx="5">
                  <c:v>2.6136363636363638</c:v>
                </c:pt>
                <c:pt idx="6">
                  <c:v>2.50561797752809</c:v>
                </c:pt>
                <c:pt idx="7">
                  <c:v>2.6384615384615384</c:v>
                </c:pt>
                <c:pt idx="8">
                  <c:v>2.962025316455696</c:v>
                </c:pt>
                <c:pt idx="9">
                  <c:v>4.2045760430686405</c:v>
                </c:pt>
                <c:pt idx="10">
                  <c:v>3.4338235294117645</c:v>
                </c:pt>
                <c:pt idx="11">
                  <c:v>3.7325581395348837</c:v>
                </c:pt>
                <c:pt idx="12">
                  <c:v>3.2857142857142856</c:v>
                </c:pt>
                <c:pt idx="13">
                  <c:v>4.8518518518518521</c:v>
                </c:pt>
                <c:pt idx="14">
                  <c:v>8.7567567567567561</c:v>
                </c:pt>
                <c:pt idx="15">
                  <c:v>6.625</c:v>
                </c:pt>
                <c:pt idx="16">
                  <c:v>20.55</c:v>
                </c:pt>
                <c:pt idx="17">
                  <c:v>8.7333333333333325</c:v>
                </c:pt>
                <c:pt idx="18">
                  <c:v>10.111111111111111</c:v>
                </c:pt>
                <c:pt idx="19">
                  <c:v>10.75</c:v>
                </c:pt>
                <c:pt idx="20">
                  <c:v>9.5</c:v>
                </c:pt>
                <c:pt idx="21">
                  <c:v>3</c:v>
                </c:pt>
                <c:pt idx="22">
                  <c:v>3</c:v>
                </c:pt>
              </c:numCache>
            </c:numRef>
          </c:val>
          <c:extLst>
            <c:ext xmlns:c16="http://schemas.microsoft.com/office/drawing/2014/chart" uri="{C3380CC4-5D6E-409C-BE32-E72D297353CC}">
              <c16:uniqueId val="{00000002-A55E-4A95-BA36-D23F8966DF24}"/>
            </c:ext>
          </c:extLst>
        </c:ser>
        <c:ser>
          <c:idx val="1"/>
          <c:order val="1"/>
          <c:tx>
            <c:strRef>
              <c:f>'Temperature effect'!$C$6</c:f>
              <c:strCache>
                <c:ptCount val="1"/>
                <c:pt idx="0">
                  <c:v>Average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'Temperature effect'!$A$7:$A$30</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'Temperature effect'!$C$7:$C$30</c:f>
              <c:numCache>
                <c:formatCode>0.00</c:formatCode>
                <c:ptCount val="23"/>
                <c:pt idx="0">
                  <c:v>13</c:v>
                </c:pt>
                <c:pt idx="1">
                  <c:v>13</c:v>
                </c:pt>
                <c:pt idx="2">
                  <c:v>19.333333333333332</c:v>
                </c:pt>
                <c:pt idx="3">
                  <c:v>16.333333333333332</c:v>
                </c:pt>
                <c:pt idx="4">
                  <c:v>32.375</c:v>
                </c:pt>
                <c:pt idx="5">
                  <c:v>21.704545454545453</c:v>
                </c:pt>
                <c:pt idx="6">
                  <c:v>24.943820224719101</c:v>
                </c:pt>
                <c:pt idx="7">
                  <c:v>29.53846153846154</c:v>
                </c:pt>
                <c:pt idx="8">
                  <c:v>26.481012658227847</c:v>
                </c:pt>
                <c:pt idx="9">
                  <c:v>46.014804845222073</c:v>
                </c:pt>
                <c:pt idx="10">
                  <c:v>26.816176470588236</c:v>
                </c:pt>
                <c:pt idx="11">
                  <c:v>41.372093023255815</c:v>
                </c:pt>
                <c:pt idx="12">
                  <c:v>24.553571428571427</c:v>
                </c:pt>
                <c:pt idx="13">
                  <c:v>40.629629629629626</c:v>
                </c:pt>
                <c:pt idx="14">
                  <c:v>48.594594594594597</c:v>
                </c:pt>
                <c:pt idx="15">
                  <c:v>44.583333333333336</c:v>
                </c:pt>
                <c:pt idx="16">
                  <c:v>82.15</c:v>
                </c:pt>
                <c:pt idx="17">
                  <c:v>45.466666666666669</c:v>
                </c:pt>
                <c:pt idx="18">
                  <c:v>35.333333333333336</c:v>
                </c:pt>
                <c:pt idx="19">
                  <c:v>37.4375</c:v>
                </c:pt>
                <c:pt idx="20">
                  <c:v>34.875</c:v>
                </c:pt>
                <c:pt idx="21">
                  <c:v>13</c:v>
                </c:pt>
                <c:pt idx="22">
                  <c:v>13</c:v>
                </c:pt>
              </c:numCache>
            </c:numRef>
          </c:val>
          <c:extLst>
            <c:ext xmlns:c16="http://schemas.microsoft.com/office/drawing/2014/chart" uri="{C3380CC4-5D6E-409C-BE32-E72D297353CC}">
              <c16:uniqueId val="{00000003-A55E-4A95-BA36-D23F8966DF24}"/>
            </c:ext>
          </c:extLst>
        </c:ser>
        <c:dLbls>
          <c:showLegendKey val="0"/>
          <c:showVal val="0"/>
          <c:showCatName val="0"/>
          <c:showSerName val="0"/>
          <c:showPercent val="0"/>
          <c:showBubbleSize val="0"/>
        </c:dLbls>
        <c:gapWidth val="100"/>
        <c:overlap val="-24"/>
        <c:axId val="1687188112"/>
        <c:axId val="1687183312"/>
      </c:barChart>
      <c:catAx>
        <c:axId val="1687188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83312"/>
        <c:crosses val="autoZero"/>
        <c:auto val="1"/>
        <c:lblAlgn val="ctr"/>
        <c:lblOffset val="100"/>
        <c:noMultiLvlLbl val="0"/>
      </c:catAx>
      <c:valAx>
        <c:axId val="168718331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8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excel.xlsx]weather impact!PivotTable4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Weather</a:t>
            </a:r>
            <a:r>
              <a:rPr lang="en-IN" baseline="0"/>
              <a:t> impact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'weather impact'!$B$7</c:f>
              <c:strCache>
                <c:ptCount val="1"/>
                <c:pt idx="0">
                  <c:v>Average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impact'!$B$8:$B$13</c:f>
              <c:numCache>
                <c:formatCode>General</c:formatCode>
                <c:ptCount val="5"/>
                <c:pt idx="0">
                  <c:v>35.128712871287128</c:v>
                </c:pt>
                <c:pt idx="1">
                  <c:v>16</c:v>
                </c:pt>
                <c:pt idx="2">
                  <c:v>24.738095238095237</c:v>
                </c:pt>
                <c:pt idx="3">
                  <c:v>48.567391304347829</c:v>
                </c:pt>
              </c:numCache>
            </c:numRef>
          </c:val>
          <c:extLst>
            <c:ext xmlns:c16="http://schemas.microsoft.com/office/drawing/2014/chart" uri="{C3380CC4-5D6E-409C-BE32-E72D297353CC}">
              <c16:uniqueId val="{00000000-A21C-47D1-9B3C-AC91882BC532}"/>
            </c:ext>
          </c:extLst>
        </c:ser>
        <c:ser>
          <c:idx val="1"/>
          <c:order val="1"/>
          <c:tx>
            <c:strRef>
              <c:f>'weather impact'!$C$7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impact'!$C$8:$C$13</c:f>
              <c:numCache>
                <c:formatCode>General</c:formatCode>
                <c:ptCount val="5"/>
                <c:pt idx="0">
                  <c:v>21288</c:v>
                </c:pt>
                <c:pt idx="1">
                  <c:v>16</c:v>
                </c:pt>
                <c:pt idx="2">
                  <c:v>2078</c:v>
                </c:pt>
                <c:pt idx="3">
                  <c:v>44682</c:v>
                </c:pt>
              </c:numCache>
            </c:numRef>
          </c:val>
          <c:extLst>
            <c:ext xmlns:c16="http://schemas.microsoft.com/office/drawing/2014/chart" uri="{C3380CC4-5D6E-409C-BE32-E72D297353CC}">
              <c16:uniqueId val="{00000002-A21C-47D1-9B3C-AC91882BC532}"/>
            </c:ext>
          </c:extLst>
        </c:ser>
        <c:ser>
          <c:idx val="2"/>
          <c:order val="2"/>
          <c:tx>
            <c:strRef>
              <c:f>'weather impact'!$D$7</c:f>
              <c:strCache>
                <c:ptCount val="1"/>
                <c:pt idx="0">
                  <c:v>Average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impact'!$D$8:$D$13</c:f>
              <c:numCache>
                <c:formatCode>General</c:formatCode>
                <c:ptCount val="5"/>
                <c:pt idx="0">
                  <c:v>4.4092409240924093</c:v>
                </c:pt>
                <c:pt idx="1">
                  <c:v>3</c:v>
                </c:pt>
                <c:pt idx="2">
                  <c:v>2.5119047619047619</c:v>
                </c:pt>
                <c:pt idx="3">
                  <c:v>4.2010869565217392</c:v>
                </c:pt>
              </c:numCache>
            </c:numRef>
          </c:val>
          <c:extLst>
            <c:ext xmlns:c16="http://schemas.microsoft.com/office/drawing/2014/chart" uri="{C3380CC4-5D6E-409C-BE32-E72D297353CC}">
              <c16:uniqueId val="{00000003-A21C-47D1-9B3C-AC91882BC532}"/>
            </c:ext>
          </c:extLst>
        </c:ser>
        <c:ser>
          <c:idx val="3"/>
          <c:order val="3"/>
          <c:tx>
            <c:strRef>
              <c:f>'weather impact'!$E$7</c:f>
              <c:strCache>
                <c:ptCount val="1"/>
                <c:pt idx="0">
                  <c:v>Average of registered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impact'!$E$8:$E$13</c:f>
              <c:numCache>
                <c:formatCode>General</c:formatCode>
                <c:ptCount val="5"/>
                <c:pt idx="0">
                  <c:v>30.71947194719472</c:v>
                </c:pt>
                <c:pt idx="1">
                  <c:v>13</c:v>
                </c:pt>
                <c:pt idx="2">
                  <c:v>22.226190476190474</c:v>
                </c:pt>
                <c:pt idx="3">
                  <c:v>44.366304347826087</c:v>
                </c:pt>
              </c:numCache>
            </c:numRef>
          </c:val>
          <c:extLst>
            <c:ext xmlns:c16="http://schemas.microsoft.com/office/drawing/2014/chart" uri="{C3380CC4-5D6E-409C-BE32-E72D297353CC}">
              <c16:uniqueId val="{00000004-A21C-47D1-9B3C-AC91882BC532}"/>
            </c:ext>
          </c:extLst>
        </c:ser>
        <c:dLbls>
          <c:showLegendKey val="0"/>
          <c:showVal val="0"/>
          <c:showCatName val="0"/>
          <c:showSerName val="0"/>
          <c:showPercent val="0"/>
          <c:showBubbleSize val="0"/>
        </c:dLbls>
        <c:gapWidth val="150"/>
        <c:shape val="box"/>
        <c:axId val="101098559"/>
        <c:axId val="101112959"/>
        <c:axId val="0"/>
      </c:bar3DChart>
      <c:catAx>
        <c:axId val="101098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12959"/>
        <c:crosses val="autoZero"/>
        <c:auto val="1"/>
        <c:lblAlgn val="ctr"/>
        <c:lblOffset val="100"/>
        <c:noMultiLvlLbl val="0"/>
      </c:catAx>
      <c:valAx>
        <c:axId val="10111295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09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excel.xlsx]Average rental !PivotTable1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rental</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904004214006119E-2"/>
          <c:y val="0.17200961438959914"/>
          <c:w val="0.52561979927538227"/>
          <c:h val="0.66417104111986003"/>
        </c:manualLayout>
      </c:layout>
      <c:bar3DChart>
        <c:barDir val="col"/>
        <c:grouping val="standard"/>
        <c:varyColors val="0"/>
        <c:ser>
          <c:idx val="0"/>
          <c:order val="0"/>
          <c:tx>
            <c:strRef>
              <c:f>'Average rental '!$B$6</c:f>
              <c:strCache>
                <c:ptCount val="1"/>
                <c:pt idx="0">
                  <c:v>Avge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'!$B$7:$B$31</c:f>
              <c:numCache>
                <c:formatCode>0.00</c:formatCode>
                <c:ptCount val="24"/>
                <c:pt idx="0">
                  <c:v>17.418604651162791</c:v>
                </c:pt>
                <c:pt idx="1">
                  <c:v>14.813953488372093</c:v>
                </c:pt>
                <c:pt idx="2">
                  <c:v>12.390243902439025</c:v>
                </c:pt>
                <c:pt idx="3">
                  <c:v>10.67741935483871</c:v>
                </c:pt>
                <c:pt idx="4">
                  <c:v>10.96875</c:v>
                </c:pt>
                <c:pt idx="5">
                  <c:v>11.615384615384615</c:v>
                </c:pt>
                <c:pt idx="6">
                  <c:v>18.142857142857142</c:v>
                </c:pt>
                <c:pt idx="7">
                  <c:v>31.674418604651162</c:v>
                </c:pt>
                <c:pt idx="8">
                  <c:v>59.19047619047619</c:v>
                </c:pt>
                <c:pt idx="9">
                  <c:v>45.047619047619051</c:v>
                </c:pt>
                <c:pt idx="10">
                  <c:v>32.571428571428569</c:v>
                </c:pt>
                <c:pt idx="11">
                  <c:v>34.642857142857146</c:v>
                </c:pt>
                <c:pt idx="12">
                  <c:v>41.372093023255815</c:v>
                </c:pt>
                <c:pt idx="13">
                  <c:v>41.697674418604649</c:v>
                </c:pt>
                <c:pt idx="14">
                  <c:v>41.97674418604651</c:v>
                </c:pt>
                <c:pt idx="15">
                  <c:v>54.660550458715598</c:v>
                </c:pt>
                <c:pt idx="16">
                  <c:v>49.090909090909093</c:v>
                </c:pt>
                <c:pt idx="17">
                  <c:v>69.340909090909093</c:v>
                </c:pt>
                <c:pt idx="18">
                  <c:v>60.860465116279073</c:v>
                </c:pt>
                <c:pt idx="19">
                  <c:v>43.348837209302324</c:v>
                </c:pt>
                <c:pt idx="20">
                  <c:v>35.604651162790695</c:v>
                </c:pt>
                <c:pt idx="21">
                  <c:v>31.093023255813954</c:v>
                </c:pt>
                <c:pt idx="22">
                  <c:v>25.255813953488371</c:v>
                </c:pt>
                <c:pt idx="23">
                  <c:v>21.837209302325583</c:v>
                </c:pt>
              </c:numCache>
            </c:numRef>
          </c:val>
          <c:extLst>
            <c:ext xmlns:c16="http://schemas.microsoft.com/office/drawing/2014/chart" uri="{C3380CC4-5D6E-409C-BE32-E72D297353CC}">
              <c16:uniqueId val="{00000000-23C2-4C39-8A2D-81820FCD7653}"/>
            </c:ext>
          </c:extLst>
        </c:ser>
        <c:ser>
          <c:idx val="1"/>
          <c:order val="1"/>
          <c:tx>
            <c:strRef>
              <c:f>'Average rental '!$C$6</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'!$C$7:$C$31</c:f>
              <c:numCache>
                <c:formatCode>General</c:formatCode>
                <c:ptCount val="24"/>
                <c:pt idx="0">
                  <c:v>749</c:v>
                </c:pt>
                <c:pt idx="1">
                  <c:v>637</c:v>
                </c:pt>
                <c:pt idx="2">
                  <c:v>508</c:v>
                </c:pt>
                <c:pt idx="3">
                  <c:v>331</c:v>
                </c:pt>
                <c:pt idx="4">
                  <c:v>351</c:v>
                </c:pt>
                <c:pt idx="5">
                  <c:v>453</c:v>
                </c:pt>
                <c:pt idx="6">
                  <c:v>762</c:v>
                </c:pt>
                <c:pt idx="7">
                  <c:v>1362</c:v>
                </c:pt>
                <c:pt idx="8">
                  <c:v>2486</c:v>
                </c:pt>
                <c:pt idx="9">
                  <c:v>1892</c:v>
                </c:pt>
                <c:pt idx="10">
                  <c:v>1368</c:v>
                </c:pt>
                <c:pt idx="11">
                  <c:v>1455</c:v>
                </c:pt>
                <c:pt idx="12">
                  <c:v>1779</c:v>
                </c:pt>
                <c:pt idx="13">
                  <c:v>1793</c:v>
                </c:pt>
                <c:pt idx="14">
                  <c:v>1805</c:v>
                </c:pt>
                <c:pt idx="15">
                  <c:v>35748</c:v>
                </c:pt>
                <c:pt idx="16">
                  <c:v>2160</c:v>
                </c:pt>
                <c:pt idx="17">
                  <c:v>3051</c:v>
                </c:pt>
                <c:pt idx="18">
                  <c:v>2617</c:v>
                </c:pt>
                <c:pt idx="19">
                  <c:v>1864</c:v>
                </c:pt>
                <c:pt idx="20">
                  <c:v>1531</c:v>
                </c:pt>
                <c:pt idx="21">
                  <c:v>1337</c:v>
                </c:pt>
                <c:pt idx="22">
                  <c:v>1086</c:v>
                </c:pt>
                <c:pt idx="23">
                  <c:v>939</c:v>
                </c:pt>
              </c:numCache>
            </c:numRef>
          </c:val>
          <c:extLst>
            <c:ext xmlns:c16="http://schemas.microsoft.com/office/drawing/2014/chart" uri="{C3380CC4-5D6E-409C-BE32-E72D297353CC}">
              <c16:uniqueId val="{00000001-23C2-4C39-8A2D-81820FCD7653}"/>
            </c:ext>
          </c:extLst>
        </c:ser>
        <c:ser>
          <c:idx val="2"/>
          <c:order val="2"/>
          <c:tx>
            <c:strRef>
              <c:f>'Average rental '!$D$6</c:f>
              <c:strCache>
                <c:ptCount val="1"/>
                <c:pt idx="0">
                  <c:v>Min of rental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'!$D$7:$D$31</c:f>
              <c:numCache>
                <c:formatCode>General</c:formatCode>
                <c:ptCount val="24"/>
                <c:pt idx="0">
                  <c:v>2</c:v>
                </c:pt>
                <c:pt idx="1">
                  <c:v>3</c:v>
                </c:pt>
                <c:pt idx="2">
                  <c:v>1</c:v>
                </c:pt>
                <c:pt idx="3">
                  <c:v>1</c:v>
                </c:pt>
                <c:pt idx="4">
                  <c:v>1</c:v>
                </c:pt>
                <c:pt idx="5">
                  <c:v>1</c:v>
                </c:pt>
                <c:pt idx="6">
                  <c:v>1</c:v>
                </c:pt>
                <c:pt idx="7">
                  <c:v>3</c:v>
                </c:pt>
                <c:pt idx="8">
                  <c:v>10</c:v>
                </c:pt>
                <c:pt idx="9">
                  <c:v>16</c:v>
                </c:pt>
                <c:pt idx="10">
                  <c:v>16</c:v>
                </c:pt>
                <c:pt idx="11">
                  <c:v>16</c:v>
                </c:pt>
                <c:pt idx="12">
                  <c:v>16</c:v>
                </c:pt>
                <c:pt idx="13">
                  <c:v>16</c:v>
                </c:pt>
                <c:pt idx="14">
                  <c:v>16</c:v>
                </c:pt>
                <c:pt idx="15">
                  <c:v>0</c:v>
                </c:pt>
                <c:pt idx="16">
                  <c:v>16</c:v>
                </c:pt>
                <c:pt idx="17">
                  <c:v>16</c:v>
                </c:pt>
                <c:pt idx="18">
                  <c:v>16</c:v>
                </c:pt>
                <c:pt idx="19">
                  <c:v>16</c:v>
                </c:pt>
                <c:pt idx="20">
                  <c:v>16</c:v>
                </c:pt>
                <c:pt idx="21">
                  <c:v>16</c:v>
                </c:pt>
                <c:pt idx="22">
                  <c:v>16</c:v>
                </c:pt>
                <c:pt idx="23">
                  <c:v>12</c:v>
                </c:pt>
              </c:numCache>
            </c:numRef>
          </c:val>
          <c:extLst>
            <c:ext xmlns:c16="http://schemas.microsoft.com/office/drawing/2014/chart" uri="{C3380CC4-5D6E-409C-BE32-E72D297353CC}">
              <c16:uniqueId val="{00000002-23C2-4C39-8A2D-81820FCD7653}"/>
            </c:ext>
          </c:extLst>
        </c:ser>
        <c:ser>
          <c:idx val="3"/>
          <c:order val="3"/>
          <c:tx>
            <c:strRef>
              <c:f>'Average rental '!$E$6</c:f>
              <c:strCache>
                <c:ptCount val="1"/>
                <c:pt idx="0">
                  <c:v>Max of rental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'!$E$7:$E$31</c:f>
              <c:numCache>
                <c:formatCode>General</c:formatCode>
                <c:ptCount val="24"/>
                <c:pt idx="0">
                  <c:v>39</c:v>
                </c:pt>
                <c:pt idx="1">
                  <c:v>44</c:v>
                </c:pt>
                <c:pt idx="2">
                  <c:v>20</c:v>
                </c:pt>
                <c:pt idx="3">
                  <c:v>16</c:v>
                </c:pt>
                <c:pt idx="4">
                  <c:v>16</c:v>
                </c:pt>
                <c:pt idx="5">
                  <c:v>16</c:v>
                </c:pt>
                <c:pt idx="6">
                  <c:v>43</c:v>
                </c:pt>
                <c:pt idx="7">
                  <c:v>100</c:v>
                </c:pt>
                <c:pt idx="8">
                  <c:v>243</c:v>
                </c:pt>
                <c:pt idx="9">
                  <c:v>140</c:v>
                </c:pt>
                <c:pt idx="10">
                  <c:v>105</c:v>
                </c:pt>
                <c:pt idx="11">
                  <c:v>117</c:v>
                </c:pt>
                <c:pt idx="12">
                  <c:v>174</c:v>
                </c:pt>
                <c:pt idx="13">
                  <c:v>182</c:v>
                </c:pt>
                <c:pt idx="14">
                  <c:v>161</c:v>
                </c:pt>
                <c:pt idx="15">
                  <c:v>249</c:v>
                </c:pt>
                <c:pt idx="16">
                  <c:v>157</c:v>
                </c:pt>
                <c:pt idx="17">
                  <c:v>216</c:v>
                </c:pt>
                <c:pt idx="18">
                  <c:v>182</c:v>
                </c:pt>
                <c:pt idx="19">
                  <c:v>128</c:v>
                </c:pt>
                <c:pt idx="20">
                  <c:v>109</c:v>
                </c:pt>
                <c:pt idx="21">
                  <c:v>83</c:v>
                </c:pt>
                <c:pt idx="22">
                  <c:v>62</c:v>
                </c:pt>
                <c:pt idx="23">
                  <c:v>59</c:v>
                </c:pt>
              </c:numCache>
            </c:numRef>
          </c:val>
          <c:extLst>
            <c:ext xmlns:c16="http://schemas.microsoft.com/office/drawing/2014/chart" uri="{C3380CC4-5D6E-409C-BE32-E72D297353CC}">
              <c16:uniqueId val="{00000003-23C2-4C39-8A2D-81820FCD7653}"/>
            </c:ext>
          </c:extLst>
        </c:ser>
        <c:ser>
          <c:idx val="4"/>
          <c:order val="4"/>
          <c:tx>
            <c:strRef>
              <c:f>'Average rental '!$F$6</c:f>
              <c:strCache>
                <c:ptCount val="1"/>
                <c:pt idx="0">
                  <c:v>Average of casual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'!$F$7:$F$31</c:f>
              <c:numCache>
                <c:formatCode>0.00</c:formatCode>
                <c:ptCount val="24"/>
                <c:pt idx="0">
                  <c:v>2.558139534883721</c:v>
                </c:pt>
                <c:pt idx="1">
                  <c:v>2.2790697674418605</c:v>
                </c:pt>
                <c:pt idx="2">
                  <c:v>2.1219512195121952</c:v>
                </c:pt>
                <c:pt idx="3">
                  <c:v>2.064516129032258</c:v>
                </c:pt>
                <c:pt idx="4">
                  <c:v>1.9375</c:v>
                </c:pt>
                <c:pt idx="5">
                  <c:v>1.8717948717948718</c:v>
                </c:pt>
                <c:pt idx="6">
                  <c:v>2.0714285714285716</c:v>
                </c:pt>
                <c:pt idx="7">
                  <c:v>2.3255813953488373</c:v>
                </c:pt>
                <c:pt idx="8">
                  <c:v>2.9761904761904763</c:v>
                </c:pt>
                <c:pt idx="9">
                  <c:v>3.5</c:v>
                </c:pt>
                <c:pt idx="10">
                  <c:v>4.1190476190476186</c:v>
                </c:pt>
                <c:pt idx="11">
                  <c:v>5.3095238095238093</c:v>
                </c:pt>
                <c:pt idx="12">
                  <c:v>6.7674418604651159</c:v>
                </c:pt>
                <c:pt idx="13">
                  <c:v>7.2325581395348841</c:v>
                </c:pt>
                <c:pt idx="14">
                  <c:v>7.0930232558139537</c:v>
                </c:pt>
                <c:pt idx="15">
                  <c:v>4.6957186544342511</c:v>
                </c:pt>
                <c:pt idx="16">
                  <c:v>7.2954545454545459</c:v>
                </c:pt>
                <c:pt idx="17">
                  <c:v>6.0909090909090908</c:v>
                </c:pt>
                <c:pt idx="18">
                  <c:v>3.9767441860465116</c:v>
                </c:pt>
                <c:pt idx="19">
                  <c:v>3.441860465116279</c:v>
                </c:pt>
                <c:pt idx="20">
                  <c:v>3.1627906976744184</c:v>
                </c:pt>
                <c:pt idx="21">
                  <c:v>2.9534883720930232</c:v>
                </c:pt>
                <c:pt idx="22">
                  <c:v>2.9069767441860463</c:v>
                </c:pt>
                <c:pt idx="23">
                  <c:v>2.9767441860465116</c:v>
                </c:pt>
              </c:numCache>
            </c:numRef>
          </c:val>
          <c:extLst>
            <c:ext xmlns:c16="http://schemas.microsoft.com/office/drawing/2014/chart" uri="{C3380CC4-5D6E-409C-BE32-E72D297353CC}">
              <c16:uniqueId val="{00000004-23C2-4C39-8A2D-81820FCD7653}"/>
            </c:ext>
          </c:extLst>
        </c:ser>
        <c:ser>
          <c:idx val="5"/>
          <c:order val="5"/>
          <c:tx>
            <c:strRef>
              <c:f>'Average rental '!$G$6</c:f>
              <c:strCache>
                <c:ptCount val="1"/>
                <c:pt idx="0">
                  <c:v>Average of registered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'!$G$7:$G$31</c:f>
              <c:numCache>
                <c:formatCode>0.00</c:formatCode>
                <c:ptCount val="24"/>
                <c:pt idx="0">
                  <c:v>14.86046511627907</c:v>
                </c:pt>
                <c:pt idx="1">
                  <c:v>12.534883720930232</c:v>
                </c:pt>
                <c:pt idx="2">
                  <c:v>10.268292682926829</c:v>
                </c:pt>
                <c:pt idx="3">
                  <c:v>8.612903225806452</c:v>
                </c:pt>
                <c:pt idx="4">
                  <c:v>9.03125</c:v>
                </c:pt>
                <c:pt idx="5">
                  <c:v>9.7435897435897427</c:v>
                </c:pt>
                <c:pt idx="6">
                  <c:v>16.071428571428573</c:v>
                </c:pt>
                <c:pt idx="7">
                  <c:v>29.348837209302324</c:v>
                </c:pt>
                <c:pt idx="8">
                  <c:v>56.214285714285715</c:v>
                </c:pt>
                <c:pt idx="9">
                  <c:v>41.547619047619051</c:v>
                </c:pt>
                <c:pt idx="10">
                  <c:v>28.452380952380953</c:v>
                </c:pt>
                <c:pt idx="11">
                  <c:v>29.333333333333332</c:v>
                </c:pt>
                <c:pt idx="12">
                  <c:v>34.604651162790695</c:v>
                </c:pt>
                <c:pt idx="13">
                  <c:v>34.465116279069768</c:v>
                </c:pt>
                <c:pt idx="14">
                  <c:v>34.883720930232556</c:v>
                </c:pt>
                <c:pt idx="15">
                  <c:v>49.964831804281346</c:v>
                </c:pt>
                <c:pt idx="16">
                  <c:v>41.795454545454547</c:v>
                </c:pt>
                <c:pt idx="17">
                  <c:v>63.25</c:v>
                </c:pt>
                <c:pt idx="18">
                  <c:v>56.883720930232556</c:v>
                </c:pt>
                <c:pt idx="19">
                  <c:v>39.906976744186046</c:v>
                </c:pt>
                <c:pt idx="20">
                  <c:v>32.441860465116278</c:v>
                </c:pt>
                <c:pt idx="21">
                  <c:v>28.13953488372093</c:v>
                </c:pt>
                <c:pt idx="22">
                  <c:v>22.348837209302324</c:v>
                </c:pt>
                <c:pt idx="23">
                  <c:v>18.86046511627907</c:v>
                </c:pt>
              </c:numCache>
            </c:numRef>
          </c:val>
          <c:extLst>
            <c:ext xmlns:c16="http://schemas.microsoft.com/office/drawing/2014/chart" uri="{C3380CC4-5D6E-409C-BE32-E72D297353CC}">
              <c16:uniqueId val="{00000005-23C2-4C39-8A2D-81820FCD7653}"/>
            </c:ext>
          </c:extLst>
        </c:ser>
        <c:ser>
          <c:idx val="6"/>
          <c:order val="6"/>
          <c:tx>
            <c:strRef>
              <c:f>'Average rental '!$H$6</c:f>
              <c:strCache>
                <c:ptCount val="1"/>
                <c:pt idx="0">
                  <c:v>Average of temp</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rental '!$A$7:$A$31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rental '!$H$7:$H$31</c:f>
              <c:numCache>
                <c:formatCode>0.00</c:formatCode>
                <c:ptCount val="24"/>
                <c:pt idx="0">
                  <c:v>0.19069767441860466</c:v>
                </c:pt>
                <c:pt idx="1">
                  <c:v>0.1841860465116279</c:v>
                </c:pt>
                <c:pt idx="2">
                  <c:v>0.1824390243902439</c:v>
                </c:pt>
                <c:pt idx="3">
                  <c:v>0.18193548387096778</c:v>
                </c:pt>
                <c:pt idx="4">
                  <c:v>0.18812500000000001</c:v>
                </c:pt>
                <c:pt idx="5">
                  <c:v>0.16564102564102567</c:v>
                </c:pt>
                <c:pt idx="6">
                  <c:v>0.16714285714285715</c:v>
                </c:pt>
                <c:pt idx="7">
                  <c:v>0.16418604651162791</c:v>
                </c:pt>
                <c:pt idx="8">
                  <c:v>0.16523809523809524</c:v>
                </c:pt>
                <c:pt idx="9">
                  <c:v>0.180952380952381</c:v>
                </c:pt>
                <c:pt idx="10">
                  <c:v>0.19619047619047617</c:v>
                </c:pt>
                <c:pt idx="11">
                  <c:v>0.21428571428571433</c:v>
                </c:pt>
                <c:pt idx="12">
                  <c:v>0.23023255813953494</c:v>
                </c:pt>
                <c:pt idx="13">
                  <c:v>0.24232558139534888</c:v>
                </c:pt>
                <c:pt idx="14">
                  <c:v>0.25488372093023254</c:v>
                </c:pt>
                <c:pt idx="15">
                  <c:v>0.20373088685015475</c:v>
                </c:pt>
                <c:pt idx="16">
                  <c:v>0.25409090909090915</c:v>
                </c:pt>
                <c:pt idx="17">
                  <c:v>0.24318181818181819</c:v>
                </c:pt>
                <c:pt idx="18">
                  <c:v>0.23209302325581396</c:v>
                </c:pt>
                <c:pt idx="19">
                  <c:v>0.22232558139534889</c:v>
                </c:pt>
                <c:pt idx="20">
                  <c:v>0.21069767441860465</c:v>
                </c:pt>
                <c:pt idx="21">
                  <c:v>0.20232558139534881</c:v>
                </c:pt>
                <c:pt idx="22">
                  <c:v>0.19627906976744186</c:v>
                </c:pt>
                <c:pt idx="23">
                  <c:v>0.19488372093023257</c:v>
                </c:pt>
              </c:numCache>
            </c:numRef>
          </c:val>
          <c:extLst>
            <c:ext xmlns:c16="http://schemas.microsoft.com/office/drawing/2014/chart" uri="{C3380CC4-5D6E-409C-BE32-E72D297353CC}">
              <c16:uniqueId val="{00000006-23C2-4C39-8A2D-81820FCD7653}"/>
            </c:ext>
          </c:extLst>
        </c:ser>
        <c:dLbls>
          <c:showLegendKey val="0"/>
          <c:showVal val="0"/>
          <c:showCatName val="0"/>
          <c:showSerName val="0"/>
          <c:showPercent val="0"/>
          <c:showBubbleSize val="0"/>
        </c:dLbls>
        <c:gapWidth val="150"/>
        <c:shape val="box"/>
        <c:axId val="1364383184"/>
        <c:axId val="1364377904"/>
        <c:axId val="1701443200"/>
      </c:bar3DChart>
      <c:catAx>
        <c:axId val="136438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77904"/>
        <c:crosses val="autoZero"/>
        <c:auto val="1"/>
        <c:lblAlgn val="ctr"/>
        <c:lblOffset val="100"/>
        <c:noMultiLvlLbl val="0"/>
      </c:catAx>
      <c:valAx>
        <c:axId val="1364377904"/>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83184"/>
        <c:crosses val="autoZero"/>
        <c:crossBetween val="between"/>
      </c:valAx>
      <c:serAx>
        <c:axId val="1701443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377904"/>
        <c:crosses val="autoZero"/>
      </c:serAx>
      <c:spPr>
        <a:noFill/>
        <a:ln>
          <a:noFill/>
        </a:ln>
        <a:effectLst/>
      </c:spPr>
    </c:plotArea>
    <c:legend>
      <c:legendPos val="r"/>
      <c:layout>
        <c:manualLayout>
          <c:xMode val="edge"/>
          <c:yMode val="edge"/>
          <c:x val="0.69554327984088493"/>
          <c:y val="0.21049069135175313"/>
          <c:w val="0.29580620112797318"/>
          <c:h val="0.46790703581407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excel.xlsx]weekdays vs weekensa!PivotTable1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Weekdays</a:t>
            </a:r>
            <a:r>
              <a:rPr lang="en-IN" baseline="0"/>
              <a:t> vs Weekend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40332458442694"/>
          <c:y val="0.26009040536599592"/>
          <c:w val="0.31828783902012248"/>
          <c:h val="0.4117512394284048"/>
        </c:manualLayout>
      </c:layout>
      <c:bar3DChart>
        <c:barDir val="col"/>
        <c:grouping val="standard"/>
        <c:varyColors val="0"/>
        <c:ser>
          <c:idx val="0"/>
          <c:order val="0"/>
          <c:tx>
            <c:strRef>
              <c:f>'weekdays vs weekensa'!$B$7</c:f>
              <c:strCache>
                <c:ptCount val="1"/>
                <c:pt idx="0">
                  <c:v>Average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weekensa'!$B$8:$B$10</c:f>
              <c:numCache>
                <c:formatCode>General</c:formatCode>
                <c:ptCount val="2"/>
                <c:pt idx="0">
                  <c:v>33.995689655172413</c:v>
                </c:pt>
                <c:pt idx="1">
                  <c:v>48.527868852459015</c:v>
                </c:pt>
              </c:numCache>
            </c:numRef>
          </c:val>
          <c:extLst>
            <c:ext xmlns:c16="http://schemas.microsoft.com/office/drawing/2014/chart" uri="{C3380CC4-5D6E-409C-BE32-E72D297353CC}">
              <c16:uniqueId val="{00000000-3F40-4CCE-B1B5-633EA6D36679}"/>
            </c:ext>
          </c:extLst>
        </c:ser>
        <c:ser>
          <c:idx val="1"/>
          <c:order val="1"/>
          <c:tx>
            <c:strRef>
              <c:f>'weekdays vs weekensa'!$C$7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weekensa'!$C$8:$C$10</c:f>
              <c:numCache>
                <c:formatCode>General</c:formatCode>
                <c:ptCount val="2"/>
                <c:pt idx="0">
                  <c:v>23661</c:v>
                </c:pt>
                <c:pt idx="1">
                  <c:v>44403</c:v>
                </c:pt>
              </c:numCache>
            </c:numRef>
          </c:val>
          <c:extLst>
            <c:ext xmlns:c16="http://schemas.microsoft.com/office/drawing/2014/chart" uri="{C3380CC4-5D6E-409C-BE32-E72D297353CC}">
              <c16:uniqueId val="{00000001-3F40-4CCE-B1B5-633EA6D36679}"/>
            </c:ext>
          </c:extLst>
        </c:ser>
        <c:ser>
          <c:idx val="2"/>
          <c:order val="2"/>
          <c:tx>
            <c:strRef>
              <c:f>'weekdays vs weekensa'!$D$7</c:f>
              <c:strCache>
                <c:ptCount val="1"/>
                <c:pt idx="0">
                  <c:v>Average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weekensa'!$D$8:$D$10</c:f>
              <c:numCache>
                <c:formatCode>General</c:formatCode>
                <c:ptCount val="2"/>
                <c:pt idx="0">
                  <c:v>3.8721264367816093</c:v>
                </c:pt>
                <c:pt idx="1">
                  <c:v>4.4327868852459016</c:v>
                </c:pt>
              </c:numCache>
            </c:numRef>
          </c:val>
          <c:extLst>
            <c:ext xmlns:c16="http://schemas.microsoft.com/office/drawing/2014/chart" uri="{C3380CC4-5D6E-409C-BE32-E72D297353CC}">
              <c16:uniqueId val="{00000002-3F40-4CCE-B1B5-633EA6D36679}"/>
            </c:ext>
          </c:extLst>
        </c:ser>
        <c:ser>
          <c:idx val="3"/>
          <c:order val="3"/>
          <c:tx>
            <c:strRef>
              <c:f>'weekdays vs weekensa'!$E$7</c:f>
              <c:strCache>
                <c:ptCount val="1"/>
                <c:pt idx="0">
                  <c:v>Average of registered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'weekdays vs weekensa'!$A$8:$A$10</c:f>
              <c:strCache>
                <c:ptCount val="2"/>
                <c:pt idx="0">
                  <c:v>Weekdays</c:v>
                </c:pt>
                <c:pt idx="1">
                  <c:v>Weekends</c:v>
                </c:pt>
              </c:strCache>
            </c:strRef>
          </c:cat>
          <c:val>
            <c:numRef>
              <c:f>'weekdays vs weekensa'!$E$8:$E$10</c:f>
              <c:numCache>
                <c:formatCode>General</c:formatCode>
                <c:ptCount val="2"/>
                <c:pt idx="0">
                  <c:v>30.123563218390803</c:v>
                </c:pt>
                <c:pt idx="1">
                  <c:v>44.095081967213112</c:v>
                </c:pt>
              </c:numCache>
            </c:numRef>
          </c:val>
          <c:extLst>
            <c:ext xmlns:c16="http://schemas.microsoft.com/office/drawing/2014/chart" uri="{C3380CC4-5D6E-409C-BE32-E72D297353CC}">
              <c16:uniqueId val="{00000003-3F40-4CCE-B1B5-633EA6D36679}"/>
            </c:ext>
          </c:extLst>
        </c:ser>
        <c:dLbls>
          <c:showLegendKey val="0"/>
          <c:showVal val="0"/>
          <c:showCatName val="0"/>
          <c:showSerName val="0"/>
          <c:showPercent val="0"/>
          <c:showBubbleSize val="0"/>
        </c:dLbls>
        <c:gapWidth val="150"/>
        <c:shape val="box"/>
        <c:axId val="1663749439"/>
        <c:axId val="1663747519"/>
        <c:axId val="1684372191"/>
      </c:bar3DChart>
      <c:catAx>
        <c:axId val="166374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7519"/>
        <c:crosses val="autoZero"/>
        <c:auto val="1"/>
        <c:lblAlgn val="ctr"/>
        <c:lblOffset val="100"/>
        <c:noMultiLvlLbl val="0"/>
      </c:catAx>
      <c:valAx>
        <c:axId val="166374751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9439"/>
        <c:crosses val="autoZero"/>
        <c:crossBetween val="between"/>
      </c:valAx>
      <c:serAx>
        <c:axId val="16843721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475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excel.xlsx]Time period!PivotTable3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Time</a:t>
            </a:r>
            <a:r>
              <a:rPr lang="en-IN" baseline="0"/>
              <a:t> period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'Time period'!$B$7</c:f>
              <c:strCache>
                <c:ptCount val="1"/>
                <c:pt idx="0">
                  <c:v>Average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period'!$B$8:$B$13</c:f>
              <c:numCache>
                <c:formatCode>General</c:formatCode>
                <c:ptCount val="5"/>
                <c:pt idx="0">
                  <c:v>52.522349936143037</c:v>
                </c:pt>
                <c:pt idx="1">
                  <c:v>51.718894009216591</c:v>
                </c:pt>
                <c:pt idx="2">
                  <c:v>25.630705394190873</c:v>
                </c:pt>
                <c:pt idx="3">
                  <c:v>26.062015503875969</c:v>
                </c:pt>
              </c:numCache>
            </c:numRef>
          </c:val>
          <c:extLst>
            <c:ext xmlns:c16="http://schemas.microsoft.com/office/drawing/2014/chart" uri="{C3380CC4-5D6E-409C-BE32-E72D297353CC}">
              <c16:uniqueId val="{00000000-2970-41A7-B4D4-8EBB99079684}"/>
            </c:ext>
          </c:extLst>
        </c:ser>
        <c:ser>
          <c:idx val="1"/>
          <c:order val="1"/>
          <c:tx>
            <c:strRef>
              <c:f>'Time period'!$C$7</c:f>
              <c:strCache>
                <c:ptCount val="1"/>
                <c:pt idx="0">
                  <c:v>Average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period'!$C$8:$C$13</c:f>
              <c:numCache>
                <c:formatCode>General</c:formatCode>
                <c:ptCount val="5"/>
                <c:pt idx="0">
                  <c:v>47.441890166028095</c:v>
                </c:pt>
                <c:pt idx="1">
                  <c:v>46.907834101382491</c:v>
                </c:pt>
                <c:pt idx="2">
                  <c:v>22.831950207468878</c:v>
                </c:pt>
                <c:pt idx="3">
                  <c:v>23.11627906976744</c:v>
                </c:pt>
              </c:numCache>
            </c:numRef>
          </c:val>
          <c:extLst>
            <c:ext xmlns:c16="http://schemas.microsoft.com/office/drawing/2014/chart" uri="{C3380CC4-5D6E-409C-BE32-E72D297353CC}">
              <c16:uniqueId val="{00000001-2970-41A7-B4D4-8EBB99079684}"/>
            </c:ext>
          </c:extLst>
        </c:ser>
        <c:ser>
          <c:idx val="2"/>
          <c:order val="2"/>
          <c:tx>
            <c:strRef>
              <c:f>'Time period'!$D$7</c:f>
              <c:strCache>
                <c:ptCount val="1"/>
                <c:pt idx="0">
                  <c:v>Total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period'!$D$8:$D$13</c:f>
              <c:numCache>
                <c:formatCode>General</c:formatCode>
                <c:ptCount val="5"/>
                <c:pt idx="0">
                  <c:v>41125</c:v>
                </c:pt>
                <c:pt idx="1">
                  <c:v>11223</c:v>
                </c:pt>
                <c:pt idx="2">
                  <c:v>12354</c:v>
                </c:pt>
                <c:pt idx="3">
                  <c:v>3362</c:v>
                </c:pt>
              </c:numCache>
            </c:numRef>
          </c:val>
          <c:extLst>
            <c:ext xmlns:c16="http://schemas.microsoft.com/office/drawing/2014/chart" uri="{C3380CC4-5D6E-409C-BE32-E72D297353CC}">
              <c16:uniqueId val="{00000002-2970-41A7-B4D4-8EBB99079684}"/>
            </c:ext>
          </c:extLst>
        </c:ser>
        <c:ser>
          <c:idx val="3"/>
          <c:order val="3"/>
          <c:tx>
            <c:strRef>
              <c:f>'Time period'!$E$7</c:f>
              <c:strCache>
                <c:ptCount val="1"/>
                <c:pt idx="0">
                  <c:v>Average of casual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 period'!$A$8:$A$13</c:f>
              <c:strCache>
                <c:ptCount val="5"/>
                <c:pt idx="0">
                  <c:v>Afternoon</c:v>
                </c:pt>
                <c:pt idx="1">
                  <c:v>Evening</c:v>
                </c:pt>
                <c:pt idx="2">
                  <c:v>Morning</c:v>
                </c:pt>
                <c:pt idx="3">
                  <c:v>Night</c:v>
                </c:pt>
                <c:pt idx="4">
                  <c:v>(blank)</c:v>
                </c:pt>
              </c:strCache>
            </c:strRef>
          </c:cat>
          <c:val>
            <c:numRef>
              <c:f>'Time period'!$E$8:$E$13</c:f>
              <c:numCache>
                <c:formatCode>General</c:formatCode>
                <c:ptCount val="5"/>
                <c:pt idx="0">
                  <c:v>5.0804597701149428</c:v>
                </c:pt>
                <c:pt idx="1">
                  <c:v>4.8110599078341014</c:v>
                </c:pt>
                <c:pt idx="2">
                  <c:v>2.7987551867219915</c:v>
                </c:pt>
                <c:pt idx="3">
                  <c:v>2.945736434108527</c:v>
                </c:pt>
              </c:numCache>
            </c:numRef>
          </c:val>
          <c:extLst>
            <c:ext xmlns:c16="http://schemas.microsoft.com/office/drawing/2014/chart" uri="{C3380CC4-5D6E-409C-BE32-E72D297353CC}">
              <c16:uniqueId val="{00000003-2970-41A7-B4D4-8EBB99079684}"/>
            </c:ext>
          </c:extLst>
        </c:ser>
        <c:dLbls>
          <c:showLegendKey val="0"/>
          <c:showVal val="0"/>
          <c:showCatName val="0"/>
          <c:showSerName val="0"/>
          <c:showPercent val="0"/>
          <c:showBubbleSize val="0"/>
        </c:dLbls>
        <c:gapWidth val="150"/>
        <c:shape val="box"/>
        <c:axId val="1753260000"/>
        <c:axId val="1753244640"/>
        <c:axId val="1758039680"/>
      </c:bar3DChart>
      <c:catAx>
        <c:axId val="175326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44640"/>
        <c:crosses val="autoZero"/>
        <c:auto val="1"/>
        <c:lblAlgn val="ctr"/>
        <c:lblOffset val="100"/>
        <c:noMultiLvlLbl val="0"/>
      </c:catAx>
      <c:valAx>
        <c:axId val="17532446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60000"/>
        <c:crosses val="autoZero"/>
        <c:crossBetween val="between"/>
      </c:valAx>
      <c:serAx>
        <c:axId val="17580396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2446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excel.xlsx]weather impact!PivotTable4</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Weather</a:t>
            </a:r>
            <a:r>
              <a:rPr lang="en-IN" baseline="0"/>
              <a:t> impact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'weather impact'!$B$7</c:f>
              <c:strCache>
                <c:ptCount val="1"/>
                <c:pt idx="0">
                  <c:v>Average of Rental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impact'!$B$8:$B$13</c:f>
              <c:numCache>
                <c:formatCode>General</c:formatCode>
                <c:ptCount val="5"/>
                <c:pt idx="0">
                  <c:v>35.128712871287128</c:v>
                </c:pt>
                <c:pt idx="1">
                  <c:v>16</c:v>
                </c:pt>
                <c:pt idx="2">
                  <c:v>24.738095238095237</c:v>
                </c:pt>
                <c:pt idx="3">
                  <c:v>48.567391304347829</c:v>
                </c:pt>
              </c:numCache>
            </c:numRef>
          </c:val>
          <c:extLst>
            <c:ext xmlns:c16="http://schemas.microsoft.com/office/drawing/2014/chart" uri="{C3380CC4-5D6E-409C-BE32-E72D297353CC}">
              <c16:uniqueId val="{00000000-29C8-4C02-BC14-6AF21366E934}"/>
            </c:ext>
          </c:extLst>
        </c:ser>
        <c:ser>
          <c:idx val="1"/>
          <c:order val="1"/>
          <c:tx>
            <c:strRef>
              <c:f>'weather impact'!$C$7</c:f>
              <c:strCache>
                <c:ptCount val="1"/>
                <c:pt idx="0">
                  <c:v>ToTal Rental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impact'!$C$8:$C$13</c:f>
              <c:numCache>
                <c:formatCode>General</c:formatCode>
                <c:ptCount val="5"/>
                <c:pt idx="0">
                  <c:v>21288</c:v>
                </c:pt>
                <c:pt idx="1">
                  <c:v>16</c:v>
                </c:pt>
                <c:pt idx="2">
                  <c:v>2078</c:v>
                </c:pt>
                <c:pt idx="3">
                  <c:v>44682</c:v>
                </c:pt>
              </c:numCache>
            </c:numRef>
          </c:val>
          <c:extLst>
            <c:ext xmlns:c16="http://schemas.microsoft.com/office/drawing/2014/chart" uri="{C3380CC4-5D6E-409C-BE32-E72D297353CC}">
              <c16:uniqueId val="{00000001-29C8-4C02-BC14-6AF21366E934}"/>
            </c:ext>
          </c:extLst>
        </c:ser>
        <c:ser>
          <c:idx val="2"/>
          <c:order val="2"/>
          <c:tx>
            <c:strRef>
              <c:f>'weather impact'!$D$7</c:f>
              <c:strCache>
                <c:ptCount val="1"/>
                <c:pt idx="0">
                  <c:v>Average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impact'!$D$8:$D$13</c:f>
              <c:numCache>
                <c:formatCode>General</c:formatCode>
                <c:ptCount val="5"/>
                <c:pt idx="0">
                  <c:v>4.4092409240924093</c:v>
                </c:pt>
                <c:pt idx="1">
                  <c:v>3</c:v>
                </c:pt>
                <c:pt idx="2">
                  <c:v>2.5119047619047619</c:v>
                </c:pt>
                <c:pt idx="3">
                  <c:v>4.2010869565217392</c:v>
                </c:pt>
              </c:numCache>
            </c:numRef>
          </c:val>
          <c:extLst>
            <c:ext xmlns:c16="http://schemas.microsoft.com/office/drawing/2014/chart" uri="{C3380CC4-5D6E-409C-BE32-E72D297353CC}">
              <c16:uniqueId val="{00000002-29C8-4C02-BC14-6AF21366E934}"/>
            </c:ext>
          </c:extLst>
        </c:ser>
        <c:ser>
          <c:idx val="3"/>
          <c:order val="3"/>
          <c:tx>
            <c:strRef>
              <c:f>'weather impact'!$E$7</c:f>
              <c:strCache>
                <c:ptCount val="1"/>
                <c:pt idx="0">
                  <c:v>Average of registered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 impact'!$A$8:$A$13</c:f>
              <c:strCache>
                <c:ptCount val="5"/>
                <c:pt idx="0">
                  <c:v>Clear</c:v>
                </c:pt>
                <c:pt idx="1">
                  <c:v>Heavy Rain/Snow</c:v>
                </c:pt>
                <c:pt idx="2">
                  <c:v>Light Snow/Rain</c:v>
                </c:pt>
                <c:pt idx="3">
                  <c:v>Mist</c:v>
                </c:pt>
                <c:pt idx="4">
                  <c:v>(blank)</c:v>
                </c:pt>
              </c:strCache>
            </c:strRef>
          </c:cat>
          <c:val>
            <c:numRef>
              <c:f>'weather impact'!$E$8:$E$13</c:f>
              <c:numCache>
                <c:formatCode>General</c:formatCode>
                <c:ptCount val="5"/>
                <c:pt idx="0">
                  <c:v>30.71947194719472</c:v>
                </c:pt>
                <c:pt idx="1">
                  <c:v>13</c:v>
                </c:pt>
                <c:pt idx="2">
                  <c:v>22.226190476190474</c:v>
                </c:pt>
                <c:pt idx="3">
                  <c:v>44.366304347826087</c:v>
                </c:pt>
              </c:numCache>
            </c:numRef>
          </c:val>
          <c:extLst>
            <c:ext xmlns:c16="http://schemas.microsoft.com/office/drawing/2014/chart" uri="{C3380CC4-5D6E-409C-BE32-E72D297353CC}">
              <c16:uniqueId val="{00000003-29C8-4C02-BC14-6AF21366E934}"/>
            </c:ext>
          </c:extLst>
        </c:ser>
        <c:dLbls>
          <c:showLegendKey val="0"/>
          <c:showVal val="0"/>
          <c:showCatName val="0"/>
          <c:showSerName val="0"/>
          <c:showPercent val="0"/>
          <c:showBubbleSize val="0"/>
        </c:dLbls>
        <c:gapWidth val="150"/>
        <c:shape val="box"/>
        <c:axId val="101098559"/>
        <c:axId val="101112959"/>
        <c:axId val="0"/>
      </c:bar3DChart>
      <c:catAx>
        <c:axId val="101098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12959"/>
        <c:crosses val="autoZero"/>
        <c:auto val="1"/>
        <c:lblAlgn val="ctr"/>
        <c:lblOffset val="100"/>
        <c:noMultiLvlLbl val="0"/>
      </c:catAx>
      <c:valAx>
        <c:axId val="10111295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09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projrct excel.xlsx]Temperature effect!PivotTable3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Temp</a:t>
            </a:r>
            <a:r>
              <a:rPr lang="en-IN" baseline="0"/>
              <a:t> effect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222659667541559E-2"/>
          <c:y val="0.2572178477690289"/>
          <c:w val="0.86733289588801399"/>
          <c:h val="0.62961067366579182"/>
        </c:manualLayout>
      </c:layout>
      <c:barChart>
        <c:barDir val="col"/>
        <c:grouping val="clustered"/>
        <c:varyColors val="0"/>
        <c:ser>
          <c:idx val="0"/>
          <c:order val="0"/>
          <c:tx>
            <c:strRef>
              <c:f>'Temperature effect'!$B$6</c:f>
              <c:strCache>
                <c:ptCount val="1"/>
                <c:pt idx="0">
                  <c:v>Average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'Temperature effect'!$A$7:$A$30</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'Temperature effect'!$B$7:$B$30</c:f>
              <c:numCache>
                <c:formatCode>0.00</c:formatCode>
                <c:ptCount val="23"/>
                <c:pt idx="0">
                  <c:v>3</c:v>
                </c:pt>
                <c:pt idx="1">
                  <c:v>3</c:v>
                </c:pt>
                <c:pt idx="2">
                  <c:v>2.4666666666666668</c:v>
                </c:pt>
                <c:pt idx="3">
                  <c:v>2.4166666666666665</c:v>
                </c:pt>
                <c:pt idx="4">
                  <c:v>2.5</c:v>
                </c:pt>
                <c:pt idx="5">
                  <c:v>2.6136363636363638</c:v>
                </c:pt>
                <c:pt idx="6">
                  <c:v>2.50561797752809</c:v>
                </c:pt>
                <c:pt idx="7">
                  <c:v>2.6384615384615384</c:v>
                </c:pt>
                <c:pt idx="8">
                  <c:v>2.962025316455696</c:v>
                </c:pt>
                <c:pt idx="9">
                  <c:v>4.2045760430686405</c:v>
                </c:pt>
                <c:pt idx="10">
                  <c:v>3.4338235294117645</c:v>
                </c:pt>
                <c:pt idx="11">
                  <c:v>3.7325581395348837</c:v>
                </c:pt>
                <c:pt idx="12">
                  <c:v>3.2857142857142856</c:v>
                </c:pt>
                <c:pt idx="13">
                  <c:v>4.8518518518518521</c:v>
                </c:pt>
                <c:pt idx="14">
                  <c:v>8.7567567567567561</c:v>
                </c:pt>
                <c:pt idx="15">
                  <c:v>6.625</c:v>
                </c:pt>
                <c:pt idx="16">
                  <c:v>20.55</c:v>
                </c:pt>
                <c:pt idx="17">
                  <c:v>8.7333333333333325</c:v>
                </c:pt>
                <c:pt idx="18">
                  <c:v>10.111111111111111</c:v>
                </c:pt>
                <c:pt idx="19">
                  <c:v>10.75</c:v>
                </c:pt>
                <c:pt idx="20">
                  <c:v>9.5</c:v>
                </c:pt>
                <c:pt idx="21">
                  <c:v>3</c:v>
                </c:pt>
                <c:pt idx="22">
                  <c:v>3</c:v>
                </c:pt>
              </c:numCache>
            </c:numRef>
          </c:val>
          <c:extLst>
            <c:ext xmlns:c16="http://schemas.microsoft.com/office/drawing/2014/chart" uri="{C3380CC4-5D6E-409C-BE32-E72D297353CC}">
              <c16:uniqueId val="{00000000-ECAA-4D90-BA04-4CCD38FB458D}"/>
            </c:ext>
          </c:extLst>
        </c:ser>
        <c:ser>
          <c:idx val="1"/>
          <c:order val="1"/>
          <c:tx>
            <c:strRef>
              <c:f>'Temperature effect'!$C$6</c:f>
              <c:strCache>
                <c:ptCount val="1"/>
                <c:pt idx="0">
                  <c:v>Average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'Temperature effect'!$A$7:$A$30</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'Temperature effect'!$C$7:$C$30</c:f>
              <c:numCache>
                <c:formatCode>0.00</c:formatCode>
                <c:ptCount val="23"/>
                <c:pt idx="0">
                  <c:v>13</c:v>
                </c:pt>
                <c:pt idx="1">
                  <c:v>13</c:v>
                </c:pt>
                <c:pt idx="2">
                  <c:v>19.333333333333332</c:v>
                </c:pt>
                <c:pt idx="3">
                  <c:v>16.333333333333332</c:v>
                </c:pt>
                <c:pt idx="4">
                  <c:v>32.375</c:v>
                </c:pt>
                <c:pt idx="5">
                  <c:v>21.704545454545453</c:v>
                </c:pt>
                <c:pt idx="6">
                  <c:v>24.943820224719101</c:v>
                </c:pt>
                <c:pt idx="7">
                  <c:v>29.53846153846154</c:v>
                </c:pt>
                <c:pt idx="8">
                  <c:v>26.481012658227847</c:v>
                </c:pt>
                <c:pt idx="9">
                  <c:v>46.014804845222073</c:v>
                </c:pt>
                <c:pt idx="10">
                  <c:v>26.816176470588236</c:v>
                </c:pt>
                <c:pt idx="11">
                  <c:v>41.372093023255815</c:v>
                </c:pt>
                <c:pt idx="12">
                  <c:v>24.553571428571427</c:v>
                </c:pt>
                <c:pt idx="13">
                  <c:v>40.629629629629626</c:v>
                </c:pt>
                <c:pt idx="14">
                  <c:v>48.594594594594597</c:v>
                </c:pt>
                <c:pt idx="15">
                  <c:v>44.583333333333336</c:v>
                </c:pt>
                <c:pt idx="16">
                  <c:v>82.15</c:v>
                </c:pt>
                <c:pt idx="17">
                  <c:v>45.466666666666669</c:v>
                </c:pt>
                <c:pt idx="18">
                  <c:v>35.333333333333336</c:v>
                </c:pt>
                <c:pt idx="19">
                  <c:v>37.4375</c:v>
                </c:pt>
                <c:pt idx="20">
                  <c:v>34.875</c:v>
                </c:pt>
                <c:pt idx="21">
                  <c:v>13</c:v>
                </c:pt>
                <c:pt idx="22">
                  <c:v>13</c:v>
                </c:pt>
              </c:numCache>
            </c:numRef>
          </c:val>
          <c:extLst>
            <c:ext xmlns:c16="http://schemas.microsoft.com/office/drawing/2014/chart" uri="{C3380CC4-5D6E-409C-BE32-E72D297353CC}">
              <c16:uniqueId val="{00000001-ECAA-4D90-BA04-4CCD38FB458D}"/>
            </c:ext>
          </c:extLst>
        </c:ser>
        <c:dLbls>
          <c:showLegendKey val="0"/>
          <c:showVal val="0"/>
          <c:showCatName val="0"/>
          <c:showSerName val="0"/>
          <c:showPercent val="0"/>
          <c:showBubbleSize val="0"/>
        </c:dLbls>
        <c:gapWidth val="100"/>
        <c:overlap val="-24"/>
        <c:axId val="1687188112"/>
        <c:axId val="1687183312"/>
      </c:barChart>
      <c:catAx>
        <c:axId val="1687188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83312"/>
        <c:crosses val="autoZero"/>
        <c:auto val="1"/>
        <c:lblAlgn val="ctr"/>
        <c:lblOffset val="100"/>
        <c:noMultiLvlLbl val="0"/>
      </c:catAx>
      <c:valAx>
        <c:axId val="168718331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8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213360</xdr:colOff>
      <xdr:row>6</xdr:row>
      <xdr:rowOff>57150</xdr:rowOff>
    </xdr:from>
    <xdr:to>
      <xdr:col>10</xdr:col>
      <xdr:colOff>518160</xdr:colOff>
      <xdr:row>22</xdr:row>
      <xdr:rowOff>118110</xdr:rowOff>
    </xdr:to>
    <xdr:graphicFrame macro="">
      <xdr:nvGraphicFramePr>
        <xdr:cNvPr id="2" name="Chart 1">
          <a:extLst>
            <a:ext uri="{FF2B5EF4-FFF2-40B4-BE49-F238E27FC236}">
              <a16:creationId xmlns:a16="http://schemas.microsoft.com/office/drawing/2014/main" id="{3949AEC3-4D4E-CDAB-8D84-0FF7ACC90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38100</xdr:colOff>
      <xdr:row>6</xdr:row>
      <xdr:rowOff>38100</xdr:rowOff>
    </xdr:from>
    <xdr:to>
      <xdr:col>14</xdr:col>
      <xdr:colOff>38100</xdr:colOff>
      <xdr:row>19</xdr:row>
      <xdr:rowOff>97155</xdr:rowOff>
    </xdr:to>
    <mc:AlternateContent xmlns:mc="http://schemas.openxmlformats.org/markup-compatibility/2006">
      <mc:Choice xmlns:a14="http://schemas.microsoft.com/office/drawing/2010/main" Requires="a14">
        <xdr:graphicFrame macro="">
          <xdr:nvGraphicFramePr>
            <xdr:cNvPr id="3" name="weekday 3">
              <a:extLst>
                <a:ext uri="{FF2B5EF4-FFF2-40B4-BE49-F238E27FC236}">
                  <a16:creationId xmlns:a16="http://schemas.microsoft.com/office/drawing/2014/main" id="{29E71FAD-8034-15DA-757C-C21FB5190D1C}"/>
                </a:ext>
              </a:extLst>
            </xdr:cNvPr>
            <xdr:cNvGraphicFramePr/>
          </xdr:nvGraphicFramePr>
          <xdr:xfrm>
            <a:off x="0" y="0"/>
            <a:ext cx="0" cy="0"/>
          </xdr:xfrm>
          <a:graphic>
            <a:graphicData uri="http://schemas.microsoft.com/office/drawing/2010/slicer">
              <sle:slicer xmlns:sle="http://schemas.microsoft.com/office/drawing/2010/slicer" name="weekday 3"/>
            </a:graphicData>
          </a:graphic>
        </xdr:graphicFrame>
      </mc:Choice>
      <mc:Fallback>
        <xdr:sp macro="" textlink="">
          <xdr:nvSpPr>
            <xdr:cNvPr id="0" name=""/>
            <xdr:cNvSpPr>
              <a:spLocks noTextEdit="1"/>
            </xdr:cNvSpPr>
          </xdr:nvSpPr>
          <xdr:spPr>
            <a:xfrm>
              <a:off x="7277100" y="10439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220980</xdr:colOff>
      <xdr:row>6</xdr:row>
      <xdr:rowOff>60960</xdr:rowOff>
    </xdr:from>
    <xdr:to>
      <xdr:col>17</xdr:col>
      <xdr:colOff>220980</xdr:colOff>
      <xdr:row>19</xdr:row>
      <xdr:rowOff>120015</xdr:rowOff>
    </xdr:to>
    <mc:AlternateContent xmlns:mc="http://schemas.openxmlformats.org/markup-compatibility/2006">
      <mc:Choice xmlns:a14="http://schemas.microsoft.com/office/drawing/2010/main" Requires="a14">
        <xdr:graphicFrame macro="">
          <xdr:nvGraphicFramePr>
            <xdr:cNvPr id="4" name="weathersit 6">
              <a:extLst>
                <a:ext uri="{FF2B5EF4-FFF2-40B4-BE49-F238E27FC236}">
                  <a16:creationId xmlns:a16="http://schemas.microsoft.com/office/drawing/2014/main" id="{44A622FF-6B60-307F-A45D-040E2A4A9EA0}"/>
                </a:ext>
              </a:extLst>
            </xdr:cNvPr>
            <xdr:cNvGraphicFramePr/>
          </xdr:nvGraphicFramePr>
          <xdr:xfrm>
            <a:off x="0" y="0"/>
            <a:ext cx="0" cy="0"/>
          </xdr:xfrm>
          <a:graphic>
            <a:graphicData uri="http://schemas.microsoft.com/office/drawing/2010/slicer">
              <sle:slicer xmlns:sle="http://schemas.microsoft.com/office/drawing/2010/slicer" name="weathersit 6"/>
            </a:graphicData>
          </a:graphic>
        </xdr:graphicFrame>
      </mc:Choice>
      <mc:Fallback>
        <xdr:sp macro="" textlink="">
          <xdr:nvSpPr>
            <xdr:cNvPr id="0" name=""/>
            <xdr:cNvSpPr>
              <a:spLocks noTextEdit="1"/>
            </xdr:cNvSpPr>
          </xdr:nvSpPr>
          <xdr:spPr>
            <a:xfrm>
              <a:off x="9288780" y="10668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45720</xdr:colOff>
      <xdr:row>5</xdr:row>
      <xdr:rowOff>64770</xdr:rowOff>
    </xdr:from>
    <xdr:to>
      <xdr:col>17</xdr:col>
      <xdr:colOff>350520</xdr:colOff>
      <xdr:row>21</xdr:row>
      <xdr:rowOff>125730</xdr:rowOff>
    </xdr:to>
    <xdr:graphicFrame macro="">
      <xdr:nvGraphicFramePr>
        <xdr:cNvPr id="3" name="Chart 2">
          <a:extLst>
            <a:ext uri="{FF2B5EF4-FFF2-40B4-BE49-F238E27FC236}">
              <a16:creationId xmlns:a16="http://schemas.microsoft.com/office/drawing/2014/main" id="{48AAF606-CB13-353E-4EAF-034B0F385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205740</xdr:colOff>
      <xdr:row>5</xdr:row>
      <xdr:rowOff>121920</xdr:rowOff>
    </xdr:from>
    <xdr:to>
      <xdr:col>6</xdr:col>
      <xdr:colOff>205740</xdr:colOff>
      <xdr:row>19</xdr:row>
      <xdr:rowOff>13335</xdr:rowOff>
    </xdr:to>
    <mc:AlternateContent xmlns:mc="http://schemas.openxmlformats.org/markup-compatibility/2006">
      <mc:Choice xmlns:a14="http://schemas.microsoft.com/office/drawing/2010/main" Requires="a14">
        <xdr:graphicFrame macro="">
          <xdr:nvGraphicFramePr>
            <xdr:cNvPr id="2" name="weekday 2">
              <a:extLst>
                <a:ext uri="{FF2B5EF4-FFF2-40B4-BE49-F238E27FC236}">
                  <a16:creationId xmlns:a16="http://schemas.microsoft.com/office/drawing/2014/main" id="{2360EE8B-FB2D-910C-07D4-31B94EB745BD}"/>
                </a:ext>
              </a:extLst>
            </xdr:cNvPr>
            <xdr:cNvGraphicFramePr/>
          </xdr:nvGraphicFramePr>
          <xdr:xfrm>
            <a:off x="0" y="0"/>
            <a:ext cx="0" cy="0"/>
          </xdr:xfrm>
          <a:graphic>
            <a:graphicData uri="http://schemas.microsoft.com/office/drawing/2010/slicer">
              <sle:slicer xmlns:sle="http://schemas.microsoft.com/office/drawing/2010/slicer" name="weekday 2"/>
            </a:graphicData>
          </a:graphic>
        </xdr:graphicFrame>
      </mc:Choice>
      <mc:Fallback>
        <xdr:sp macro="" textlink="">
          <xdr:nvSpPr>
            <xdr:cNvPr id="0" name=""/>
            <xdr:cNvSpPr>
              <a:spLocks noTextEdit="1"/>
            </xdr:cNvSpPr>
          </xdr:nvSpPr>
          <xdr:spPr>
            <a:xfrm>
              <a:off x="2674620" y="9601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541020</xdr:colOff>
      <xdr:row>5</xdr:row>
      <xdr:rowOff>91440</xdr:rowOff>
    </xdr:from>
    <xdr:to>
      <xdr:col>9</xdr:col>
      <xdr:colOff>541020</xdr:colOff>
      <xdr:row>18</xdr:row>
      <xdr:rowOff>150495</xdr:rowOff>
    </xdr:to>
    <mc:AlternateContent xmlns:mc="http://schemas.openxmlformats.org/markup-compatibility/2006">
      <mc:Choice xmlns:a14="http://schemas.microsoft.com/office/drawing/2010/main" Requires="a14">
        <xdr:graphicFrame macro="">
          <xdr:nvGraphicFramePr>
            <xdr:cNvPr id="4" name="weathersit 5">
              <a:extLst>
                <a:ext uri="{FF2B5EF4-FFF2-40B4-BE49-F238E27FC236}">
                  <a16:creationId xmlns:a16="http://schemas.microsoft.com/office/drawing/2014/main" id="{87EEF5AD-95F3-73B2-BBF4-8EBEBFB68D13}"/>
                </a:ext>
              </a:extLst>
            </xdr:cNvPr>
            <xdr:cNvGraphicFramePr/>
          </xdr:nvGraphicFramePr>
          <xdr:xfrm>
            <a:off x="0" y="0"/>
            <a:ext cx="0" cy="0"/>
          </xdr:xfrm>
          <a:graphic>
            <a:graphicData uri="http://schemas.microsoft.com/office/drawing/2010/slicer">
              <sle:slicer xmlns:sle="http://schemas.microsoft.com/office/drawing/2010/slicer" name="weathersit 5"/>
            </a:graphicData>
          </a:graphic>
        </xdr:graphicFrame>
      </mc:Choice>
      <mc:Fallback>
        <xdr:sp macro="" textlink="">
          <xdr:nvSpPr>
            <xdr:cNvPr id="0" name=""/>
            <xdr:cNvSpPr>
              <a:spLocks noTextEdit="1"/>
            </xdr:cNvSpPr>
          </xdr:nvSpPr>
          <xdr:spPr>
            <a:xfrm>
              <a:off x="4838700" y="9296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167640</xdr:colOff>
      <xdr:row>5</xdr:row>
      <xdr:rowOff>91440</xdr:rowOff>
    </xdr:from>
    <xdr:to>
      <xdr:col>19</xdr:col>
      <xdr:colOff>472440</xdr:colOff>
      <xdr:row>21</xdr:row>
      <xdr:rowOff>152400</xdr:rowOff>
    </xdr:to>
    <xdr:graphicFrame macro="">
      <xdr:nvGraphicFramePr>
        <xdr:cNvPr id="2" name="Chart 1">
          <a:extLst>
            <a:ext uri="{FF2B5EF4-FFF2-40B4-BE49-F238E27FC236}">
              <a16:creationId xmlns:a16="http://schemas.microsoft.com/office/drawing/2014/main" id="{85C5D568-02CA-8B7D-7AE0-1633D1FE6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190500</xdr:colOff>
      <xdr:row>6</xdr:row>
      <xdr:rowOff>45720</xdr:rowOff>
    </xdr:from>
    <xdr:to>
      <xdr:col>5</xdr:col>
      <xdr:colOff>350520</xdr:colOff>
      <xdr:row>19</xdr:row>
      <xdr:rowOff>104775</xdr:rowOff>
    </xdr:to>
    <mc:AlternateContent xmlns:mc="http://schemas.openxmlformats.org/markup-compatibility/2006" xmlns:a14="http://schemas.microsoft.com/office/drawing/2010/main">
      <mc:Choice Requires="a14">
        <xdr:graphicFrame macro="">
          <xdr:nvGraphicFramePr>
            <xdr:cNvPr id="5" name="holiday">
              <a:extLst>
                <a:ext uri="{FF2B5EF4-FFF2-40B4-BE49-F238E27FC236}">
                  <a16:creationId xmlns:a16="http://schemas.microsoft.com/office/drawing/2014/main" id="{58EBA9E9-FADF-0404-5108-987786AB2200}"/>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2628900" y="1051560"/>
              <a:ext cx="159258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464820</xdr:colOff>
      <xdr:row>6</xdr:row>
      <xdr:rowOff>83820</xdr:rowOff>
    </xdr:from>
    <xdr:to>
      <xdr:col>8</xdr:col>
      <xdr:colOff>464820</xdr:colOff>
      <xdr:row>19</xdr:row>
      <xdr:rowOff>142875</xdr:rowOff>
    </xdr:to>
    <mc:AlternateContent xmlns:mc="http://schemas.openxmlformats.org/markup-compatibility/2006" xmlns:a14="http://schemas.microsoft.com/office/drawing/2010/main">
      <mc:Choice Requires="a14">
        <xdr:graphicFrame macro="">
          <xdr:nvGraphicFramePr>
            <xdr:cNvPr id="8" name="weathersit 4">
              <a:extLst>
                <a:ext uri="{FF2B5EF4-FFF2-40B4-BE49-F238E27FC236}">
                  <a16:creationId xmlns:a16="http://schemas.microsoft.com/office/drawing/2014/main" id="{04E6824F-04F5-62A9-F7E0-5285D8467B7B}"/>
                </a:ext>
              </a:extLst>
            </xdr:cNvPr>
            <xdr:cNvGraphicFramePr/>
          </xdr:nvGraphicFramePr>
          <xdr:xfrm>
            <a:off x="0" y="0"/>
            <a:ext cx="0" cy="0"/>
          </xdr:xfrm>
          <a:graphic>
            <a:graphicData uri="http://schemas.microsoft.com/office/drawing/2010/slicer">
              <sle:slicer xmlns:sle="http://schemas.microsoft.com/office/drawing/2010/slicer" name="weathersit 4"/>
            </a:graphicData>
          </a:graphic>
        </xdr:graphicFrame>
      </mc:Choice>
      <mc:Fallback xmlns="">
        <xdr:sp macro="" textlink="">
          <xdr:nvSpPr>
            <xdr:cNvPr id="0" name=""/>
            <xdr:cNvSpPr>
              <a:spLocks noTextEdit="1"/>
            </xdr:cNvSpPr>
          </xdr:nvSpPr>
          <xdr:spPr>
            <a:xfrm>
              <a:off x="4335780" y="10896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586740</xdr:colOff>
      <xdr:row>6</xdr:row>
      <xdr:rowOff>45720</xdr:rowOff>
    </xdr:from>
    <xdr:to>
      <xdr:col>11</xdr:col>
      <xdr:colOff>586740</xdr:colOff>
      <xdr:row>19</xdr:row>
      <xdr:rowOff>104775</xdr:rowOff>
    </xdr:to>
    <mc:AlternateContent xmlns:mc="http://schemas.openxmlformats.org/markup-compatibility/2006" xmlns:a14="http://schemas.microsoft.com/office/drawing/2010/main">
      <mc:Choice Requires="a14">
        <xdr:graphicFrame macro="">
          <xdr:nvGraphicFramePr>
            <xdr:cNvPr id="9" name="weekday">
              <a:extLst>
                <a:ext uri="{FF2B5EF4-FFF2-40B4-BE49-F238E27FC236}">
                  <a16:creationId xmlns:a16="http://schemas.microsoft.com/office/drawing/2014/main" id="{E194A6A6-568D-64C4-FC2B-0E13E70B0FAD}"/>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6286500" y="10515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571500</xdr:colOff>
      <xdr:row>7</xdr:row>
      <xdr:rowOff>38100</xdr:rowOff>
    </xdr:from>
    <xdr:to>
      <xdr:col>13</xdr:col>
      <xdr:colOff>266700</xdr:colOff>
      <xdr:row>23</xdr:row>
      <xdr:rowOff>99060</xdr:rowOff>
    </xdr:to>
    <xdr:graphicFrame macro="">
      <xdr:nvGraphicFramePr>
        <xdr:cNvPr id="2" name="Chart 1">
          <a:extLst>
            <a:ext uri="{FF2B5EF4-FFF2-40B4-BE49-F238E27FC236}">
              <a16:creationId xmlns:a16="http://schemas.microsoft.com/office/drawing/2014/main" id="{F156DE25-09C6-5A4A-D5A7-AB0944A8C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281940</xdr:colOff>
      <xdr:row>8</xdr:row>
      <xdr:rowOff>152400</xdr:rowOff>
    </xdr:from>
    <xdr:to>
      <xdr:col>20</xdr:col>
      <xdr:colOff>167640</xdr:colOff>
      <xdr:row>22</xdr:row>
      <xdr:rowOff>43815</xdr:rowOff>
    </xdr:to>
    <mc:AlternateContent xmlns:mc="http://schemas.openxmlformats.org/markup-compatibility/2006" xmlns:a14="http://schemas.microsoft.com/office/drawing/2010/main">
      <mc:Choice Requires="a14">
        <xdr:graphicFrame macro="">
          <xdr:nvGraphicFramePr>
            <xdr:cNvPr id="7" name="weekday 1">
              <a:extLst>
                <a:ext uri="{FF2B5EF4-FFF2-40B4-BE49-F238E27FC236}">
                  <a16:creationId xmlns:a16="http://schemas.microsoft.com/office/drawing/2014/main" id="{7CE66139-E699-4678-6E42-841813A54044}"/>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2816840" y="1493520"/>
              <a:ext cx="11049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8</xdr:row>
      <xdr:rowOff>83820</xdr:rowOff>
    </xdr:from>
    <xdr:to>
      <xdr:col>16</xdr:col>
      <xdr:colOff>30480</xdr:colOff>
      <xdr:row>21</xdr:row>
      <xdr:rowOff>142875</xdr:rowOff>
    </xdr:to>
    <mc:AlternateContent xmlns:mc="http://schemas.openxmlformats.org/markup-compatibility/2006" xmlns:a14="http://schemas.microsoft.com/office/drawing/2010/main">
      <mc:Choice Requires="a14">
        <xdr:graphicFrame macro="">
          <xdr:nvGraphicFramePr>
            <xdr:cNvPr id="8" name="temp 3">
              <a:extLst>
                <a:ext uri="{FF2B5EF4-FFF2-40B4-BE49-F238E27FC236}">
                  <a16:creationId xmlns:a16="http://schemas.microsoft.com/office/drawing/2014/main" id="{5EF69019-5A44-A380-5E12-2CD429C24741}"/>
                </a:ext>
              </a:extLst>
            </xdr:cNvPr>
            <xdr:cNvGraphicFramePr/>
          </xdr:nvGraphicFramePr>
          <xdr:xfrm>
            <a:off x="0" y="0"/>
            <a:ext cx="0" cy="0"/>
          </xdr:xfrm>
          <a:graphic>
            <a:graphicData uri="http://schemas.microsoft.com/office/drawing/2010/slicer">
              <sle:slicer xmlns:sle="http://schemas.microsoft.com/office/drawing/2010/slicer" name="temp 3"/>
            </a:graphicData>
          </a:graphic>
        </xdr:graphicFrame>
      </mc:Choice>
      <mc:Fallback xmlns="">
        <xdr:sp macro="" textlink="">
          <xdr:nvSpPr>
            <xdr:cNvPr id="0" name=""/>
            <xdr:cNvSpPr>
              <a:spLocks noTextEdit="1"/>
            </xdr:cNvSpPr>
          </xdr:nvSpPr>
          <xdr:spPr>
            <a:xfrm>
              <a:off x="10073640" y="1424940"/>
              <a:ext cx="12725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8</xdr:row>
      <xdr:rowOff>121920</xdr:rowOff>
    </xdr:from>
    <xdr:to>
      <xdr:col>18</xdr:col>
      <xdr:colOff>205740</xdr:colOff>
      <xdr:row>22</xdr:row>
      <xdr:rowOff>13335</xdr:rowOff>
    </xdr:to>
    <mc:AlternateContent xmlns:mc="http://schemas.openxmlformats.org/markup-compatibility/2006" xmlns:a14="http://schemas.microsoft.com/office/drawing/2010/main">
      <mc:Choice Requires="a14">
        <xdr:graphicFrame macro="">
          <xdr:nvGraphicFramePr>
            <xdr:cNvPr id="10" name="weathersit 1">
              <a:extLst>
                <a:ext uri="{FF2B5EF4-FFF2-40B4-BE49-F238E27FC236}">
                  <a16:creationId xmlns:a16="http://schemas.microsoft.com/office/drawing/2014/main" id="{900965B6-6E43-ED86-CB0D-2053C5648345}"/>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11544300" y="1463040"/>
              <a:ext cx="11963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449580</xdr:colOff>
      <xdr:row>6</xdr:row>
      <xdr:rowOff>45720</xdr:rowOff>
    </xdr:from>
    <xdr:to>
      <xdr:col>19</xdr:col>
      <xdr:colOff>144780</xdr:colOff>
      <xdr:row>22</xdr:row>
      <xdr:rowOff>106680</xdr:rowOff>
    </xdr:to>
    <xdr:graphicFrame macro="">
      <xdr:nvGraphicFramePr>
        <xdr:cNvPr id="2" name="Chart 1">
          <a:extLst>
            <a:ext uri="{FF2B5EF4-FFF2-40B4-BE49-F238E27FC236}">
              <a16:creationId xmlns:a16="http://schemas.microsoft.com/office/drawing/2014/main" id="{3A6A1EA0-0873-DC2A-ACD5-E06C3CE55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419100</xdr:colOff>
      <xdr:row>8</xdr:row>
      <xdr:rowOff>114300</xdr:rowOff>
    </xdr:from>
    <xdr:to>
      <xdr:col>7</xdr:col>
      <xdr:colOff>289560</xdr:colOff>
      <xdr:row>22</xdr:row>
      <xdr:rowOff>5715</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551EE0EC-FFC2-65C8-DA25-3BDACFD210C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4015740" y="1455420"/>
              <a:ext cx="108966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525780</xdr:colOff>
      <xdr:row>8</xdr:row>
      <xdr:rowOff>83820</xdr:rowOff>
    </xdr:from>
    <xdr:to>
      <xdr:col>9</xdr:col>
      <xdr:colOff>518160</xdr:colOff>
      <xdr:row>21</xdr:row>
      <xdr:rowOff>142875</xdr:rowOff>
    </xdr:to>
    <mc:AlternateContent xmlns:mc="http://schemas.openxmlformats.org/markup-compatibility/2006" xmlns:a14="http://schemas.microsoft.com/office/drawing/2010/main">
      <mc:Choice Requires="a14">
        <xdr:graphicFrame macro="">
          <xdr:nvGraphicFramePr>
            <xdr:cNvPr id="8" name="weathersit">
              <a:extLst>
                <a:ext uri="{FF2B5EF4-FFF2-40B4-BE49-F238E27FC236}">
                  <a16:creationId xmlns:a16="http://schemas.microsoft.com/office/drawing/2014/main" id="{75B1E57B-95D2-5957-D4AC-B7EAD181E1DA}"/>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5341620" y="1424940"/>
              <a:ext cx="121158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441960</xdr:colOff>
      <xdr:row>8</xdr:row>
      <xdr:rowOff>160020</xdr:rowOff>
    </xdr:from>
    <xdr:to>
      <xdr:col>5</xdr:col>
      <xdr:colOff>342900</xdr:colOff>
      <xdr:row>22</xdr:row>
      <xdr:rowOff>51435</xdr:rowOff>
    </xdr:to>
    <mc:AlternateContent xmlns:mc="http://schemas.openxmlformats.org/markup-compatibility/2006" xmlns:a14="http://schemas.microsoft.com/office/drawing/2010/main">
      <mc:Choice Requires="a14">
        <xdr:graphicFrame macro="">
          <xdr:nvGraphicFramePr>
            <xdr:cNvPr id="9" name="hr">
              <a:extLst>
                <a:ext uri="{FF2B5EF4-FFF2-40B4-BE49-F238E27FC236}">
                  <a16:creationId xmlns:a16="http://schemas.microsoft.com/office/drawing/2014/main" id="{313AB926-EB2C-1883-F839-91B077FBFB75}"/>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2819400" y="1501140"/>
              <a:ext cx="11201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144780</xdr:colOff>
      <xdr:row>5</xdr:row>
      <xdr:rowOff>22860</xdr:rowOff>
    </xdr:from>
    <xdr:to>
      <xdr:col>18</xdr:col>
      <xdr:colOff>579120</xdr:colOff>
      <xdr:row>21</xdr:row>
      <xdr:rowOff>83820</xdr:rowOff>
    </xdr:to>
    <xdr:graphicFrame macro="">
      <xdr:nvGraphicFramePr>
        <xdr:cNvPr id="2" name="Chart 1">
          <a:extLst>
            <a:ext uri="{FF2B5EF4-FFF2-40B4-BE49-F238E27FC236}">
              <a16:creationId xmlns:a16="http://schemas.microsoft.com/office/drawing/2014/main" id="{B5EF3D2A-C758-026B-30C6-C8CA2E13A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312420</xdr:colOff>
      <xdr:row>22</xdr:row>
      <xdr:rowOff>38101</xdr:rowOff>
    </xdr:from>
    <xdr:to>
      <xdr:col>10</xdr:col>
      <xdr:colOff>457200</xdr:colOff>
      <xdr:row>31</xdr:row>
      <xdr:rowOff>68581</xdr:rowOff>
    </xdr:to>
    <mc:AlternateContent xmlns:mc="http://schemas.openxmlformats.org/markup-compatibility/2006">
      <mc:Choice xmlns:a14="http://schemas.microsoft.com/office/drawing/2010/main" Requires="a14">
        <xdr:graphicFrame macro="">
          <xdr:nvGraphicFramePr>
            <xdr:cNvPr id="3" name="hr 1">
              <a:extLst>
                <a:ext uri="{FF2B5EF4-FFF2-40B4-BE49-F238E27FC236}">
                  <a16:creationId xmlns:a16="http://schemas.microsoft.com/office/drawing/2014/main" id="{ECDAC9D1-0E08-F00A-FE7E-6BC1EA7A3019}"/>
                </a:ext>
              </a:extLst>
            </xdr:cNvPr>
            <xdr:cNvGraphicFramePr/>
          </xdr:nvGraphicFramePr>
          <xdr:xfrm>
            <a:off x="0" y="0"/>
            <a:ext cx="0" cy="0"/>
          </xdr:xfrm>
          <a:graphic>
            <a:graphicData uri="http://schemas.microsoft.com/office/drawing/2010/slicer">
              <sle:slicer xmlns:sle="http://schemas.microsoft.com/office/drawing/2010/slicer" name="hr 1"/>
            </a:graphicData>
          </a:graphic>
        </xdr:graphicFrame>
      </mc:Choice>
      <mc:Fallback>
        <xdr:sp macro="" textlink="">
          <xdr:nvSpPr>
            <xdr:cNvPr id="0" name=""/>
            <xdr:cNvSpPr>
              <a:spLocks noTextEdit="1"/>
            </xdr:cNvSpPr>
          </xdr:nvSpPr>
          <xdr:spPr>
            <a:xfrm>
              <a:off x="7947660" y="3726181"/>
              <a:ext cx="136398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236220</xdr:colOff>
      <xdr:row>22</xdr:row>
      <xdr:rowOff>45721</xdr:rowOff>
    </xdr:from>
    <xdr:to>
      <xdr:col>13</xdr:col>
      <xdr:colOff>487680</xdr:colOff>
      <xdr:row>31</xdr:row>
      <xdr:rowOff>38101</xdr:rowOff>
    </xdr:to>
    <mc:AlternateContent xmlns:mc="http://schemas.openxmlformats.org/markup-compatibility/2006">
      <mc:Choice xmlns:a14="http://schemas.microsoft.com/office/drawing/2010/main" Requires="a14">
        <xdr:graphicFrame macro="">
          <xdr:nvGraphicFramePr>
            <xdr:cNvPr id="4" name="cnt">
              <a:extLst>
                <a:ext uri="{FF2B5EF4-FFF2-40B4-BE49-F238E27FC236}">
                  <a16:creationId xmlns:a16="http://schemas.microsoft.com/office/drawing/2014/main" id="{B961CBBA-6AED-E793-5064-B80003F03B47}"/>
                </a:ext>
              </a:extLst>
            </xdr:cNvPr>
            <xdr:cNvGraphicFramePr/>
          </xdr:nvGraphicFramePr>
          <xdr:xfrm>
            <a:off x="0" y="0"/>
            <a:ext cx="0" cy="0"/>
          </xdr:xfrm>
          <a:graphic>
            <a:graphicData uri="http://schemas.microsoft.com/office/drawing/2010/slicer">
              <sle:slicer xmlns:sle="http://schemas.microsoft.com/office/drawing/2010/slicer" name="cnt"/>
            </a:graphicData>
          </a:graphic>
        </xdr:graphicFrame>
      </mc:Choice>
      <mc:Fallback>
        <xdr:sp macro="" textlink="">
          <xdr:nvSpPr>
            <xdr:cNvPr id="0" name=""/>
            <xdr:cNvSpPr>
              <a:spLocks noTextEdit="1"/>
            </xdr:cNvSpPr>
          </xdr:nvSpPr>
          <xdr:spPr>
            <a:xfrm>
              <a:off x="9700260" y="3733801"/>
              <a:ext cx="147066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525780</xdr:colOff>
      <xdr:row>6</xdr:row>
      <xdr:rowOff>3810</xdr:rowOff>
    </xdr:from>
    <xdr:to>
      <xdr:col>13</xdr:col>
      <xdr:colOff>220980</xdr:colOff>
      <xdr:row>22</xdr:row>
      <xdr:rowOff>64770</xdr:rowOff>
    </xdr:to>
    <xdr:graphicFrame macro="">
      <xdr:nvGraphicFramePr>
        <xdr:cNvPr id="3" name="Chart 2">
          <a:extLst>
            <a:ext uri="{FF2B5EF4-FFF2-40B4-BE49-F238E27FC236}">
              <a16:creationId xmlns:a16="http://schemas.microsoft.com/office/drawing/2014/main" id="{477A48D3-F3E5-9EDA-84B3-83F182F02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xdr:row>
      <xdr:rowOff>53340</xdr:rowOff>
    </xdr:from>
    <xdr:to>
      <xdr:col>1</xdr:col>
      <xdr:colOff>739140</xdr:colOff>
      <xdr:row>24</xdr:row>
      <xdr:rowOff>112395</xdr:rowOff>
    </xdr:to>
    <mc:AlternateContent xmlns:mc="http://schemas.openxmlformats.org/markup-compatibility/2006" xmlns:a14="http://schemas.microsoft.com/office/drawing/2010/main">
      <mc:Choice Requires="a14">
        <xdr:graphicFrame macro="">
          <xdr:nvGraphicFramePr>
            <xdr:cNvPr id="6" name="season 2">
              <a:extLst>
                <a:ext uri="{FF2B5EF4-FFF2-40B4-BE49-F238E27FC236}">
                  <a16:creationId xmlns:a16="http://schemas.microsoft.com/office/drawing/2014/main" id="{082D4CF7-230E-01DD-63E8-205F53A58521}"/>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0" y="1897380"/>
              <a:ext cx="151638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891540</xdr:colOff>
      <xdr:row>11</xdr:row>
      <xdr:rowOff>68580</xdr:rowOff>
    </xdr:from>
    <xdr:to>
      <xdr:col>3</xdr:col>
      <xdr:colOff>723900</xdr:colOff>
      <xdr:row>24</xdr:row>
      <xdr:rowOff>127635</xdr:rowOff>
    </xdr:to>
    <mc:AlternateContent xmlns:mc="http://schemas.openxmlformats.org/markup-compatibility/2006" xmlns:a14="http://schemas.microsoft.com/office/drawing/2010/main">
      <mc:Choice Requires="a14">
        <xdr:graphicFrame macro="">
          <xdr:nvGraphicFramePr>
            <xdr:cNvPr id="7" name="mnth 3">
              <a:extLst>
                <a:ext uri="{FF2B5EF4-FFF2-40B4-BE49-F238E27FC236}">
                  <a16:creationId xmlns:a16="http://schemas.microsoft.com/office/drawing/2014/main" id="{6C5B0309-51D6-850A-11D4-D52A4DB7B218}"/>
                </a:ext>
              </a:extLst>
            </xdr:cNvPr>
            <xdr:cNvGraphicFramePr/>
          </xdr:nvGraphicFramePr>
          <xdr:xfrm>
            <a:off x="0" y="0"/>
            <a:ext cx="0" cy="0"/>
          </xdr:xfrm>
          <a:graphic>
            <a:graphicData uri="http://schemas.microsoft.com/office/drawing/2010/slicer">
              <sle:slicer xmlns:sle="http://schemas.microsoft.com/office/drawing/2010/slicer" name="mnth 3"/>
            </a:graphicData>
          </a:graphic>
        </xdr:graphicFrame>
      </mc:Choice>
      <mc:Fallback xmlns="">
        <xdr:sp macro="" textlink="">
          <xdr:nvSpPr>
            <xdr:cNvPr id="0" name=""/>
            <xdr:cNvSpPr>
              <a:spLocks noTextEdit="1"/>
            </xdr:cNvSpPr>
          </xdr:nvSpPr>
          <xdr:spPr>
            <a:xfrm>
              <a:off x="1668780" y="1912620"/>
              <a:ext cx="15240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777240</xdr:colOff>
      <xdr:row>11</xdr:row>
      <xdr:rowOff>99060</xdr:rowOff>
    </xdr:from>
    <xdr:to>
      <xdr:col>4</xdr:col>
      <xdr:colOff>1089660</xdr:colOff>
      <xdr:row>24</xdr:row>
      <xdr:rowOff>158115</xdr:rowOff>
    </xdr:to>
    <mc:AlternateContent xmlns:mc="http://schemas.openxmlformats.org/markup-compatibility/2006" xmlns:a14="http://schemas.microsoft.com/office/drawing/2010/main">
      <mc:Choice Requires="a14">
        <xdr:graphicFrame macro="">
          <xdr:nvGraphicFramePr>
            <xdr:cNvPr id="8" name="weathersit 3">
              <a:extLst>
                <a:ext uri="{FF2B5EF4-FFF2-40B4-BE49-F238E27FC236}">
                  <a16:creationId xmlns:a16="http://schemas.microsoft.com/office/drawing/2014/main" id="{3AE584AE-0E81-FFFC-C548-A84A571BF473}"/>
                </a:ext>
              </a:extLst>
            </xdr:cNvPr>
            <xdr:cNvGraphicFramePr/>
          </xdr:nvGraphicFramePr>
          <xdr:xfrm>
            <a:off x="0" y="0"/>
            <a:ext cx="0" cy="0"/>
          </xdr:xfrm>
          <a:graphic>
            <a:graphicData uri="http://schemas.microsoft.com/office/drawing/2010/slicer">
              <sle:slicer xmlns:sle="http://schemas.microsoft.com/office/drawing/2010/slicer" name="weathersit 3"/>
            </a:graphicData>
          </a:graphic>
        </xdr:graphicFrame>
      </mc:Choice>
      <mc:Fallback xmlns="">
        <xdr:sp macro="" textlink="">
          <xdr:nvSpPr>
            <xdr:cNvPr id="0" name=""/>
            <xdr:cNvSpPr>
              <a:spLocks noTextEdit="1"/>
            </xdr:cNvSpPr>
          </xdr:nvSpPr>
          <xdr:spPr>
            <a:xfrm>
              <a:off x="3322320" y="1943100"/>
              <a:ext cx="1447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13</xdr:row>
      <xdr:rowOff>99060</xdr:rowOff>
    </xdr:from>
    <xdr:to>
      <xdr:col>1</xdr:col>
      <xdr:colOff>281940</xdr:colOff>
      <xdr:row>26</xdr:row>
      <xdr:rowOff>158115</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53EB7281-202A-131C-6EDC-8E6BB83E25E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0" y="2278380"/>
              <a:ext cx="105918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297180</xdr:colOff>
      <xdr:row>13</xdr:row>
      <xdr:rowOff>114300</xdr:rowOff>
    </xdr:from>
    <xdr:to>
      <xdr:col>2</xdr:col>
      <xdr:colOff>198120</xdr:colOff>
      <xdr:row>27</xdr:row>
      <xdr:rowOff>5715</xdr:rowOff>
    </xdr:to>
    <mc:AlternateContent xmlns:mc="http://schemas.openxmlformats.org/markup-compatibility/2006" xmlns:a14="http://schemas.microsoft.com/office/drawing/2010/main">
      <mc:Choice Requires="a14">
        <xdr:graphicFrame macro="">
          <xdr:nvGraphicFramePr>
            <xdr:cNvPr id="4" name="mnth 2">
              <a:extLst>
                <a:ext uri="{FF2B5EF4-FFF2-40B4-BE49-F238E27FC236}">
                  <a16:creationId xmlns:a16="http://schemas.microsoft.com/office/drawing/2014/main" id="{DB40F7B8-D6AC-7DA9-63B6-99AAD5DA977F}"/>
                </a:ext>
              </a:extLst>
            </xdr:cNvPr>
            <xdr:cNvGraphicFramePr/>
          </xdr:nvGraphicFramePr>
          <xdr:xfrm>
            <a:off x="0" y="0"/>
            <a:ext cx="0" cy="0"/>
          </xdr:xfrm>
          <a:graphic>
            <a:graphicData uri="http://schemas.microsoft.com/office/drawing/2010/slicer">
              <sle:slicer xmlns:sle="http://schemas.microsoft.com/office/drawing/2010/slicer" name="mnth 2"/>
            </a:graphicData>
          </a:graphic>
        </xdr:graphicFrame>
      </mc:Choice>
      <mc:Fallback xmlns="">
        <xdr:sp macro="" textlink="">
          <xdr:nvSpPr>
            <xdr:cNvPr id="0" name=""/>
            <xdr:cNvSpPr>
              <a:spLocks noTextEdit="1"/>
            </xdr:cNvSpPr>
          </xdr:nvSpPr>
          <xdr:spPr>
            <a:xfrm>
              <a:off x="1211580" y="2293620"/>
              <a:ext cx="99822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297180</xdr:colOff>
      <xdr:row>13</xdr:row>
      <xdr:rowOff>121920</xdr:rowOff>
    </xdr:from>
    <xdr:to>
      <xdr:col>3</xdr:col>
      <xdr:colOff>38100</xdr:colOff>
      <xdr:row>27</xdr:row>
      <xdr:rowOff>13335</xdr:rowOff>
    </xdr:to>
    <mc:AlternateContent xmlns:mc="http://schemas.openxmlformats.org/markup-compatibility/2006" xmlns:a14="http://schemas.microsoft.com/office/drawing/2010/main">
      <mc:Choice Requires="a14">
        <xdr:graphicFrame macro="">
          <xdr:nvGraphicFramePr>
            <xdr:cNvPr id="5" name="weathersit 2">
              <a:extLst>
                <a:ext uri="{FF2B5EF4-FFF2-40B4-BE49-F238E27FC236}">
                  <a16:creationId xmlns:a16="http://schemas.microsoft.com/office/drawing/2014/main" id="{0E61E808-4135-173D-8D4E-6B9EB3FF0CB9}"/>
                </a:ext>
              </a:extLst>
            </xdr:cNvPr>
            <xdr:cNvGraphicFramePr/>
          </xdr:nvGraphicFramePr>
          <xdr:xfrm>
            <a:off x="0" y="0"/>
            <a:ext cx="0" cy="0"/>
          </xdr:xfrm>
          <a:graphic>
            <a:graphicData uri="http://schemas.microsoft.com/office/drawing/2010/slicer">
              <sle:slicer xmlns:sle="http://schemas.microsoft.com/office/drawing/2010/slicer" name="weathersit 2"/>
            </a:graphicData>
          </a:graphic>
        </xdr:graphicFrame>
      </mc:Choice>
      <mc:Fallback xmlns="">
        <xdr:sp macro="" textlink="">
          <xdr:nvSpPr>
            <xdr:cNvPr id="0" name=""/>
            <xdr:cNvSpPr>
              <a:spLocks noTextEdit="1"/>
            </xdr:cNvSpPr>
          </xdr:nvSpPr>
          <xdr:spPr>
            <a:xfrm>
              <a:off x="2377440" y="2301240"/>
              <a:ext cx="111252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198120</xdr:colOff>
      <xdr:row>13</xdr:row>
      <xdr:rowOff>144780</xdr:rowOff>
    </xdr:from>
    <xdr:to>
      <xdr:col>4</xdr:col>
      <xdr:colOff>647700</xdr:colOff>
      <xdr:row>27</xdr:row>
      <xdr:rowOff>36195</xdr:rowOff>
    </xdr:to>
    <mc:AlternateContent xmlns:mc="http://schemas.openxmlformats.org/markup-compatibility/2006" xmlns:a14="http://schemas.microsoft.com/office/drawing/2010/main">
      <mc:Choice Requires="a14">
        <xdr:graphicFrame macro="">
          <xdr:nvGraphicFramePr>
            <xdr:cNvPr id="6" name="Weekend/weekdays 1">
              <a:extLst>
                <a:ext uri="{FF2B5EF4-FFF2-40B4-BE49-F238E27FC236}">
                  <a16:creationId xmlns:a16="http://schemas.microsoft.com/office/drawing/2014/main" id="{1FFE5F2B-E003-1800-02B5-4E8B55889F03}"/>
                </a:ext>
              </a:extLst>
            </xdr:cNvPr>
            <xdr:cNvGraphicFramePr/>
          </xdr:nvGraphicFramePr>
          <xdr:xfrm>
            <a:off x="0" y="0"/>
            <a:ext cx="0" cy="0"/>
          </xdr:xfrm>
          <a:graphic>
            <a:graphicData uri="http://schemas.microsoft.com/office/drawing/2010/slicer">
              <sle:slicer xmlns:sle="http://schemas.microsoft.com/office/drawing/2010/slicer" name="Weekend/weekdays 1"/>
            </a:graphicData>
          </a:graphic>
        </xdr:graphicFrame>
      </mc:Choice>
      <mc:Fallback xmlns="">
        <xdr:sp macro="" textlink="">
          <xdr:nvSpPr>
            <xdr:cNvPr id="0" name=""/>
            <xdr:cNvSpPr>
              <a:spLocks noTextEdit="1"/>
            </xdr:cNvSpPr>
          </xdr:nvSpPr>
          <xdr:spPr>
            <a:xfrm>
              <a:off x="3649980" y="2324100"/>
              <a:ext cx="11582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152400</xdr:colOff>
      <xdr:row>5</xdr:row>
      <xdr:rowOff>64770</xdr:rowOff>
    </xdr:from>
    <xdr:to>
      <xdr:col>13</xdr:col>
      <xdr:colOff>457200</xdr:colOff>
      <xdr:row>21</xdr:row>
      <xdr:rowOff>125730</xdr:rowOff>
    </xdr:to>
    <xdr:graphicFrame macro="">
      <xdr:nvGraphicFramePr>
        <xdr:cNvPr id="7" name="Chart 6">
          <a:extLst>
            <a:ext uri="{FF2B5EF4-FFF2-40B4-BE49-F238E27FC236}">
              <a16:creationId xmlns:a16="http://schemas.microsoft.com/office/drawing/2014/main" id="{DC0EB8A3-452D-BA62-AF10-E43105200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6</xdr:row>
      <xdr:rowOff>0</xdr:rowOff>
    </xdr:from>
    <xdr:to>
      <xdr:col>11</xdr:col>
      <xdr:colOff>304800</xdr:colOff>
      <xdr:row>22</xdr:row>
      <xdr:rowOff>60960</xdr:rowOff>
    </xdr:to>
    <xdr:graphicFrame macro="">
      <xdr:nvGraphicFramePr>
        <xdr:cNvPr id="2" name="Chart 1">
          <a:extLst>
            <a:ext uri="{FF2B5EF4-FFF2-40B4-BE49-F238E27FC236}">
              <a16:creationId xmlns:a16="http://schemas.microsoft.com/office/drawing/2014/main" id="{BE20117F-7F75-6471-6425-365E3332C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99060</xdr:colOff>
      <xdr:row>6</xdr:row>
      <xdr:rowOff>160020</xdr:rowOff>
    </xdr:from>
    <xdr:to>
      <xdr:col>15</xdr:col>
      <xdr:colOff>99060</xdr:colOff>
      <xdr:row>20</xdr:row>
      <xdr:rowOff>51435</xdr:rowOff>
    </xdr:to>
    <mc:AlternateContent xmlns:mc="http://schemas.openxmlformats.org/markup-compatibility/2006">
      <mc:Choice xmlns:a14="http://schemas.microsoft.com/office/drawing/2010/main" Requires="a14">
        <xdr:graphicFrame macro="">
          <xdr:nvGraphicFramePr>
            <xdr:cNvPr id="3" name="casual">
              <a:extLst>
                <a:ext uri="{FF2B5EF4-FFF2-40B4-BE49-F238E27FC236}">
                  <a16:creationId xmlns:a16="http://schemas.microsoft.com/office/drawing/2014/main" id="{8D032706-A5B2-CBA6-D503-89E4B8B6CDA8}"/>
                </a:ext>
              </a:extLst>
            </xdr:cNvPr>
            <xdr:cNvGraphicFramePr/>
          </xdr:nvGraphicFramePr>
          <xdr:xfrm>
            <a:off x="0" y="0"/>
            <a:ext cx="0" cy="0"/>
          </xdr:xfrm>
          <a:graphic>
            <a:graphicData uri="http://schemas.microsoft.com/office/drawing/2010/slicer">
              <sle:slicer xmlns:sle="http://schemas.microsoft.com/office/drawing/2010/slicer" name="casual"/>
            </a:graphicData>
          </a:graphic>
        </xdr:graphicFrame>
      </mc:Choice>
      <mc:Fallback>
        <xdr:sp macro="" textlink="">
          <xdr:nvSpPr>
            <xdr:cNvPr id="0" name=""/>
            <xdr:cNvSpPr>
              <a:spLocks noTextEdit="1"/>
            </xdr:cNvSpPr>
          </xdr:nvSpPr>
          <xdr:spPr>
            <a:xfrm>
              <a:off x="9075420" y="11658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396240</xdr:colOff>
      <xdr:row>7</xdr:row>
      <xdr:rowOff>99060</xdr:rowOff>
    </xdr:from>
    <xdr:to>
      <xdr:col>18</xdr:col>
      <xdr:colOff>396240</xdr:colOff>
      <xdr:row>20</xdr:row>
      <xdr:rowOff>158115</xdr:rowOff>
    </xdr:to>
    <mc:AlternateContent xmlns:mc="http://schemas.openxmlformats.org/markup-compatibility/2006">
      <mc:Choice xmlns:a14="http://schemas.microsoft.com/office/drawing/2010/main" Requires="a14">
        <xdr:graphicFrame macro="">
          <xdr:nvGraphicFramePr>
            <xdr:cNvPr id="4" name="registered">
              <a:extLst>
                <a:ext uri="{FF2B5EF4-FFF2-40B4-BE49-F238E27FC236}">
                  <a16:creationId xmlns:a16="http://schemas.microsoft.com/office/drawing/2014/main" id="{91B8DD7B-2979-B39B-63B1-5B249CB8FA22}"/>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dr:sp macro="" textlink="">
          <xdr:nvSpPr>
            <xdr:cNvPr id="0" name=""/>
            <xdr:cNvSpPr>
              <a:spLocks noTextEdit="1"/>
            </xdr:cNvSpPr>
          </xdr:nvSpPr>
          <xdr:spPr>
            <a:xfrm>
              <a:off x="11201400" y="12725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381000</xdr:colOff>
      <xdr:row>6</xdr:row>
      <xdr:rowOff>3810</xdr:rowOff>
    </xdr:from>
    <xdr:to>
      <xdr:col>13</xdr:col>
      <xdr:colOff>76200</xdr:colOff>
      <xdr:row>22</xdr:row>
      <xdr:rowOff>64770</xdr:rowOff>
    </xdr:to>
    <xdr:graphicFrame macro="">
      <xdr:nvGraphicFramePr>
        <xdr:cNvPr id="2" name="Chart 1">
          <a:extLst>
            <a:ext uri="{FF2B5EF4-FFF2-40B4-BE49-F238E27FC236}">
              <a16:creationId xmlns:a16="http://schemas.microsoft.com/office/drawing/2014/main" id="{B9C45D84-41CC-4072-90E9-D8C300EA9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13</xdr:row>
      <xdr:rowOff>114300</xdr:rowOff>
    </xdr:from>
    <xdr:to>
      <xdr:col>0</xdr:col>
      <xdr:colOff>1043940</xdr:colOff>
      <xdr:row>27</xdr:row>
      <xdr:rowOff>5715</xdr:rowOff>
    </xdr:to>
    <mc:AlternateContent xmlns:mc="http://schemas.openxmlformats.org/markup-compatibility/2006" xmlns:a14="http://schemas.microsoft.com/office/drawing/2010/main">
      <mc:Choice Requires="a14">
        <xdr:graphicFrame macro="">
          <xdr:nvGraphicFramePr>
            <xdr:cNvPr id="3" name="season 3">
              <a:extLst>
                <a:ext uri="{FF2B5EF4-FFF2-40B4-BE49-F238E27FC236}">
                  <a16:creationId xmlns:a16="http://schemas.microsoft.com/office/drawing/2014/main" id="{AF0BA44E-E478-4C2F-8D12-569A793BAECD}"/>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0" y="2293620"/>
              <a:ext cx="10439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xdr:colOff>
      <xdr:row>13</xdr:row>
      <xdr:rowOff>121920</xdr:rowOff>
    </xdr:from>
    <xdr:to>
      <xdr:col>2</xdr:col>
      <xdr:colOff>30480</xdr:colOff>
      <xdr:row>27</xdr:row>
      <xdr:rowOff>13335</xdr:rowOff>
    </xdr:to>
    <mc:AlternateContent xmlns:mc="http://schemas.openxmlformats.org/markup-compatibility/2006" xmlns:a14="http://schemas.microsoft.com/office/drawing/2010/main">
      <mc:Choice Requires="a14">
        <xdr:graphicFrame macro="">
          <xdr:nvGraphicFramePr>
            <xdr:cNvPr id="4" name="Weekend/weekdays">
              <a:extLst>
                <a:ext uri="{FF2B5EF4-FFF2-40B4-BE49-F238E27FC236}">
                  <a16:creationId xmlns:a16="http://schemas.microsoft.com/office/drawing/2014/main" id="{7DDCC62E-F4DC-0D77-454C-3ECD3496B9AE}"/>
                </a:ext>
              </a:extLst>
            </xdr:cNvPr>
            <xdr:cNvGraphicFramePr/>
          </xdr:nvGraphicFramePr>
          <xdr:xfrm>
            <a:off x="0" y="0"/>
            <a:ext cx="0" cy="0"/>
          </xdr:xfrm>
          <a:graphic>
            <a:graphicData uri="http://schemas.microsoft.com/office/drawing/2010/slicer">
              <sle:slicer xmlns:sle="http://schemas.microsoft.com/office/drawing/2010/slicer" name="Weekend/weekdays"/>
            </a:graphicData>
          </a:graphic>
        </xdr:graphicFrame>
      </mc:Choice>
      <mc:Fallback xmlns="">
        <xdr:sp macro="" textlink="">
          <xdr:nvSpPr>
            <xdr:cNvPr id="0" name=""/>
            <xdr:cNvSpPr>
              <a:spLocks noTextEdit="1"/>
            </xdr:cNvSpPr>
          </xdr:nvSpPr>
          <xdr:spPr>
            <a:xfrm>
              <a:off x="1226820" y="2301240"/>
              <a:ext cx="105156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198120</xdr:colOff>
      <xdr:row>13</xdr:row>
      <xdr:rowOff>91440</xdr:rowOff>
    </xdr:from>
    <xdr:to>
      <xdr:col>3</xdr:col>
      <xdr:colOff>609600</xdr:colOff>
      <xdr:row>26</xdr:row>
      <xdr:rowOff>150495</xdr:rowOff>
    </xdr:to>
    <mc:AlternateContent xmlns:mc="http://schemas.openxmlformats.org/markup-compatibility/2006" xmlns:a14="http://schemas.microsoft.com/office/drawing/2010/main">
      <mc:Choice Requires="a14">
        <xdr:graphicFrame macro="">
          <xdr:nvGraphicFramePr>
            <xdr:cNvPr id="5" name="hr/Time period">
              <a:extLst>
                <a:ext uri="{FF2B5EF4-FFF2-40B4-BE49-F238E27FC236}">
                  <a16:creationId xmlns:a16="http://schemas.microsoft.com/office/drawing/2014/main" id="{FA989053-8465-2800-A8E0-331AC2401600}"/>
                </a:ext>
              </a:extLst>
            </xdr:cNvPr>
            <xdr:cNvGraphicFramePr/>
          </xdr:nvGraphicFramePr>
          <xdr:xfrm>
            <a:off x="0" y="0"/>
            <a:ext cx="0" cy="0"/>
          </xdr:xfrm>
          <a:graphic>
            <a:graphicData uri="http://schemas.microsoft.com/office/drawing/2010/slicer">
              <sle:slicer xmlns:sle="http://schemas.microsoft.com/office/drawing/2010/slicer" name="hr/Time period"/>
            </a:graphicData>
          </a:graphic>
        </xdr:graphicFrame>
      </mc:Choice>
      <mc:Fallback xmlns="">
        <xdr:sp macro="" textlink="">
          <xdr:nvSpPr>
            <xdr:cNvPr id="0" name=""/>
            <xdr:cNvSpPr>
              <a:spLocks noTextEdit="1"/>
            </xdr:cNvSpPr>
          </xdr:nvSpPr>
          <xdr:spPr>
            <a:xfrm>
              <a:off x="2446020" y="2270760"/>
              <a:ext cx="122682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815340</xdr:colOff>
      <xdr:row>13</xdr:row>
      <xdr:rowOff>68580</xdr:rowOff>
    </xdr:from>
    <xdr:to>
      <xdr:col>4</xdr:col>
      <xdr:colOff>838200</xdr:colOff>
      <xdr:row>26</xdr:row>
      <xdr:rowOff>127635</xdr:rowOff>
    </xdr:to>
    <mc:AlternateContent xmlns:mc="http://schemas.openxmlformats.org/markup-compatibility/2006" xmlns:a14="http://schemas.microsoft.com/office/drawing/2010/main">
      <mc:Choice Requires="a14">
        <xdr:graphicFrame macro="">
          <xdr:nvGraphicFramePr>
            <xdr:cNvPr id="6" name="Weather Name">
              <a:extLst>
                <a:ext uri="{FF2B5EF4-FFF2-40B4-BE49-F238E27FC236}">
                  <a16:creationId xmlns:a16="http://schemas.microsoft.com/office/drawing/2014/main" id="{3B26436F-04CF-2F41-08EF-167CA030FF37}"/>
                </a:ext>
              </a:extLst>
            </xdr:cNvPr>
            <xdr:cNvGraphicFramePr/>
          </xdr:nvGraphicFramePr>
          <xdr:xfrm>
            <a:off x="0" y="0"/>
            <a:ext cx="0" cy="0"/>
          </xdr:xfrm>
          <a:graphic>
            <a:graphicData uri="http://schemas.microsoft.com/office/drawing/2010/slicer">
              <sle:slicer xmlns:sle="http://schemas.microsoft.com/office/drawing/2010/slicer" name="Weather Name"/>
            </a:graphicData>
          </a:graphic>
        </xdr:graphicFrame>
      </mc:Choice>
      <mc:Fallback xmlns="">
        <xdr:sp macro="" textlink="">
          <xdr:nvSpPr>
            <xdr:cNvPr id="0" name=""/>
            <xdr:cNvSpPr>
              <a:spLocks noTextEdit="1"/>
            </xdr:cNvSpPr>
          </xdr:nvSpPr>
          <xdr:spPr>
            <a:xfrm>
              <a:off x="3878580" y="2247900"/>
              <a:ext cx="115824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335280</xdr:colOff>
      <xdr:row>3</xdr:row>
      <xdr:rowOff>91440</xdr:rowOff>
    </xdr:from>
    <xdr:to>
      <xdr:col>9</xdr:col>
      <xdr:colOff>472440</xdr:colOff>
      <xdr:row>16</xdr:row>
      <xdr:rowOff>22860</xdr:rowOff>
    </xdr:to>
    <xdr:graphicFrame macro="">
      <xdr:nvGraphicFramePr>
        <xdr:cNvPr id="3" name="Chart 2">
          <a:extLst>
            <a:ext uri="{FF2B5EF4-FFF2-40B4-BE49-F238E27FC236}">
              <a16:creationId xmlns:a16="http://schemas.microsoft.com/office/drawing/2014/main" id="{E8408F9C-B3B8-4785-A357-6FEC06100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563880</xdr:colOff>
      <xdr:row>3</xdr:row>
      <xdr:rowOff>76200</xdr:rowOff>
    </xdr:from>
    <xdr:to>
      <xdr:col>16</xdr:col>
      <xdr:colOff>449580</xdr:colOff>
      <xdr:row>15</xdr:row>
      <xdr:rowOff>99060</xdr:rowOff>
    </xdr:to>
    <xdr:graphicFrame macro="">
      <xdr:nvGraphicFramePr>
        <xdr:cNvPr id="4" name="Chart 3">
          <a:extLst>
            <a:ext uri="{FF2B5EF4-FFF2-40B4-BE49-F238E27FC236}">
              <a16:creationId xmlns:a16="http://schemas.microsoft.com/office/drawing/2014/main" id="{133E9606-79CF-46B7-AA8A-A57908B65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419100</xdr:colOff>
      <xdr:row>17</xdr:row>
      <xdr:rowOff>38100</xdr:rowOff>
    </xdr:from>
    <xdr:to>
      <xdr:col>15</xdr:col>
      <xdr:colOff>22860</xdr:colOff>
      <xdr:row>28</xdr:row>
      <xdr:rowOff>22860</xdr:rowOff>
    </xdr:to>
    <xdr:graphicFrame macro="">
      <xdr:nvGraphicFramePr>
        <xdr:cNvPr id="5" name="Chart 4">
          <a:extLst>
            <a:ext uri="{FF2B5EF4-FFF2-40B4-BE49-F238E27FC236}">
              <a16:creationId xmlns:a16="http://schemas.microsoft.com/office/drawing/2014/main" id="{2AA86591-9FC8-4C72-8585-ABF6551C5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312420</xdr:colOff>
      <xdr:row>17</xdr:row>
      <xdr:rowOff>38100</xdr:rowOff>
    </xdr:from>
    <xdr:to>
      <xdr:col>22</xdr:col>
      <xdr:colOff>381000</xdr:colOff>
      <xdr:row>28</xdr:row>
      <xdr:rowOff>106680</xdr:rowOff>
    </xdr:to>
    <xdr:graphicFrame macro="">
      <xdr:nvGraphicFramePr>
        <xdr:cNvPr id="7" name="Chart 6">
          <a:extLst>
            <a:ext uri="{FF2B5EF4-FFF2-40B4-BE49-F238E27FC236}">
              <a16:creationId xmlns:a16="http://schemas.microsoft.com/office/drawing/2014/main" id="{6F692648-FB71-45F0-965C-71C55C59E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12</xdr:row>
      <xdr:rowOff>15241</xdr:rowOff>
    </xdr:from>
    <xdr:to>
      <xdr:col>2</xdr:col>
      <xdr:colOff>76200</xdr:colOff>
      <xdr:row>19</xdr:row>
      <xdr:rowOff>7620</xdr:rowOff>
    </xdr:to>
    <mc:AlternateContent xmlns:mc="http://schemas.openxmlformats.org/markup-compatibility/2006">
      <mc:Choice xmlns:a14="http://schemas.microsoft.com/office/drawing/2010/main" Requires="a14">
        <xdr:graphicFrame macro="">
          <xdr:nvGraphicFramePr>
            <xdr:cNvPr id="10" name="season 4">
              <a:extLst>
                <a:ext uri="{FF2B5EF4-FFF2-40B4-BE49-F238E27FC236}">
                  <a16:creationId xmlns:a16="http://schemas.microsoft.com/office/drawing/2014/main" id="{3C34CFFA-C58B-05E5-BC26-ABF8E0F1483D}"/>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dr:sp macro="" textlink="">
          <xdr:nvSpPr>
            <xdr:cNvPr id="0" name=""/>
            <xdr:cNvSpPr>
              <a:spLocks noTextEdit="1"/>
            </xdr:cNvSpPr>
          </xdr:nvSpPr>
          <xdr:spPr>
            <a:xfrm>
              <a:off x="0" y="2026921"/>
              <a:ext cx="12954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68581</xdr:rowOff>
    </xdr:from>
    <xdr:to>
      <xdr:col>1</xdr:col>
      <xdr:colOff>586740</xdr:colOff>
      <xdr:row>29</xdr:row>
      <xdr:rowOff>53340</xdr:rowOff>
    </xdr:to>
    <mc:AlternateContent xmlns:mc="http://schemas.openxmlformats.org/markup-compatibility/2006">
      <mc:Choice xmlns:a14="http://schemas.microsoft.com/office/drawing/2010/main" Requires="a14">
        <xdr:graphicFrame macro="">
          <xdr:nvGraphicFramePr>
            <xdr:cNvPr id="11" name="weathersit 7">
              <a:extLst>
                <a:ext uri="{FF2B5EF4-FFF2-40B4-BE49-F238E27FC236}">
                  <a16:creationId xmlns:a16="http://schemas.microsoft.com/office/drawing/2014/main" id="{A008CF33-D6D1-296C-6BDE-C7AE41D4B18B}"/>
                </a:ext>
              </a:extLst>
            </xdr:cNvPr>
            <xdr:cNvGraphicFramePr/>
          </xdr:nvGraphicFramePr>
          <xdr:xfrm>
            <a:off x="0" y="0"/>
            <a:ext cx="0" cy="0"/>
          </xdr:xfrm>
          <a:graphic>
            <a:graphicData uri="http://schemas.microsoft.com/office/drawing/2010/slicer">
              <sle:slicer xmlns:sle="http://schemas.microsoft.com/office/drawing/2010/slicer" name="weathersit 7"/>
            </a:graphicData>
          </a:graphic>
        </xdr:graphicFrame>
      </mc:Choice>
      <mc:Fallback>
        <xdr:sp macro="" textlink="">
          <xdr:nvSpPr>
            <xdr:cNvPr id="0" name=""/>
            <xdr:cNvSpPr>
              <a:spLocks noTextEdit="1"/>
            </xdr:cNvSpPr>
          </xdr:nvSpPr>
          <xdr:spPr>
            <a:xfrm>
              <a:off x="0" y="3268981"/>
              <a:ext cx="1196340" cy="1661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213360</xdr:colOff>
      <xdr:row>18</xdr:row>
      <xdr:rowOff>99061</xdr:rowOff>
    </xdr:from>
    <xdr:to>
      <xdr:col>4</xdr:col>
      <xdr:colOff>373380</xdr:colOff>
      <xdr:row>27</xdr:row>
      <xdr:rowOff>152401</xdr:rowOff>
    </xdr:to>
    <mc:AlternateContent xmlns:mc="http://schemas.openxmlformats.org/markup-compatibility/2006">
      <mc:Choice xmlns:a14="http://schemas.microsoft.com/office/drawing/2010/main" Requires="a14">
        <xdr:graphicFrame macro="">
          <xdr:nvGraphicFramePr>
            <xdr:cNvPr id="12" name="temp">
              <a:extLst>
                <a:ext uri="{FF2B5EF4-FFF2-40B4-BE49-F238E27FC236}">
                  <a16:creationId xmlns:a16="http://schemas.microsoft.com/office/drawing/2014/main" id="{E3F20549-9770-8B99-D7C3-577B7DA29BDE}"/>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dr:sp macro="" textlink="">
          <xdr:nvSpPr>
            <xdr:cNvPr id="0" name=""/>
            <xdr:cNvSpPr>
              <a:spLocks noTextEdit="1"/>
            </xdr:cNvSpPr>
          </xdr:nvSpPr>
          <xdr:spPr>
            <a:xfrm>
              <a:off x="1432560" y="3131821"/>
              <a:ext cx="137922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510540</xdr:colOff>
      <xdr:row>17</xdr:row>
      <xdr:rowOff>152401</xdr:rowOff>
    </xdr:from>
    <xdr:to>
      <xdr:col>7</xdr:col>
      <xdr:colOff>198120</xdr:colOff>
      <xdr:row>28</xdr:row>
      <xdr:rowOff>114301</xdr:rowOff>
    </xdr:to>
    <mc:AlternateContent xmlns:mc="http://schemas.openxmlformats.org/markup-compatibility/2006">
      <mc:Choice xmlns:a14="http://schemas.microsoft.com/office/drawing/2010/main" Requires="a14">
        <xdr:graphicFrame macro="">
          <xdr:nvGraphicFramePr>
            <xdr:cNvPr id="13" name="Weekend/weekdays 2">
              <a:extLst>
                <a:ext uri="{FF2B5EF4-FFF2-40B4-BE49-F238E27FC236}">
                  <a16:creationId xmlns:a16="http://schemas.microsoft.com/office/drawing/2014/main" id="{FA26413F-D8EA-3C1C-C56D-7D1B3722019D}"/>
                </a:ext>
              </a:extLst>
            </xdr:cNvPr>
            <xdr:cNvGraphicFramePr/>
          </xdr:nvGraphicFramePr>
          <xdr:xfrm>
            <a:off x="0" y="0"/>
            <a:ext cx="0" cy="0"/>
          </xdr:xfrm>
          <a:graphic>
            <a:graphicData uri="http://schemas.microsoft.com/office/drawing/2010/slicer">
              <sle:slicer xmlns:sle="http://schemas.microsoft.com/office/drawing/2010/slicer" name="Weekend/weekdays 2"/>
            </a:graphicData>
          </a:graphic>
        </xdr:graphicFrame>
      </mc:Choice>
      <mc:Fallback>
        <xdr:sp macro="" textlink="">
          <xdr:nvSpPr>
            <xdr:cNvPr id="0" name=""/>
            <xdr:cNvSpPr>
              <a:spLocks noTextEdit="1"/>
            </xdr:cNvSpPr>
          </xdr:nvSpPr>
          <xdr:spPr>
            <a:xfrm>
              <a:off x="2948940" y="3017521"/>
              <a:ext cx="151638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3</xdr:row>
      <xdr:rowOff>91441</xdr:rowOff>
    </xdr:from>
    <xdr:to>
      <xdr:col>2</xdr:col>
      <xdr:colOff>106680</xdr:colOff>
      <xdr:row>11</xdr:row>
      <xdr:rowOff>121920</xdr:rowOff>
    </xdr:to>
    <mc:AlternateContent xmlns:mc="http://schemas.openxmlformats.org/markup-compatibility/2006">
      <mc:Choice xmlns:a14="http://schemas.microsoft.com/office/drawing/2010/main" Requires="a14">
        <xdr:graphicFrame macro="">
          <xdr:nvGraphicFramePr>
            <xdr:cNvPr id="14" name="hr/Time period 1">
              <a:extLst>
                <a:ext uri="{FF2B5EF4-FFF2-40B4-BE49-F238E27FC236}">
                  <a16:creationId xmlns:a16="http://schemas.microsoft.com/office/drawing/2014/main" id="{D7E1BD75-4CA8-B2B9-5849-2037E271D69C}"/>
                </a:ext>
              </a:extLst>
            </xdr:cNvPr>
            <xdr:cNvGraphicFramePr/>
          </xdr:nvGraphicFramePr>
          <xdr:xfrm>
            <a:off x="0" y="0"/>
            <a:ext cx="0" cy="0"/>
          </xdr:xfrm>
          <a:graphic>
            <a:graphicData uri="http://schemas.microsoft.com/office/drawing/2010/slicer">
              <sle:slicer xmlns:sle="http://schemas.microsoft.com/office/drawing/2010/slicer" name="hr/Time period 1"/>
            </a:graphicData>
          </a:graphic>
        </xdr:graphicFrame>
      </mc:Choice>
      <mc:Fallback>
        <xdr:sp macro="" textlink="">
          <xdr:nvSpPr>
            <xdr:cNvPr id="0" name=""/>
            <xdr:cNvSpPr>
              <a:spLocks noTextEdit="1"/>
            </xdr:cNvSpPr>
          </xdr:nvSpPr>
          <xdr:spPr>
            <a:xfrm>
              <a:off x="15240" y="594361"/>
              <a:ext cx="131064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502920</xdr:colOff>
      <xdr:row>3</xdr:row>
      <xdr:rowOff>60960</xdr:rowOff>
    </xdr:from>
    <xdr:to>
      <xdr:col>23</xdr:col>
      <xdr:colOff>190500</xdr:colOff>
      <xdr:row>15</xdr:row>
      <xdr:rowOff>99060</xdr:rowOff>
    </xdr:to>
    <xdr:graphicFrame macro="">
      <xdr:nvGraphicFramePr>
        <xdr:cNvPr id="17" name="Chart 16">
          <a:extLst>
            <a:ext uri="{FF2B5EF4-FFF2-40B4-BE49-F238E27FC236}">
              <a16:creationId xmlns:a16="http://schemas.microsoft.com/office/drawing/2014/main" id="{F0881F8F-397A-4C5B-A0E3-CA3C4D0B2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157.954367013888" createdVersion="8" refreshedVersion="8" minRefreshableVersion="3" recordCount="1221" xr:uid="{440476B8-A554-4594-9F71-EC1A2673D72C}">
  <cacheSource type="worksheet">
    <worksheetSource name="Query2"/>
  </cacheSource>
  <cacheFields count="16">
    <cacheField name="instant" numFmtId="0">
      <sharedItems containsSemiMixedTypes="0" containsString="0" containsNumber="1" containsInteger="1" minValue="1" maxValue="611"/>
    </cacheField>
    <cacheField name="dteday" numFmtId="0">
      <sharedItems containsSemiMixedTypes="0" containsString="0" containsNumber="1" containsInteger="1" minValue="40544" maxValue="40571"/>
    </cacheField>
    <cacheField name="season" numFmtId="0">
      <sharedItems containsSemiMixedTypes="0" containsString="0" containsNumber="1" containsInteger="1" minValue="1" maxValue="1" count="1">
        <n v="1"/>
      </sharedItems>
    </cacheField>
    <cacheField name="mnth" numFmtId="0">
      <sharedItems containsSemiMixedTypes="0" containsString="0" containsNumber="1" containsInteger="1" minValue="1" maxValue="1" count="1">
        <n v="1"/>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Unnamed: 0" numFmtId="0">
      <sharedItems containsSemiMixedTypes="0" containsString="0" containsNumber="1" containsInteger="1" minValue="0" maxValue="609"/>
    </cacheField>
    <cacheField name="atemp" numFmtId="0">
      <sharedItems containsSemiMixedTypes="0" containsString="0" containsNumber="1" minValue="0" maxValue="0.45450000000000002"/>
    </cacheField>
    <cacheField name="hum" numFmtId="0">
      <sharedItems containsSemiMixedTypes="0" containsString="0" containsNumber="1" minValue="0"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 name="cnt" numFmtId="0">
      <sharedItems containsSemiMixedTypes="0" containsString="0" containsNumber="1" containsInteger="1" minValue="0" maxValue="249" count="166">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0"/>
      </sharedItems>
    </cacheField>
  </cacheFields>
  <extLst>
    <ext xmlns:x14="http://schemas.microsoft.com/office/spreadsheetml/2009/9/main" uri="{725AE2AE-9491-48be-B2B4-4EB974FC3084}">
      <x14:pivotCacheDefinition pivotCacheId="19575825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159.652788078703" createdVersion="8" refreshedVersion="8" minRefreshableVersion="3" recordCount="1611" xr:uid="{D93F778D-41F1-4DD1-A4BD-7D062CB68BF0}">
  <cacheSource type="worksheet">
    <worksheetSource name="Query3"/>
  </cacheSource>
  <cacheFields count="17">
    <cacheField name="instant" numFmtId="0">
      <sharedItems containsSemiMixedTypes="0" containsString="0" containsNumber="1" containsInteger="1" minValue="1" maxValue="1009"/>
    </cacheField>
    <cacheField name="dteday" numFmtId="0">
      <sharedItems containsSemiMixedTypes="0" containsString="0" containsNumber="1" containsInteger="1" minValue="40544" maxValue="40588"/>
    </cacheField>
    <cacheField name="season" numFmtId="0">
      <sharedItems containsSemiMixedTypes="0" containsString="0" containsNumber="1" containsInteger="1" minValue="1" maxValue="1" count="1">
        <n v="1"/>
      </sharedItems>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Unnamed: 0" numFmtId="0">
      <sharedItems containsString="0" containsBlank="1" containsNumber="1" containsInteger="1" minValue="0" maxValue="609"/>
    </cacheField>
    <cacheField name="atemp" numFmtId="0">
      <sharedItems containsSemiMixedTypes="0" containsString="0" containsNumber="1" minValue="0" maxValue="0.45450000000000002"/>
    </cacheField>
    <cacheField name="hum" numFmtId="0">
      <sharedItems containsSemiMixedTypes="0" containsString="0" containsNumber="1" minValue="0"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0" maxValue="249" count="192">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0"/>
        <n v="107"/>
        <n v="156"/>
        <n v="111"/>
        <n v="135"/>
        <n v="176"/>
        <n v="168"/>
        <n v="175"/>
        <n v="147"/>
        <n v="220"/>
        <n v="127"/>
        <n v="205"/>
        <n v="174"/>
        <n v="121"/>
        <n v="230"/>
        <n v="66"/>
        <n v="114"/>
        <n v="216"/>
        <n v="243"/>
        <n v="199"/>
        <n v="170"/>
        <n v="165"/>
        <n v="160"/>
        <n v="140"/>
        <n v="211"/>
        <n v="145"/>
        <n v="149"/>
      </sharedItems>
    </cacheField>
    <cacheField name="Weekend/weekdays" numFmtId="0">
      <sharedItems count="2">
        <s v="Weekends"/>
        <s v="Weekdays"/>
      </sharedItems>
    </cacheField>
  </cacheFields>
  <extLst>
    <ext xmlns:x14="http://schemas.microsoft.com/office/spreadsheetml/2009/9/main" uri="{725AE2AE-9491-48be-B2B4-4EB974FC3084}">
      <x14:pivotCacheDefinition pivotCacheId="180663099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159.686670138886" createdVersion="8" refreshedVersion="8" minRefreshableVersion="3" recordCount="1612" xr:uid="{0C85A1CD-BEB3-41B3-824B-D253D4A6083F}">
  <cacheSource type="worksheet">
    <worksheetSource ref="A1:R1048576" sheet="Dataset_B"/>
  </cacheSource>
  <cacheFields count="18">
    <cacheField name="instant" numFmtId="0">
      <sharedItems containsString="0" containsBlank="1" containsNumber="1" containsInteger="1" minValue="1" maxValue="1009"/>
    </cacheField>
    <cacheField name="dteday" numFmtId="14">
      <sharedItems containsNonDate="0" containsDate="1" containsString="0" containsBlank="1" minDate="2011-01-01T00:00:00" maxDate="2011-02-15T00:00:00"/>
    </cacheField>
    <cacheField name="season" numFmtId="0">
      <sharedItems containsString="0" containsBlank="1" containsNumber="1" containsInteger="1" minValue="1" maxValue="1" count="2">
        <n v="1"/>
        <m/>
      </sharedItems>
    </cacheField>
    <cacheField name="mnth" numFmtId="0">
      <sharedItems containsString="0" containsBlank="1" containsNumber="1" containsInteger="1" minValue="1" maxValue="2" count="3">
        <n v="1"/>
        <n v="2"/>
        <m/>
      </sharedItems>
    </cacheField>
    <cacheField name="hr" numFmtId="0">
      <sharedItems containsString="0" containsBlank="1" containsNumber="1" containsInteger="1" minValue="0" maxValue="23"/>
    </cacheField>
    <cacheField name="holiday" numFmtId="0">
      <sharedItems containsBlank="1"/>
    </cacheField>
    <cacheField name="weekday" numFmtId="0">
      <sharedItems containsString="0" containsBlank="1" containsNumber="1" containsInteger="1" minValue="0" maxValue="6"/>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ount="24">
        <n v="0.24"/>
        <n v="0.22"/>
        <n v="0.2"/>
        <n v="0.32"/>
        <n v="0.38"/>
        <n v="0.36"/>
        <n v="0.42"/>
        <n v="0.46"/>
        <n v="0.44"/>
        <n v="0.4"/>
        <n v="0.34"/>
        <n v="0.3"/>
        <n v="0.26"/>
        <n v="0.16"/>
        <n v="0.14000000000000001"/>
        <n v="0.18"/>
        <n v="0.12"/>
        <n v="0.28000000000000003"/>
        <n v="0.1"/>
        <n v="0.08"/>
        <n v="0.06"/>
        <n v="0.04"/>
        <n v="0.02"/>
        <m/>
      </sharedItems>
    </cacheField>
    <cacheField name="Unnamed: 0" numFmtId="0">
      <sharedItems containsString="0" containsBlank="1" containsNumber="1" containsInteger="1" minValue="0" maxValue="609"/>
    </cacheField>
    <cacheField name="atemp" numFmtId="0">
      <sharedItems containsString="0" containsBlank="1" containsNumber="1" minValue="0" maxValue="0.45450000000000002"/>
    </cacheField>
    <cacheField name="hum" numFmtId="0">
      <sharedItems containsString="0" containsBlank="1" containsNumber="1" minValue="0"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0" maxValue="249"/>
    </cacheField>
    <cacheField name="Weekend/weekdays" numFmtId="0">
      <sharedItems containsBlank="1" count="3">
        <s v="Weekends"/>
        <s v="Weekdays"/>
        <m/>
      </sharedItems>
    </cacheField>
    <cacheField name="hr/Time period" numFmtId="0">
      <sharedItems containsBlank="1" count="5">
        <s v="Morning"/>
        <s v="Afternoon"/>
        <s v="Evening"/>
        <s v="Night"/>
        <m/>
      </sharedItems>
    </cacheField>
  </cacheFields>
  <extLst>
    <ext xmlns:x14="http://schemas.microsoft.com/office/spreadsheetml/2009/9/main" uri="{725AE2AE-9491-48be-B2B4-4EB974FC3084}">
      <x14:pivotCacheDefinition pivotCacheId="158066149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159.705899768516" createdVersion="8" refreshedVersion="8" minRefreshableVersion="3" recordCount="1612" xr:uid="{93D84030-56D3-4A62-8FE9-1272E8F0907D}">
  <cacheSource type="worksheet">
    <worksheetSource ref="A1:S1048576" sheet="Dataset_B"/>
  </cacheSource>
  <cacheFields count="19">
    <cacheField name="instant" numFmtId="0">
      <sharedItems containsString="0" containsBlank="1" containsNumber="1" containsInteger="1" minValue="1" maxValue="1009"/>
    </cacheField>
    <cacheField name="dteday" numFmtId="14">
      <sharedItems containsNonDate="0" containsDate="1" containsString="0" containsBlank="1" minDate="2011-01-01T00:00:00" maxDate="2011-02-15T00:00:00"/>
    </cacheField>
    <cacheField name="season" numFmtId="0">
      <sharedItems containsString="0" containsBlank="1" containsNumber="1" containsInteger="1" minValue="1" maxValue="1" count="2">
        <n v="1"/>
        <m/>
      </sharedItems>
    </cacheField>
    <cacheField name="mnth" numFmtId="0">
      <sharedItems containsString="0" containsBlank="1" containsNumber="1" containsInteger="1" minValue="1" maxValue="2"/>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acheField>
    <cacheField name="temp" numFmtId="0">
      <sharedItems containsString="0" containsBlank="1" containsNumber="1" minValue="0.02" maxValue="0.46"/>
    </cacheField>
    <cacheField name="Unnamed: 0" numFmtId="0">
      <sharedItems containsString="0" containsBlank="1" containsNumber="1" containsInteger="1" minValue="0" maxValue="609"/>
    </cacheField>
    <cacheField name="atemp" numFmtId="0">
      <sharedItems containsString="0" containsBlank="1" containsNumber="1" minValue="0" maxValue="0.45450000000000002"/>
    </cacheField>
    <cacheField name="hum" numFmtId="0">
      <sharedItems containsString="0" containsBlank="1" containsNumber="1" minValue="0"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0" maxValue="249"/>
    </cacheField>
    <cacheField name="Weekend/weekdays" numFmtId="0">
      <sharedItems containsBlank="1" count="3">
        <s v="Weekends"/>
        <s v="Weekdays"/>
        <m/>
      </sharedItems>
    </cacheField>
    <cacheField name="hr/Time period" numFmtId="0">
      <sharedItems containsBlank="1" count="5">
        <s v="Morning"/>
        <s v="Afternoon"/>
        <s v="Evening"/>
        <s v="Night"/>
        <m/>
      </sharedItems>
    </cacheField>
    <cacheField name="Weather Name" numFmtId="0">
      <sharedItems containsBlank="1" count="5">
        <s v="Clear"/>
        <s v="Mist"/>
        <s v="Light Snow/Rain"/>
        <s v="Heavy Rain/Snow"/>
        <m/>
      </sharedItems>
    </cacheField>
  </cacheFields>
  <extLst>
    <ext xmlns:x14="http://schemas.microsoft.com/office/spreadsheetml/2009/9/main" uri="{725AE2AE-9491-48be-B2B4-4EB974FC3084}">
      <x14:pivotCacheDefinition pivotCacheId="14882813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159.736932291664" createdVersion="8" refreshedVersion="8" minRefreshableVersion="3" recordCount="1222" xr:uid="{7D7F5A3A-B092-486A-9BAA-2B4D43FA4D29}">
  <cacheSource type="worksheet">
    <worksheetSource ref="A1:P1048576" sheet="Dataset_A"/>
  </cacheSource>
  <cacheFields count="16">
    <cacheField name="instant" numFmtId="0">
      <sharedItems containsString="0" containsBlank="1" containsNumber="1" containsInteger="1" minValue="1" maxValue="611"/>
    </cacheField>
    <cacheField name="dteday" numFmtId="14">
      <sharedItems containsNonDate="0" containsDate="1" containsString="0" containsBlank="1" minDate="2011-01-01T00:00:00" maxDate="2011-01-29T00:00:00"/>
    </cacheField>
    <cacheField name="season" numFmtId="0">
      <sharedItems containsString="0" containsBlank="1" containsNumber="1" containsInteger="1" minValue="1" maxValue="1"/>
    </cacheField>
    <cacheField name="mnth" numFmtId="0">
      <sharedItems containsString="0" containsBlank="1" containsNumber="1" containsInteger="1" minValue="1" maxValue="1"/>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acheField>
    <cacheField name="Unnamed: 0" numFmtId="0">
      <sharedItems containsString="0" containsBlank="1" containsNumber="1" containsInteger="1" minValue="0" maxValue="609"/>
    </cacheField>
    <cacheField name="atemp" numFmtId="0">
      <sharedItems containsString="0" containsBlank="1" containsNumber="1" minValue="0" maxValue="0.45450000000000002"/>
    </cacheField>
    <cacheField name="hum" numFmtId="0">
      <sharedItems containsString="0" containsBlank="1" containsNumber="1" minValue="0"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47"/>
    </cacheField>
    <cacheField name="registered" numFmtId="0">
      <sharedItems containsString="0" containsBlank="1" containsNumber="1" containsInteger="1" minValue="0" maxValue="247"/>
    </cacheField>
    <cacheField name="cnt" numFmtId="0">
      <sharedItems containsString="0" containsBlank="1" containsNumber="1" containsInteger="1" minValue="0" maxValue="249"/>
    </cacheField>
  </cacheFields>
  <extLst>
    <ext xmlns:x14="http://schemas.microsoft.com/office/spreadsheetml/2009/9/main" uri="{725AE2AE-9491-48be-B2B4-4EB974FC3084}">
      <x14:pivotCacheDefinition pivotCacheId="1330147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1">
  <r>
    <n v="1"/>
    <n v="40544"/>
    <x v="0"/>
    <x v="0"/>
    <x v="0"/>
    <x v="0"/>
    <x v="0"/>
    <x v="0"/>
    <x v="0"/>
    <n v="0"/>
    <n v="0.28789999999999999"/>
    <n v="0.81"/>
    <n v="0"/>
    <x v="0"/>
    <x v="0"/>
    <x v="0"/>
  </r>
  <r>
    <n v="2"/>
    <n v="40544"/>
    <x v="0"/>
    <x v="0"/>
    <x v="1"/>
    <x v="0"/>
    <x v="0"/>
    <x v="0"/>
    <x v="1"/>
    <n v="0"/>
    <n v="0.28789999999999999"/>
    <n v="0.81"/>
    <n v="0"/>
    <x v="0"/>
    <x v="0"/>
    <x v="0"/>
  </r>
  <r>
    <n v="3"/>
    <n v="40544"/>
    <x v="0"/>
    <x v="0"/>
    <x v="2"/>
    <x v="0"/>
    <x v="0"/>
    <x v="0"/>
    <x v="1"/>
    <n v="0"/>
    <n v="0.28789999999999999"/>
    <n v="0.81"/>
    <n v="0"/>
    <x v="0"/>
    <x v="0"/>
    <x v="0"/>
  </r>
  <r>
    <n v="4"/>
    <n v="40544"/>
    <x v="0"/>
    <x v="0"/>
    <x v="3"/>
    <x v="0"/>
    <x v="0"/>
    <x v="0"/>
    <x v="0"/>
    <n v="0"/>
    <n v="0.28789999999999999"/>
    <n v="0.81"/>
    <n v="0"/>
    <x v="0"/>
    <x v="0"/>
    <x v="0"/>
  </r>
  <r>
    <n v="5"/>
    <n v="40544"/>
    <x v="0"/>
    <x v="0"/>
    <x v="4"/>
    <x v="0"/>
    <x v="0"/>
    <x v="0"/>
    <x v="0"/>
    <n v="0"/>
    <n v="0.28789999999999999"/>
    <n v="0.81"/>
    <n v="0"/>
    <x v="0"/>
    <x v="0"/>
    <x v="0"/>
  </r>
  <r>
    <n v="6"/>
    <n v="40544"/>
    <x v="0"/>
    <x v="0"/>
    <x v="5"/>
    <x v="0"/>
    <x v="0"/>
    <x v="1"/>
    <x v="0"/>
    <n v="0"/>
    <n v="0.28789999999999999"/>
    <n v="0.81"/>
    <n v="0"/>
    <x v="0"/>
    <x v="0"/>
    <x v="0"/>
  </r>
  <r>
    <n v="7"/>
    <n v="40544"/>
    <x v="0"/>
    <x v="0"/>
    <x v="6"/>
    <x v="0"/>
    <x v="0"/>
    <x v="0"/>
    <x v="1"/>
    <n v="0"/>
    <n v="0.28789999999999999"/>
    <n v="0.81"/>
    <n v="0"/>
    <x v="0"/>
    <x v="0"/>
    <x v="0"/>
  </r>
  <r>
    <n v="8"/>
    <n v="40544"/>
    <x v="0"/>
    <x v="0"/>
    <x v="7"/>
    <x v="0"/>
    <x v="0"/>
    <x v="0"/>
    <x v="2"/>
    <n v="0"/>
    <n v="0.28789999999999999"/>
    <n v="0.81"/>
    <n v="0"/>
    <x v="0"/>
    <x v="0"/>
    <x v="0"/>
  </r>
  <r>
    <n v="9"/>
    <n v="40544"/>
    <x v="0"/>
    <x v="0"/>
    <x v="8"/>
    <x v="0"/>
    <x v="0"/>
    <x v="0"/>
    <x v="0"/>
    <n v="0"/>
    <n v="0.28789999999999999"/>
    <n v="0.81"/>
    <n v="0"/>
    <x v="0"/>
    <x v="0"/>
    <x v="0"/>
  </r>
  <r>
    <n v="10"/>
    <n v="40544"/>
    <x v="0"/>
    <x v="0"/>
    <x v="9"/>
    <x v="0"/>
    <x v="0"/>
    <x v="0"/>
    <x v="3"/>
    <n v="0"/>
    <n v="0.28789999999999999"/>
    <n v="0.81"/>
    <n v="0"/>
    <x v="0"/>
    <x v="0"/>
    <x v="0"/>
  </r>
  <r>
    <n v="11"/>
    <n v="40544"/>
    <x v="0"/>
    <x v="0"/>
    <x v="10"/>
    <x v="0"/>
    <x v="0"/>
    <x v="0"/>
    <x v="4"/>
    <n v="0"/>
    <n v="0.28789999999999999"/>
    <n v="0.81"/>
    <n v="0"/>
    <x v="0"/>
    <x v="0"/>
    <x v="0"/>
  </r>
  <r>
    <n v="12"/>
    <n v="40544"/>
    <x v="0"/>
    <x v="0"/>
    <x v="11"/>
    <x v="0"/>
    <x v="0"/>
    <x v="0"/>
    <x v="5"/>
    <n v="0"/>
    <n v="0.28789999999999999"/>
    <n v="0.81"/>
    <n v="0"/>
    <x v="0"/>
    <x v="0"/>
    <x v="0"/>
  </r>
  <r>
    <n v="13"/>
    <n v="40544"/>
    <x v="0"/>
    <x v="0"/>
    <x v="12"/>
    <x v="0"/>
    <x v="0"/>
    <x v="0"/>
    <x v="6"/>
    <n v="0"/>
    <n v="0.28789999999999999"/>
    <n v="0.81"/>
    <n v="0"/>
    <x v="0"/>
    <x v="0"/>
    <x v="0"/>
  </r>
  <r>
    <n v="14"/>
    <n v="40544"/>
    <x v="0"/>
    <x v="0"/>
    <x v="13"/>
    <x v="0"/>
    <x v="0"/>
    <x v="1"/>
    <x v="7"/>
    <n v="0"/>
    <n v="0.28789999999999999"/>
    <n v="0.81"/>
    <n v="0"/>
    <x v="0"/>
    <x v="0"/>
    <x v="0"/>
  </r>
  <r>
    <n v="15"/>
    <n v="40544"/>
    <x v="0"/>
    <x v="0"/>
    <x v="14"/>
    <x v="0"/>
    <x v="0"/>
    <x v="1"/>
    <x v="7"/>
    <n v="0"/>
    <n v="0.28789999999999999"/>
    <n v="0.81"/>
    <n v="0"/>
    <x v="0"/>
    <x v="0"/>
    <x v="0"/>
  </r>
  <r>
    <n v="16"/>
    <n v="40544"/>
    <x v="0"/>
    <x v="0"/>
    <x v="15"/>
    <x v="0"/>
    <x v="0"/>
    <x v="1"/>
    <x v="8"/>
    <n v="0"/>
    <n v="0.28789999999999999"/>
    <n v="0.81"/>
    <n v="0"/>
    <x v="0"/>
    <x v="0"/>
    <x v="0"/>
  </r>
  <r>
    <n v="17"/>
    <n v="40544"/>
    <x v="0"/>
    <x v="0"/>
    <x v="16"/>
    <x v="0"/>
    <x v="0"/>
    <x v="1"/>
    <x v="6"/>
    <n v="0"/>
    <n v="0.28789999999999999"/>
    <n v="0.81"/>
    <n v="0"/>
    <x v="0"/>
    <x v="0"/>
    <x v="0"/>
  </r>
  <r>
    <n v="18"/>
    <n v="40544"/>
    <x v="0"/>
    <x v="0"/>
    <x v="17"/>
    <x v="0"/>
    <x v="0"/>
    <x v="1"/>
    <x v="8"/>
    <n v="0"/>
    <n v="0.28789999999999999"/>
    <n v="0.81"/>
    <n v="0"/>
    <x v="0"/>
    <x v="0"/>
    <x v="0"/>
  </r>
  <r>
    <n v="19"/>
    <n v="40544"/>
    <x v="0"/>
    <x v="0"/>
    <x v="18"/>
    <x v="0"/>
    <x v="0"/>
    <x v="2"/>
    <x v="6"/>
    <n v="0"/>
    <n v="0.28789999999999999"/>
    <n v="0.81"/>
    <n v="0"/>
    <x v="0"/>
    <x v="0"/>
    <x v="0"/>
  </r>
  <r>
    <n v="20"/>
    <n v="40544"/>
    <x v="0"/>
    <x v="0"/>
    <x v="19"/>
    <x v="0"/>
    <x v="0"/>
    <x v="2"/>
    <x v="6"/>
    <n v="0"/>
    <n v="0.28789999999999999"/>
    <n v="0.81"/>
    <n v="0"/>
    <x v="0"/>
    <x v="0"/>
    <x v="0"/>
  </r>
  <r>
    <n v="21"/>
    <n v="40544"/>
    <x v="0"/>
    <x v="0"/>
    <x v="20"/>
    <x v="0"/>
    <x v="0"/>
    <x v="1"/>
    <x v="9"/>
    <n v="0"/>
    <n v="0.28789999999999999"/>
    <n v="0.81"/>
    <n v="0"/>
    <x v="0"/>
    <x v="0"/>
    <x v="0"/>
  </r>
  <r>
    <n v="22"/>
    <n v="40544"/>
    <x v="0"/>
    <x v="0"/>
    <x v="21"/>
    <x v="0"/>
    <x v="0"/>
    <x v="1"/>
    <x v="9"/>
    <n v="0"/>
    <n v="0.28789999999999999"/>
    <n v="0.81"/>
    <n v="0"/>
    <x v="0"/>
    <x v="0"/>
    <x v="0"/>
  </r>
  <r>
    <n v="23"/>
    <n v="40544"/>
    <x v="0"/>
    <x v="0"/>
    <x v="22"/>
    <x v="0"/>
    <x v="0"/>
    <x v="1"/>
    <x v="9"/>
    <n v="0"/>
    <n v="0.28789999999999999"/>
    <n v="0.81"/>
    <n v="0"/>
    <x v="0"/>
    <x v="0"/>
    <x v="0"/>
  </r>
  <r>
    <n v="24"/>
    <n v="40544"/>
    <x v="0"/>
    <x v="0"/>
    <x v="23"/>
    <x v="0"/>
    <x v="0"/>
    <x v="1"/>
    <x v="7"/>
    <n v="0"/>
    <n v="0.28789999999999999"/>
    <n v="0.81"/>
    <n v="0"/>
    <x v="0"/>
    <x v="0"/>
    <x v="0"/>
  </r>
  <r>
    <n v="25"/>
    <n v="40545"/>
    <x v="0"/>
    <x v="0"/>
    <x v="0"/>
    <x v="0"/>
    <x v="1"/>
    <x v="1"/>
    <x v="7"/>
    <n v="0"/>
    <n v="0.28789999999999999"/>
    <n v="0.81"/>
    <n v="0"/>
    <x v="0"/>
    <x v="0"/>
    <x v="0"/>
  </r>
  <r>
    <n v="26"/>
    <n v="40545"/>
    <x v="0"/>
    <x v="0"/>
    <x v="1"/>
    <x v="0"/>
    <x v="1"/>
    <x v="1"/>
    <x v="8"/>
    <n v="0"/>
    <n v="0.28789999999999999"/>
    <n v="0.81"/>
    <n v="0"/>
    <x v="0"/>
    <x v="0"/>
    <x v="0"/>
  </r>
  <r>
    <n v="27"/>
    <n v="40545"/>
    <x v="0"/>
    <x v="0"/>
    <x v="2"/>
    <x v="0"/>
    <x v="1"/>
    <x v="1"/>
    <x v="6"/>
    <n v="0"/>
    <n v="0.28789999999999999"/>
    <n v="0.81"/>
    <n v="0"/>
    <x v="0"/>
    <x v="0"/>
    <x v="0"/>
  </r>
  <r>
    <n v="28"/>
    <n v="40545"/>
    <x v="0"/>
    <x v="0"/>
    <x v="3"/>
    <x v="0"/>
    <x v="1"/>
    <x v="1"/>
    <x v="7"/>
    <n v="0"/>
    <n v="0.28789999999999999"/>
    <n v="0.81"/>
    <n v="0"/>
    <x v="0"/>
    <x v="0"/>
    <x v="0"/>
  </r>
  <r>
    <n v="29"/>
    <n v="40545"/>
    <x v="0"/>
    <x v="0"/>
    <x v="4"/>
    <x v="0"/>
    <x v="1"/>
    <x v="1"/>
    <x v="7"/>
    <n v="0"/>
    <n v="0.28789999999999999"/>
    <n v="0.81"/>
    <n v="0"/>
    <x v="0"/>
    <x v="0"/>
    <x v="0"/>
  </r>
  <r>
    <n v="30"/>
    <n v="40545"/>
    <x v="0"/>
    <x v="0"/>
    <x v="6"/>
    <x v="0"/>
    <x v="1"/>
    <x v="2"/>
    <x v="6"/>
    <n v="0"/>
    <n v="0.28789999999999999"/>
    <n v="0.81"/>
    <n v="0"/>
    <x v="0"/>
    <x v="0"/>
    <x v="0"/>
  </r>
  <r>
    <n v="31"/>
    <n v="40545"/>
    <x v="0"/>
    <x v="0"/>
    <x v="7"/>
    <x v="0"/>
    <x v="1"/>
    <x v="1"/>
    <x v="9"/>
    <n v="0"/>
    <n v="0.28789999999999999"/>
    <n v="0.81"/>
    <n v="0"/>
    <x v="0"/>
    <x v="0"/>
    <x v="0"/>
  </r>
  <r>
    <n v="32"/>
    <n v="40545"/>
    <x v="0"/>
    <x v="0"/>
    <x v="8"/>
    <x v="0"/>
    <x v="1"/>
    <x v="2"/>
    <x v="9"/>
    <n v="0"/>
    <n v="0.28789999999999999"/>
    <n v="0.81"/>
    <n v="0"/>
    <x v="0"/>
    <x v="0"/>
    <x v="0"/>
  </r>
  <r>
    <n v="33"/>
    <n v="40545"/>
    <x v="0"/>
    <x v="0"/>
    <x v="9"/>
    <x v="0"/>
    <x v="1"/>
    <x v="1"/>
    <x v="4"/>
    <n v="0"/>
    <n v="0.28789999999999999"/>
    <n v="0.81"/>
    <n v="0"/>
    <x v="0"/>
    <x v="0"/>
    <x v="0"/>
  </r>
  <r>
    <n v="34"/>
    <n v="40545"/>
    <x v="0"/>
    <x v="0"/>
    <x v="10"/>
    <x v="0"/>
    <x v="1"/>
    <x v="1"/>
    <x v="5"/>
    <n v="0"/>
    <n v="0.28789999999999999"/>
    <n v="0.81"/>
    <n v="0"/>
    <x v="0"/>
    <x v="0"/>
    <x v="0"/>
  </r>
  <r>
    <n v="35"/>
    <n v="40545"/>
    <x v="0"/>
    <x v="0"/>
    <x v="11"/>
    <x v="0"/>
    <x v="1"/>
    <x v="1"/>
    <x v="5"/>
    <n v="0"/>
    <n v="0.28789999999999999"/>
    <n v="0.81"/>
    <n v="0"/>
    <x v="0"/>
    <x v="0"/>
    <x v="0"/>
  </r>
  <r>
    <n v="36"/>
    <n v="40545"/>
    <x v="0"/>
    <x v="0"/>
    <x v="12"/>
    <x v="0"/>
    <x v="1"/>
    <x v="1"/>
    <x v="5"/>
    <n v="0"/>
    <n v="0.28789999999999999"/>
    <n v="0.81"/>
    <n v="0"/>
    <x v="0"/>
    <x v="0"/>
    <x v="0"/>
  </r>
  <r>
    <n v="37"/>
    <n v="40545"/>
    <x v="0"/>
    <x v="0"/>
    <x v="13"/>
    <x v="0"/>
    <x v="1"/>
    <x v="1"/>
    <x v="5"/>
    <n v="0"/>
    <n v="0.28789999999999999"/>
    <n v="0.81"/>
    <n v="0"/>
    <x v="0"/>
    <x v="0"/>
    <x v="0"/>
  </r>
  <r>
    <n v="38"/>
    <n v="40545"/>
    <x v="0"/>
    <x v="0"/>
    <x v="14"/>
    <x v="0"/>
    <x v="1"/>
    <x v="2"/>
    <x v="5"/>
    <n v="0"/>
    <n v="0.28789999999999999"/>
    <n v="0.81"/>
    <n v="0"/>
    <x v="0"/>
    <x v="0"/>
    <x v="0"/>
  </r>
  <r>
    <n v="39"/>
    <n v="40545"/>
    <x v="0"/>
    <x v="0"/>
    <x v="15"/>
    <x v="0"/>
    <x v="1"/>
    <x v="2"/>
    <x v="10"/>
    <n v="0"/>
    <n v="0.28789999999999999"/>
    <n v="0.81"/>
    <n v="0"/>
    <x v="0"/>
    <x v="0"/>
    <x v="0"/>
  </r>
  <r>
    <n v="40"/>
    <n v="40545"/>
    <x v="0"/>
    <x v="0"/>
    <x v="16"/>
    <x v="0"/>
    <x v="1"/>
    <x v="2"/>
    <x v="10"/>
    <n v="0"/>
    <n v="0.28789999999999999"/>
    <n v="0.81"/>
    <n v="0"/>
    <x v="0"/>
    <x v="0"/>
    <x v="0"/>
  </r>
  <r>
    <n v="41"/>
    <n v="40545"/>
    <x v="0"/>
    <x v="0"/>
    <x v="17"/>
    <x v="0"/>
    <x v="1"/>
    <x v="0"/>
    <x v="10"/>
    <n v="0"/>
    <n v="0.28789999999999999"/>
    <n v="0.81"/>
    <n v="0"/>
    <x v="0"/>
    <x v="0"/>
    <x v="0"/>
  </r>
  <r>
    <n v="42"/>
    <n v="40545"/>
    <x v="0"/>
    <x v="0"/>
    <x v="18"/>
    <x v="0"/>
    <x v="1"/>
    <x v="1"/>
    <x v="5"/>
    <n v="0"/>
    <n v="0.28789999999999999"/>
    <n v="0.81"/>
    <n v="0"/>
    <x v="0"/>
    <x v="0"/>
    <x v="0"/>
  </r>
  <r>
    <n v="43"/>
    <n v="40545"/>
    <x v="0"/>
    <x v="0"/>
    <x v="19"/>
    <x v="0"/>
    <x v="1"/>
    <x v="0"/>
    <x v="3"/>
    <n v="0"/>
    <n v="0.28789999999999999"/>
    <n v="0.81"/>
    <n v="0"/>
    <x v="0"/>
    <x v="0"/>
    <x v="0"/>
  </r>
  <r>
    <n v="44"/>
    <n v="40545"/>
    <x v="0"/>
    <x v="0"/>
    <x v="20"/>
    <x v="0"/>
    <x v="1"/>
    <x v="0"/>
    <x v="11"/>
    <n v="0"/>
    <n v="0.28789999999999999"/>
    <n v="0.81"/>
    <n v="0"/>
    <x v="0"/>
    <x v="0"/>
    <x v="0"/>
  </r>
  <r>
    <n v="45"/>
    <n v="40545"/>
    <x v="0"/>
    <x v="0"/>
    <x v="21"/>
    <x v="0"/>
    <x v="1"/>
    <x v="0"/>
    <x v="12"/>
    <n v="0"/>
    <n v="0.28789999999999999"/>
    <n v="0.81"/>
    <n v="0"/>
    <x v="0"/>
    <x v="0"/>
    <x v="0"/>
  </r>
  <r>
    <n v="46"/>
    <n v="40545"/>
    <x v="0"/>
    <x v="0"/>
    <x v="22"/>
    <x v="0"/>
    <x v="1"/>
    <x v="0"/>
    <x v="0"/>
    <n v="0"/>
    <n v="0.28789999999999999"/>
    <n v="0.81"/>
    <n v="0"/>
    <x v="0"/>
    <x v="0"/>
    <x v="0"/>
  </r>
  <r>
    <n v="47"/>
    <n v="40545"/>
    <x v="0"/>
    <x v="0"/>
    <x v="23"/>
    <x v="0"/>
    <x v="1"/>
    <x v="0"/>
    <x v="1"/>
    <n v="0"/>
    <n v="0.28789999999999999"/>
    <n v="0.81"/>
    <n v="0"/>
    <x v="0"/>
    <x v="0"/>
    <x v="0"/>
  </r>
  <r>
    <n v="48"/>
    <n v="40546"/>
    <x v="0"/>
    <x v="0"/>
    <x v="0"/>
    <x v="0"/>
    <x v="2"/>
    <x v="0"/>
    <x v="1"/>
    <n v="0"/>
    <n v="0.28789999999999999"/>
    <n v="0.81"/>
    <n v="0"/>
    <x v="0"/>
    <x v="0"/>
    <x v="0"/>
  </r>
  <r>
    <n v="49"/>
    <n v="40546"/>
    <x v="0"/>
    <x v="0"/>
    <x v="1"/>
    <x v="0"/>
    <x v="2"/>
    <x v="0"/>
    <x v="2"/>
    <n v="0"/>
    <n v="0.28789999999999999"/>
    <n v="0.81"/>
    <n v="0"/>
    <x v="0"/>
    <x v="0"/>
    <x v="0"/>
  </r>
  <r>
    <n v="50"/>
    <n v="40546"/>
    <x v="0"/>
    <x v="0"/>
    <x v="4"/>
    <x v="0"/>
    <x v="2"/>
    <x v="0"/>
    <x v="13"/>
    <n v="0"/>
    <n v="0.28789999999999999"/>
    <n v="0.81"/>
    <n v="0"/>
    <x v="0"/>
    <x v="0"/>
    <x v="0"/>
  </r>
  <r>
    <n v="51"/>
    <n v="40546"/>
    <x v="0"/>
    <x v="0"/>
    <x v="5"/>
    <x v="0"/>
    <x v="2"/>
    <x v="0"/>
    <x v="13"/>
    <n v="0"/>
    <n v="0.28789999999999999"/>
    <n v="0.81"/>
    <n v="0"/>
    <x v="0"/>
    <x v="0"/>
    <x v="0"/>
  </r>
  <r>
    <n v="52"/>
    <n v="40546"/>
    <x v="0"/>
    <x v="0"/>
    <x v="6"/>
    <x v="0"/>
    <x v="2"/>
    <x v="0"/>
    <x v="14"/>
    <n v="0"/>
    <n v="0.28789999999999999"/>
    <n v="0.81"/>
    <n v="0"/>
    <x v="0"/>
    <x v="0"/>
    <x v="0"/>
  </r>
  <r>
    <n v="53"/>
    <n v="40546"/>
    <x v="0"/>
    <x v="0"/>
    <x v="7"/>
    <x v="0"/>
    <x v="2"/>
    <x v="0"/>
    <x v="14"/>
    <n v="0"/>
    <n v="0.28789999999999999"/>
    <n v="0.81"/>
    <n v="0"/>
    <x v="0"/>
    <x v="0"/>
    <x v="0"/>
  </r>
  <r>
    <n v="54"/>
    <n v="40546"/>
    <x v="0"/>
    <x v="0"/>
    <x v="8"/>
    <x v="0"/>
    <x v="2"/>
    <x v="0"/>
    <x v="14"/>
    <n v="0"/>
    <n v="0.28789999999999999"/>
    <n v="0.81"/>
    <n v="0"/>
    <x v="0"/>
    <x v="0"/>
    <x v="0"/>
  </r>
  <r>
    <n v="55"/>
    <n v="40546"/>
    <x v="0"/>
    <x v="0"/>
    <x v="9"/>
    <x v="0"/>
    <x v="2"/>
    <x v="0"/>
    <x v="13"/>
    <n v="0"/>
    <n v="0.28789999999999999"/>
    <n v="0.81"/>
    <n v="0"/>
    <x v="0"/>
    <x v="0"/>
    <x v="0"/>
  </r>
  <r>
    <n v="56"/>
    <n v="40546"/>
    <x v="0"/>
    <x v="0"/>
    <x v="10"/>
    <x v="0"/>
    <x v="2"/>
    <x v="0"/>
    <x v="15"/>
    <n v="0"/>
    <n v="0.28789999999999999"/>
    <n v="0.81"/>
    <n v="0"/>
    <x v="0"/>
    <x v="0"/>
    <x v="0"/>
  </r>
  <r>
    <n v="57"/>
    <n v="40546"/>
    <x v="0"/>
    <x v="0"/>
    <x v="11"/>
    <x v="0"/>
    <x v="2"/>
    <x v="0"/>
    <x v="2"/>
    <n v="0"/>
    <n v="0.28789999999999999"/>
    <n v="0.81"/>
    <n v="0"/>
    <x v="0"/>
    <x v="0"/>
    <x v="0"/>
  </r>
  <r>
    <n v="58"/>
    <n v="40546"/>
    <x v="0"/>
    <x v="0"/>
    <x v="12"/>
    <x v="0"/>
    <x v="2"/>
    <x v="0"/>
    <x v="1"/>
    <n v="0"/>
    <n v="0.28789999999999999"/>
    <n v="0.81"/>
    <n v="0"/>
    <x v="0"/>
    <x v="0"/>
    <x v="0"/>
  </r>
  <r>
    <n v="59"/>
    <n v="40546"/>
    <x v="0"/>
    <x v="0"/>
    <x v="13"/>
    <x v="0"/>
    <x v="2"/>
    <x v="0"/>
    <x v="0"/>
    <n v="0"/>
    <n v="0.28789999999999999"/>
    <n v="0.81"/>
    <n v="0"/>
    <x v="0"/>
    <x v="0"/>
    <x v="0"/>
  </r>
  <r>
    <n v="60"/>
    <n v="40546"/>
    <x v="0"/>
    <x v="0"/>
    <x v="14"/>
    <x v="0"/>
    <x v="2"/>
    <x v="0"/>
    <x v="12"/>
    <n v="0"/>
    <n v="0.28789999999999999"/>
    <n v="0.81"/>
    <n v="0"/>
    <x v="0"/>
    <x v="0"/>
    <x v="0"/>
  </r>
  <r>
    <n v="61"/>
    <n v="40546"/>
    <x v="0"/>
    <x v="0"/>
    <x v="15"/>
    <x v="0"/>
    <x v="2"/>
    <x v="0"/>
    <x v="12"/>
    <n v="0"/>
    <n v="0.28789999999999999"/>
    <n v="0.81"/>
    <n v="0"/>
    <x v="0"/>
    <x v="0"/>
    <x v="0"/>
  </r>
  <r>
    <n v="62"/>
    <n v="40546"/>
    <x v="0"/>
    <x v="0"/>
    <x v="16"/>
    <x v="0"/>
    <x v="2"/>
    <x v="0"/>
    <x v="12"/>
    <n v="0"/>
    <n v="0.28789999999999999"/>
    <n v="0.81"/>
    <n v="0"/>
    <x v="0"/>
    <x v="0"/>
    <x v="0"/>
  </r>
  <r>
    <n v="63"/>
    <n v="40546"/>
    <x v="0"/>
    <x v="0"/>
    <x v="17"/>
    <x v="0"/>
    <x v="2"/>
    <x v="0"/>
    <x v="0"/>
    <n v="0"/>
    <n v="0.28789999999999999"/>
    <n v="0.81"/>
    <n v="0"/>
    <x v="0"/>
    <x v="0"/>
    <x v="0"/>
  </r>
  <r>
    <n v="64"/>
    <n v="40546"/>
    <x v="0"/>
    <x v="0"/>
    <x v="18"/>
    <x v="0"/>
    <x v="2"/>
    <x v="0"/>
    <x v="0"/>
    <n v="0"/>
    <n v="0.28789999999999999"/>
    <n v="0.81"/>
    <n v="0"/>
    <x v="0"/>
    <x v="0"/>
    <x v="0"/>
  </r>
  <r>
    <n v="65"/>
    <n v="40546"/>
    <x v="0"/>
    <x v="0"/>
    <x v="19"/>
    <x v="0"/>
    <x v="2"/>
    <x v="0"/>
    <x v="2"/>
    <n v="0"/>
    <n v="0.28789999999999999"/>
    <n v="0.81"/>
    <n v="0"/>
    <x v="0"/>
    <x v="0"/>
    <x v="0"/>
  </r>
  <r>
    <n v="66"/>
    <n v="40546"/>
    <x v="0"/>
    <x v="0"/>
    <x v="20"/>
    <x v="0"/>
    <x v="2"/>
    <x v="0"/>
    <x v="2"/>
    <n v="0"/>
    <n v="0.28789999999999999"/>
    <n v="0.81"/>
    <n v="0"/>
    <x v="0"/>
    <x v="0"/>
    <x v="0"/>
  </r>
  <r>
    <n v="67"/>
    <n v="40546"/>
    <x v="0"/>
    <x v="0"/>
    <x v="21"/>
    <x v="0"/>
    <x v="2"/>
    <x v="0"/>
    <x v="15"/>
    <n v="0"/>
    <n v="0.28789999999999999"/>
    <n v="0.81"/>
    <n v="0"/>
    <x v="0"/>
    <x v="0"/>
    <x v="0"/>
  </r>
  <r>
    <n v="68"/>
    <n v="40546"/>
    <x v="0"/>
    <x v="0"/>
    <x v="22"/>
    <x v="0"/>
    <x v="2"/>
    <x v="0"/>
    <x v="14"/>
    <n v="0"/>
    <n v="0.28789999999999999"/>
    <n v="0.81"/>
    <n v="0"/>
    <x v="0"/>
    <x v="0"/>
    <x v="0"/>
  </r>
  <r>
    <n v="69"/>
    <n v="40546"/>
    <x v="0"/>
    <x v="0"/>
    <x v="23"/>
    <x v="0"/>
    <x v="2"/>
    <x v="0"/>
    <x v="15"/>
    <n v="0"/>
    <n v="0.28789999999999999"/>
    <n v="0.81"/>
    <n v="0"/>
    <x v="0"/>
    <x v="0"/>
    <x v="0"/>
  </r>
  <r>
    <n v="70"/>
    <n v="40547"/>
    <x v="0"/>
    <x v="0"/>
    <x v="0"/>
    <x v="0"/>
    <x v="3"/>
    <x v="0"/>
    <x v="13"/>
    <n v="0"/>
    <n v="0.28789999999999999"/>
    <n v="0.81"/>
    <n v="0"/>
    <x v="0"/>
    <x v="0"/>
    <x v="0"/>
  </r>
  <r>
    <n v="71"/>
    <n v="40547"/>
    <x v="0"/>
    <x v="0"/>
    <x v="1"/>
    <x v="0"/>
    <x v="3"/>
    <x v="0"/>
    <x v="13"/>
    <n v="0"/>
    <n v="0.28789999999999999"/>
    <n v="0.81"/>
    <n v="0"/>
    <x v="0"/>
    <x v="0"/>
    <x v="0"/>
  </r>
  <r>
    <n v="72"/>
    <n v="40547"/>
    <x v="0"/>
    <x v="0"/>
    <x v="2"/>
    <x v="0"/>
    <x v="3"/>
    <x v="0"/>
    <x v="14"/>
    <n v="0"/>
    <n v="0.28789999999999999"/>
    <n v="0.81"/>
    <n v="0"/>
    <x v="0"/>
    <x v="0"/>
    <x v="0"/>
  </r>
  <r>
    <n v="73"/>
    <n v="40547"/>
    <x v="0"/>
    <x v="0"/>
    <x v="4"/>
    <x v="0"/>
    <x v="3"/>
    <x v="0"/>
    <x v="14"/>
    <n v="0"/>
    <n v="0.28789999999999999"/>
    <n v="0.81"/>
    <n v="0"/>
    <x v="0"/>
    <x v="0"/>
    <x v="0"/>
  </r>
  <r>
    <n v="74"/>
    <n v="40547"/>
    <x v="0"/>
    <x v="0"/>
    <x v="5"/>
    <x v="0"/>
    <x v="3"/>
    <x v="0"/>
    <x v="16"/>
    <n v="0"/>
    <n v="0.28789999999999999"/>
    <n v="0.81"/>
    <n v="0"/>
    <x v="0"/>
    <x v="0"/>
    <x v="0"/>
  </r>
  <r>
    <n v="75"/>
    <n v="40547"/>
    <x v="0"/>
    <x v="0"/>
    <x v="6"/>
    <x v="0"/>
    <x v="3"/>
    <x v="0"/>
    <x v="16"/>
    <n v="0"/>
    <n v="0.28789999999999999"/>
    <n v="0.81"/>
    <n v="0"/>
    <x v="0"/>
    <x v="0"/>
    <x v="0"/>
  </r>
  <r>
    <n v="76"/>
    <n v="40547"/>
    <x v="0"/>
    <x v="0"/>
    <x v="7"/>
    <x v="0"/>
    <x v="3"/>
    <x v="0"/>
    <x v="16"/>
    <n v="0"/>
    <n v="0.28789999999999999"/>
    <n v="0.81"/>
    <n v="0"/>
    <x v="0"/>
    <x v="0"/>
    <x v="0"/>
  </r>
  <r>
    <n v="77"/>
    <n v="40547"/>
    <x v="0"/>
    <x v="0"/>
    <x v="8"/>
    <x v="0"/>
    <x v="3"/>
    <x v="0"/>
    <x v="14"/>
    <n v="0"/>
    <n v="0.28789999999999999"/>
    <n v="0.81"/>
    <n v="0"/>
    <x v="0"/>
    <x v="0"/>
    <x v="0"/>
  </r>
  <r>
    <n v="78"/>
    <n v="40547"/>
    <x v="0"/>
    <x v="0"/>
    <x v="9"/>
    <x v="0"/>
    <x v="3"/>
    <x v="0"/>
    <x v="13"/>
    <n v="0"/>
    <n v="0.28789999999999999"/>
    <n v="0.81"/>
    <n v="0"/>
    <x v="0"/>
    <x v="0"/>
    <x v="0"/>
  </r>
  <r>
    <n v="79"/>
    <n v="40547"/>
    <x v="0"/>
    <x v="0"/>
    <x v="10"/>
    <x v="0"/>
    <x v="3"/>
    <x v="1"/>
    <x v="13"/>
    <n v="0"/>
    <n v="0.28789999999999999"/>
    <n v="0.81"/>
    <n v="0"/>
    <x v="0"/>
    <x v="0"/>
    <x v="0"/>
  </r>
  <r>
    <n v="80"/>
    <n v="40547"/>
    <x v="0"/>
    <x v="0"/>
    <x v="11"/>
    <x v="0"/>
    <x v="3"/>
    <x v="0"/>
    <x v="1"/>
    <n v="0"/>
    <n v="0.28789999999999999"/>
    <n v="0.81"/>
    <n v="0"/>
    <x v="0"/>
    <x v="0"/>
    <x v="0"/>
  </r>
  <r>
    <n v="81"/>
    <n v="40547"/>
    <x v="0"/>
    <x v="0"/>
    <x v="12"/>
    <x v="0"/>
    <x v="3"/>
    <x v="0"/>
    <x v="1"/>
    <n v="0"/>
    <n v="0.28789999999999999"/>
    <n v="0.81"/>
    <n v="0"/>
    <x v="0"/>
    <x v="0"/>
    <x v="0"/>
  </r>
  <r>
    <n v="82"/>
    <n v="40547"/>
    <x v="0"/>
    <x v="0"/>
    <x v="13"/>
    <x v="0"/>
    <x v="3"/>
    <x v="0"/>
    <x v="0"/>
    <n v="0"/>
    <n v="0.28789999999999999"/>
    <n v="0.81"/>
    <n v="0"/>
    <x v="0"/>
    <x v="0"/>
    <x v="0"/>
  </r>
  <r>
    <n v="83"/>
    <n v="40547"/>
    <x v="0"/>
    <x v="0"/>
    <x v="14"/>
    <x v="0"/>
    <x v="3"/>
    <x v="0"/>
    <x v="12"/>
    <n v="0"/>
    <n v="0.28789999999999999"/>
    <n v="0.81"/>
    <n v="0"/>
    <x v="0"/>
    <x v="0"/>
    <x v="0"/>
  </r>
  <r>
    <n v="84"/>
    <n v="40547"/>
    <x v="0"/>
    <x v="0"/>
    <x v="15"/>
    <x v="0"/>
    <x v="3"/>
    <x v="0"/>
    <x v="17"/>
    <n v="0"/>
    <n v="0.28789999999999999"/>
    <n v="0.81"/>
    <n v="0"/>
    <x v="0"/>
    <x v="0"/>
    <x v="0"/>
  </r>
  <r>
    <n v="85"/>
    <n v="40547"/>
    <x v="0"/>
    <x v="0"/>
    <x v="16"/>
    <x v="0"/>
    <x v="3"/>
    <x v="0"/>
    <x v="11"/>
    <n v="0"/>
    <n v="0.28789999999999999"/>
    <n v="0.81"/>
    <n v="0"/>
    <x v="0"/>
    <x v="0"/>
    <x v="0"/>
  </r>
  <r>
    <n v="86"/>
    <n v="40547"/>
    <x v="0"/>
    <x v="0"/>
    <x v="17"/>
    <x v="0"/>
    <x v="3"/>
    <x v="0"/>
    <x v="17"/>
    <n v="0"/>
    <n v="0.28789999999999999"/>
    <n v="0.81"/>
    <n v="0"/>
    <x v="0"/>
    <x v="0"/>
    <x v="0"/>
  </r>
  <r>
    <n v="87"/>
    <n v="40547"/>
    <x v="0"/>
    <x v="0"/>
    <x v="18"/>
    <x v="0"/>
    <x v="3"/>
    <x v="0"/>
    <x v="12"/>
    <n v="0"/>
    <n v="0.28789999999999999"/>
    <n v="0.81"/>
    <n v="0"/>
    <x v="0"/>
    <x v="0"/>
    <x v="0"/>
  </r>
  <r>
    <n v="88"/>
    <n v="40547"/>
    <x v="0"/>
    <x v="0"/>
    <x v="19"/>
    <x v="0"/>
    <x v="3"/>
    <x v="0"/>
    <x v="0"/>
    <n v="0"/>
    <n v="0.28789999999999999"/>
    <n v="0.81"/>
    <n v="0"/>
    <x v="0"/>
    <x v="0"/>
    <x v="0"/>
  </r>
  <r>
    <n v="89"/>
    <n v="40547"/>
    <x v="0"/>
    <x v="0"/>
    <x v="20"/>
    <x v="0"/>
    <x v="3"/>
    <x v="0"/>
    <x v="0"/>
    <n v="0"/>
    <n v="0.28789999999999999"/>
    <n v="0.81"/>
    <n v="0"/>
    <x v="0"/>
    <x v="0"/>
    <x v="0"/>
  </r>
  <r>
    <n v="90"/>
    <n v="40547"/>
    <x v="0"/>
    <x v="0"/>
    <x v="21"/>
    <x v="0"/>
    <x v="3"/>
    <x v="0"/>
    <x v="1"/>
    <n v="0"/>
    <n v="0.28789999999999999"/>
    <n v="0.81"/>
    <n v="0"/>
    <x v="0"/>
    <x v="0"/>
    <x v="0"/>
  </r>
  <r>
    <n v="91"/>
    <n v="40547"/>
    <x v="0"/>
    <x v="0"/>
    <x v="22"/>
    <x v="0"/>
    <x v="3"/>
    <x v="0"/>
    <x v="1"/>
    <n v="0"/>
    <n v="0.28789999999999999"/>
    <n v="0.81"/>
    <n v="0"/>
    <x v="0"/>
    <x v="0"/>
    <x v="0"/>
  </r>
  <r>
    <n v="92"/>
    <n v="40547"/>
    <x v="0"/>
    <x v="0"/>
    <x v="23"/>
    <x v="0"/>
    <x v="3"/>
    <x v="0"/>
    <x v="2"/>
    <n v="0"/>
    <n v="0.28789999999999999"/>
    <n v="0.81"/>
    <n v="0"/>
    <x v="0"/>
    <x v="0"/>
    <x v="0"/>
  </r>
  <r>
    <n v="93"/>
    <n v="40548"/>
    <x v="0"/>
    <x v="0"/>
    <x v="0"/>
    <x v="0"/>
    <x v="4"/>
    <x v="0"/>
    <x v="2"/>
    <n v="0"/>
    <n v="0.28789999999999999"/>
    <n v="0.81"/>
    <n v="0"/>
    <x v="0"/>
    <x v="0"/>
    <x v="0"/>
  </r>
  <r>
    <n v="94"/>
    <n v="40548"/>
    <x v="0"/>
    <x v="0"/>
    <x v="1"/>
    <x v="0"/>
    <x v="4"/>
    <x v="0"/>
    <x v="13"/>
    <n v="0"/>
    <n v="0.28789999999999999"/>
    <n v="0.81"/>
    <n v="0"/>
    <x v="0"/>
    <x v="0"/>
    <x v="0"/>
  </r>
  <r>
    <n v="95"/>
    <n v="40548"/>
    <x v="0"/>
    <x v="0"/>
    <x v="2"/>
    <x v="0"/>
    <x v="4"/>
    <x v="0"/>
    <x v="13"/>
    <n v="0"/>
    <n v="0.28789999999999999"/>
    <n v="0.81"/>
    <n v="0"/>
    <x v="0"/>
    <x v="0"/>
    <x v="0"/>
  </r>
  <r>
    <n v="96"/>
    <n v="40548"/>
    <x v="0"/>
    <x v="0"/>
    <x v="4"/>
    <x v="0"/>
    <x v="4"/>
    <x v="0"/>
    <x v="0"/>
    <n v="0"/>
    <n v="0.28789999999999999"/>
    <n v="0.81"/>
    <n v="0"/>
    <x v="0"/>
    <x v="0"/>
    <x v="0"/>
  </r>
  <r>
    <n v="97"/>
    <n v="40548"/>
    <x v="0"/>
    <x v="0"/>
    <x v="5"/>
    <x v="0"/>
    <x v="4"/>
    <x v="0"/>
    <x v="1"/>
    <n v="0"/>
    <n v="0.28789999999999999"/>
    <n v="0.81"/>
    <n v="0"/>
    <x v="0"/>
    <x v="0"/>
    <x v="0"/>
  </r>
  <r>
    <n v="98"/>
    <n v="40548"/>
    <x v="0"/>
    <x v="0"/>
    <x v="6"/>
    <x v="0"/>
    <x v="4"/>
    <x v="0"/>
    <x v="2"/>
    <n v="0"/>
    <n v="0.28789999999999999"/>
    <n v="0.81"/>
    <n v="0"/>
    <x v="0"/>
    <x v="0"/>
    <x v="0"/>
  </r>
  <r>
    <n v="99"/>
    <n v="40548"/>
    <x v="0"/>
    <x v="0"/>
    <x v="7"/>
    <x v="0"/>
    <x v="4"/>
    <x v="0"/>
    <x v="15"/>
    <n v="0"/>
    <n v="0.28789999999999999"/>
    <n v="0.81"/>
    <n v="0"/>
    <x v="0"/>
    <x v="0"/>
    <x v="0"/>
  </r>
  <r>
    <n v="100"/>
    <n v="40548"/>
    <x v="0"/>
    <x v="0"/>
    <x v="8"/>
    <x v="0"/>
    <x v="4"/>
    <x v="0"/>
    <x v="2"/>
    <n v="0"/>
    <n v="0.28789999999999999"/>
    <n v="0.81"/>
    <n v="0"/>
    <x v="0"/>
    <x v="0"/>
    <x v="0"/>
  </r>
  <r>
    <n v="101"/>
    <n v="40548"/>
    <x v="0"/>
    <x v="0"/>
    <x v="9"/>
    <x v="0"/>
    <x v="4"/>
    <x v="0"/>
    <x v="1"/>
    <n v="0"/>
    <n v="0.28789999999999999"/>
    <n v="0.81"/>
    <n v="0"/>
    <x v="0"/>
    <x v="0"/>
    <x v="0"/>
  </r>
  <r>
    <n v="102"/>
    <n v="40548"/>
    <x v="0"/>
    <x v="0"/>
    <x v="10"/>
    <x v="0"/>
    <x v="4"/>
    <x v="0"/>
    <x v="1"/>
    <n v="0"/>
    <n v="0.28789999999999999"/>
    <n v="0.81"/>
    <n v="0"/>
    <x v="0"/>
    <x v="0"/>
    <x v="0"/>
  </r>
  <r>
    <n v="103"/>
    <n v="40548"/>
    <x v="0"/>
    <x v="0"/>
    <x v="11"/>
    <x v="0"/>
    <x v="4"/>
    <x v="0"/>
    <x v="12"/>
    <n v="0"/>
    <n v="0.28789999999999999"/>
    <n v="0.81"/>
    <n v="0"/>
    <x v="0"/>
    <x v="0"/>
    <x v="0"/>
  </r>
  <r>
    <n v="104"/>
    <n v="40548"/>
    <x v="0"/>
    <x v="0"/>
    <x v="12"/>
    <x v="0"/>
    <x v="4"/>
    <x v="0"/>
    <x v="12"/>
    <n v="0"/>
    <n v="0.28789999999999999"/>
    <n v="0.81"/>
    <n v="0"/>
    <x v="0"/>
    <x v="0"/>
    <x v="0"/>
  </r>
  <r>
    <n v="105"/>
    <n v="40548"/>
    <x v="0"/>
    <x v="0"/>
    <x v="13"/>
    <x v="0"/>
    <x v="4"/>
    <x v="0"/>
    <x v="17"/>
    <n v="0"/>
    <n v="0.28789999999999999"/>
    <n v="0.81"/>
    <n v="0"/>
    <x v="0"/>
    <x v="0"/>
    <x v="0"/>
  </r>
  <r>
    <n v="106"/>
    <n v="40548"/>
    <x v="0"/>
    <x v="0"/>
    <x v="14"/>
    <x v="0"/>
    <x v="4"/>
    <x v="0"/>
    <x v="11"/>
    <n v="0"/>
    <n v="0.28789999999999999"/>
    <n v="0.81"/>
    <n v="0"/>
    <x v="0"/>
    <x v="0"/>
    <x v="0"/>
  </r>
  <r>
    <n v="107"/>
    <n v="40548"/>
    <x v="0"/>
    <x v="0"/>
    <x v="15"/>
    <x v="0"/>
    <x v="4"/>
    <x v="0"/>
    <x v="11"/>
    <n v="0"/>
    <n v="0.28789999999999999"/>
    <n v="0.81"/>
    <n v="0"/>
    <x v="0"/>
    <x v="0"/>
    <x v="0"/>
  </r>
  <r>
    <n v="108"/>
    <n v="40548"/>
    <x v="0"/>
    <x v="0"/>
    <x v="16"/>
    <x v="0"/>
    <x v="4"/>
    <x v="0"/>
    <x v="11"/>
    <n v="0"/>
    <n v="0.28789999999999999"/>
    <n v="0.81"/>
    <n v="0"/>
    <x v="0"/>
    <x v="0"/>
    <x v="0"/>
  </r>
  <r>
    <n v="109"/>
    <n v="40548"/>
    <x v="0"/>
    <x v="0"/>
    <x v="17"/>
    <x v="0"/>
    <x v="4"/>
    <x v="0"/>
    <x v="0"/>
    <n v="0"/>
    <n v="0.28789999999999999"/>
    <n v="0.81"/>
    <n v="0"/>
    <x v="0"/>
    <x v="0"/>
    <x v="0"/>
  </r>
  <r>
    <n v="110"/>
    <n v="40548"/>
    <x v="0"/>
    <x v="0"/>
    <x v="18"/>
    <x v="0"/>
    <x v="4"/>
    <x v="0"/>
    <x v="0"/>
    <n v="0"/>
    <n v="0.28789999999999999"/>
    <n v="0.81"/>
    <n v="0"/>
    <x v="0"/>
    <x v="0"/>
    <x v="0"/>
  </r>
  <r>
    <n v="111"/>
    <n v="40548"/>
    <x v="0"/>
    <x v="0"/>
    <x v="19"/>
    <x v="0"/>
    <x v="4"/>
    <x v="0"/>
    <x v="0"/>
    <n v="0"/>
    <n v="0.28789999999999999"/>
    <n v="0.81"/>
    <n v="0"/>
    <x v="0"/>
    <x v="0"/>
    <x v="0"/>
  </r>
  <r>
    <n v="112"/>
    <n v="40548"/>
    <x v="0"/>
    <x v="0"/>
    <x v="20"/>
    <x v="0"/>
    <x v="4"/>
    <x v="0"/>
    <x v="1"/>
    <n v="0"/>
    <n v="0.28789999999999999"/>
    <n v="0.81"/>
    <n v="0"/>
    <x v="0"/>
    <x v="0"/>
    <x v="0"/>
  </r>
  <r>
    <n v="113"/>
    <n v="40548"/>
    <x v="0"/>
    <x v="0"/>
    <x v="21"/>
    <x v="0"/>
    <x v="4"/>
    <x v="0"/>
    <x v="2"/>
    <n v="0"/>
    <n v="0.28789999999999999"/>
    <n v="0.81"/>
    <n v="0"/>
    <x v="0"/>
    <x v="0"/>
    <x v="0"/>
  </r>
  <r>
    <n v="114"/>
    <n v="40548"/>
    <x v="0"/>
    <x v="0"/>
    <x v="22"/>
    <x v="0"/>
    <x v="4"/>
    <x v="0"/>
    <x v="15"/>
    <n v="0"/>
    <n v="0.28789999999999999"/>
    <n v="0.81"/>
    <n v="0"/>
    <x v="0"/>
    <x v="0"/>
    <x v="0"/>
  </r>
  <r>
    <n v="115"/>
    <n v="40548"/>
    <x v="0"/>
    <x v="0"/>
    <x v="23"/>
    <x v="0"/>
    <x v="4"/>
    <x v="0"/>
    <x v="2"/>
    <n v="0"/>
    <n v="0.28789999999999999"/>
    <n v="0.81"/>
    <n v="0"/>
    <x v="0"/>
    <x v="0"/>
    <x v="0"/>
  </r>
  <r>
    <n v="116"/>
    <n v="40549"/>
    <x v="0"/>
    <x v="0"/>
    <x v="0"/>
    <x v="0"/>
    <x v="5"/>
    <x v="0"/>
    <x v="15"/>
    <n v="0"/>
    <n v="0.28789999999999999"/>
    <n v="0.81"/>
    <n v="0"/>
    <x v="0"/>
    <x v="0"/>
    <x v="0"/>
  </r>
  <r>
    <n v="117"/>
    <n v="40549"/>
    <x v="0"/>
    <x v="0"/>
    <x v="1"/>
    <x v="0"/>
    <x v="5"/>
    <x v="0"/>
    <x v="13"/>
    <n v="0"/>
    <n v="0.28789999999999999"/>
    <n v="0.81"/>
    <n v="0"/>
    <x v="0"/>
    <x v="0"/>
    <x v="0"/>
  </r>
  <r>
    <n v="118"/>
    <n v="40549"/>
    <x v="0"/>
    <x v="0"/>
    <x v="2"/>
    <x v="0"/>
    <x v="5"/>
    <x v="0"/>
    <x v="13"/>
    <n v="0"/>
    <n v="0.28789999999999999"/>
    <n v="0.81"/>
    <n v="0"/>
    <x v="0"/>
    <x v="0"/>
    <x v="0"/>
  </r>
  <r>
    <n v="119"/>
    <n v="40549"/>
    <x v="0"/>
    <x v="0"/>
    <x v="4"/>
    <x v="0"/>
    <x v="5"/>
    <x v="1"/>
    <x v="13"/>
    <n v="0"/>
    <n v="0.28789999999999999"/>
    <n v="0.81"/>
    <n v="0"/>
    <x v="0"/>
    <x v="0"/>
    <x v="0"/>
  </r>
  <r>
    <n v="120"/>
    <n v="40549"/>
    <x v="0"/>
    <x v="0"/>
    <x v="5"/>
    <x v="0"/>
    <x v="5"/>
    <x v="1"/>
    <x v="14"/>
    <n v="0"/>
    <n v="0.28789999999999999"/>
    <n v="0.81"/>
    <n v="0"/>
    <x v="0"/>
    <x v="0"/>
    <x v="0"/>
  </r>
  <r>
    <n v="121"/>
    <n v="40549"/>
    <x v="0"/>
    <x v="0"/>
    <x v="6"/>
    <x v="0"/>
    <x v="5"/>
    <x v="1"/>
    <x v="14"/>
    <n v="0"/>
    <n v="0.28789999999999999"/>
    <n v="0.81"/>
    <n v="0"/>
    <x v="0"/>
    <x v="0"/>
    <x v="0"/>
  </r>
  <r>
    <n v="122"/>
    <n v="40549"/>
    <x v="0"/>
    <x v="0"/>
    <x v="7"/>
    <x v="0"/>
    <x v="5"/>
    <x v="1"/>
    <x v="13"/>
    <n v="0"/>
    <n v="0.28789999999999999"/>
    <n v="0.81"/>
    <n v="0"/>
    <x v="0"/>
    <x v="0"/>
    <x v="0"/>
  </r>
  <r>
    <n v="123"/>
    <n v="40549"/>
    <x v="0"/>
    <x v="0"/>
    <x v="8"/>
    <x v="0"/>
    <x v="5"/>
    <x v="0"/>
    <x v="13"/>
    <n v="0"/>
    <n v="0.28789999999999999"/>
    <n v="0.81"/>
    <n v="0"/>
    <x v="0"/>
    <x v="0"/>
    <x v="0"/>
  </r>
  <r>
    <n v="124"/>
    <n v="40549"/>
    <x v="0"/>
    <x v="0"/>
    <x v="9"/>
    <x v="0"/>
    <x v="5"/>
    <x v="1"/>
    <x v="15"/>
    <n v="0"/>
    <n v="0.28789999999999999"/>
    <n v="0.81"/>
    <n v="0"/>
    <x v="0"/>
    <x v="0"/>
    <x v="0"/>
  </r>
  <r>
    <n v="125"/>
    <n v="40549"/>
    <x v="0"/>
    <x v="0"/>
    <x v="10"/>
    <x v="0"/>
    <x v="5"/>
    <x v="0"/>
    <x v="2"/>
    <n v="0"/>
    <n v="0.28789999999999999"/>
    <n v="0.81"/>
    <n v="0"/>
    <x v="0"/>
    <x v="0"/>
    <x v="0"/>
  </r>
  <r>
    <n v="126"/>
    <n v="40549"/>
    <x v="0"/>
    <x v="0"/>
    <x v="11"/>
    <x v="0"/>
    <x v="5"/>
    <x v="0"/>
    <x v="1"/>
    <n v="0"/>
    <n v="0.28789999999999999"/>
    <n v="0.81"/>
    <n v="0"/>
    <x v="0"/>
    <x v="0"/>
    <x v="0"/>
  </r>
  <r>
    <n v="127"/>
    <n v="40549"/>
    <x v="0"/>
    <x v="0"/>
    <x v="12"/>
    <x v="0"/>
    <x v="5"/>
    <x v="0"/>
    <x v="12"/>
    <n v="0"/>
    <n v="0.28789999999999999"/>
    <n v="0.81"/>
    <n v="0"/>
    <x v="0"/>
    <x v="0"/>
    <x v="0"/>
  </r>
  <r>
    <n v="128"/>
    <n v="40549"/>
    <x v="0"/>
    <x v="0"/>
    <x v="13"/>
    <x v="0"/>
    <x v="5"/>
    <x v="0"/>
    <x v="12"/>
    <n v="0"/>
    <n v="0.28789999999999999"/>
    <n v="0.81"/>
    <n v="0"/>
    <x v="0"/>
    <x v="0"/>
    <x v="0"/>
  </r>
  <r>
    <n v="129"/>
    <n v="40549"/>
    <x v="0"/>
    <x v="0"/>
    <x v="14"/>
    <x v="0"/>
    <x v="5"/>
    <x v="0"/>
    <x v="17"/>
    <n v="0"/>
    <n v="0.28789999999999999"/>
    <n v="0.81"/>
    <n v="0"/>
    <x v="0"/>
    <x v="0"/>
    <x v="0"/>
  </r>
  <r>
    <n v="130"/>
    <n v="40549"/>
    <x v="0"/>
    <x v="0"/>
    <x v="15"/>
    <x v="0"/>
    <x v="5"/>
    <x v="0"/>
    <x v="17"/>
    <n v="0"/>
    <n v="0.28789999999999999"/>
    <n v="0.81"/>
    <n v="0"/>
    <x v="0"/>
    <x v="0"/>
    <x v="0"/>
  </r>
  <r>
    <n v="131"/>
    <n v="40549"/>
    <x v="0"/>
    <x v="0"/>
    <x v="16"/>
    <x v="0"/>
    <x v="5"/>
    <x v="0"/>
    <x v="12"/>
    <n v="0"/>
    <n v="0.28789999999999999"/>
    <n v="0.81"/>
    <n v="0"/>
    <x v="0"/>
    <x v="0"/>
    <x v="0"/>
  </r>
  <r>
    <n v="132"/>
    <n v="40549"/>
    <x v="0"/>
    <x v="0"/>
    <x v="17"/>
    <x v="0"/>
    <x v="5"/>
    <x v="0"/>
    <x v="1"/>
    <n v="0"/>
    <n v="0.28789999999999999"/>
    <n v="0.81"/>
    <n v="0"/>
    <x v="0"/>
    <x v="0"/>
    <x v="0"/>
  </r>
  <r>
    <n v="133"/>
    <n v="40549"/>
    <x v="0"/>
    <x v="0"/>
    <x v="18"/>
    <x v="0"/>
    <x v="5"/>
    <x v="0"/>
    <x v="1"/>
    <n v="0"/>
    <n v="0.28789999999999999"/>
    <n v="0.81"/>
    <n v="0"/>
    <x v="0"/>
    <x v="0"/>
    <x v="0"/>
  </r>
  <r>
    <n v="134"/>
    <n v="40549"/>
    <x v="0"/>
    <x v="0"/>
    <x v="19"/>
    <x v="0"/>
    <x v="5"/>
    <x v="0"/>
    <x v="1"/>
    <n v="0"/>
    <n v="0.28789999999999999"/>
    <n v="0.81"/>
    <n v="0"/>
    <x v="0"/>
    <x v="0"/>
    <x v="0"/>
  </r>
  <r>
    <n v="135"/>
    <n v="40549"/>
    <x v="0"/>
    <x v="0"/>
    <x v="20"/>
    <x v="0"/>
    <x v="5"/>
    <x v="0"/>
    <x v="2"/>
    <n v="0"/>
    <n v="0.28789999999999999"/>
    <n v="0.81"/>
    <n v="0"/>
    <x v="0"/>
    <x v="0"/>
    <x v="0"/>
  </r>
  <r>
    <n v="136"/>
    <n v="40549"/>
    <x v="0"/>
    <x v="0"/>
    <x v="21"/>
    <x v="0"/>
    <x v="5"/>
    <x v="1"/>
    <x v="1"/>
    <n v="0"/>
    <n v="0.28789999999999999"/>
    <n v="0.81"/>
    <n v="0"/>
    <x v="0"/>
    <x v="0"/>
    <x v="0"/>
  </r>
  <r>
    <n v="137"/>
    <n v="40549"/>
    <x v="0"/>
    <x v="0"/>
    <x v="22"/>
    <x v="0"/>
    <x v="5"/>
    <x v="1"/>
    <x v="1"/>
    <n v="0"/>
    <n v="0.28789999999999999"/>
    <n v="0.81"/>
    <n v="0"/>
    <x v="0"/>
    <x v="0"/>
    <x v="0"/>
  </r>
  <r>
    <n v="138"/>
    <n v="40549"/>
    <x v="0"/>
    <x v="0"/>
    <x v="23"/>
    <x v="0"/>
    <x v="5"/>
    <x v="1"/>
    <x v="2"/>
    <n v="0"/>
    <n v="0.28789999999999999"/>
    <n v="0.81"/>
    <n v="0"/>
    <x v="0"/>
    <x v="0"/>
    <x v="0"/>
  </r>
  <r>
    <n v="139"/>
    <n v="40550"/>
    <x v="0"/>
    <x v="0"/>
    <x v="0"/>
    <x v="0"/>
    <x v="6"/>
    <x v="1"/>
    <x v="2"/>
    <n v="0"/>
    <n v="0.28789999999999999"/>
    <n v="0.81"/>
    <n v="0"/>
    <x v="0"/>
    <x v="0"/>
    <x v="0"/>
  </r>
  <r>
    <n v="140"/>
    <n v="40550"/>
    <x v="0"/>
    <x v="0"/>
    <x v="1"/>
    <x v="0"/>
    <x v="6"/>
    <x v="1"/>
    <x v="2"/>
    <n v="0"/>
    <n v="0.28789999999999999"/>
    <n v="0.81"/>
    <n v="0"/>
    <x v="0"/>
    <x v="0"/>
    <x v="0"/>
  </r>
  <r>
    <n v="141"/>
    <n v="40550"/>
    <x v="0"/>
    <x v="0"/>
    <x v="2"/>
    <x v="0"/>
    <x v="6"/>
    <x v="1"/>
    <x v="2"/>
    <n v="0"/>
    <n v="0.28789999999999999"/>
    <n v="0.81"/>
    <n v="0"/>
    <x v="0"/>
    <x v="0"/>
    <x v="0"/>
  </r>
  <r>
    <n v="142"/>
    <n v="40550"/>
    <x v="0"/>
    <x v="0"/>
    <x v="4"/>
    <x v="0"/>
    <x v="6"/>
    <x v="1"/>
    <x v="2"/>
    <n v="0"/>
    <n v="0.28789999999999999"/>
    <n v="0.81"/>
    <n v="0"/>
    <x v="0"/>
    <x v="0"/>
    <x v="0"/>
  </r>
  <r>
    <n v="143"/>
    <n v="40550"/>
    <x v="0"/>
    <x v="0"/>
    <x v="5"/>
    <x v="0"/>
    <x v="6"/>
    <x v="2"/>
    <x v="1"/>
    <n v="0"/>
    <n v="0.28789999999999999"/>
    <n v="0.81"/>
    <n v="0"/>
    <x v="0"/>
    <x v="0"/>
    <x v="0"/>
  </r>
  <r>
    <n v="144"/>
    <n v="40550"/>
    <x v="0"/>
    <x v="0"/>
    <x v="6"/>
    <x v="0"/>
    <x v="6"/>
    <x v="1"/>
    <x v="2"/>
    <n v="0"/>
    <n v="0.28789999999999999"/>
    <n v="0.81"/>
    <n v="0"/>
    <x v="0"/>
    <x v="0"/>
    <x v="0"/>
  </r>
  <r>
    <n v="145"/>
    <n v="40550"/>
    <x v="0"/>
    <x v="0"/>
    <x v="7"/>
    <x v="0"/>
    <x v="6"/>
    <x v="0"/>
    <x v="2"/>
    <n v="0"/>
    <n v="0.28789999999999999"/>
    <n v="0.81"/>
    <n v="0"/>
    <x v="0"/>
    <x v="0"/>
    <x v="0"/>
  </r>
  <r>
    <n v="146"/>
    <n v="40550"/>
    <x v="0"/>
    <x v="0"/>
    <x v="8"/>
    <x v="0"/>
    <x v="6"/>
    <x v="0"/>
    <x v="2"/>
    <n v="0"/>
    <n v="0.28789999999999999"/>
    <n v="0.81"/>
    <n v="0"/>
    <x v="0"/>
    <x v="0"/>
    <x v="0"/>
  </r>
  <r>
    <n v="147"/>
    <n v="40550"/>
    <x v="0"/>
    <x v="0"/>
    <x v="9"/>
    <x v="0"/>
    <x v="6"/>
    <x v="0"/>
    <x v="2"/>
    <n v="0"/>
    <n v="0.28789999999999999"/>
    <n v="0.81"/>
    <n v="0"/>
    <x v="0"/>
    <x v="0"/>
    <x v="0"/>
  </r>
  <r>
    <n v="148"/>
    <n v="40550"/>
    <x v="0"/>
    <x v="0"/>
    <x v="10"/>
    <x v="0"/>
    <x v="6"/>
    <x v="0"/>
    <x v="1"/>
    <n v="0"/>
    <n v="0.28789999999999999"/>
    <n v="0.81"/>
    <n v="0"/>
    <x v="0"/>
    <x v="0"/>
    <x v="0"/>
  </r>
  <r>
    <n v="149"/>
    <n v="40550"/>
    <x v="0"/>
    <x v="0"/>
    <x v="11"/>
    <x v="0"/>
    <x v="6"/>
    <x v="1"/>
    <x v="2"/>
    <n v="0"/>
    <n v="0.28789999999999999"/>
    <n v="0.81"/>
    <n v="0"/>
    <x v="0"/>
    <x v="0"/>
    <x v="0"/>
  </r>
  <r>
    <n v="150"/>
    <n v="40550"/>
    <x v="0"/>
    <x v="0"/>
    <x v="12"/>
    <x v="0"/>
    <x v="6"/>
    <x v="1"/>
    <x v="2"/>
    <n v="0"/>
    <n v="0.28789999999999999"/>
    <n v="0.81"/>
    <n v="0"/>
    <x v="0"/>
    <x v="0"/>
    <x v="0"/>
  </r>
  <r>
    <n v="151"/>
    <n v="40550"/>
    <x v="0"/>
    <x v="0"/>
    <x v="13"/>
    <x v="0"/>
    <x v="6"/>
    <x v="1"/>
    <x v="2"/>
    <n v="0"/>
    <n v="0.28789999999999999"/>
    <n v="0.81"/>
    <n v="0"/>
    <x v="0"/>
    <x v="0"/>
    <x v="0"/>
  </r>
  <r>
    <n v="152"/>
    <n v="40550"/>
    <x v="0"/>
    <x v="0"/>
    <x v="14"/>
    <x v="0"/>
    <x v="6"/>
    <x v="1"/>
    <x v="2"/>
    <n v="0"/>
    <n v="0.28789999999999999"/>
    <n v="0.81"/>
    <n v="0"/>
    <x v="0"/>
    <x v="0"/>
    <x v="0"/>
  </r>
  <r>
    <n v="153"/>
    <n v="40550"/>
    <x v="0"/>
    <x v="0"/>
    <x v="15"/>
    <x v="0"/>
    <x v="6"/>
    <x v="1"/>
    <x v="2"/>
    <n v="0"/>
    <n v="0.28789999999999999"/>
    <n v="0.81"/>
    <n v="0"/>
    <x v="0"/>
    <x v="0"/>
    <x v="0"/>
  </r>
  <r>
    <n v="154"/>
    <n v="40550"/>
    <x v="0"/>
    <x v="0"/>
    <x v="16"/>
    <x v="0"/>
    <x v="6"/>
    <x v="1"/>
    <x v="2"/>
    <n v="0"/>
    <n v="0.28789999999999999"/>
    <n v="0.81"/>
    <n v="0"/>
    <x v="0"/>
    <x v="0"/>
    <x v="0"/>
  </r>
  <r>
    <n v="155"/>
    <n v="40550"/>
    <x v="0"/>
    <x v="0"/>
    <x v="17"/>
    <x v="0"/>
    <x v="6"/>
    <x v="1"/>
    <x v="2"/>
    <n v="0"/>
    <n v="0.28789999999999999"/>
    <n v="0.81"/>
    <n v="0"/>
    <x v="0"/>
    <x v="0"/>
    <x v="0"/>
  </r>
  <r>
    <n v="156"/>
    <n v="40550"/>
    <x v="0"/>
    <x v="0"/>
    <x v="18"/>
    <x v="0"/>
    <x v="6"/>
    <x v="0"/>
    <x v="2"/>
    <n v="0"/>
    <n v="0.28789999999999999"/>
    <n v="0.81"/>
    <n v="0"/>
    <x v="0"/>
    <x v="0"/>
    <x v="0"/>
  </r>
  <r>
    <n v="157"/>
    <n v="40550"/>
    <x v="0"/>
    <x v="0"/>
    <x v="19"/>
    <x v="0"/>
    <x v="6"/>
    <x v="0"/>
    <x v="13"/>
    <n v="0"/>
    <n v="0.28789999999999999"/>
    <n v="0.81"/>
    <n v="0"/>
    <x v="0"/>
    <x v="0"/>
    <x v="0"/>
  </r>
  <r>
    <n v="158"/>
    <n v="40550"/>
    <x v="0"/>
    <x v="0"/>
    <x v="20"/>
    <x v="0"/>
    <x v="6"/>
    <x v="0"/>
    <x v="15"/>
    <n v="0"/>
    <n v="0.28789999999999999"/>
    <n v="0.81"/>
    <n v="0"/>
    <x v="0"/>
    <x v="0"/>
    <x v="0"/>
  </r>
  <r>
    <n v="159"/>
    <n v="40550"/>
    <x v="0"/>
    <x v="0"/>
    <x v="21"/>
    <x v="0"/>
    <x v="6"/>
    <x v="0"/>
    <x v="15"/>
    <n v="0"/>
    <n v="0.28789999999999999"/>
    <n v="0.81"/>
    <n v="0"/>
    <x v="0"/>
    <x v="0"/>
    <x v="0"/>
  </r>
  <r>
    <n v="160"/>
    <n v="40550"/>
    <x v="0"/>
    <x v="0"/>
    <x v="22"/>
    <x v="0"/>
    <x v="6"/>
    <x v="1"/>
    <x v="15"/>
    <n v="0"/>
    <n v="0.28789999999999999"/>
    <n v="0.81"/>
    <n v="0"/>
    <x v="0"/>
    <x v="0"/>
    <x v="0"/>
  </r>
  <r>
    <n v="161"/>
    <n v="40550"/>
    <x v="0"/>
    <x v="0"/>
    <x v="23"/>
    <x v="0"/>
    <x v="6"/>
    <x v="1"/>
    <x v="15"/>
    <n v="0"/>
    <n v="0.28789999999999999"/>
    <n v="0.81"/>
    <n v="0"/>
    <x v="0"/>
    <x v="0"/>
    <x v="0"/>
  </r>
  <r>
    <n v="162"/>
    <n v="40551"/>
    <x v="0"/>
    <x v="0"/>
    <x v="0"/>
    <x v="0"/>
    <x v="0"/>
    <x v="1"/>
    <x v="15"/>
    <n v="0"/>
    <n v="0.28789999999999999"/>
    <n v="0.81"/>
    <n v="0"/>
    <x v="0"/>
    <x v="0"/>
    <x v="0"/>
  </r>
  <r>
    <n v="163"/>
    <n v="40551"/>
    <x v="0"/>
    <x v="0"/>
    <x v="1"/>
    <x v="0"/>
    <x v="0"/>
    <x v="1"/>
    <x v="15"/>
    <n v="0"/>
    <n v="0.28789999999999999"/>
    <n v="0.81"/>
    <n v="0"/>
    <x v="0"/>
    <x v="0"/>
    <x v="0"/>
  </r>
  <r>
    <n v="164"/>
    <n v="40551"/>
    <x v="0"/>
    <x v="0"/>
    <x v="2"/>
    <x v="0"/>
    <x v="0"/>
    <x v="1"/>
    <x v="15"/>
    <n v="0"/>
    <n v="0.28789999999999999"/>
    <n v="0.81"/>
    <n v="0"/>
    <x v="0"/>
    <x v="0"/>
    <x v="0"/>
  </r>
  <r>
    <n v="165"/>
    <n v="40551"/>
    <x v="0"/>
    <x v="0"/>
    <x v="3"/>
    <x v="0"/>
    <x v="0"/>
    <x v="2"/>
    <x v="15"/>
    <n v="0"/>
    <n v="0.28789999999999999"/>
    <n v="0.81"/>
    <n v="0"/>
    <x v="0"/>
    <x v="0"/>
    <x v="0"/>
  </r>
  <r>
    <n v="166"/>
    <n v="40551"/>
    <x v="0"/>
    <x v="0"/>
    <x v="4"/>
    <x v="0"/>
    <x v="0"/>
    <x v="2"/>
    <x v="15"/>
    <n v="0"/>
    <n v="0.28789999999999999"/>
    <n v="0.81"/>
    <n v="0"/>
    <x v="0"/>
    <x v="0"/>
    <x v="0"/>
  </r>
  <r>
    <n v="167"/>
    <n v="40551"/>
    <x v="0"/>
    <x v="0"/>
    <x v="5"/>
    <x v="0"/>
    <x v="0"/>
    <x v="1"/>
    <x v="13"/>
    <n v="0"/>
    <n v="0.28789999999999999"/>
    <n v="0.81"/>
    <n v="0"/>
    <x v="0"/>
    <x v="0"/>
    <x v="0"/>
  </r>
  <r>
    <n v="168"/>
    <n v="40551"/>
    <x v="0"/>
    <x v="0"/>
    <x v="6"/>
    <x v="0"/>
    <x v="0"/>
    <x v="1"/>
    <x v="13"/>
    <n v="0"/>
    <n v="0.28789999999999999"/>
    <n v="0.81"/>
    <n v="0"/>
    <x v="0"/>
    <x v="0"/>
    <x v="0"/>
  </r>
  <r>
    <n v="169"/>
    <n v="40551"/>
    <x v="0"/>
    <x v="0"/>
    <x v="7"/>
    <x v="0"/>
    <x v="0"/>
    <x v="1"/>
    <x v="13"/>
    <n v="0"/>
    <n v="0.28789999999999999"/>
    <n v="0.81"/>
    <n v="0"/>
    <x v="0"/>
    <x v="0"/>
    <x v="0"/>
  </r>
  <r>
    <n v="170"/>
    <n v="40551"/>
    <x v="0"/>
    <x v="0"/>
    <x v="8"/>
    <x v="0"/>
    <x v="0"/>
    <x v="2"/>
    <x v="13"/>
    <n v="0"/>
    <n v="0.28789999999999999"/>
    <n v="0.81"/>
    <n v="0"/>
    <x v="0"/>
    <x v="0"/>
    <x v="0"/>
  </r>
  <r>
    <n v="171"/>
    <n v="40551"/>
    <x v="0"/>
    <x v="0"/>
    <x v="9"/>
    <x v="0"/>
    <x v="0"/>
    <x v="2"/>
    <x v="13"/>
    <n v="0"/>
    <n v="0.28789999999999999"/>
    <n v="0.81"/>
    <n v="0"/>
    <x v="0"/>
    <x v="0"/>
    <x v="0"/>
  </r>
  <r>
    <n v="172"/>
    <n v="40551"/>
    <x v="0"/>
    <x v="0"/>
    <x v="10"/>
    <x v="0"/>
    <x v="0"/>
    <x v="1"/>
    <x v="15"/>
    <n v="0"/>
    <n v="0.28789999999999999"/>
    <n v="0.81"/>
    <n v="0"/>
    <x v="0"/>
    <x v="0"/>
    <x v="0"/>
  </r>
  <r>
    <n v="173"/>
    <n v="40551"/>
    <x v="0"/>
    <x v="0"/>
    <x v="11"/>
    <x v="0"/>
    <x v="0"/>
    <x v="1"/>
    <x v="2"/>
    <n v="0"/>
    <n v="0.28789999999999999"/>
    <n v="0.81"/>
    <n v="0"/>
    <x v="0"/>
    <x v="0"/>
    <x v="0"/>
  </r>
  <r>
    <n v="174"/>
    <n v="40551"/>
    <x v="0"/>
    <x v="0"/>
    <x v="12"/>
    <x v="0"/>
    <x v="0"/>
    <x v="1"/>
    <x v="2"/>
    <n v="0"/>
    <n v="0.28789999999999999"/>
    <n v="0.81"/>
    <n v="0"/>
    <x v="0"/>
    <x v="0"/>
    <x v="0"/>
  </r>
  <r>
    <n v="175"/>
    <n v="40551"/>
    <x v="0"/>
    <x v="0"/>
    <x v="13"/>
    <x v="0"/>
    <x v="0"/>
    <x v="0"/>
    <x v="2"/>
    <n v="0"/>
    <n v="0.28789999999999999"/>
    <n v="0.81"/>
    <n v="0"/>
    <x v="0"/>
    <x v="0"/>
    <x v="0"/>
  </r>
  <r>
    <n v="176"/>
    <n v="40551"/>
    <x v="0"/>
    <x v="0"/>
    <x v="14"/>
    <x v="0"/>
    <x v="0"/>
    <x v="0"/>
    <x v="2"/>
    <n v="0"/>
    <n v="0.28789999999999999"/>
    <n v="0.81"/>
    <n v="0"/>
    <x v="0"/>
    <x v="0"/>
    <x v="0"/>
  </r>
  <r>
    <n v="177"/>
    <n v="40551"/>
    <x v="0"/>
    <x v="0"/>
    <x v="15"/>
    <x v="0"/>
    <x v="0"/>
    <x v="0"/>
    <x v="2"/>
    <n v="0"/>
    <n v="0.28789999999999999"/>
    <n v="0.81"/>
    <n v="0"/>
    <x v="0"/>
    <x v="0"/>
    <x v="0"/>
  </r>
  <r>
    <n v="178"/>
    <n v="40551"/>
    <x v="0"/>
    <x v="0"/>
    <x v="16"/>
    <x v="0"/>
    <x v="0"/>
    <x v="0"/>
    <x v="15"/>
    <n v="0"/>
    <n v="0.28789999999999999"/>
    <n v="0.81"/>
    <n v="0"/>
    <x v="0"/>
    <x v="0"/>
    <x v="0"/>
  </r>
  <r>
    <n v="179"/>
    <n v="40551"/>
    <x v="0"/>
    <x v="0"/>
    <x v="17"/>
    <x v="0"/>
    <x v="0"/>
    <x v="0"/>
    <x v="13"/>
    <n v="0"/>
    <n v="0.28789999999999999"/>
    <n v="0.81"/>
    <n v="0"/>
    <x v="0"/>
    <x v="0"/>
    <x v="0"/>
  </r>
  <r>
    <n v="180"/>
    <n v="40551"/>
    <x v="0"/>
    <x v="0"/>
    <x v="18"/>
    <x v="0"/>
    <x v="0"/>
    <x v="0"/>
    <x v="14"/>
    <n v="0"/>
    <n v="0.28789999999999999"/>
    <n v="0.81"/>
    <n v="0"/>
    <x v="0"/>
    <x v="0"/>
    <x v="0"/>
  </r>
  <r>
    <n v="181"/>
    <n v="40551"/>
    <x v="0"/>
    <x v="0"/>
    <x v="19"/>
    <x v="0"/>
    <x v="0"/>
    <x v="0"/>
    <x v="14"/>
    <n v="0"/>
    <n v="0.28789999999999999"/>
    <n v="0.81"/>
    <n v="0"/>
    <x v="0"/>
    <x v="0"/>
    <x v="0"/>
  </r>
  <r>
    <n v="182"/>
    <n v="40551"/>
    <x v="0"/>
    <x v="0"/>
    <x v="20"/>
    <x v="0"/>
    <x v="0"/>
    <x v="0"/>
    <x v="16"/>
    <n v="0"/>
    <n v="0.28789999999999999"/>
    <n v="0.81"/>
    <n v="0"/>
    <x v="0"/>
    <x v="0"/>
    <x v="0"/>
  </r>
  <r>
    <n v="183"/>
    <n v="40551"/>
    <x v="0"/>
    <x v="0"/>
    <x v="21"/>
    <x v="0"/>
    <x v="0"/>
    <x v="0"/>
    <x v="16"/>
    <n v="0"/>
    <n v="0.28789999999999999"/>
    <n v="0.81"/>
    <n v="0"/>
    <x v="0"/>
    <x v="0"/>
    <x v="0"/>
  </r>
  <r>
    <n v="184"/>
    <n v="40551"/>
    <x v="0"/>
    <x v="0"/>
    <x v="22"/>
    <x v="0"/>
    <x v="0"/>
    <x v="0"/>
    <x v="16"/>
    <n v="0"/>
    <n v="0.28789999999999999"/>
    <n v="0.81"/>
    <n v="0"/>
    <x v="0"/>
    <x v="0"/>
    <x v="0"/>
  </r>
  <r>
    <n v="185"/>
    <n v="40551"/>
    <x v="0"/>
    <x v="0"/>
    <x v="23"/>
    <x v="0"/>
    <x v="0"/>
    <x v="0"/>
    <x v="18"/>
    <n v="0"/>
    <n v="0.28789999999999999"/>
    <n v="0.81"/>
    <n v="0"/>
    <x v="0"/>
    <x v="0"/>
    <x v="0"/>
  </r>
  <r>
    <n v="186"/>
    <n v="40552"/>
    <x v="0"/>
    <x v="0"/>
    <x v="0"/>
    <x v="0"/>
    <x v="1"/>
    <x v="0"/>
    <x v="18"/>
    <n v="0"/>
    <n v="0.28789999999999999"/>
    <n v="0.81"/>
    <n v="0"/>
    <x v="0"/>
    <x v="0"/>
    <x v="0"/>
  </r>
  <r>
    <n v="187"/>
    <n v="40552"/>
    <x v="0"/>
    <x v="0"/>
    <x v="1"/>
    <x v="0"/>
    <x v="1"/>
    <x v="0"/>
    <x v="18"/>
    <n v="0"/>
    <n v="0.28789999999999999"/>
    <n v="0.81"/>
    <n v="0"/>
    <x v="0"/>
    <x v="0"/>
    <x v="0"/>
  </r>
  <r>
    <n v="188"/>
    <n v="40552"/>
    <x v="0"/>
    <x v="0"/>
    <x v="2"/>
    <x v="0"/>
    <x v="1"/>
    <x v="0"/>
    <x v="18"/>
    <n v="0"/>
    <n v="0.28789999999999999"/>
    <n v="0.81"/>
    <n v="0"/>
    <x v="0"/>
    <x v="0"/>
    <x v="0"/>
  </r>
  <r>
    <n v="189"/>
    <n v="40552"/>
    <x v="0"/>
    <x v="0"/>
    <x v="3"/>
    <x v="0"/>
    <x v="1"/>
    <x v="0"/>
    <x v="18"/>
    <n v="0"/>
    <n v="0.28789999999999999"/>
    <n v="0.81"/>
    <n v="0"/>
    <x v="0"/>
    <x v="0"/>
    <x v="0"/>
  </r>
  <r>
    <n v="190"/>
    <n v="40552"/>
    <x v="0"/>
    <x v="0"/>
    <x v="4"/>
    <x v="0"/>
    <x v="1"/>
    <x v="0"/>
    <x v="19"/>
    <n v="0"/>
    <n v="0.28789999999999999"/>
    <n v="0.81"/>
    <n v="0"/>
    <x v="0"/>
    <x v="0"/>
    <x v="0"/>
  </r>
  <r>
    <n v="191"/>
    <n v="40552"/>
    <x v="0"/>
    <x v="0"/>
    <x v="5"/>
    <x v="0"/>
    <x v="1"/>
    <x v="0"/>
    <x v="19"/>
    <n v="0"/>
    <n v="0.28789999999999999"/>
    <n v="0.81"/>
    <n v="0"/>
    <x v="0"/>
    <x v="0"/>
    <x v="0"/>
  </r>
  <r>
    <n v="192"/>
    <n v="40552"/>
    <x v="0"/>
    <x v="0"/>
    <x v="6"/>
    <x v="0"/>
    <x v="1"/>
    <x v="0"/>
    <x v="18"/>
    <n v="0"/>
    <n v="0.28789999999999999"/>
    <n v="0.81"/>
    <n v="0"/>
    <x v="0"/>
    <x v="0"/>
    <x v="0"/>
  </r>
  <r>
    <n v="193"/>
    <n v="40552"/>
    <x v="0"/>
    <x v="0"/>
    <x v="7"/>
    <x v="0"/>
    <x v="1"/>
    <x v="0"/>
    <x v="19"/>
    <n v="0"/>
    <n v="0.28789999999999999"/>
    <n v="0.81"/>
    <n v="0"/>
    <x v="0"/>
    <x v="0"/>
    <x v="0"/>
  </r>
  <r>
    <n v="194"/>
    <n v="40552"/>
    <x v="0"/>
    <x v="0"/>
    <x v="8"/>
    <x v="0"/>
    <x v="1"/>
    <x v="0"/>
    <x v="18"/>
    <n v="0"/>
    <n v="0.28789999999999999"/>
    <n v="0.81"/>
    <n v="0"/>
    <x v="0"/>
    <x v="0"/>
    <x v="0"/>
  </r>
  <r>
    <n v="195"/>
    <n v="40552"/>
    <x v="0"/>
    <x v="0"/>
    <x v="9"/>
    <x v="0"/>
    <x v="1"/>
    <x v="0"/>
    <x v="16"/>
    <n v="0"/>
    <n v="0.28789999999999999"/>
    <n v="0.81"/>
    <n v="0"/>
    <x v="0"/>
    <x v="0"/>
    <x v="0"/>
  </r>
  <r>
    <n v="196"/>
    <n v="40552"/>
    <x v="0"/>
    <x v="0"/>
    <x v="10"/>
    <x v="0"/>
    <x v="1"/>
    <x v="0"/>
    <x v="14"/>
    <n v="0"/>
    <n v="0.28789999999999999"/>
    <n v="0.81"/>
    <n v="0"/>
    <x v="0"/>
    <x v="0"/>
    <x v="0"/>
  </r>
  <r>
    <n v="197"/>
    <n v="40552"/>
    <x v="0"/>
    <x v="0"/>
    <x v="11"/>
    <x v="0"/>
    <x v="1"/>
    <x v="0"/>
    <x v="13"/>
    <n v="0"/>
    <n v="0.28789999999999999"/>
    <n v="0.81"/>
    <n v="0"/>
    <x v="0"/>
    <x v="0"/>
    <x v="0"/>
  </r>
  <r>
    <n v="198"/>
    <n v="40552"/>
    <x v="0"/>
    <x v="0"/>
    <x v="12"/>
    <x v="0"/>
    <x v="1"/>
    <x v="0"/>
    <x v="15"/>
    <n v="0"/>
    <n v="0.28789999999999999"/>
    <n v="0.81"/>
    <n v="0"/>
    <x v="0"/>
    <x v="0"/>
    <x v="0"/>
  </r>
  <r>
    <n v="199"/>
    <n v="40552"/>
    <x v="0"/>
    <x v="0"/>
    <x v="13"/>
    <x v="0"/>
    <x v="1"/>
    <x v="0"/>
    <x v="2"/>
    <n v="0"/>
    <n v="0.28789999999999999"/>
    <n v="0.81"/>
    <n v="0"/>
    <x v="0"/>
    <x v="0"/>
    <x v="0"/>
  </r>
  <r>
    <n v="200"/>
    <n v="40552"/>
    <x v="0"/>
    <x v="0"/>
    <x v="14"/>
    <x v="0"/>
    <x v="1"/>
    <x v="0"/>
    <x v="1"/>
    <n v="0"/>
    <n v="0.28789999999999999"/>
    <n v="0.81"/>
    <n v="0"/>
    <x v="0"/>
    <x v="0"/>
    <x v="0"/>
  </r>
  <r>
    <n v="201"/>
    <n v="40552"/>
    <x v="0"/>
    <x v="0"/>
    <x v="15"/>
    <x v="0"/>
    <x v="1"/>
    <x v="0"/>
    <x v="1"/>
    <n v="0"/>
    <n v="0.28789999999999999"/>
    <n v="0.81"/>
    <n v="0"/>
    <x v="0"/>
    <x v="0"/>
    <x v="0"/>
  </r>
  <r>
    <n v="202"/>
    <n v="40552"/>
    <x v="0"/>
    <x v="0"/>
    <x v="16"/>
    <x v="0"/>
    <x v="1"/>
    <x v="0"/>
    <x v="2"/>
    <n v="0"/>
    <n v="0.28789999999999999"/>
    <n v="0.81"/>
    <n v="0"/>
    <x v="0"/>
    <x v="0"/>
    <x v="0"/>
  </r>
  <r>
    <n v="203"/>
    <n v="40552"/>
    <x v="0"/>
    <x v="0"/>
    <x v="17"/>
    <x v="0"/>
    <x v="1"/>
    <x v="0"/>
    <x v="15"/>
    <n v="0"/>
    <n v="0.28789999999999999"/>
    <n v="0.81"/>
    <n v="0"/>
    <x v="0"/>
    <x v="0"/>
    <x v="0"/>
  </r>
  <r>
    <n v="204"/>
    <n v="40552"/>
    <x v="0"/>
    <x v="0"/>
    <x v="18"/>
    <x v="0"/>
    <x v="1"/>
    <x v="0"/>
    <x v="13"/>
    <n v="0"/>
    <n v="0.28789999999999999"/>
    <n v="0.81"/>
    <n v="0"/>
    <x v="0"/>
    <x v="0"/>
    <x v="0"/>
  </r>
  <r>
    <n v="205"/>
    <n v="40552"/>
    <x v="0"/>
    <x v="0"/>
    <x v="19"/>
    <x v="0"/>
    <x v="1"/>
    <x v="0"/>
    <x v="13"/>
    <n v="0"/>
    <n v="0.28789999999999999"/>
    <n v="0.81"/>
    <n v="0"/>
    <x v="0"/>
    <x v="0"/>
    <x v="0"/>
  </r>
  <r>
    <n v="206"/>
    <n v="40552"/>
    <x v="0"/>
    <x v="0"/>
    <x v="20"/>
    <x v="0"/>
    <x v="1"/>
    <x v="0"/>
    <x v="14"/>
    <n v="0"/>
    <n v="0.28789999999999999"/>
    <n v="0.81"/>
    <n v="0"/>
    <x v="0"/>
    <x v="0"/>
    <x v="0"/>
  </r>
  <r>
    <n v="207"/>
    <n v="40552"/>
    <x v="0"/>
    <x v="0"/>
    <x v="21"/>
    <x v="0"/>
    <x v="1"/>
    <x v="0"/>
    <x v="14"/>
    <n v="0"/>
    <n v="0.28789999999999999"/>
    <n v="0.81"/>
    <n v="0"/>
    <x v="0"/>
    <x v="0"/>
    <x v="0"/>
  </r>
  <r>
    <n v="208"/>
    <n v="40552"/>
    <x v="0"/>
    <x v="0"/>
    <x v="22"/>
    <x v="0"/>
    <x v="1"/>
    <x v="0"/>
    <x v="14"/>
    <n v="0"/>
    <n v="0.28789999999999999"/>
    <n v="0.81"/>
    <n v="0"/>
    <x v="0"/>
    <x v="0"/>
    <x v="0"/>
  </r>
  <r>
    <n v="209"/>
    <n v="40552"/>
    <x v="0"/>
    <x v="0"/>
    <x v="23"/>
    <x v="0"/>
    <x v="1"/>
    <x v="0"/>
    <x v="16"/>
    <n v="0"/>
    <n v="0.28789999999999999"/>
    <n v="0.81"/>
    <n v="0"/>
    <x v="0"/>
    <x v="0"/>
    <x v="0"/>
  </r>
  <r>
    <n v="210"/>
    <n v="40553"/>
    <x v="0"/>
    <x v="0"/>
    <x v="0"/>
    <x v="0"/>
    <x v="2"/>
    <x v="0"/>
    <x v="16"/>
    <n v="0"/>
    <n v="0.28789999999999999"/>
    <n v="0.81"/>
    <n v="0"/>
    <x v="0"/>
    <x v="0"/>
    <x v="0"/>
  </r>
  <r>
    <n v="211"/>
    <n v="40553"/>
    <x v="0"/>
    <x v="0"/>
    <x v="1"/>
    <x v="0"/>
    <x v="2"/>
    <x v="0"/>
    <x v="16"/>
    <n v="0"/>
    <n v="0.28789999999999999"/>
    <n v="0.81"/>
    <n v="0"/>
    <x v="0"/>
    <x v="0"/>
    <x v="0"/>
  </r>
  <r>
    <n v="212"/>
    <n v="40553"/>
    <x v="0"/>
    <x v="0"/>
    <x v="2"/>
    <x v="0"/>
    <x v="2"/>
    <x v="0"/>
    <x v="16"/>
    <n v="0"/>
    <n v="0.28789999999999999"/>
    <n v="0.81"/>
    <n v="0"/>
    <x v="0"/>
    <x v="0"/>
    <x v="0"/>
  </r>
  <r>
    <n v="213"/>
    <n v="40553"/>
    <x v="0"/>
    <x v="0"/>
    <x v="3"/>
    <x v="0"/>
    <x v="2"/>
    <x v="0"/>
    <x v="16"/>
    <n v="0"/>
    <n v="0.28789999999999999"/>
    <n v="0.81"/>
    <n v="0"/>
    <x v="0"/>
    <x v="0"/>
    <x v="0"/>
  </r>
  <r>
    <n v="214"/>
    <n v="40553"/>
    <x v="0"/>
    <x v="0"/>
    <x v="4"/>
    <x v="0"/>
    <x v="2"/>
    <x v="0"/>
    <x v="18"/>
    <n v="0"/>
    <n v="0.28789999999999999"/>
    <n v="0.81"/>
    <n v="0"/>
    <x v="0"/>
    <x v="0"/>
    <x v="0"/>
  </r>
  <r>
    <n v="215"/>
    <n v="40553"/>
    <x v="0"/>
    <x v="0"/>
    <x v="5"/>
    <x v="0"/>
    <x v="2"/>
    <x v="0"/>
    <x v="18"/>
    <n v="0"/>
    <n v="0.28789999999999999"/>
    <n v="0.81"/>
    <n v="0"/>
    <x v="0"/>
    <x v="0"/>
    <x v="0"/>
  </r>
  <r>
    <n v="216"/>
    <n v="40553"/>
    <x v="0"/>
    <x v="0"/>
    <x v="6"/>
    <x v="0"/>
    <x v="2"/>
    <x v="0"/>
    <x v="16"/>
    <n v="0"/>
    <n v="0.28789999999999999"/>
    <n v="0.81"/>
    <n v="0"/>
    <x v="0"/>
    <x v="0"/>
    <x v="0"/>
  </r>
  <r>
    <n v="217"/>
    <n v="40553"/>
    <x v="0"/>
    <x v="0"/>
    <x v="7"/>
    <x v="0"/>
    <x v="2"/>
    <x v="0"/>
    <x v="16"/>
    <n v="0"/>
    <n v="0.28789999999999999"/>
    <n v="0.81"/>
    <n v="0"/>
    <x v="0"/>
    <x v="0"/>
    <x v="0"/>
  </r>
  <r>
    <n v="218"/>
    <n v="40553"/>
    <x v="0"/>
    <x v="0"/>
    <x v="8"/>
    <x v="0"/>
    <x v="2"/>
    <x v="1"/>
    <x v="16"/>
    <n v="0"/>
    <n v="0.28789999999999999"/>
    <n v="0.81"/>
    <n v="0"/>
    <x v="0"/>
    <x v="0"/>
    <x v="0"/>
  </r>
  <r>
    <n v="219"/>
    <n v="40553"/>
    <x v="0"/>
    <x v="0"/>
    <x v="9"/>
    <x v="0"/>
    <x v="2"/>
    <x v="1"/>
    <x v="14"/>
    <n v="0"/>
    <n v="0.28789999999999999"/>
    <n v="0.81"/>
    <n v="0"/>
    <x v="0"/>
    <x v="0"/>
    <x v="0"/>
  </r>
  <r>
    <n v="220"/>
    <n v="40553"/>
    <x v="0"/>
    <x v="0"/>
    <x v="10"/>
    <x v="0"/>
    <x v="2"/>
    <x v="1"/>
    <x v="14"/>
    <n v="0"/>
    <n v="0.28789999999999999"/>
    <n v="0.81"/>
    <n v="0"/>
    <x v="0"/>
    <x v="0"/>
    <x v="0"/>
  </r>
  <r>
    <n v="221"/>
    <n v="40553"/>
    <x v="0"/>
    <x v="0"/>
    <x v="11"/>
    <x v="0"/>
    <x v="2"/>
    <x v="1"/>
    <x v="13"/>
    <n v="0"/>
    <n v="0.28789999999999999"/>
    <n v="0.81"/>
    <n v="0"/>
    <x v="0"/>
    <x v="0"/>
    <x v="0"/>
  </r>
  <r>
    <n v="222"/>
    <n v="40553"/>
    <x v="0"/>
    <x v="0"/>
    <x v="12"/>
    <x v="0"/>
    <x v="2"/>
    <x v="1"/>
    <x v="2"/>
    <n v="0"/>
    <n v="0.28789999999999999"/>
    <n v="0.81"/>
    <n v="0"/>
    <x v="0"/>
    <x v="0"/>
    <x v="0"/>
  </r>
  <r>
    <n v="223"/>
    <n v="40553"/>
    <x v="0"/>
    <x v="0"/>
    <x v="13"/>
    <x v="0"/>
    <x v="2"/>
    <x v="1"/>
    <x v="2"/>
    <n v="0"/>
    <n v="0.28789999999999999"/>
    <n v="0.81"/>
    <n v="0"/>
    <x v="0"/>
    <x v="0"/>
    <x v="0"/>
  </r>
  <r>
    <n v="224"/>
    <n v="40553"/>
    <x v="0"/>
    <x v="0"/>
    <x v="14"/>
    <x v="0"/>
    <x v="2"/>
    <x v="1"/>
    <x v="2"/>
    <n v="0"/>
    <n v="0.28789999999999999"/>
    <n v="0.81"/>
    <n v="0"/>
    <x v="0"/>
    <x v="0"/>
    <x v="0"/>
  </r>
  <r>
    <n v="225"/>
    <n v="40553"/>
    <x v="0"/>
    <x v="0"/>
    <x v="15"/>
    <x v="0"/>
    <x v="2"/>
    <x v="1"/>
    <x v="2"/>
    <n v="0"/>
    <n v="0.28789999999999999"/>
    <n v="0.81"/>
    <n v="0"/>
    <x v="0"/>
    <x v="0"/>
    <x v="0"/>
  </r>
  <r>
    <n v="226"/>
    <n v="40553"/>
    <x v="0"/>
    <x v="0"/>
    <x v="16"/>
    <x v="0"/>
    <x v="2"/>
    <x v="0"/>
    <x v="2"/>
    <n v="0"/>
    <n v="0.28789999999999999"/>
    <n v="0.81"/>
    <n v="0"/>
    <x v="0"/>
    <x v="0"/>
    <x v="0"/>
  </r>
  <r>
    <n v="227"/>
    <n v="40553"/>
    <x v="0"/>
    <x v="0"/>
    <x v="17"/>
    <x v="0"/>
    <x v="2"/>
    <x v="0"/>
    <x v="2"/>
    <n v="0"/>
    <n v="0.28789999999999999"/>
    <n v="0.81"/>
    <n v="0"/>
    <x v="0"/>
    <x v="0"/>
    <x v="0"/>
  </r>
  <r>
    <n v="228"/>
    <n v="40553"/>
    <x v="0"/>
    <x v="0"/>
    <x v="18"/>
    <x v="0"/>
    <x v="2"/>
    <x v="0"/>
    <x v="2"/>
    <n v="0"/>
    <n v="0.28789999999999999"/>
    <n v="0.81"/>
    <n v="0"/>
    <x v="0"/>
    <x v="0"/>
    <x v="0"/>
  </r>
  <r>
    <n v="229"/>
    <n v="40553"/>
    <x v="0"/>
    <x v="0"/>
    <x v="19"/>
    <x v="0"/>
    <x v="2"/>
    <x v="0"/>
    <x v="13"/>
    <n v="0"/>
    <n v="0.28789999999999999"/>
    <n v="0.81"/>
    <n v="0"/>
    <x v="0"/>
    <x v="0"/>
    <x v="0"/>
  </r>
  <r>
    <n v="230"/>
    <n v="40553"/>
    <x v="0"/>
    <x v="0"/>
    <x v="20"/>
    <x v="0"/>
    <x v="2"/>
    <x v="0"/>
    <x v="13"/>
    <n v="0"/>
    <n v="0.28789999999999999"/>
    <n v="0.81"/>
    <n v="0"/>
    <x v="0"/>
    <x v="0"/>
    <x v="0"/>
  </r>
  <r>
    <n v="231"/>
    <n v="40553"/>
    <x v="0"/>
    <x v="0"/>
    <x v="21"/>
    <x v="0"/>
    <x v="2"/>
    <x v="0"/>
    <x v="14"/>
    <n v="0"/>
    <n v="0.28789999999999999"/>
    <n v="0.81"/>
    <n v="0"/>
    <x v="0"/>
    <x v="0"/>
    <x v="0"/>
  </r>
  <r>
    <n v="232"/>
    <n v="40553"/>
    <x v="0"/>
    <x v="0"/>
    <x v="22"/>
    <x v="0"/>
    <x v="2"/>
    <x v="0"/>
    <x v="14"/>
    <n v="0"/>
    <n v="0.28789999999999999"/>
    <n v="0.81"/>
    <n v="0"/>
    <x v="0"/>
    <x v="0"/>
    <x v="0"/>
  </r>
  <r>
    <n v="233"/>
    <n v="40553"/>
    <x v="0"/>
    <x v="0"/>
    <x v="23"/>
    <x v="0"/>
    <x v="2"/>
    <x v="0"/>
    <x v="14"/>
    <n v="0"/>
    <n v="0.28789999999999999"/>
    <n v="0.81"/>
    <n v="0"/>
    <x v="0"/>
    <x v="0"/>
    <x v="0"/>
  </r>
  <r>
    <n v="234"/>
    <n v="40554"/>
    <x v="0"/>
    <x v="0"/>
    <x v="0"/>
    <x v="0"/>
    <x v="3"/>
    <x v="0"/>
    <x v="14"/>
    <n v="0"/>
    <n v="0.28789999999999999"/>
    <n v="0.81"/>
    <n v="0"/>
    <x v="0"/>
    <x v="0"/>
    <x v="0"/>
  </r>
  <r>
    <n v="235"/>
    <n v="40554"/>
    <x v="0"/>
    <x v="0"/>
    <x v="1"/>
    <x v="0"/>
    <x v="3"/>
    <x v="0"/>
    <x v="14"/>
    <n v="0"/>
    <n v="0.28789999999999999"/>
    <n v="0.81"/>
    <n v="0"/>
    <x v="0"/>
    <x v="0"/>
    <x v="0"/>
  </r>
  <r>
    <n v="236"/>
    <n v="40554"/>
    <x v="0"/>
    <x v="0"/>
    <x v="2"/>
    <x v="0"/>
    <x v="3"/>
    <x v="1"/>
    <x v="13"/>
    <n v="0"/>
    <n v="0.28789999999999999"/>
    <n v="0.81"/>
    <n v="0"/>
    <x v="0"/>
    <x v="0"/>
    <x v="0"/>
  </r>
  <r>
    <n v="237"/>
    <n v="40554"/>
    <x v="0"/>
    <x v="0"/>
    <x v="5"/>
    <x v="0"/>
    <x v="3"/>
    <x v="1"/>
    <x v="13"/>
    <n v="0"/>
    <n v="0.28789999999999999"/>
    <n v="0.81"/>
    <n v="0"/>
    <x v="0"/>
    <x v="0"/>
    <x v="0"/>
  </r>
  <r>
    <n v="238"/>
    <n v="40554"/>
    <x v="0"/>
    <x v="0"/>
    <x v="6"/>
    <x v="0"/>
    <x v="3"/>
    <x v="1"/>
    <x v="13"/>
    <n v="0"/>
    <n v="0.28789999999999999"/>
    <n v="0.81"/>
    <n v="0"/>
    <x v="0"/>
    <x v="0"/>
    <x v="0"/>
  </r>
  <r>
    <n v="239"/>
    <n v="40554"/>
    <x v="0"/>
    <x v="0"/>
    <x v="7"/>
    <x v="0"/>
    <x v="3"/>
    <x v="1"/>
    <x v="13"/>
    <n v="0"/>
    <n v="0.28789999999999999"/>
    <n v="0.81"/>
    <n v="0"/>
    <x v="0"/>
    <x v="0"/>
    <x v="0"/>
  </r>
  <r>
    <n v="240"/>
    <n v="40554"/>
    <x v="0"/>
    <x v="0"/>
    <x v="8"/>
    <x v="0"/>
    <x v="3"/>
    <x v="1"/>
    <x v="15"/>
    <n v="0"/>
    <n v="0.28789999999999999"/>
    <n v="0.81"/>
    <n v="0"/>
    <x v="0"/>
    <x v="0"/>
    <x v="0"/>
  </r>
  <r>
    <n v="241"/>
    <n v="40554"/>
    <x v="0"/>
    <x v="0"/>
    <x v="9"/>
    <x v="0"/>
    <x v="3"/>
    <x v="1"/>
    <x v="15"/>
    <n v="0"/>
    <n v="0.28789999999999999"/>
    <n v="0.81"/>
    <n v="0"/>
    <x v="0"/>
    <x v="0"/>
    <x v="0"/>
  </r>
  <r>
    <n v="242"/>
    <n v="40554"/>
    <x v="0"/>
    <x v="0"/>
    <x v="10"/>
    <x v="0"/>
    <x v="3"/>
    <x v="1"/>
    <x v="2"/>
    <n v="0"/>
    <n v="0.28789999999999999"/>
    <n v="0.81"/>
    <n v="0"/>
    <x v="0"/>
    <x v="0"/>
    <x v="0"/>
  </r>
  <r>
    <n v="243"/>
    <n v="40554"/>
    <x v="0"/>
    <x v="0"/>
    <x v="11"/>
    <x v="0"/>
    <x v="3"/>
    <x v="1"/>
    <x v="2"/>
    <n v="0"/>
    <n v="0.28789999999999999"/>
    <n v="0.81"/>
    <n v="0"/>
    <x v="0"/>
    <x v="0"/>
    <x v="0"/>
  </r>
  <r>
    <n v="244"/>
    <n v="40554"/>
    <x v="0"/>
    <x v="0"/>
    <x v="12"/>
    <x v="0"/>
    <x v="3"/>
    <x v="1"/>
    <x v="2"/>
    <n v="0"/>
    <n v="0.28789999999999999"/>
    <n v="0.81"/>
    <n v="0"/>
    <x v="0"/>
    <x v="0"/>
    <x v="0"/>
  </r>
  <r>
    <n v="245"/>
    <n v="40554"/>
    <x v="0"/>
    <x v="0"/>
    <x v="13"/>
    <x v="0"/>
    <x v="3"/>
    <x v="1"/>
    <x v="2"/>
    <n v="0"/>
    <n v="0.28789999999999999"/>
    <n v="0.81"/>
    <n v="0"/>
    <x v="0"/>
    <x v="0"/>
    <x v="0"/>
  </r>
  <r>
    <n v="246"/>
    <n v="40554"/>
    <x v="0"/>
    <x v="0"/>
    <x v="14"/>
    <x v="0"/>
    <x v="3"/>
    <x v="1"/>
    <x v="2"/>
    <n v="0"/>
    <n v="0.28789999999999999"/>
    <n v="0.81"/>
    <n v="0"/>
    <x v="0"/>
    <x v="0"/>
    <x v="0"/>
  </r>
  <r>
    <n v="247"/>
    <n v="40554"/>
    <x v="0"/>
    <x v="0"/>
    <x v="15"/>
    <x v="0"/>
    <x v="3"/>
    <x v="1"/>
    <x v="13"/>
    <n v="0"/>
    <n v="0.28789999999999999"/>
    <n v="0.81"/>
    <n v="0"/>
    <x v="0"/>
    <x v="0"/>
    <x v="0"/>
  </r>
  <r>
    <n v="248"/>
    <n v="40554"/>
    <x v="0"/>
    <x v="0"/>
    <x v="16"/>
    <x v="0"/>
    <x v="3"/>
    <x v="1"/>
    <x v="13"/>
    <n v="0"/>
    <n v="0.28789999999999999"/>
    <n v="0.81"/>
    <n v="0"/>
    <x v="0"/>
    <x v="0"/>
    <x v="0"/>
  </r>
  <r>
    <n v="249"/>
    <n v="40554"/>
    <x v="0"/>
    <x v="0"/>
    <x v="17"/>
    <x v="0"/>
    <x v="3"/>
    <x v="1"/>
    <x v="13"/>
    <n v="0"/>
    <n v="0.28789999999999999"/>
    <n v="0.81"/>
    <n v="0"/>
    <x v="0"/>
    <x v="0"/>
    <x v="0"/>
  </r>
  <r>
    <n v="250"/>
    <n v="40554"/>
    <x v="0"/>
    <x v="0"/>
    <x v="18"/>
    <x v="0"/>
    <x v="3"/>
    <x v="2"/>
    <x v="13"/>
    <n v="0"/>
    <n v="0.28789999999999999"/>
    <n v="0.81"/>
    <n v="0"/>
    <x v="0"/>
    <x v="0"/>
    <x v="0"/>
  </r>
  <r>
    <n v="251"/>
    <n v="40554"/>
    <x v="0"/>
    <x v="0"/>
    <x v="19"/>
    <x v="0"/>
    <x v="3"/>
    <x v="2"/>
    <x v="13"/>
    <n v="0"/>
    <n v="0.28789999999999999"/>
    <n v="0.81"/>
    <n v="0"/>
    <x v="0"/>
    <x v="0"/>
    <x v="0"/>
  </r>
  <r>
    <n v="252"/>
    <n v="40554"/>
    <x v="0"/>
    <x v="0"/>
    <x v="20"/>
    <x v="0"/>
    <x v="3"/>
    <x v="2"/>
    <x v="13"/>
    <n v="0"/>
    <n v="0.28789999999999999"/>
    <n v="0.81"/>
    <n v="0"/>
    <x v="0"/>
    <x v="0"/>
    <x v="0"/>
  </r>
  <r>
    <n v="253"/>
    <n v="40554"/>
    <x v="0"/>
    <x v="0"/>
    <x v="21"/>
    <x v="0"/>
    <x v="3"/>
    <x v="2"/>
    <x v="13"/>
    <n v="0"/>
    <n v="0.28789999999999999"/>
    <n v="0.81"/>
    <n v="0"/>
    <x v="0"/>
    <x v="0"/>
    <x v="0"/>
  </r>
  <r>
    <n v="254"/>
    <n v="40554"/>
    <x v="0"/>
    <x v="0"/>
    <x v="22"/>
    <x v="0"/>
    <x v="3"/>
    <x v="2"/>
    <x v="13"/>
    <n v="0"/>
    <n v="0.28789999999999999"/>
    <n v="0.81"/>
    <n v="0"/>
    <x v="0"/>
    <x v="0"/>
    <x v="0"/>
  </r>
  <r>
    <n v="255"/>
    <n v="40554"/>
    <x v="0"/>
    <x v="0"/>
    <x v="23"/>
    <x v="0"/>
    <x v="3"/>
    <x v="2"/>
    <x v="13"/>
    <n v="0"/>
    <n v="0.28789999999999999"/>
    <n v="0.81"/>
    <n v="0"/>
    <x v="0"/>
    <x v="0"/>
    <x v="0"/>
  </r>
  <r>
    <n v="256"/>
    <n v="40555"/>
    <x v="0"/>
    <x v="0"/>
    <x v="0"/>
    <x v="0"/>
    <x v="4"/>
    <x v="1"/>
    <x v="13"/>
    <n v="0"/>
    <n v="0.28789999999999999"/>
    <n v="0.81"/>
    <n v="0"/>
    <x v="0"/>
    <x v="0"/>
    <x v="0"/>
  </r>
  <r>
    <n v="257"/>
    <n v="40555"/>
    <x v="0"/>
    <x v="0"/>
    <x v="1"/>
    <x v="0"/>
    <x v="4"/>
    <x v="1"/>
    <x v="13"/>
    <n v="0"/>
    <n v="0.28789999999999999"/>
    <n v="0.81"/>
    <n v="0"/>
    <x v="0"/>
    <x v="0"/>
    <x v="0"/>
  </r>
  <r>
    <n v="258"/>
    <n v="40555"/>
    <x v="0"/>
    <x v="0"/>
    <x v="2"/>
    <x v="0"/>
    <x v="4"/>
    <x v="0"/>
    <x v="14"/>
    <n v="0"/>
    <n v="0.28789999999999999"/>
    <n v="0.81"/>
    <n v="0"/>
    <x v="0"/>
    <x v="0"/>
    <x v="0"/>
  </r>
  <r>
    <n v="259"/>
    <n v="40555"/>
    <x v="0"/>
    <x v="0"/>
    <x v="5"/>
    <x v="0"/>
    <x v="4"/>
    <x v="0"/>
    <x v="14"/>
    <n v="0"/>
    <n v="0.28789999999999999"/>
    <n v="0.81"/>
    <n v="0"/>
    <x v="0"/>
    <x v="0"/>
    <x v="0"/>
  </r>
  <r>
    <n v="260"/>
    <n v="40555"/>
    <x v="0"/>
    <x v="0"/>
    <x v="6"/>
    <x v="0"/>
    <x v="4"/>
    <x v="0"/>
    <x v="16"/>
    <n v="0"/>
    <n v="0.28789999999999999"/>
    <n v="0.81"/>
    <n v="0"/>
    <x v="0"/>
    <x v="0"/>
    <x v="0"/>
  </r>
  <r>
    <n v="261"/>
    <n v="40555"/>
    <x v="0"/>
    <x v="0"/>
    <x v="7"/>
    <x v="0"/>
    <x v="4"/>
    <x v="0"/>
    <x v="14"/>
    <n v="0"/>
    <n v="0.28789999999999999"/>
    <n v="0.81"/>
    <n v="0"/>
    <x v="0"/>
    <x v="0"/>
    <x v="0"/>
  </r>
  <r>
    <n v="262"/>
    <n v="40555"/>
    <x v="0"/>
    <x v="0"/>
    <x v="8"/>
    <x v="0"/>
    <x v="4"/>
    <x v="0"/>
    <x v="13"/>
    <n v="0"/>
    <n v="0.28789999999999999"/>
    <n v="0.81"/>
    <n v="0"/>
    <x v="0"/>
    <x v="0"/>
    <x v="0"/>
  </r>
  <r>
    <n v="263"/>
    <n v="40555"/>
    <x v="0"/>
    <x v="0"/>
    <x v="9"/>
    <x v="0"/>
    <x v="4"/>
    <x v="0"/>
    <x v="13"/>
    <n v="0"/>
    <n v="0.28789999999999999"/>
    <n v="0.81"/>
    <n v="0"/>
    <x v="0"/>
    <x v="0"/>
    <x v="0"/>
  </r>
  <r>
    <n v="264"/>
    <n v="40555"/>
    <x v="0"/>
    <x v="0"/>
    <x v="10"/>
    <x v="0"/>
    <x v="4"/>
    <x v="0"/>
    <x v="15"/>
    <n v="0"/>
    <n v="0.28789999999999999"/>
    <n v="0.81"/>
    <n v="0"/>
    <x v="0"/>
    <x v="0"/>
    <x v="0"/>
  </r>
  <r>
    <n v="265"/>
    <n v="40555"/>
    <x v="0"/>
    <x v="0"/>
    <x v="11"/>
    <x v="0"/>
    <x v="4"/>
    <x v="0"/>
    <x v="2"/>
    <n v="0"/>
    <n v="0.28789999999999999"/>
    <n v="0.81"/>
    <n v="0"/>
    <x v="0"/>
    <x v="0"/>
    <x v="0"/>
  </r>
  <r>
    <n v="266"/>
    <n v="40555"/>
    <x v="0"/>
    <x v="0"/>
    <x v="12"/>
    <x v="0"/>
    <x v="4"/>
    <x v="0"/>
    <x v="2"/>
    <n v="0"/>
    <n v="0.28789999999999999"/>
    <n v="0.81"/>
    <n v="0"/>
    <x v="0"/>
    <x v="0"/>
    <x v="0"/>
  </r>
  <r>
    <n v="267"/>
    <n v="40555"/>
    <x v="0"/>
    <x v="0"/>
    <x v="13"/>
    <x v="0"/>
    <x v="4"/>
    <x v="0"/>
    <x v="1"/>
    <n v="0"/>
    <n v="0.28789999999999999"/>
    <n v="0.81"/>
    <n v="0"/>
    <x v="0"/>
    <x v="0"/>
    <x v="0"/>
  </r>
  <r>
    <n v="268"/>
    <n v="40555"/>
    <x v="0"/>
    <x v="0"/>
    <x v="14"/>
    <x v="0"/>
    <x v="4"/>
    <x v="0"/>
    <x v="2"/>
    <n v="0"/>
    <n v="0.28789999999999999"/>
    <n v="0.81"/>
    <n v="0"/>
    <x v="0"/>
    <x v="0"/>
    <x v="0"/>
  </r>
  <r>
    <n v="269"/>
    <n v="40555"/>
    <x v="0"/>
    <x v="0"/>
    <x v="15"/>
    <x v="0"/>
    <x v="4"/>
    <x v="0"/>
    <x v="2"/>
    <n v="0"/>
    <n v="0.28789999999999999"/>
    <n v="0.81"/>
    <n v="0"/>
    <x v="0"/>
    <x v="0"/>
    <x v="0"/>
  </r>
  <r>
    <n v="270"/>
    <n v="40555"/>
    <x v="0"/>
    <x v="0"/>
    <x v="16"/>
    <x v="0"/>
    <x v="4"/>
    <x v="0"/>
    <x v="1"/>
    <n v="0"/>
    <n v="0.28789999999999999"/>
    <n v="0.81"/>
    <n v="0"/>
    <x v="0"/>
    <x v="0"/>
    <x v="0"/>
  </r>
  <r>
    <n v="271"/>
    <n v="40555"/>
    <x v="0"/>
    <x v="0"/>
    <x v="17"/>
    <x v="0"/>
    <x v="4"/>
    <x v="0"/>
    <x v="2"/>
    <n v="0"/>
    <n v="0.28789999999999999"/>
    <n v="0.81"/>
    <n v="0"/>
    <x v="0"/>
    <x v="0"/>
    <x v="0"/>
  </r>
  <r>
    <n v="272"/>
    <n v="40555"/>
    <x v="0"/>
    <x v="0"/>
    <x v="18"/>
    <x v="0"/>
    <x v="4"/>
    <x v="0"/>
    <x v="2"/>
    <n v="0"/>
    <n v="0.28789999999999999"/>
    <n v="0.81"/>
    <n v="0"/>
    <x v="0"/>
    <x v="0"/>
    <x v="0"/>
  </r>
  <r>
    <n v="273"/>
    <n v="40555"/>
    <x v="0"/>
    <x v="0"/>
    <x v="19"/>
    <x v="0"/>
    <x v="4"/>
    <x v="0"/>
    <x v="15"/>
    <n v="0"/>
    <n v="0.28789999999999999"/>
    <n v="0.81"/>
    <n v="0"/>
    <x v="0"/>
    <x v="0"/>
    <x v="0"/>
  </r>
  <r>
    <n v="274"/>
    <n v="40555"/>
    <x v="0"/>
    <x v="0"/>
    <x v="20"/>
    <x v="0"/>
    <x v="4"/>
    <x v="0"/>
    <x v="13"/>
    <n v="0"/>
    <n v="0.28789999999999999"/>
    <n v="0.81"/>
    <n v="0"/>
    <x v="0"/>
    <x v="0"/>
    <x v="0"/>
  </r>
  <r>
    <n v="275"/>
    <n v="40555"/>
    <x v="0"/>
    <x v="0"/>
    <x v="21"/>
    <x v="0"/>
    <x v="4"/>
    <x v="0"/>
    <x v="13"/>
    <n v="0"/>
    <n v="0.28789999999999999"/>
    <n v="0.81"/>
    <n v="0"/>
    <x v="0"/>
    <x v="0"/>
    <x v="0"/>
  </r>
  <r>
    <n v="276"/>
    <n v="40555"/>
    <x v="0"/>
    <x v="0"/>
    <x v="22"/>
    <x v="0"/>
    <x v="4"/>
    <x v="0"/>
    <x v="13"/>
    <n v="0"/>
    <n v="0.28789999999999999"/>
    <n v="0.81"/>
    <n v="0"/>
    <x v="0"/>
    <x v="0"/>
    <x v="0"/>
  </r>
  <r>
    <n v="277"/>
    <n v="40555"/>
    <x v="0"/>
    <x v="0"/>
    <x v="23"/>
    <x v="0"/>
    <x v="4"/>
    <x v="0"/>
    <x v="14"/>
    <n v="0"/>
    <n v="0.28789999999999999"/>
    <n v="0.81"/>
    <n v="0"/>
    <x v="0"/>
    <x v="0"/>
    <x v="0"/>
  </r>
  <r>
    <n v="278"/>
    <n v="40556"/>
    <x v="0"/>
    <x v="0"/>
    <x v="0"/>
    <x v="0"/>
    <x v="5"/>
    <x v="0"/>
    <x v="14"/>
    <n v="0"/>
    <n v="0.28789999999999999"/>
    <n v="0.81"/>
    <n v="0"/>
    <x v="0"/>
    <x v="0"/>
    <x v="0"/>
  </r>
  <r>
    <n v="279"/>
    <n v="40556"/>
    <x v="0"/>
    <x v="0"/>
    <x v="1"/>
    <x v="0"/>
    <x v="5"/>
    <x v="0"/>
    <x v="14"/>
    <n v="0"/>
    <n v="0.28789999999999999"/>
    <n v="0.81"/>
    <n v="0"/>
    <x v="0"/>
    <x v="0"/>
    <x v="0"/>
  </r>
  <r>
    <n v="280"/>
    <n v="40556"/>
    <x v="0"/>
    <x v="0"/>
    <x v="2"/>
    <x v="0"/>
    <x v="5"/>
    <x v="0"/>
    <x v="14"/>
    <n v="0"/>
    <n v="0.28789999999999999"/>
    <n v="0.81"/>
    <n v="0"/>
    <x v="0"/>
    <x v="0"/>
    <x v="0"/>
  </r>
  <r>
    <n v="281"/>
    <n v="40556"/>
    <x v="0"/>
    <x v="0"/>
    <x v="3"/>
    <x v="0"/>
    <x v="5"/>
    <x v="0"/>
    <x v="14"/>
    <n v="0"/>
    <n v="0.28789999999999999"/>
    <n v="0.81"/>
    <n v="0"/>
    <x v="0"/>
    <x v="0"/>
    <x v="0"/>
  </r>
  <r>
    <n v="282"/>
    <n v="40556"/>
    <x v="0"/>
    <x v="0"/>
    <x v="4"/>
    <x v="0"/>
    <x v="5"/>
    <x v="0"/>
    <x v="14"/>
    <n v="0"/>
    <n v="0.28789999999999999"/>
    <n v="0.81"/>
    <n v="0"/>
    <x v="0"/>
    <x v="0"/>
    <x v="0"/>
  </r>
  <r>
    <n v="283"/>
    <n v="40556"/>
    <x v="0"/>
    <x v="0"/>
    <x v="5"/>
    <x v="0"/>
    <x v="5"/>
    <x v="0"/>
    <x v="14"/>
    <n v="0"/>
    <n v="0.28789999999999999"/>
    <n v="0.81"/>
    <n v="0"/>
    <x v="0"/>
    <x v="0"/>
    <x v="0"/>
  </r>
  <r>
    <n v="284"/>
    <n v="40556"/>
    <x v="0"/>
    <x v="0"/>
    <x v="6"/>
    <x v="0"/>
    <x v="5"/>
    <x v="0"/>
    <x v="16"/>
    <n v="0"/>
    <n v="0.28789999999999999"/>
    <n v="0.81"/>
    <n v="0"/>
    <x v="0"/>
    <x v="0"/>
    <x v="0"/>
  </r>
  <r>
    <n v="285"/>
    <n v="40556"/>
    <x v="0"/>
    <x v="0"/>
    <x v="7"/>
    <x v="0"/>
    <x v="5"/>
    <x v="0"/>
    <x v="16"/>
    <n v="0"/>
    <n v="0.28789999999999999"/>
    <n v="0.81"/>
    <n v="0"/>
    <x v="0"/>
    <x v="0"/>
    <x v="0"/>
  </r>
  <r>
    <n v="286"/>
    <n v="40556"/>
    <x v="0"/>
    <x v="0"/>
    <x v="8"/>
    <x v="0"/>
    <x v="5"/>
    <x v="0"/>
    <x v="14"/>
    <n v="0"/>
    <n v="0.28789999999999999"/>
    <n v="0.81"/>
    <n v="0"/>
    <x v="0"/>
    <x v="0"/>
    <x v="0"/>
  </r>
  <r>
    <n v="287"/>
    <n v="40556"/>
    <x v="0"/>
    <x v="0"/>
    <x v="9"/>
    <x v="0"/>
    <x v="5"/>
    <x v="0"/>
    <x v="14"/>
    <n v="0"/>
    <n v="0.28789999999999999"/>
    <n v="0.81"/>
    <n v="0"/>
    <x v="0"/>
    <x v="0"/>
    <x v="0"/>
  </r>
  <r>
    <n v="288"/>
    <n v="40556"/>
    <x v="0"/>
    <x v="0"/>
    <x v="10"/>
    <x v="0"/>
    <x v="5"/>
    <x v="1"/>
    <x v="13"/>
    <n v="0"/>
    <n v="0.28789999999999999"/>
    <n v="0.81"/>
    <n v="0"/>
    <x v="0"/>
    <x v="0"/>
    <x v="0"/>
  </r>
  <r>
    <n v="289"/>
    <n v="40556"/>
    <x v="0"/>
    <x v="0"/>
    <x v="11"/>
    <x v="0"/>
    <x v="5"/>
    <x v="1"/>
    <x v="2"/>
    <n v="0"/>
    <n v="0.28789999999999999"/>
    <n v="0.81"/>
    <n v="0"/>
    <x v="0"/>
    <x v="0"/>
    <x v="0"/>
  </r>
  <r>
    <n v="290"/>
    <n v="40556"/>
    <x v="0"/>
    <x v="0"/>
    <x v="12"/>
    <x v="0"/>
    <x v="5"/>
    <x v="0"/>
    <x v="2"/>
    <n v="0"/>
    <n v="0.28789999999999999"/>
    <n v="0.81"/>
    <n v="0"/>
    <x v="0"/>
    <x v="0"/>
    <x v="0"/>
  </r>
  <r>
    <n v="291"/>
    <n v="40556"/>
    <x v="0"/>
    <x v="0"/>
    <x v="13"/>
    <x v="0"/>
    <x v="5"/>
    <x v="0"/>
    <x v="1"/>
    <n v="0"/>
    <n v="0.28789999999999999"/>
    <n v="0.81"/>
    <n v="0"/>
    <x v="0"/>
    <x v="0"/>
    <x v="0"/>
  </r>
  <r>
    <n v="292"/>
    <n v="40556"/>
    <x v="0"/>
    <x v="0"/>
    <x v="14"/>
    <x v="0"/>
    <x v="5"/>
    <x v="0"/>
    <x v="1"/>
    <n v="0"/>
    <n v="0.28789999999999999"/>
    <n v="0.81"/>
    <n v="0"/>
    <x v="0"/>
    <x v="0"/>
    <x v="0"/>
  </r>
  <r>
    <n v="293"/>
    <n v="40556"/>
    <x v="0"/>
    <x v="0"/>
    <x v="15"/>
    <x v="0"/>
    <x v="5"/>
    <x v="0"/>
    <x v="0"/>
    <n v="0"/>
    <n v="0.28789999999999999"/>
    <n v="0.81"/>
    <n v="0"/>
    <x v="0"/>
    <x v="0"/>
    <x v="0"/>
  </r>
  <r>
    <n v="294"/>
    <n v="40556"/>
    <x v="0"/>
    <x v="0"/>
    <x v="16"/>
    <x v="0"/>
    <x v="5"/>
    <x v="0"/>
    <x v="0"/>
    <n v="0"/>
    <n v="0.28789999999999999"/>
    <n v="0.81"/>
    <n v="0"/>
    <x v="0"/>
    <x v="0"/>
    <x v="0"/>
  </r>
  <r>
    <n v="295"/>
    <n v="40556"/>
    <x v="0"/>
    <x v="0"/>
    <x v="17"/>
    <x v="0"/>
    <x v="5"/>
    <x v="0"/>
    <x v="2"/>
    <n v="0"/>
    <n v="0.28789999999999999"/>
    <n v="0.81"/>
    <n v="0"/>
    <x v="0"/>
    <x v="0"/>
    <x v="0"/>
  </r>
  <r>
    <n v="296"/>
    <n v="40556"/>
    <x v="0"/>
    <x v="0"/>
    <x v="18"/>
    <x v="0"/>
    <x v="5"/>
    <x v="0"/>
    <x v="2"/>
    <n v="0"/>
    <n v="0.28789999999999999"/>
    <n v="0.81"/>
    <n v="0"/>
    <x v="0"/>
    <x v="0"/>
    <x v="0"/>
  </r>
  <r>
    <n v="297"/>
    <n v="40556"/>
    <x v="0"/>
    <x v="0"/>
    <x v="19"/>
    <x v="0"/>
    <x v="5"/>
    <x v="0"/>
    <x v="13"/>
    <n v="0"/>
    <n v="0.28789999999999999"/>
    <n v="0.81"/>
    <n v="0"/>
    <x v="0"/>
    <x v="0"/>
    <x v="0"/>
  </r>
  <r>
    <n v="298"/>
    <n v="40556"/>
    <x v="0"/>
    <x v="0"/>
    <x v="20"/>
    <x v="0"/>
    <x v="5"/>
    <x v="0"/>
    <x v="13"/>
    <n v="0"/>
    <n v="0.28789999999999999"/>
    <n v="0.81"/>
    <n v="0"/>
    <x v="0"/>
    <x v="0"/>
    <x v="0"/>
  </r>
  <r>
    <n v="299"/>
    <n v="40556"/>
    <x v="0"/>
    <x v="0"/>
    <x v="21"/>
    <x v="0"/>
    <x v="5"/>
    <x v="0"/>
    <x v="14"/>
    <n v="0"/>
    <n v="0.28789999999999999"/>
    <n v="0.81"/>
    <n v="0"/>
    <x v="0"/>
    <x v="0"/>
    <x v="0"/>
  </r>
  <r>
    <n v="300"/>
    <n v="40556"/>
    <x v="0"/>
    <x v="0"/>
    <x v="22"/>
    <x v="0"/>
    <x v="5"/>
    <x v="0"/>
    <x v="14"/>
    <n v="0"/>
    <n v="0.28789999999999999"/>
    <n v="0.81"/>
    <n v="0"/>
    <x v="0"/>
    <x v="0"/>
    <x v="0"/>
  </r>
  <r>
    <n v="301"/>
    <n v="40556"/>
    <x v="0"/>
    <x v="0"/>
    <x v="23"/>
    <x v="0"/>
    <x v="5"/>
    <x v="0"/>
    <x v="16"/>
    <n v="0"/>
    <n v="0.28789999999999999"/>
    <n v="0.81"/>
    <n v="0"/>
    <x v="0"/>
    <x v="0"/>
    <x v="0"/>
  </r>
  <r>
    <n v="302"/>
    <n v="40557"/>
    <x v="0"/>
    <x v="0"/>
    <x v="0"/>
    <x v="0"/>
    <x v="6"/>
    <x v="0"/>
    <x v="16"/>
    <n v="0"/>
    <n v="0.28789999999999999"/>
    <n v="0.81"/>
    <n v="0"/>
    <x v="0"/>
    <x v="0"/>
    <x v="0"/>
  </r>
  <r>
    <n v="303"/>
    <n v="40557"/>
    <x v="0"/>
    <x v="0"/>
    <x v="1"/>
    <x v="0"/>
    <x v="6"/>
    <x v="0"/>
    <x v="18"/>
    <n v="0"/>
    <n v="0.28789999999999999"/>
    <n v="0.81"/>
    <n v="0"/>
    <x v="0"/>
    <x v="0"/>
    <x v="0"/>
  </r>
  <r>
    <n v="304"/>
    <n v="40557"/>
    <x v="0"/>
    <x v="0"/>
    <x v="2"/>
    <x v="0"/>
    <x v="6"/>
    <x v="0"/>
    <x v="18"/>
    <n v="0"/>
    <n v="0.28789999999999999"/>
    <n v="0.81"/>
    <n v="0"/>
    <x v="0"/>
    <x v="0"/>
    <x v="0"/>
  </r>
  <r>
    <n v="305"/>
    <n v="40557"/>
    <x v="0"/>
    <x v="0"/>
    <x v="3"/>
    <x v="0"/>
    <x v="6"/>
    <x v="0"/>
    <x v="18"/>
    <n v="0"/>
    <n v="0.28789999999999999"/>
    <n v="0.81"/>
    <n v="0"/>
    <x v="0"/>
    <x v="0"/>
    <x v="0"/>
  </r>
  <r>
    <n v="306"/>
    <n v="40557"/>
    <x v="0"/>
    <x v="0"/>
    <x v="5"/>
    <x v="0"/>
    <x v="6"/>
    <x v="0"/>
    <x v="18"/>
    <n v="0"/>
    <n v="0.28789999999999999"/>
    <n v="0.81"/>
    <n v="0"/>
    <x v="0"/>
    <x v="0"/>
    <x v="0"/>
  </r>
  <r>
    <n v="307"/>
    <n v="40557"/>
    <x v="0"/>
    <x v="0"/>
    <x v="6"/>
    <x v="0"/>
    <x v="6"/>
    <x v="0"/>
    <x v="18"/>
    <n v="0"/>
    <n v="0.28789999999999999"/>
    <n v="0.81"/>
    <n v="0"/>
    <x v="0"/>
    <x v="0"/>
    <x v="0"/>
  </r>
  <r>
    <n v="308"/>
    <n v="40557"/>
    <x v="0"/>
    <x v="0"/>
    <x v="7"/>
    <x v="0"/>
    <x v="6"/>
    <x v="0"/>
    <x v="18"/>
    <n v="0"/>
    <n v="0.28789999999999999"/>
    <n v="0.81"/>
    <n v="0"/>
    <x v="0"/>
    <x v="0"/>
    <x v="0"/>
  </r>
  <r>
    <n v="309"/>
    <n v="40557"/>
    <x v="0"/>
    <x v="0"/>
    <x v="8"/>
    <x v="0"/>
    <x v="6"/>
    <x v="0"/>
    <x v="16"/>
    <n v="0"/>
    <n v="0.28789999999999999"/>
    <n v="0.81"/>
    <n v="0"/>
    <x v="0"/>
    <x v="0"/>
    <x v="0"/>
  </r>
  <r>
    <n v="310"/>
    <n v="40557"/>
    <x v="0"/>
    <x v="0"/>
    <x v="9"/>
    <x v="0"/>
    <x v="6"/>
    <x v="0"/>
    <x v="14"/>
    <n v="0"/>
    <n v="0.28789999999999999"/>
    <n v="0.81"/>
    <n v="0"/>
    <x v="0"/>
    <x v="0"/>
    <x v="0"/>
  </r>
  <r>
    <n v="311"/>
    <n v="40557"/>
    <x v="0"/>
    <x v="0"/>
    <x v="10"/>
    <x v="0"/>
    <x v="6"/>
    <x v="0"/>
    <x v="15"/>
    <n v="0"/>
    <n v="0.28789999999999999"/>
    <n v="0.81"/>
    <n v="0"/>
    <x v="0"/>
    <x v="0"/>
    <x v="0"/>
  </r>
  <r>
    <n v="312"/>
    <n v="40557"/>
    <x v="0"/>
    <x v="0"/>
    <x v="11"/>
    <x v="0"/>
    <x v="6"/>
    <x v="0"/>
    <x v="15"/>
    <n v="0"/>
    <n v="0.28789999999999999"/>
    <n v="0.81"/>
    <n v="0"/>
    <x v="0"/>
    <x v="0"/>
    <x v="0"/>
  </r>
  <r>
    <n v="313"/>
    <n v="40557"/>
    <x v="0"/>
    <x v="0"/>
    <x v="12"/>
    <x v="0"/>
    <x v="6"/>
    <x v="0"/>
    <x v="2"/>
    <n v="0"/>
    <n v="0.28789999999999999"/>
    <n v="0.81"/>
    <n v="0"/>
    <x v="0"/>
    <x v="0"/>
    <x v="0"/>
  </r>
  <r>
    <n v="314"/>
    <n v="40557"/>
    <x v="0"/>
    <x v="0"/>
    <x v="13"/>
    <x v="0"/>
    <x v="6"/>
    <x v="0"/>
    <x v="1"/>
    <n v="0"/>
    <n v="0.28789999999999999"/>
    <n v="0.81"/>
    <n v="0"/>
    <x v="0"/>
    <x v="0"/>
    <x v="0"/>
  </r>
  <r>
    <n v="315"/>
    <n v="40557"/>
    <x v="0"/>
    <x v="0"/>
    <x v="14"/>
    <x v="0"/>
    <x v="6"/>
    <x v="0"/>
    <x v="1"/>
    <n v="0"/>
    <n v="0.28789999999999999"/>
    <n v="0.81"/>
    <n v="0"/>
    <x v="0"/>
    <x v="0"/>
    <x v="0"/>
  </r>
  <r>
    <n v="316"/>
    <n v="40557"/>
    <x v="0"/>
    <x v="0"/>
    <x v="15"/>
    <x v="0"/>
    <x v="6"/>
    <x v="0"/>
    <x v="0"/>
    <n v="0"/>
    <n v="0.28789999999999999"/>
    <n v="0.81"/>
    <n v="0"/>
    <x v="0"/>
    <x v="0"/>
    <x v="0"/>
  </r>
  <r>
    <n v="317"/>
    <n v="40557"/>
    <x v="0"/>
    <x v="0"/>
    <x v="16"/>
    <x v="0"/>
    <x v="6"/>
    <x v="0"/>
    <x v="1"/>
    <n v="0"/>
    <n v="0.28789999999999999"/>
    <n v="0.81"/>
    <n v="0"/>
    <x v="0"/>
    <x v="0"/>
    <x v="0"/>
  </r>
  <r>
    <n v="318"/>
    <n v="40557"/>
    <x v="0"/>
    <x v="0"/>
    <x v="17"/>
    <x v="0"/>
    <x v="6"/>
    <x v="0"/>
    <x v="1"/>
    <n v="0"/>
    <n v="0.28789999999999999"/>
    <n v="0.81"/>
    <n v="0"/>
    <x v="0"/>
    <x v="0"/>
    <x v="0"/>
  </r>
  <r>
    <n v="319"/>
    <n v="40557"/>
    <x v="0"/>
    <x v="0"/>
    <x v="18"/>
    <x v="0"/>
    <x v="6"/>
    <x v="0"/>
    <x v="2"/>
    <n v="0"/>
    <n v="0.28789999999999999"/>
    <n v="0.81"/>
    <n v="0"/>
    <x v="0"/>
    <x v="0"/>
    <x v="0"/>
  </r>
  <r>
    <n v="320"/>
    <n v="40557"/>
    <x v="0"/>
    <x v="0"/>
    <x v="19"/>
    <x v="0"/>
    <x v="6"/>
    <x v="0"/>
    <x v="13"/>
    <n v="0"/>
    <n v="0.28789999999999999"/>
    <n v="0.81"/>
    <n v="0"/>
    <x v="0"/>
    <x v="0"/>
    <x v="0"/>
  </r>
  <r>
    <n v="321"/>
    <n v="40557"/>
    <x v="0"/>
    <x v="0"/>
    <x v="20"/>
    <x v="0"/>
    <x v="6"/>
    <x v="0"/>
    <x v="15"/>
    <n v="0"/>
    <n v="0.28789999999999999"/>
    <n v="0.81"/>
    <n v="0"/>
    <x v="0"/>
    <x v="0"/>
    <x v="0"/>
  </r>
  <r>
    <n v="322"/>
    <n v="40557"/>
    <x v="0"/>
    <x v="0"/>
    <x v="21"/>
    <x v="0"/>
    <x v="6"/>
    <x v="0"/>
    <x v="13"/>
    <n v="0"/>
    <n v="0.28789999999999999"/>
    <n v="0.81"/>
    <n v="0"/>
    <x v="0"/>
    <x v="0"/>
    <x v="0"/>
  </r>
  <r>
    <n v="323"/>
    <n v="40557"/>
    <x v="0"/>
    <x v="0"/>
    <x v="22"/>
    <x v="0"/>
    <x v="6"/>
    <x v="1"/>
    <x v="13"/>
    <n v="0"/>
    <n v="0.28789999999999999"/>
    <n v="0.81"/>
    <n v="0"/>
    <x v="0"/>
    <x v="0"/>
    <x v="0"/>
  </r>
  <r>
    <n v="324"/>
    <n v="40557"/>
    <x v="0"/>
    <x v="0"/>
    <x v="23"/>
    <x v="0"/>
    <x v="6"/>
    <x v="1"/>
    <x v="15"/>
    <n v="0"/>
    <n v="0.28789999999999999"/>
    <n v="0.81"/>
    <n v="0"/>
    <x v="0"/>
    <x v="0"/>
    <x v="0"/>
  </r>
  <r>
    <n v="325"/>
    <n v="40558"/>
    <x v="0"/>
    <x v="0"/>
    <x v="0"/>
    <x v="0"/>
    <x v="0"/>
    <x v="0"/>
    <x v="15"/>
    <n v="0"/>
    <n v="0.28789999999999999"/>
    <n v="0.81"/>
    <n v="0"/>
    <x v="0"/>
    <x v="0"/>
    <x v="0"/>
  </r>
  <r>
    <n v="326"/>
    <n v="40558"/>
    <x v="0"/>
    <x v="0"/>
    <x v="1"/>
    <x v="0"/>
    <x v="0"/>
    <x v="1"/>
    <x v="13"/>
    <n v="0"/>
    <n v="0.28789999999999999"/>
    <n v="0.81"/>
    <n v="0"/>
    <x v="0"/>
    <x v="0"/>
    <x v="0"/>
  </r>
  <r>
    <n v="327"/>
    <n v="40558"/>
    <x v="0"/>
    <x v="0"/>
    <x v="2"/>
    <x v="0"/>
    <x v="0"/>
    <x v="1"/>
    <x v="13"/>
    <n v="0"/>
    <n v="0.28789999999999999"/>
    <n v="0.81"/>
    <n v="0"/>
    <x v="0"/>
    <x v="0"/>
    <x v="0"/>
  </r>
  <r>
    <n v="328"/>
    <n v="40558"/>
    <x v="0"/>
    <x v="0"/>
    <x v="3"/>
    <x v="0"/>
    <x v="0"/>
    <x v="1"/>
    <x v="13"/>
    <n v="0"/>
    <n v="0.28789999999999999"/>
    <n v="0.81"/>
    <n v="0"/>
    <x v="0"/>
    <x v="0"/>
    <x v="0"/>
  </r>
  <r>
    <n v="329"/>
    <n v="40558"/>
    <x v="0"/>
    <x v="0"/>
    <x v="4"/>
    <x v="0"/>
    <x v="0"/>
    <x v="1"/>
    <x v="13"/>
    <n v="0"/>
    <n v="0.28789999999999999"/>
    <n v="0.81"/>
    <n v="0"/>
    <x v="0"/>
    <x v="0"/>
    <x v="0"/>
  </r>
  <r>
    <n v="330"/>
    <n v="40558"/>
    <x v="0"/>
    <x v="0"/>
    <x v="5"/>
    <x v="0"/>
    <x v="0"/>
    <x v="0"/>
    <x v="13"/>
    <n v="0"/>
    <n v="0.28789999999999999"/>
    <n v="0.81"/>
    <n v="0"/>
    <x v="0"/>
    <x v="0"/>
    <x v="0"/>
  </r>
  <r>
    <n v="331"/>
    <n v="40558"/>
    <x v="0"/>
    <x v="0"/>
    <x v="6"/>
    <x v="0"/>
    <x v="0"/>
    <x v="0"/>
    <x v="14"/>
    <n v="0"/>
    <n v="0.28789999999999999"/>
    <n v="0.81"/>
    <n v="0"/>
    <x v="0"/>
    <x v="0"/>
    <x v="0"/>
  </r>
  <r>
    <n v="332"/>
    <n v="40558"/>
    <x v="0"/>
    <x v="0"/>
    <x v="7"/>
    <x v="0"/>
    <x v="0"/>
    <x v="0"/>
    <x v="14"/>
    <n v="0"/>
    <n v="0.28789999999999999"/>
    <n v="0.81"/>
    <n v="0"/>
    <x v="0"/>
    <x v="0"/>
    <x v="0"/>
  </r>
  <r>
    <n v="333"/>
    <n v="40558"/>
    <x v="0"/>
    <x v="0"/>
    <x v="8"/>
    <x v="0"/>
    <x v="0"/>
    <x v="0"/>
    <x v="14"/>
    <n v="0"/>
    <n v="0.28789999999999999"/>
    <n v="0.81"/>
    <n v="0"/>
    <x v="0"/>
    <x v="0"/>
    <x v="0"/>
  </r>
  <r>
    <n v="334"/>
    <n v="40558"/>
    <x v="0"/>
    <x v="0"/>
    <x v="9"/>
    <x v="0"/>
    <x v="0"/>
    <x v="0"/>
    <x v="13"/>
    <n v="0"/>
    <n v="0.28789999999999999"/>
    <n v="0.81"/>
    <n v="0"/>
    <x v="0"/>
    <x v="0"/>
    <x v="0"/>
  </r>
  <r>
    <n v="335"/>
    <n v="40558"/>
    <x v="0"/>
    <x v="0"/>
    <x v="10"/>
    <x v="0"/>
    <x v="0"/>
    <x v="0"/>
    <x v="15"/>
    <n v="0"/>
    <n v="0.28789999999999999"/>
    <n v="0.81"/>
    <n v="0"/>
    <x v="0"/>
    <x v="0"/>
    <x v="0"/>
  </r>
  <r>
    <n v="336"/>
    <n v="40558"/>
    <x v="0"/>
    <x v="0"/>
    <x v="11"/>
    <x v="0"/>
    <x v="0"/>
    <x v="0"/>
    <x v="2"/>
    <n v="0"/>
    <n v="0.28789999999999999"/>
    <n v="0.81"/>
    <n v="0"/>
    <x v="0"/>
    <x v="0"/>
    <x v="0"/>
  </r>
  <r>
    <n v="337"/>
    <n v="40558"/>
    <x v="0"/>
    <x v="0"/>
    <x v="12"/>
    <x v="0"/>
    <x v="0"/>
    <x v="0"/>
    <x v="0"/>
    <n v="0"/>
    <n v="0.28789999999999999"/>
    <n v="0.81"/>
    <n v="0"/>
    <x v="0"/>
    <x v="0"/>
    <x v="0"/>
  </r>
  <r>
    <n v="338"/>
    <n v="40558"/>
    <x v="0"/>
    <x v="0"/>
    <x v="13"/>
    <x v="0"/>
    <x v="0"/>
    <x v="0"/>
    <x v="17"/>
    <n v="0"/>
    <n v="0.28789999999999999"/>
    <n v="0.81"/>
    <n v="0"/>
    <x v="0"/>
    <x v="0"/>
    <x v="0"/>
  </r>
  <r>
    <n v="339"/>
    <n v="40558"/>
    <x v="0"/>
    <x v="0"/>
    <x v="14"/>
    <x v="0"/>
    <x v="0"/>
    <x v="0"/>
    <x v="11"/>
    <n v="0"/>
    <n v="0.28789999999999999"/>
    <n v="0.81"/>
    <n v="0"/>
    <x v="0"/>
    <x v="0"/>
    <x v="0"/>
  </r>
  <r>
    <n v="340"/>
    <n v="40558"/>
    <x v="0"/>
    <x v="0"/>
    <x v="15"/>
    <x v="0"/>
    <x v="0"/>
    <x v="1"/>
    <x v="3"/>
    <n v="0"/>
    <n v="0.28789999999999999"/>
    <n v="0.81"/>
    <n v="0"/>
    <x v="0"/>
    <x v="0"/>
    <x v="0"/>
  </r>
  <r>
    <n v="341"/>
    <n v="40558"/>
    <x v="0"/>
    <x v="0"/>
    <x v="16"/>
    <x v="0"/>
    <x v="0"/>
    <x v="1"/>
    <x v="10"/>
    <n v="0"/>
    <n v="0.28789999999999999"/>
    <n v="0.81"/>
    <n v="0"/>
    <x v="0"/>
    <x v="0"/>
    <x v="0"/>
  </r>
  <r>
    <n v="342"/>
    <n v="40558"/>
    <x v="0"/>
    <x v="0"/>
    <x v="17"/>
    <x v="0"/>
    <x v="0"/>
    <x v="1"/>
    <x v="3"/>
    <n v="0"/>
    <n v="0.28789999999999999"/>
    <n v="0.81"/>
    <n v="0"/>
    <x v="0"/>
    <x v="0"/>
    <x v="0"/>
  </r>
  <r>
    <n v="343"/>
    <n v="40558"/>
    <x v="0"/>
    <x v="0"/>
    <x v="18"/>
    <x v="0"/>
    <x v="0"/>
    <x v="1"/>
    <x v="11"/>
    <n v="0"/>
    <n v="0.28789999999999999"/>
    <n v="0.81"/>
    <n v="0"/>
    <x v="0"/>
    <x v="0"/>
    <x v="0"/>
  </r>
  <r>
    <n v="344"/>
    <n v="40558"/>
    <x v="0"/>
    <x v="0"/>
    <x v="19"/>
    <x v="0"/>
    <x v="0"/>
    <x v="1"/>
    <x v="3"/>
    <n v="0"/>
    <n v="0.28789999999999999"/>
    <n v="0.81"/>
    <n v="0"/>
    <x v="0"/>
    <x v="0"/>
    <x v="0"/>
  </r>
  <r>
    <n v="345"/>
    <n v="40558"/>
    <x v="0"/>
    <x v="0"/>
    <x v="20"/>
    <x v="0"/>
    <x v="0"/>
    <x v="1"/>
    <x v="3"/>
    <n v="0"/>
    <n v="0.28789999999999999"/>
    <n v="0.81"/>
    <n v="0"/>
    <x v="0"/>
    <x v="0"/>
    <x v="0"/>
  </r>
  <r>
    <n v="346"/>
    <n v="40558"/>
    <x v="0"/>
    <x v="0"/>
    <x v="21"/>
    <x v="0"/>
    <x v="0"/>
    <x v="1"/>
    <x v="3"/>
    <n v="0"/>
    <n v="0.28789999999999999"/>
    <n v="0.81"/>
    <n v="0"/>
    <x v="0"/>
    <x v="0"/>
    <x v="0"/>
  </r>
  <r>
    <n v="347"/>
    <n v="40558"/>
    <x v="0"/>
    <x v="0"/>
    <x v="22"/>
    <x v="0"/>
    <x v="0"/>
    <x v="1"/>
    <x v="11"/>
    <n v="0"/>
    <n v="0.28789999999999999"/>
    <n v="0.81"/>
    <n v="0"/>
    <x v="0"/>
    <x v="0"/>
    <x v="0"/>
  </r>
  <r>
    <n v="348"/>
    <n v="40558"/>
    <x v="0"/>
    <x v="0"/>
    <x v="23"/>
    <x v="0"/>
    <x v="0"/>
    <x v="0"/>
    <x v="11"/>
    <n v="0"/>
    <n v="0.28789999999999999"/>
    <n v="0.81"/>
    <n v="0"/>
    <x v="0"/>
    <x v="0"/>
    <x v="0"/>
  </r>
  <r>
    <n v="349"/>
    <n v="40559"/>
    <x v="0"/>
    <x v="0"/>
    <x v="0"/>
    <x v="0"/>
    <x v="1"/>
    <x v="0"/>
    <x v="12"/>
    <n v="0"/>
    <n v="0.28789999999999999"/>
    <n v="0.81"/>
    <n v="0"/>
    <x v="0"/>
    <x v="0"/>
    <x v="0"/>
  </r>
  <r>
    <n v="350"/>
    <n v="40559"/>
    <x v="0"/>
    <x v="0"/>
    <x v="1"/>
    <x v="0"/>
    <x v="1"/>
    <x v="0"/>
    <x v="12"/>
    <n v="0"/>
    <n v="0.28789999999999999"/>
    <n v="0.81"/>
    <n v="0"/>
    <x v="0"/>
    <x v="0"/>
    <x v="0"/>
  </r>
  <r>
    <n v="351"/>
    <n v="40559"/>
    <x v="0"/>
    <x v="0"/>
    <x v="2"/>
    <x v="0"/>
    <x v="1"/>
    <x v="0"/>
    <x v="12"/>
    <n v="0"/>
    <n v="0.28789999999999999"/>
    <n v="0.81"/>
    <n v="0"/>
    <x v="0"/>
    <x v="0"/>
    <x v="0"/>
  </r>
  <r>
    <n v="352"/>
    <n v="40559"/>
    <x v="0"/>
    <x v="0"/>
    <x v="3"/>
    <x v="0"/>
    <x v="1"/>
    <x v="0"/>
    <x v="1"/>
    <n v="0"/>
    <n v="0.28789999999999999"/>
    <n v="0.81"/>
    <n v="0"/>
    <x v="0"/>
    <x v="0"/>
    <x v="0"/>
  </r>
  <r>
    <n v="353"/>
    <n v="40559"/>
    <x v="0"/>
    <x v="0"/>
    <x v="4"/>
    <x v="0"/>
    <x v="1"/>
    <x v="0"/>
    <x v="12"/>
    <n v="0"/>
    <n v="0.28789999999999999"/>
    <n v="0.81"/>
    <n v="0"/>
    <x v="0"/>
    <x v="0"/>
    <x v="0"/>
  </r>
  <r>
    <n v="354"/>
    <n v="40559"/>
    <x v="0"/>
    <x v="0"/>
    <x v="5"/>
    <x v="0"/>
    <x v="1"/>
    <x v="1"/>
    <x v="12"/>
    <n v="0"/>
    <n v="0.28789999999999999"/>
    <n v="0.81"/>
    <n v="0"/>
    <x v="0"/>
    <x v="0"/>
    <x v="0"/>
  </r>
  <r>
    <n v="355"/>
    <n v="40559"/>
    <x v="0"/>
    <x v="0"/>
    <x v="6"/>
    <x v="0"/>
    <x v="1"/>
    <x v="1"/>
    <x v="12"/>
    <n v="0"/>
    <n v="0.28789999999999999"/>
    <n v="0.81"/>
    <n v="0"/>
    <x v="0"/>
    <x v="0"/>
    <x v="0"/>
  </r>
  <r>
    <n v="356"/>
    <n v="40559"/>
    <x v="0"/>
    <x v="0"/>
    <x v="7"/>
    <x v="0"/>
    <x v="1"/>
    <x v="1"/>
    <x v="0"/>
    <n v="0"/>
    <n v="0.28789999999999999"/>
    <n v="0.81"/>
    <n v="0"/>
    <x v="0"/>
    <x v="0"/>
    <x v="0"/>
  </r>
  <r>
    <n v="357"/>
    <n v="40559"/>
    <x v="0"/>
    <x v="0"/>
    <x v="8"/>
    <x v="0"/>
    <x v="1"/>
    <x v="0"/>
    <x v="1"/>
    <n v="0"/>
    <n v="0.28789999999999999"/>
    <n v="0.81"/>
    <n v="0"/>
    <x v="0"/>
    <x v="0"/>
    <x v="0"/>
  </r>
  <r>
    <n v="358"/>
    <n v="40559"/>
    <x v="0"/>
    <x v="0"/>
    <x v="9"/>
    <x v="0"/>
    <x v="1"/>
    <x v="0"/>
    <x v="1"/>
    <n v="0"/>
    <n v="0.28789999999999999"/>
    <n v="0.81"/>
    <n v="0"/>
    <x v="0"/>
    <x v="0"/>
    <x v="0"/>
  </r>
  <r>
    <n v="359"/>
    <n v="40559"/>
    <x v="0"/>
    <x v="0"/>
    <x v="10"/>
    <x v="0"/>
    <x v="1"/>
    <x v="0"/>
    <x v="1"/>
    <n v="0"/>
    <n v="0.28789999999999999"/>
    <n v="0.81"/>
    <n v="0"/>
    <x v="0"/>
    <x v="0"/>
    <x v="0"/>
  </r>
  <r>
    <n v="360"/>
    <n v="40559"/>
    <x v="0"/>
    <x v="0"/>
    <x v="11"/>
    <x v="0"/>
    <x v="1"/>
    <x v="0"/>
    <x v="0"/>
    <n v="0"/>
    <n v="0.28789999999999999"/>
    <n v="0.81"/>
    <n v="0"/>
    <x v="0"/>
    <x v="0"/>
    <x v="0"/>
  </r>
  <r>
    <n v="361"/>
    <n v="40559"/>
    <x v="0"/>
    <x v="0"/>
    <x v="12"/>
    <x v="0"/>
    <x v="1"/>
    <x v="0"/>
    <x v="0"/>
    <n v="0"/>
    <n v="0.28789999999999999"/>
    <n v="0.81"/>
    <n v="0"/>
    <x v="0"/>
    <x v="0"/>
    <x v="0"/>
  </r>
  <r>
    <n v="362"/>
    <n v="40559"/>
    <x v="0"/>
    <x v="0"/>
    <x v="13"/>
    <x v="0"/>
    <x v="1"/>
    <x v="0"/>
    <x v="12"/>
    <n v="0"/>
    <n v="0.28789999999999999"/>
    <n v="0.81"/>
    <n v="0"/>
    <x v="0"/>
    <x v="0"/>
    <x v="0"/>
  </r>
  <r>
    <n v="363"/>
    <n v="40559"/>
    <x v="0"/>
    <x v="0"/>
    <x v="14"/>
    <x v="0"/>
    <x v="1"/>
    <x v="0"/>
    <x v="17"/>
    <n v="0"/>
    <n v="0.28789999999999999"/>
    <n v="0.81"/>
    <n v="0"/>
    <x v="0"/>
    <x v="0"/>
    <x v="0"/>
  </r>
  <r>
    <n v="364"/>
    <n v="40559"/>
    <x v="0"/>
    <x v="0"/>
    <x v="15"/>
    <x v="0"/>
    <x v="1"/>
    <x v="0"/>
    <x v="12"/>
    <n v="0"/>
    <n v="0.28789999999999999"/>
    <n v="0.81"/>
    <n v="0"/>
    <x v="0"/>
    <x v="0"/>
    <x v="0"/>
  </r>
  <r>
    <n v="365"/>
    <n v="40559"/>
    <x v="0"/>
    <x v="0"/>
    <x v="16"/>
    <x v="0"/>
    <x v="1"/>
    <x v="0"/>
    <x v="0"/>
    <n v="0"/>
    <n v="0.28789999999999999"/>
    <n v="0.81"/>
    <n v="0"/>
    <x v="0"/>
    <x v="0"/>
    <x v="0"/>
  </r>
  <r>
    <n v="366"/>
    <n v="40559"/>
    <x v="0"/>
    <x v="0"/>
    <x v="17"/>
    <x v="0"/>
    <x v="1"/>
    <x v="0"/>
    <x v="1"/>
    <n v="0"/>
    <n v="0.28789999999999999"/>
    <n v="0.81"/>
    <n v="0"/>
    <x v="0"/>
    <x v="0"/>
    <x v="0"/>
  </r>
  <r>
    <n v="367"/>
    <n v="40559"/>
    <x v="0"/>
    <x v="0"/>
    <x v="18"/>
    <x v="0"/>
    <x v="1"/>
    <x v="0"/>
    <x v="2"/>
    <n v="0"/>
    <n v="0.28789999999999999"/>
    <n v="0.81"/>
    <n v="0"/>
    <x v="0"/>
    <x v="0"/>
    <x v="0"/>
  </r>
  <r>
    <n v="368"/>
    <n v="40559"/>
    <x v="0"/>
    <x v="0"/>
    <x v="19"/>
    <x v="0"/>
    <x v="1"/>
    <x v="0"/>
    <x v="15"/>
    <n v="0"/>
    <n v="0.28789999999999999"/>
    <n v="0.81"/>
    <n v="0"/>
    <x v="0"/>
    <x v="0"/>
    <x v="0"/>
  </r>
  <r>
    <n v="369"/>
    <n v="40559"/>
    <x v="0"/>
    <x v="0"/>
    <x v="20"/>
    <x v="0"/>
    <x v="1"/>
    <x v="0"/>
    <x v="15"/>
    <n v="0"/>
    <n v="0.28789999999999999"/>
    <n v="0.81"/>
    <n v="0"/>
    <x v="0"/>
    <x v="0"/>
    <x v="0"/>
  </r>
  <r>
    <n v="370"/>
    <n v="40559"/>
    <x v="0"/>
    <x v="0"/>
    <x v="21"/>
    <x v="0"/>
    <x v="1"/>
    <x v="0"/>
    <x v="15"/>
    <n v="0"/>
    <n v="0.28789999999999999"/>
    <n v="0.81"/>
    <n v="0"/>
    <x v="0"/>
    <x v="0"/>
    <x v="0"/>
  </r>
  <r>
    <n v="371"/>
    <n v="40559"/>
    <x v="0"/>
    <x v="0"/>
    <x v="22"/>
    <x v="0"/>
    <x v="1"/>
    <x v="1"/>
    <x v="2"/>
    <n v="0"/>
    <n v="0.28789999999999999"/>
    <n v="0.81"/>
    <n v="0"/>
    <x v="0"/>
    <x v="0"/>
    <x v="0"/>
  </r>
  <r>
    <n v="372"/>
    <n v="40559"/>
    <x v="0"/>
    <x v="0"/>
    <x v="23"/>
    <x v="0"/>
    <x v="1"/>
    <x v="1"/>
    <x v="2"/>
    <n v="0"/>
    <n v="0.28789999999999999"/>
    <n v="0.81"/>
    <n v="0"/>
    <x v="0"/>
    <x v="0"/>
    <x v="0"/>
  </r>
  <r>
    <n v="373"/>
    <n v="40560"/>
    <x v="0"/>
    <x v="0"/>
    <x v="0"/>
    <x v="1"/>
    <x v="2"/>
    <x v="1"/>
    <x v="2"/>
    <n v="0"/>
    <n v="0.28789999999999999"/>
    <n v="0.81"/>
    <n v="0"/>
    <x v="0"/>
    <x v="0"/>
    <x v="0"/>
  </r>
  <r>
    <n v="374"/>
    <n v="40560"/>
    <x v="0"/>
    <x v="0"/>
    <x v="1"/>
    <x v="1"/>
    <x v="2"/>
    <x v="1"/>
    <x v="2"/>
    <n v="0"/>
    <n v="0.28789999999999999"/>
    <n v="0.81"/>
    <n v="0"/>
    <x v="0"/>
    <x v="0"/>
    <x v="0"/>
  </r>
  <r>
    <n v="375"/>
    <n v="40560"/>
    <x v="0"/>
    <x v="0"/>
    <x v="2"/>
    <x v="1"/>
    <x v="2"/>
    <x v="1"/>
    <x v="15"/>
    <n v="0"/>
    <n v="0.28789999999999999"/>
    <n v="0.81"/>
    <n v="0"/>
    <x v="0"/>
    <x v="0"/>
    <x v="0"/>
  </r>
  <r>
    <n v="376"/>
    <n v="40560"/>
    <x v="0"/>
    <x v="0"/>
    <x v="3"/>
    <x v="1"/>
    <x v="2"/>
    <x v="1"/>
    <x v="15"/>
    <n v="0"/>
    <n v="0.28789999999999999"/>
    <n v="0.81"/>
    <n v="0"/>
    <x v="0"/>
    <x v="0"/>
    <x v="0"/>
  </r>
  <r>
    <n v="377"/>
    <n v="40560"/>
    <x v="0"/>
    <x v="0"/>
    <x v="4"/>
    <x v="1"/>
    <x v="2"/>
    <x v="1"/>
    <x v="15"/>
    <n v="0"/>
    <n v="0.28789999999999999"/>
    <n v="0.81"/>
    <n v="0"/>
    <x v="0"/>
    <x v="0"/>
    <x v="0"/>
  </r>
  <r>
    <n v="378"/>
    <n v="40560"/>
    <x v="0"/>
    <x v="0"/>
    <x v="5"/>
    <x v="1"/>
    <x v="2"/>
    <x v="1"/>
    <x v="15"/>
    <n v="0"/>
    <n v="0.28789999999999999"/>
    <n v="0.81"/>
    <n v="0"/>
    <x v="0"/>
    <x v="0"/>
    <x v="0"/>
  </r>
  <r>
    <n v="379"/>
    <n v="40560"/>
    <x v="0"/>
    <x v="0"/>
    <x v="6"/>
    <x v="1"/>
    <x v="2"/>
    <x v="1"/>
    <x v="15"/>
    <n v="0"/>
    <n v="0.28789999999999999"/>
    <n v="0.81"/>
    <n v="0"/>
    <x v="0"/>
    <x v="0"/>
    <x v="0"/>
  </r>
  <r>
    <n v="380"/>
    <n v="40560"/>
    <x v="0"/>
    <x v="0"/>
    <x v="7"/>
    <x v="1"/>
    <x v="2"/>
    <x v="1"/>
    <x v="13"/>
    <n v="0"/>
    <n v="0.28789999999999999"/>
    <n v="0.81"/>
    <n v="0"/>
    <x v="0"/>
    <x v="0"/>
    <x v="0"/>
  </r>
  <r>
    <n v="381"/>
    <n v="40560"/>
    <x v="0"/>
    <x v="0"/>
    <x v="8"/>
    <x v="1"/>
    <x v="2"/>
    <x v="1"/>
    <x v="13"/>
    <n v="0"/>
    <n v="0.28789999999999999"/>
    <n v="0.81"/>
    <n v="0"/>
    <x v="0"/>
    <x v="0"/>
    <x v="0"/>
  </r>
  <r>
    <n v="382"/>
    <n v="40560"/>
    <x v="0"/>
    <x v="0"/>
    <x v="9"/>
    <x v="1"/>
    <x v="2"/>
    <x v="1"/>
    <x v="13"/>
    <n v="0"/>
    <n v="0.28789999999999999"/>
    <n v="0.81"/>
    <n v="0"/>
    <x v="0"/>
    <x v="0"/>
    <x v="0"/>
  </r>
  <r>
    <n v="383"/>
    <n v="40560"/>
    <x v="0"/>
    <x v="0"/>
    <x v="10"/>
    <x v="1"/>
    <x v="2"/>
    <x v="1"/>
    <x v="13"/>
    <n v="0"/>
    <n v="0.28789999999999999"/>
    <n v="0.81"/>
    <n v="0"/>
    <x v="0"/>
    <x v="0"/>
    <x v="0"/>
  </r>
  <r>
    <n v="384"/>
    <n v="40560"/>
    <x v="0"/>
    <x v="0"/>
    <x v="11"/>
    <x v="1"/>
    <x v="2"/>
    <x v="1"/>
    <x v="13"/>
    <n v="0"/>
    <n v="0.28789999999999999"/>
    <n v="0.81"/>
    <n v="0"/>
    <x v="0"/>
    <x v="0"/>
    <x v="0"/>
  </r>
  <r>
    <n v="385"/>
    <n v="40560"/>
    <x v="0"/>
    <x v="0"/>
    <x v="12"/>
    <x v="1"/>
    <x v="2"/>
    <x v="1"/>
    <x v="15"/>
    <n v="0"/>
    <n v="0.28789999999999999"/>
    <n v="0.81"/>
    <n v="0"/>
    <x v="0"/>
    <x v="0"/>
    <x v="0"/>
  </r>
  <r>
    <n v="386"/>
    <n v="40560"/>
    <x v="0"/>
    <x v="0"/>
    <x v="13"/>
    <x v="1"/>
    <x v="2"/>
    <x v="1"/>
    <x v="15"/>
    <n v="0"/>
    <n v="0.28789999999999999"/>
    <n v="0.81"/>
    <n v="0"/>
    <x v="0"/>
    <x v="0"/>
    <x v="0"/>
  </r>
  <r>
    <n v="387"/>
    <n v="40560"/>
    <x v="0"/>
    <x v="0"/>
    <x v="14"/>
    <x v="1"/>
    <x v="2"/>
    <x v="1"/>
    <x v="15"/>
    <n v="0"/>
    <n v="0.28789999999999999"/>
    <n v="0.81"/>
    <n v="0"/>
    <x v="0"/>
    <x v="0"/>
    <x v="0"/>
  </r>
  <r>
    <n v="388"/>
    <n v="40560"/>
    <x v="0"/>
    <x v="0"/>
    <x v="15"/>
    <x v="1"/>
    <x v="2"/>
    <x v="1"/>
    <x v="2"/>
    <n v="0"/>
    <n v="0.28789999999999999"/>
    <n v="0.81"/>
    <n v="0"/>
    <x v="0"/>
    <x v="0"/>
    <x v="0"/>
  </r>
  <r>
    <n v="389"/>
    <n v="40560"/>
    <x v="0"/>
    <x v="0"/>
    <x v="16"/>
    <x v="1"/>
    <x v="2"/>
    <x v="1"/>
    <x v="2"/>
    <n v="0"/>
    <n v="0.28789999999999999"/>
    <n v="0.81"/>
    <n v="0"/>
    <x v="0"/>
    <x v="0"/>
    <x v="0"/>
  </r>
  <r>
    <n v="390"/>
    <n v="40560"/>
    <x v="0"/>
    <x v="0"/>
    <x v="17"/>
    <x v="1"/>
    <x v="2"/>
    <x v="0"/>
    <x v="2"/>
    <n v="0"/>
    <n v="0.28789999999999999"/>
    <n v="0.81"/>
    <n v="0"/>
    <x v="0"/>
    <x v="0"/>
    <x v="0"/>
  </r>
  <r>
    <n v="391"/>
    <n v="40560"/>
    <x v="0"/>
    <x v="0"/>
    <x v="18"/>
    <x v="1"/>
    <x v="2"/>
    <x v="1"/>
    <x v="15"/>
    <n v="0"/>
    <n v="0.28789999999999999"/>
    <n v="0.81"/>
    <n v="0"/>
    <x v="0"/>
    <x v="0"/>
    <x v="0"/>
  </r>
  <r>
    <n v="392"/>
    <n v="40560"/>
    <x v="0"/>
    <x v="0"/>
    <x v="19"/>
    <x v="1"/>
    <x v="2"/>
    <x v="2"/>
    <x v="15"/>
    <n v="0"/>
    <n v="0.28789999999999999"/>
    <n v="0.81"/>
    <n v="0"/>
    <x v="0"/>
    <x v="0"/>
    <x v="0"/>
  </r>
  <r>
    <n v="393"/>
    <n v="40560"/>
    <x v="0"/>
    <x v="0"/>
    <x v="20"/>
    <x v="1"/>
    <x v="2"/>
    <x v="2"/>
    <x v="13"/>
    <n v="0"/>
    <n v="0.28789999999999999"/>
    <n v="0.81"/>
    <n v="0"/>
    <x v="0"/>
    <x v="0"/>
    <x v="0"/>
  </r>
  <r>
    <n v="394"/>
    <n v="40560"/>
    <x v="0"/>
    <x v="0"/>
    <x v="21"/>
    <x v="1"/>
    <x v="2"/>
    <x v="2"/>
    <x v="13"/>
    <n v="0"/>
    <n v="0.28789999999999999"/>
    <n v="0.81"/>
    <n v="0"/>
    <x v="0"/>
    <x v="0"/>
    <x v="0"/>
  </r>
  <r>
    <n v="395"/>
    <n v="40560"/>
    <x v="0"/>
    <x v="0"/>
    <x v="22"/>
    <x v="1"/>
    <x v="2"/>
    <x v="2"/>
    <x v="14"/>
    <n v="0"/>
    <n v="0.28789999999999999"/>
    <n v="0.81"/>
    <n v="0"/>
    <x v="0"/>
    <x v="0"/>
    <x v="0"/>
  </r>
  <r>
    <n v="396"/>
    <n v="40560"/>
    <x v="0"/>
    <x v="0"/>
    <x v="23"/>
    <x v="1"/>
    <x v="2"/>
    <x v="2"/>
    <x v="13"/>
    <n v="0"/>
    <n v="0.28789999999999999"/>
    <n v="0.81"/>
    <n v="0"/>
    <x v="0"/>
    <x v="0"/>
    <x v="0"/>
  </r>
  <r>
    <n v="397"/>
    <n v="40561"/>
    <x v="0"/>
    <x v="0"/>
    <x v="12"/>
    <x v="0"/>
    <x v="3"/>
    <x v="1"/>
    <x v="2"/>
    <n v="0"/>
    <n v="0.28789999999999999"/>
    <n v="0.81"/>
    <n v="0"/>
    <x v="0"/>
    <x v="0"/>
    <x v="0"/>
  </r>
  <r>
    <n v="398"/>
    <n v="40561"/>
    <x v="0"/>
    <x v="0"/>
    <x v="13"/>
    <x v="0"/>
    <x v="3"/>
    <x v="1"/>
    <x v="2"/>
    <n v="0"/>
    <n v="0.28789999999999999"/>
    <n v="0.81"/>
    <n v="0"/>
    <x v="0"/>
    <x v="0"/>
    <x v="0"/>
  </r>
  <r>
    <n v="399"/>
    <n v="40561"/>
    <x v="0"/>
    <x v="0"/>
    <x v="14"/>
    <x v="0"/>
    <x v="3"/>
    <x v="1"/>
    <x v="1"/>
    <n v="0"/>
    <n v="0.28789999999999999"/>
    <n v="0.81"/>
    <n v="0"/>
    <x v="0"/>
    <x v="0"/>
    <x v="0"/>
  </r>
  <r>
    <n v="400"/>
    <n v="40561"/>
    <x v="0"/>
    <x v="0"/>
    <x v="15"/>
    <x v="0"/>
    <x v="3"/>
    <x v="1"/>
    <x v="1"/>
    <n v="0"/>
    <n v="0.28789999999999999"/>
    <n v="0.81"/>
    <n v="0"/>
    <x v="0"/>
    <x v="0"/>
    <x v="0"/>
  </r>
  <r>
    <n v="401"/>
    <n v="40561"/>
    <x v="0"/>
    <x v="0"/>
    <x v="16"/>
    <x v="0"/>
    <x v="3"/>
    <x v="1"/>
    <x v="1"/>
    <n v="0"/>
    <n v="0.28789999999999999"/>
    <n v="0.81"/>
    <n v="0"/>
    <x v="0"/>
    <x v="0"/>
    <x v="0"/>
  </r>
  <r>
    <n v="402"/>
    <n v="40561"/>
    <x v="0"/>
    <x v="0"/>
    <x v="17"/>
    <x v="0"/>
    <x v="3"/>
    <x v="1"/>
    <x v="1"/>
    <n v="0"/>
    <n v="0.28789999999999999"/>
    <n v="0.81"/>
    <n v="0"/>
    <x v="0"/>
    <x v="0"/>
    <x v="0"/>
  </r>
  <r>
    <n v="403"/>
    <n v="40561"/>
    <x v="0"/>
    <x v="0"/>
    <x v="18"/>
    <x v="0"/>
    <x v="3"/>
    <x v="1"/>
    <x v="1"/>
    <n v="0"/>
    <n v="0.28789999999999999"/>
    <n v="0.81"/>
    <n v="0"/>
    <x v="0"/>
    <x v="0"/>
    <x v="0"/>
  </r>
  <r>
    <n v="404"/>
    <n v="40561"/>
    <x v="0"/>
    <x v="0"/>
    <x v="19"/>
    <x v="0"/>
    <x v="3"/>
    <x v="1"/>
    <x v="1"/>
    <n v="0"/>
    <n v="0.28789999999999999"/>
    <n v="0.81"/>
    <n v="0"/>
    <x v="0"/>
    <x v="0"/>
    <x v="0"/>
  </r>
  <r>
    <n v="405"/>
    <n v="40561"/>
    <x v="0"/>
    <x v="0"/>
    <x v="20"/>
    <x v="0"/>
    <x v="3"/>
    <x v="1"/>
    <x v="1"/>
    <n v="0"/>
    <n v="0.28789999999999999"/>
    <n v="0.81"/>
    <n v="0"/>
    <x v="0"/>
    <x v="0"/>
    <x v="0"/>
  </r>
  <r>
    <n v="406"/>
    <n v="40561"/>
    <x v="0"/>
    <x v="0"/>
    <x v="21"/>
    <x v="0"/>
    <x v="3"/>
    <x v="1"/>
    <x v="1"/>
    <n v="0"/>
    <n v="0.28789999999999999"/>
    <n v="0.81"/>
    <n v="0"/>
    <x v="0"/>
    <x v="0"/>
    <x v="0"/>
  </r>
  <r>
    <n v="407"/>
    <n v="40561"/>
    <x v="0"/>
    <x v="0"/>
    <x v="22"/>
    <x v="0"/>
    <x v="3"/>
    <x v="1"/>
    <x v="1"/>
    <n v="0"/>
    <n v="0.28789999999999999"/>
    <n v="0.81"/>
    <n v="0"/>
    <x v="0"/>
    <x v="0"/>
    <x v="0"/>
  </r>
  <r>
    <n v="408"/>
    <n v="40561"/>
    <x v="0"/>
    <x v="0"/>
    <x v="23"/>
    <x v="0"/>
    <x v="3"/>
    <x v="1"/>
    <x v="1"/>
    <n v="0"/>
    <n v="0.28789999999999999"/>
    <n v="0.81"/>
    <n v="0"/>
    <x v="0"/>
    <x v="0"/>
    <x v="0"/>
  </r>
  <r>
    <n v="409"/>
    <n v="40562"/>
    <x v="0"/>
    <x v="0"/>
    <x v="0"/>
    <x v="0"/>
    <x v="4"/>
    <x v="1"/>
    <x v="1"/>
    <n v="0"/>
    <n v="0.28789999999999999"/>
    <n v="0.81"/>
    <n v="0"/>
    <x v="0"/>
    <x v="0"/>
    <x v="0"/>
  </r>
  <r>
    <n v="410"/>
    <n v="40562"/>
    <x v="0"/>
    <x v="0"/>
    <x v="1"/>
    <x v="0"/>
    <x v="4"/>
    <x v="2"/>
    <x v="1"/>
    <n v="0"/>
    <n v="0.28789999999999999"/>
    <n v="0.81"/>
    <n v="0"/>
    <x v="0"/>
    <x v="0"/>
    <x v="0"/>
  </r>
  <r>
    <n v="411"/>
    <n v="40562"/>
    <x v="0"/>
    <x v="0"/>
    <x v="2"/>
    <x v="0"/>
    <x v="4"/>
    <x v="2"/>
    <x v="1"/>
    <n v="0"/>
    <n v="0.28789999999999999"/>
    <n v="0.81"/>
    <n v="0"/>
    <x v="0"/>
    <x v="0"/>
    <x v="0"/>
  </r>
  <r>
    <n v="412"/>
    <n v="40562"/>
    <x v="0"/>
    <x v="0"/>
    <x v="4"/>
    <x v="0"/>
    <x v="4"/>
    <x v="2"/>
    <x v="1"/>
    <n v="0"/>
    <n v="0.28789999999999999"/>
    <n v="0.81"/>
    <n v="0"/>
    <x v="0"/>
    <x v="0"/>
    <x v="0"/>
  </r>
  <r>
    <n v="413"/>
    <n v="40562"/>
    <x v="0"/>
    <x v="0"/>
    <x v="5"/>
    <x v="0"/>
    <x v="4"/>
    <x v="1"/>
    <x v="1"/>
    <n v="0"/>
    <n v="0.28789999999999999"/>
    <n v="0.81"/>
    <n v="0"/>
    <x v="0"/>
    <x v="0"/>
    <x v="0"/>
  </r>
  <r>
    <n v="414"/>
    <n v="40562"/>
    <x v="0"/>
    <x v="0"/>
    <x v="6"/>
    <x v="0"/>
    <x v="4"/>
    <x v="1"/>
    <x v="1"/>
    <n v="0"/>
    <n v="0.28789999999999999"/>
    <n v="0.81"/>
    <n v="0"/>
    <x v="0"/>
    <x v="0"/>
    <x v="0"/>
  </r>
  <r>
    <n v="415"/>
    <n v="40562"/>
    <x v="0"/>
    <x v="0"/>
    <x v="7"/>
    <x v="0"/>
    <x v="4"/>
    <x v="1"/>
    <x v="0"/>
    <n v="0"/>
    <n v="0.28789999999999999"/>
    <n v="0.81"/>
    <n v="0"/>
    <x v="0"/>
    <x v="0"/>
    <x v="0"/>
  </r>
  <r>
    <n v="416"/>
    <n v="40562"/>
    <x v="0"/>
    <x v="0"/>
    <x v="8"/>
    <x v="0"/>
    <x v="4"/>
    <x v="1"/>
    <x v="0"/>
    <n v="0"/>
    <n v="0.28789999999999999"/>
    <n v="0.81"/>
    <n v="0"/>
    <x v="0"/>
    <x v="0"/>
    <x v="0"/>
  </r>
  <r>
    <n v="417"/>
    <n v="40562"/>
    <x v="0"/>
    <x v="0"/>
    <x v="9"/>
    <x v="0"/>
    <x v="4"/>
    <x v="1"/>
    <x v="0"/>
    <n v="0"/>
    <n v="0.28789999999999999"/>
    <n v="0.81"/>
    <n v="0"/>
    <x v="0"/>
    <x v="0"/>
    <x v="0"/>
  </r>
  <r>
    <n v="418"/>
    <n v="40562"/>
    <x v="0"/>
    <x v="0"/>
    <x v="10"/>
    <x v="0"/>
    <x v="4"/>
    <x v="1"/>
    <x v="12"/>
    <n v="0"/>
    <n v="0.28789999999999999"/>
    <n v="0.81"/>
    <n v="0"/>
    <x v="0"/>
    <x v="0"/>
    <x v="0"/>
  </r>
  <r>
    <n v="419"/>
    <n v="40562"/>
    <x v="0"/>
    <x v="0"/>
    <x v="11"/>
    <x v="0"/>
    <x v="4"/>
    <x v="1"/>
    <x v="17"/>
    <n v="0"/>
    <n v="0.28789999999999999"/>
    <n v="0.81"/>
    <n v="0"/>
    <x v="0"/>
    <x v="0"/>
    <x v="0"/>
  </r>
  <r>
    <n v="420"/>
    <n v="40562"/>
    <x v="0"/>
    <x v="0"/>
    <x v="12"/>
    <x v="0"/>
    <x v="4"/>
    <x v="1"/>
    <x v="11"/>
    <n v="0"/>
    <n v="0.28789999999999999"/>
    <n v="0.81"/>
    <n v="0"/>
    <x v="0"/>
    <x v="0"/>
    <x v="0"/>
  </r>
  <r>
    <n v="421"/>
    <n v="40562"/>
    <x v="0"/>
    <x v="0"/>
    <x v="13"/>
    <x v="0"/>
    <x v="4"/>
    <x v="0"/>
    <x v="9"/>
    <n v="0"/>
    <n v="0.28789999999999999"/>
    <n v="0.81"/>
    <n v="0"/>
    <x v="0"/>
    <x v="0"/>
    <x v="0"/>
  </r>
  <r>
    <n v="422"/>
    <n v="40562"/>
    <x v="0"/>
    <x v="0"/>
    <x v="14"/>
    <x v="0"/>
    <x v="4"/>
    <x v="0"/>
    <x v="9"/>
    <n v="0"/>
    <n v="0.28789999999999999"/>
    <n v="0.81"/>
    <n v="0"/>
    <x v="0"/>
    <x v="0"/>
    <x v="0"/>
  </r>
  <r>
    <n v="423"/>
    <n v="40562"/>
    <x v="0"/>
    <x v="0"/>
    <x v="15"/>
    <x v="0"/>
    <x v="4"/>
    <x v="0"/>
    <x v="9"/>
    <n v="0"/>
    <n v="0.28789999999999999"/>
    <n v="0.81"/>
    <n v="0"/>
    <x v="0"/>
    <x v="0"/>
    <x v="0"/>
  </r>
  <r>
    <n v="424"/>
    <n v="40562"/>
    <x v="0"/>
    <x v="0"/>
    <x v="16"/>
    <x v="0"/>
    <x v="4"/>
    <x v="0"/>
    <x v="4"/>
    <n v="0"/>
    <n v="0.28789999999999999"/>
    <n v="0.81"/>
    <n v="0"/>
    <x v="0"/>
    <x v="0"/>
    <x v="0"/>
  </r>
  <r>
    <n v="425"/>
    <n v="40562"/>
    <x v="0"/>
    <x v="0"/>
    <x v="17"/>
    <x v="0"/>
    <x v="4"/>
    <x v="0"/>
    <x v="5"/>
    <n v="0"/>
    <n v="0.28789999999999999"/>
    <n v="0.81"/>
    <n v="0"/>
    <x v="0"/>
    <x v="0"/>
    <x v="0"/>
  </r>
  <r>
    <n v="426"/>
    <n v="40562"/>
    <x v="0"/>
    <x v="0"/>
    <x v="18"/>
    <x v="0"/>
    <x v="4"/>
    <x v="0"/>
    <x v="10"/>
    <n v="0"/>
    <n v="0.28789999999999999"/>
    <n v="0.81"/>
    <n v="0"/>
    <x v="0"/>
    <x v="0"/>
    <x v="0"/>
  </r>
  <r>
    <n v="427"/>
    <n v="40562"/>
    <x v="0"/>
    <x v="0"/>
    <x v="19"/>
    <x v="0"/>
    <x v="4"/>
    <x v="0"/>
    <x v="3"/>
    <n v="0"/>
    <n v="0.28789999999999999"/>
    <n v="0.81"/>
    <n v="0"/>
    <x v="0"/>
    <x v="0"/>
    <x v="0"/>
  </r>
  <r>
    <n v="428"/>
    <n v="40562"/>
    <x v="0"/>
    <x v="0"/>
    <x v="20"/>
    <x v="0"/>
    <x v="4"/>
    <x v="0"/>
    <x v="3"/>
    <n v="0"/>
    <n v="0.28789999999999999"/>
    <n v="0.81"/>
    <n v="0"/>
    <x v="0"/>
    <x v="0"/>
    <x v="0"/>
  </r>
  <r>
    <n v="429"/>
    <n v="40562"/>
    <x v="0"/>
    <x v="0"/>
    <x v="21"/>
    <x v="0"/>
    <x v="4"/>
    <x v="0"/>
    <x v="3"/>
    <n v="0"/>
    <n v="0.28789999999999999"/>
    <n v="0.81"/>
    <n v="0"/>
    <x v="0"/>
    <x v="0"/>
    <x v="0"/>
  </r>
  <r>
    <n v="430"/>
    <n v="40562"/>
    <x v="0"/>
    <x v="0"/>
    <x v="22"/>
    <x v="0"/>
    <x v="4"/>
    <x v="0"/>
    <x v="11"/>
    <n v="0"/>
    <n v="0.28789999999999999"/>
    <n v="0.81"/>
    <n v="0"/>
    <x v="0"/>
    <x v="0"/>
    <x v="0"/>
  </r>
  <r>
    <n v="431"/>
    <n v="40562"/>
    <x v="0"/>
    <x v="0"/>
    <x v="23"/>
    <x v="0"/>
    <x v="4"/>
    <x v="0"/>
    <x v="11"/>
    <n v="0"/>
    <n v="0.28789999999999999"/>
    <n v="0.81"/>
    <n v="0"/>
    <x v="0"/>
    <x v="0"/>
    <x v="0"/>
  </r>
  <r>
    <n v="432"/>
    <n v="40563"/>
    <x v="0"/>
    <x v="0"/>
    <x v="0"/>
    <x v="0"/>
    <x v="5"/>
    <x v="0"/>
    <x v="12"/>
    <n v="0"/>
    <n v="0.28789999999999999"/>
    <n v="0.81"/>
    <n v="0"/>
    <x v="0"/>
    <x v="0"/>
    <x v="0"/>
  </r>
  <r>
    <n v="433"/>
    <n v="40563"/>
    <x v="0"/>
    <x v="0"/>
    <x v="1"/>
    <x v="0"/>
    <x v="5"/>
    <x v="0"/>
    <x v="12"/>
    <n v="0"/>
    <n v="0.28789999999999999"/>
    <n v="0.81"/>
    <n v="0"/>
    <x v="0"/>
    <x v="0"/>
    <x v="0"/>
  </r>
  <r>
    <n v="434"/>
    <n v="40563"/>
    <x v="0"/>
    <x v="0"/>
    <x v="2"/>
    <x v="0"/>
    <x v="5"/>
    <x v="0"/>
    <x v="12"/>
    <n v="0"/>
    <n v="0.28789999999999999"/>
    <n v="0.81"/>
    <n v="0"/>
    <x v="0"/>
    <x v="0"/>
    <x v="0"/>
  </r>
  <r>
    <n v="435"/>
    <n v="40563"/>
    <x v="0"/>
    <x v="0"/>
    <x v="3"/>
    <x v="0"/>
    <x v="5"/>
    <x v="0"/>
    <x v="12"/>
    <n v="0"/>
    <n v="0.28789999999999999"/>
    <n v="0.81"/>
    <n v="0"/>
    <x v="0"/>
    <x v="0"/>
    <x v="0"/>
  </r>
  <r>
    <n v="436"/>
    <n v="40563"/>
    <x v="0"/>
    <x v="0"/>
    <x v="4"/>
    <x v="0"/>
    <x v="5"/>
    <x v="0"/>
    <x v="12"/>
    <n v="0"/>
    <n v="0.28789999999999999"/>
    <n v="0.81"/>
    <n v="0"/>
    <x v="0"/>
    <x v="0"/>
    <x v="0"/>
  </r>
  <r>
    <n v="437"/>
    <n v="40563"/>
    <x v="0"/>
    <x v="0"/>
    <x v="5"/>
    <x v="0"/>
    <x v="5"/>
    <x v="0"/>
    <x v="0"/>
    <n v="0"/>
    <n v="0.28789999999999999"/>
    <n v="0.81"/>
    <n v="0"/>
    <x v="0"/>
    <x v="0"/>
    <x v="0"/>
  </r>
  <r>
    <n v="438"/>
    <n v="40563"/>
    <x v="0"/>
    <x v="0"/>
    <x v="6"/>
    <x v="0"/>
    <x v="5"/>
    <x v="0"/>
    <x v="1"/>
    <n v="0"/>
    <n v="0.28789999999999999"/>
    <n v="0.81"/>
    <n v="0"/>
    <x v="0"/>
    <x v="0"/>
    <x v="0"/>
  </r>
  <r>
    <n v="439"/>
    <n v="40563"/>
    <x v="0"/>
    <x v="0"/>
    <x v="7"/>
    <x v="0"/>
    <x v="5"/>
    <x v="0"/>
    <x v="1"/>
    <n v="0"/>
    <n v="0.28789999999999999"/>
    <n v="0.81"/>
    <n v="0"/>
    <x v="0"/>
    <x v="0"/>
    <x v="0"/>
  </r>
  <r>
    <n v="440"/>
    <n v="40563"/>
    <x v="0"/>
    <x v="0"/>
    <x v="8"/>
    <x v="0"/>
    <x v="5"/>
    <x v="0"/>
    <x v="1"/>
    <n v="0"/>
    <n v="0.28789999999999999"/>
    <n v="0.81"/>
    <n v="0"/>
    <x v="0"/>
    <x v="0"/>
    <x v="0"/>
  </r>
  <r>
    <n v="441"/>
    <n v="40563"/>
    <x v="0"/>
    <x v="0"/>
    <x v="9"/>
    <x v="0"/>
    <x v="5"/>
    <x v="1"/>
    <x v="0"/>
    <n v="0"/>
    <n v="0.28789999999999999"/>
    <n v="0.81"/>
    <n v="0"/>
    <x v="0"/>
    <x v="0"/>
    <x v="0"/>
  </r>
  <r>
    <n v="442"/>
    <n v="40563"/>
    <x v="0"/>
    <x v="0"/>
    <x v="10"/>
    <x v="0"/>
    <x v="5"/>
    <x v="0"/>
    <x v="12"/>
    <n v="0"/>
    <n v="0.28789999999999999"/>
    <n v="0.81"/>
    <n v="0"/>
    <x v="0"/>
    <x v="0"/>
    <x v="0"/>
  </r>
  <r>
    <n v="443"/>
    <n v="40563"/>
    <x v="0"/>
    <x v="0"/>
    <x v="11"/>
    <x v="0"/>
    <x v="5"/>
    <x v="1"/>
    <x v="17"/>
    <n v="0"/>
    <n v="0.28789999999999999"/>
    <n v="0.81"/>
    <n v="0"/>
    <x v="0"/>
    <x v="0"/>
    <x v="0"/>
  </r>
  <r>
    <n v="444"/>
    <n v="40563"/>
    <x v="0"/>
    <x v="0"/>
    <x v="12"/>
    <x v="0"/>
    <x v="5"/>
    <x v="1"/>
    <x v="11"/>
    <n v="0"/>
    <n v="0.28789999999999999"/>
    <n v="0.81"/>
    <n v="0"/>
    <x v="0"/>
    <x v="0"/>
    <x v="0"/>
  </r>
  <r>
    <n v="445"/>
    <n v="40563"/>
    <x v="0"/>
    <x v="0"/>
    <x v="13"/>
    <x v="0"/>
    <x v="5"/>
    <x v="1"/>
    <x v="17"/>
    <n v="0"/>
    <n v="0.28789999999999999"/>
    <n v="0.81"/>
    <n v="0"/>
    <x v="0"/>
    <x v="0"/>
    <x v="0"/>
  </r>
  <r>
    <n v="446"/>
    <n v="40563"/>
    <x v="0"/>
    <x v="0"/>
    <x v="14"/>
    <x v="0"/>
    <x v="5"/>
    <x v="1"/>
    <x v="11"/>
    <n v="0"/>
    <n v="0.28789999999999999"/>
    <n v="0.81"/>
    <n v="0"/>
    <x v="0"/>
    <x v="0"/>
    <x v="0"/>
  </r>
  <r>
    <n v="447"/>
    <n v="40563"/>
    <x v="0"/>
    <x v="0"/>
    <x v="15"/>
    <x v="0"/>
    <x v="5"/>
    <x v="1"/>
    <x v="3"/>
    <n v="0"/>
    <n v="0.28789999999999999"/>
    <n v="0.81"/>
    <n v="0"/>
    <x v="0"/>
    <x v="0"/>
    <x v="0"/>
  </r>
  <r>
    <n v="448"/>
    <n v="40563"/>
    <x v="0"/>
    <x v="0"/>
    <x v="16"/>
    <x v="0"/>
    <x v="5"/>
    <x v="1"/>
    <x v="11"/>
    <n v="0"/>
    <n v="0.28789999999999999"/>
    <n v="0.81"/>
    <n v="0"/>
    <x v="0"/>
    <x v="0"/>
    <x v="0"/>
  </r>
  <r>
    <n v="449"/>
    <n v="40563"/>
    <x v="0"/>
    <x v="0"/>
    <x v="17"/>
    <x v="0"/>
    <x v="5"/>
    <x v="1"/>
    <x v="11"/>
    <n v="0"/>
    <n v="0.28789999999999999"/>
    <n v="0.81"/>
    <n v="0"/>
    <x v="0"/>
    <x v="0"/>
    <x v="0"/>
  </r>
  <r>
    <n v="450"/>
    <n v="40563"/>
    <x v="0"/>
    <x v="0"/>
    <x v="18"/>
    <x v="0"/>
    <x v="5"/>
    <x v="1"/>
    <x v="12"/>
    <n v="0"/>
    <n v="0.28789999999999999"/>
    <n v="0.81"/>
    <n v="0"/>
    <x v="0"/>
    <x v="0"/>
    <x v="0"/>
  </r>
  <r>
    <n v="451"/>
    <n v="40563"/>
    <x v="0"/>
    <x v="0"/>
    <x v="19"/>
    <x v="0"/>
    <x v="5"/>
    <x v="0"/>
    <x v="12"/>
    <n v="0"/>
    <n v="0.28789999999999999"/>
    <n v="0.81"/>
    <n v="0"/>
    <x v="0"/>
    <x v="0"/>
    <x v="0"/>
  </r>
  <r>
    <n v="452"/>
    <n v="40563"/>
    <x v="0"/>
    <x v="0"/>
    <x v="20"/>
    <x v="0"/>
    <x v="5"/>
    <x v="1"/>
    <x v="12"/>
    <n v="0"/>
    <n v="0.28789999999999999"/>
    <n v="0.81"/>
    <n v="0"/>
    <x v="0"/>
    <x v="0"/>
    <x v="0"/>
  </r>
  <r>
    <n v="453"/>
    <n v="40563"/>
    <x v="0"/>
    <x v="0"/>
    <x v="21"/>
    <x v="0"/>
    <x v="5"/>
    <x v="1"/>
    <x v="0"/>
    <n v="0"/>
    <n v="0.28789999999999999"/>
    <n v="0.81"/>
    <n v="0"/>
    <x v="0"/>
    <x v="0"/>
    <x v="0"/>
  </r>
  <r>
    <n v="454"/>
    <n v="40563"/>
    <x v="0"/>
    <x v="0"/>
    <x v="22"/>
    <x v="0"/>
    <x v="5"/>
    <x v="1"/>
    <x v="0"/>
    <n v="0"/>
    <n v="0.28789999999999999"/>
    <n v="0.81"/>
    <n v="0"/>
    <x v="0"/>
    <x v="0"/>
    <x v="0"/>
  </r>
  <r>
    <n v="455"/>
    <n v="40563"/>
    <x v="0"/>
    <x v="0"/>
    <x v="23"/>
    <x v="0"/>
    <x v="5"/>
    <x v="1"/>
    <x v="0"/>
    <n v="0"/>
    <n v="0.28789999999999999"/>
    <n v="0.81"/>
    <n v="0"/>
    <x v="0"/>
    <x v="0"/>
    <x v="0"/>
  </r>
  <r>
    <n v="456"/>
    <n v="40564"/>
    <x v="0"/>
    <x v="0"/>
    <x v="0"/>
    <x v="0"/>
    <x v="6"/>
    <x v="1"/>
    <x v="0"/>
    <n v="0"/>
    <n v="0.28789999999999999"/>
    <n v="0.81"/>
    <n v="0"/>
    <x v="0"/>
    <x v="0"/>
    <x v="0"/>
  </r>
  <r>
    <n v="457"/>
    <n v="40564"/>
    <x v="0"/>
    <x v="0"/>
    <x v="1"/>
    <x v="0"/>
    <x v="6"/>
    <x v="1"/>
    <x v="0"/>
    <n v="0"/>
    <n v="0.28789999999999999"/>
    <n v="0.81"/>
    <n v="0"/>
    <x v="0"/>
    <x v="0"/>
    <x v="0"/>
  </r>
  <r>
    <n v="458"/>
    <n v="40564"/>
    <x v="0"/>
    <x v="0"/>
    <x v="2"/>
    <x v="0"/>
    <x v="6"/>
    <x v="2"/>
    <x v="0"/>
    <n v="0"/>
    <n v="0.28789999999999999"/>
    <n v="0.81"/>
    <n v="0"/>
    <x v="0"/>
    <x v="0"/>
    <x v="0"/>
  </r>
  <r>
    <n v="459"/>
    <n v="40564"/>
    <x v="0"/>
    <x v="0"/>
    <x v="3"/>
    <x v="0"/>
    <x v="6"/>
    <x v="2"/>
    <x v="1"/>
    <n v="0"/>
    <n v="0.28789999999999999"/>
    <n v="0.81"/>
    <n v="0"/>
    <x v="0"/>
    <x v="0"/>
    <x v="0"/>
  </r>
  <r>
    <n v="460"/>
    <n v="40564"/>
    <x v="0"/>
    <x v="0"/>
    <x v="4"/>
    <x v="0"/>
    <x v="6"/>
    <x v="1"/>
    <x v="1"/>
    <n v="0"/>
    <n v="0.28789999999999999"/>
    <n v="0.81"/>
    <n v="0"/>
    <x v="0"/>
    <x v="0"/>
    <x v="0"/>
  </r>
  <r>
    <n v="461"/>
    <n v="40564"/>
    <x v="0"/>
    <x v="0"/>
    <x v="5"/>
    <x v="0"/>
    <x v="6"/>
    <x v="0"/>
    <x v="0"/>
    <n v="0"/>
    <n v="0.28789999999999999"/>
    <n v="0.81"/>
    <n v="0"/>
    <x v="0"/>
    <x v="0"/>
    <x v="0"/>
  </r>
  <r>
    <n v="462"/>
    <n v="40564"/>
    <x v="0"/>
    <x v="0"/>
    <x v="6"/>
    <x v="0"/>
    <x v="6"/>
    <x v="0"/>
    <x v="1"/>
    <n v="0"/>
    <n v="0.28789999999999999"/>
    <n v="0.81"/>
    <n v="0"/>
    <x v="0"/>
    <x v="0"/>
    <x v="0"/>
  </r>
  <r>
    <n v="463"/>
    <n v="40564"/>
    <x v="0"/>
    <x v="0"/>
    <x v="7"/>
    <x v="0"/>
    <x v="6"/>
    <x v="0"/>
    <x v="2"/>
    <n v="0"/>
    <n v="0.28789999999999999"/>
    <n v="0.81"/>
    <n v="0"/>
    <x v="0"/>
    <x v="0"/>
    <x v="0"/>
  </r>
  <r>
    <n v="464"/>
    <n v="40564"/>
    <x v="0"/>
    <x v="0"/>
    <x v="8"/>
    <x v="0"/>
    <x v="6"/>
    <x v="0"/>
    <x v="2"/>
    <n v="0"/>
    <n v="0.28789999999999999"/>
    <n v="0.81"/>
    <n v="0"/>
    <x v="0"/>
    <x v="0"/>
    <x v="0"/>
  </r>
  <r>
    <n v="465"/>
    <n v="40564"/>
    <x v="0"/>
    <x v="0"/>
    <x v="9"/>
    <x v="0"/>
    <x v="6"/>
    <x v="0"/>
    <x v="2"/>
    <n v="0"/>
    <n v="0.28789999999999999"/>
    <n v="0.81"/>
    <n v="0"/>
    <x v="0"/>
    <x v="0"/>
    <x v="0"/>
  </r>
  <r>
    <n v="466"/>
    <n v="40564"/>
    <x v="0"/>
    <x v="0"/>
    <x v="10"/>
    <x v="0"/>
    <x v="6"/>
    <x v="0"/>
    <x v="2"/>
    <n v="0"/>
    <n v="0.28789999999999999"/>
    <n v="0.81"/>
    <n v="0"/>
    <x v="0"/>
    <x v="0"/>
    <x v="0"/>
  </r>
  <r>
    <n v="467"/>
    <n v="40564"/>
    <x v="0"/>
    <x v="0"/>
    <x v="11"/>
    <x v="0"/>
    <x v="6"/>
    <x v="0"/>
    <x v="1"/>
    <n v="0"/>
    <n v="0.28789999999999999"/>
    <n v="0.81"/>
    <n v="0"/>
    <x v="0"/>
    <x v="0"/>
    <x v="0"/>
  </r>
  <r>
    <n v="468"/>
    <n v="40564"/>
    <x v="0"/>
    <x v="0"/>
    <x v="12"/>
    <x v="0"/>
    <x v="6"/>
    <x v="0"/>
    <x v="1"/>
    <n v="0"/>
    <n v="0.28789999999999999"/>
    <n v="0.81"/>
    <n v="0"/>
    <x v="0"/>
    <x v="0"/>
    <x v="0"/>
  </r>
  <r>
    <n v="469"/>
    <n v="40564"/>
    <x v="0"/>
    <x v="0"/>
    <x v="13"/>
    <x v="0"/>
    <x v="6"/>
    <x v="0"/>
    <x v="2"/>
    <n v="0"/>
    <n v="0.28789999999999999"/>
    <n v="0.81"/>
    <n v="0"/>
    <x v="0"/>
    <x v="0"/>
    <x v="0"/>
  </r>
  <r>
    <n v="470"/>
    <n v="40564"/>
    <x v="0"/>
    <x v="0"/>
    <x v="14"/>
    <x v="0"/>
    <x v="6"/>
    <x v="0"/>
    <x v="2"/>
    <n v="0"/>
    <n v="0.28789999999999999"/>
    <n v="0.81"/>
    <n v="0"/>
    <x v="0"/>
    <x v="0"/>
    <x v="0"/>
  </r>
  <r>
    <n v="471"/>
    <n v="40564"/>
    <x v="0"/>
    <x v="0"/>
    <x v="15"/>
    <x v="0"/>
    <x v="6"/>
    <x v="0"/>
    <x v="13"/>
    <n v="0"/>
    <n v="0.28789999999999999"/>
    <n v="0.81"/>
    <n v="0"/>
    <x v="0"/>
    <x v="0"/>
    <x v="0"/>
  </r>
  <r>
    <n v="472"/>
    <n v="40564"/>
    <x v="0"/>
    <x v="0"/>
    <x v="16"/>
    <x v="0"/>
    <x v="6"/>
    <x v="0"/>
    <x v="13"/>
    <n v="0"/>
    <n v="0.28789999999999999"/>
    <n v="0.81"/>
    <n v="0"/>
    <x v="0"/>
    <x v="0"/>
    <x v="0"/>
  </r>
  <r>
    <n v="473"/>
    <n v="40564"/>
    <x v="0"/>
    <x v="0"/>
    <x v="17"/>
    <x v="0"/>
    <x v="6"/>
    <x v="0"/>
    <x v="14"/>
    <n v="0"/>
    <n v="0.28789999999999999"/>
    <n v="0.81"/>
    <n v="0"/>
    <x v="0"/>
    <x v="0"/>
    <x v="0"/>
  </r>
  <r>
    <n v="474"/>
    <n v="40564"/>
    <x v="0"/>
    <x v="0"/>
    <x v="18"/>
    <x v="0"/>
    <x v="6"/>
    <x v="0"/>
    <x v="16"/>
    <n v="0"/>
    <n v="0.28789999999999999"/>
    <n v="0.81"/>
    <n v="0"/>
    <x v="0"/>
    <x v="0"/>
    <x v="0"/>
  </r>
  <r>
    <n v="475"/>
    <n v="40564"/>
    <x v="0"/>
    <x v="0"/>
    <x v="19"/>
    <x v="0"/>
    <x v="6"/>
    <x v="0"/>
    <x v="16"/>
    <n v="0"/>
    <n v="0.28789999999999999"/>
    <n v="0.81"/>
    <n v="0"/>
    <x v="0"/>
    <x v="0"/>
    <x v="0"/>
  </r>
  <r>
    <n v="476"/>
    <n v="40564"/>
    <x v="0"/>
    <x v="0"/>
    <x v="20"/>
    <x v="0"/>
    <x v="6"/>
    <x v="0"/>
    <x v="18"/>
    <n v="0"/>
    <n v="0.28789999999999999"/>
    <n v="0.81"/>
    <n v="0"/>
    <x v="0"/>
    <x v="0"/>
    <x v="0"/>
  </r>
  <r>
    <n v="477"/>
    <n v="40564"/>
    <x v="0"/>
    <x v="0"/>
    <x v="21"/>
    <x v="0"/>
    <x v="6"/>
    <x v="0"/>
    <x v="19"/>
    <n v="0"/>
    <n v="0.28789999999999999"/>
    <n v="0.81"/>
    <n v="0"/>
    <x v="0"/>
    <x v="0"/>
    <x v="0"/>
  </r>
  <r>
    <n v="478"/>
    <n v="40564"/>
    <x v="0"/>
    <x v="0"/>
    <x v="22"/>
    <x v="0"/>
    <x v="6"/>
    <x v="0"/>
    <x v="20"/>
    <n v="0"/>
    <n v="0.28789999999999999"/>
    <n v="0.81"/>
    <n v="0"/>
    <x v="0"/>
    <x v="0"/>
    <x v="0"/>
  </r>
  <r>
    <n v="479"/>
    <n v="40564"/>
    <x v="0"/>
    <x v="0"/>
    <x v="23"/>
    <x v="0"/>
    <x v="6"/>
    <x v="0"/>
    <x v="20"/>
    <n v="0"/>
    <n v="0.28789999999999999"/>
    <n v="0.81"/>
    <n v="0"/>
    <x v="0"/>
    <x v="0"/>
    <x v="0"/>
  </r>
  <r>
    <n v="480"/>
    <n v="40565"/>
    <x v="0"/>
    <x v="0"/>
    <x v="0"/>
    <x v="0"/>
    <x v="0"/>
    <x v="0"/>
    <x v="21"/>
    <n v="0"/>
    <n v="0.28789999999999999"/>
    <n v="0.81"/>
    <n v="0"/>
    <x v="0"/>
    <x v="0"/>
    <x v="0"/>
  </r>
  <r>
    <n v="481"/>
    <n v="40565"/>
    <x v="0"/>
    <x v="0"/>
    <x v="1"/>
    <x v="0"/>
    <x v="0"/>
    <x v="1"/>
    <x v="21"/>
    <n v="0"/>
    <n v="0.28789999999999999"/>
    <n v="0.81"/>
    <n v="0"/>
    <x v="0"/>
    <x v="0"/>
    <x v="0"/>
  </r>
  <r>
    <n v="482"/>
    <n v="40565"/>
    <x v="0"/>
    <x v="0"/>
    <x v="2"/>
    <x v="0"/>
    <x v="0"/>
    <x v="1"/>
    <x v="21"/>
    <n v="0"/>
    <n v="0.28789999999999999"/>
    <n v="0.81"/>
    <n v="0"/>
    <x v="0"/>
    <x v="0"/>
    <x v="0"/>
  </r>
  <r>
    <n v="483"/>
    <n v="40565"/>
    <x v="0"/>
    <x v="0"/>
    <x v="3"/>
    <x v="0"/>
    <x v="0"/>
    <x v="1"/>
    <x v="21"/>
    <n v="0"/>
    <n v="0.28789999999999999"/>
    <n v="0.81"/>
    <n v="0"/>
    <x v="0"/>
    <x v="0"/>
    <x v="0"/>
  </r>
  <r>
    <n v="484"/>
    <n v="40565"/>
    <x v="0"/>
    <x v="0"/>
    <x v="4"/>
    <x v="0"/>
    <x v="0"/>
    <x v="1"/>
    <x v="22"/>
    <n v="0"/>
    <n v="0.28789999999999999"/>
    <n v="0.81"/>
    <n v="0"/>
    <x v="0"/>
    <x v="0"/>
    <x v="0"/>
  </r>
  <r>
    <n v="485"/>
    <n v="40565"/>
    <x v="0"/>
    <x v="0"/>
    <x v="6"/>
    <x v="0"/>
    <x v="0"/>
    <x v="1"/>
    <x v="22"/>
    <n v="0"/>
    <n v="0.28789999999999999"/>
    <n v="0.81"/>
    <n v="0"/>
    <x v="0"/>
    <x v="0"/>
    <x v="0"/>
  </r>
  <r>
    <n v="486"/>
    <n v="40565"/>
    <x v="0"/>
    <x v="0"/>
    <x v="7"/>
    <x v="0"/>
    <x v="0"/>
    <x v="0"/>
    <x v="22"/>
    <n v="0"/>
    <n v="0.28789999999999999"/>
    <n v="0.81"/>
    <n v="0"/>
    <x v="0"/>
    <x v="0"/>
    <x v="0"/>
  </r>
  <r>
    <n v="487"/>
    <n v="40565"/>
    <x v="0"/>
    <x v="0"/>
    <x v="8"/>
    <x v="0"/>
    <x v="0"/>
    <x v="0"/>
    <x v="22"/>
    <n v="0"/>
    <n v="0.28789999999999999"/>
    <n v="0.81"/>
    <n v="0"/>
    <x v="0"/>
    <x v="0"/>
    <x v="0"/>
  </r>
  <r>
    <n v="488"/>
    <n v="40565"/>
    <x v="0"/>
    <x v="0"/>
    <x v="9"/>
    <x v="0"/>
    <x v="0"/>
    <x v="0"/>
    <x v="21"/>
    <n v="0"/>
    <n v="0.28789999999999999"/>
    <n v="0.81"/>
    <n v="0"/>
    <x v="0"/>
    <x v="0"/>
    <x v="0"/>
  </r>
  <r>
    <n v="489"/>
    <n v="40565"/>
    <x v="0"/>
    <x v="0"/>
    <x v="10"/>
    <x v="0"/>
    <x v="0"/>
    <x v="1"/>
    <x v="21"/>
    <n v="0"/>
    <n v="0.28789999999999999"/>
    <n v="0.81"/>
    <n v="0"/>
    <x v="0"/>
    <x v="0"/>
    <x v="0"/>
  </r>
  <r>
    <n v="490"/>
    <n v="40565"/>
    <x v="0"/>
    <x v="0"/>
    <x v="11"/>
    <x v="0"/>
    <x v="0"/>
    <x v="1"/>
    <x v="20"/>
    <n v="0"/>
    <n v="0.28789999999999999"/>
    <n v="0.81"/>
    <n v="0"/>
    <x v="0"/>
    <x v="0"/>
    <x v="0"/>
  </r>
  <r>
    <n v="491"/>
    <n v="40565"/>
    <x v="0"/>
    <x v="0"/>
    <x v="12"/>
    <x v="0"/>
    <x v="0"/>
    <x v="1"/>
    <x v="20"/>
    <n v="0"/>
    <n v="0.28789999999999999"/>
    <n v="0.81"/>
    <n v="0"/>
    <x v="0"/>
    <x v="0"/>
    <x v="0"/>
  </r>
  <r>
    <n v="492"/>
    <n v="40565"/>
    <x v="0"/>
    <x v="0"/>
    <x v="13"/>
    <x v="0"/>
    <x v="0"/>
    <x v="0"/>
    <x v="19"/>
    <n v="0"/>
    <n v="0.28789999999999999"/>
    <n v="0.81"/>
    <n v="0"/>
    <x v="0"/>
    <x v="0"/>
    <x v="0"/>
  </r>
  <r>
    <n v="493"/>
    <n v="40565"/>
    <x v="0"/>
    <x v="0"/>
    <x v="14"/>
    <x v="0"/>
    <x v="0"/>
    <x v="0"/>
    <x v="18"/>
    <n v="0"/>
    <n v="0.28789999999999999"/>
    <n v="0.81"/>
    <n v="0"/>
    <x v="0"/>
    <x v="0"/>
    <x v="0"/>
  </r>
  <r>
    <n v="494"/>
    <n v="40565"/>
    <x v="0"/>
    <x v="0"/>
    <x v="15"/>
    <x v="0"/>
    <x v="0"/>
    <x v="0"/>
    <x v="16"/>
    <n v="0"/>
    <n v="0.28789999999999999"/>
    <n v="0.81"/>
    <n v="0"/>
    <x v="0"/>
    <x v="0"/>
    <x v="0"/>
  </r>
  <r>
    <n v="495"/>
    <n v="40565"/>
    <x v="0"/>
    <x v="0"/>
    <x v="16"/>
    <x v="0"/>
    <x v="0"/>
    <x v="0"/>
    <x v="16"/>
    <n v="0"/>
    <n v="0.28789999999999999"/>
    <n v="0.81"/>
    <n v="0"/>
    <x v="0"/>
    <x v="0"/>
    <x v="0"/>
  </r>
  <r>
    <n v="496"/>
    <n v="40565"/>
    <x v="0"/>
    <x v="0"/>
    <x v="17"/>
    <x v="0"/>
    <x v="0"/>
    <x v="0"/>
    <x v="16"/>
    <n v="0"/>
    <n v="0.28789999999999999"/>
    <n v="0.81"/>
    <n v="0"/>
    <x v="0"/>
    <x v="0"/>
    <x v="0"/>
  </r>
  <r>
    <n v="497"/>
    <n v="40565"/>
    <x v="0"/>
    <x v="0"/>
    <x v="18"/>
    <x v="0"/>
    <x v="0"/>
    <x v="0"/>
    <x v="19"/>
    <n v="0"/>
    <n v="0.28789999999999999"/>
    <n v="0.81"/>
    <n v="0"/>
    <x v="0"/>
    <x v="0"/>
    <x v="0"/>
  </r>
  <r>
    <n v="498"/>
    <n v="40565"/>
    <x v="0"/>
    <x v="0"/>
    <x v="19"/>
    <x v="0"/>
    <x v="0"/>
    <x v="0"/>
    <x v="19"/>
    <n v="0"/>
    <n v="0.28789999999999999"/>
    <n v="0.81"/>
    <n v="0"/>
    <x v="0"/>
    <x v="0"/>
    <x v="0"/>
  </r>
  <r>
    <n v="499"/>
    <n v="40565"/>
    <x v="0"/>
    <x v="0"/>
    <x v="20"/>
    <x v="0"/>
    <x v="0"/>
    <x v="0"/>
    <x v="20"/>
    <n v="0"/>
    <n v="0.28789999999999999"/>
    <n v="0.81"/>
    <n v="0"/>
    <x v="0"/>
    <x v="0"/>
    <x v="0"/>
  </r>
  <r>
    <n v="500"/>
    <n v="40565"/>
    <x v="0"/>
    <x v="0"/>
    <x v="21"/>
    <x v="0"/>
    <x v="0"/>
    <x v="0"/>
    <x v="20"/>
    <n v="0"/>
    <n v="0.28789999999999999"/>
    <n v="0.81"/>
    <n v="0"/>
    <x v="0"/>
    <x v="0"/>
    <x v="0"/>
  </r>
  <r>
    <n v="501"/>
    <n v="40565"/>
    <x v="0"/>
    <x v="0"/>
    <x v="22"/>
    <x v="0"/>
    <x v="0"/>
    <x v="0"/>
    <x v="20"/>
    <n v="0"/>
    <n v="0.28789999999999999"/>
    <n v="0.81"/>
    <n v="0"/>
    <x v="0"/>
    <x v="0"/>
    <x v="0"/>
  </r>
  <r>
    <n v="502"/>
    <n v="40565"/>
    <x v="0"/>
    <x v="0"/>
    <x v="23"/>
    <x v="0"/>
    <x v="0"/>
    <x v="0"/>
    <x v="21"/>
    <n v="0"/>
    <n v="0.28789999999999999"/>
    <n v="0.81"/>
    <n v="0"/>
    <x v="0"/>
    <x v="0"/>
    <x v="0"/>
  </r>
  <r>
    <n v="503"/>
    <n v="40566"/>
    <x v="0"/>
    <x v="0"/>
    <x v="0"/>
    <x v="0"/>
    <x v="1"/>
    <x v="0"/>
    <x v="21"/>
    <n v="0"/>
    <n v="0.28789999999999999"/>
    <n v="0.81"/>
    <n v="0"/>
    <x v="0"/>
    <x v="0"/>
    <x v="0"/>
  </r>
  <r>
    <n v="504"/>
    <n v="40566"/>
    <x v="0"/>
    <x v="0"/>
    <x v="1"/>
    <x v="0"/>
    <x v="1"/>
    <x v="0"/>
    <x v="21"/>
    <n v="0"/>
    <n v="0.28789999999999999"/>
    <n v="0.81"/>
    <n v="0"/>
    <x v="0"/>
    <x v="0"/>
    <x v="0"/>
  </r>
  <r>
    <n v="505"/>
    <n v="40566"/>
    <x v="0"/>
    <x v="0"/>
    <x v="2"/>
    <x v="0"/>
    <x v="1"/>
    <x v="0"/>
    <x v="22"/>
    <n v="0"/>
    <n v="0.28789999999999999"/>
    <n v="0.81"/>
    <n v="0"/>
    <x v="0"/>
    <x v="0"/>
    <x v="0"/>
  </r>
  <r>
    <n v="506"/>
    <n v="40566"/>
    <x v="0"/>
    <x v="0"/>
    <x v="3"/>
    <x v="0"/>
    <x v="1"/>
    <x v="0"/>
    <x v="22"/>
    <n v="0"/>
    <n v="0.28789999999999999"/>
    <n v="0.81"/>
    <n v="0"/>
    <x v="0"/>
    <x v="0"/>
    <x v="0"/>
  </r>
  <r>
    <n v="507"/>
    <n v="40566"/>
    <x v="0"/>
    <x v="0"/>
    <x v="5"/>
    <x v="0"/>
    <x v="1"/>
    <x v="1"/>
    <x v="21"/>
    <n v="0"/>
    <n v="0.28789999999999999"/>
    <n v="0.81"/>
    <n v="0"/>
    <x v="0"/>
    <x v="0"/>
    <x v="0"/>
  </r>
  <r>
    <n v="508"/>
    <n v="40566"/>
    <x v="0"/>
    <x v="0"/>
    <x v="6"/>
    <x v="0"/>
    <x v="1"/>
    <x v="1"/>
    <x v="21"/>
    <n v="0"/>
    <n v="0.28789999999999999"/>
    <n v="0.81"/>
    <n v="0"/>
    <x v="0"/>
    <x v="0"/>
    <x v="0"/>
  </r>
  <r>
    <n v="509"/>
    <n v="40566"/>
    <x v="0"/>
    <x v="0"/>
    <x v="7"/>
    <x v="0"/>
    <x v="1"/>
    <x v="0"/>
    <x v="19"/>
    <n v="0"/>
    <n v="0.28789999999999999"/>
    <n v="0.81"/>
    <n v="0"/>
    <x v="0"/>
    <x v="0"/>
    <x v="0"/>
  </r>
  <r>
    <n v="510"/>
    <n v="40566"/>
    <x v="0"/>
    <x v="0"/>
    <x v="8"/>
    <x v="0"/>
    <x v="1"/>
    <x v="0"/>
    <x v="20"/>
    <n v="0"/>
    <n v="0.28789999999999999"/>
    <n v="0.81"/>
    <n v="0"/>
    <x v="0"/>
    <x v="0"/>
    <x v="0"/>
  </r>
  <r>
    <n v="511"/>
    <n v="40566"/>
    <x v="0"/>
    <x v="0"/>
    <x v="9"/>
    <x v="0"/>
    <x v="1"/>
    <x v="0"/>
    <x v="18"/>
    <n v="0"/>
    <n v="0.28789999999999999"/>
    <n v="0.81"/>
    <n v="0"/>
    <x v="0"/>
    <x v="0"/>
    <x v="0"/>
  </r>
  <r>
    <n v="512"/>
    <n v="40566"/>
    <x v="0"/>
    <x v="0"/>
    <x v="10"/>
    <x v="0"/>
    <x v="1"/>
    <x v="0"/>
    <x v="14"/>
    <n v="0"/>
    <n v="0.28789999999999999"/>
    <n v="0.81"/>
    <n v="0"/>
    <x v="0"/>
    <x v="0"/>
    <x v="0"/>
  </r>
  <r>
    <n v="513"/>
    <n v="40566"/>
    <x v="0"/>
    <x v="0"/>
    <x v="11"/>
    <x v="0"/>
    <x v="1"/>
    <x v="0"/>
    <x v="14"/>
    <n v="0"/>
    <n v="0.28789999999999999"/>
    <n v="0.81"/>
    <n v="0"/>
    <x v="0"/>
    <x v="0"/>
    <x v="0"/>
  </r>
  <r>
    <n v="514"/>
    <n v="40566"/>
    <x v="0"/>
    <x v="0"/>
    <x v="12"/>
    <x v="0"/>
    <x v="1"/>
    <x v="0"/>
    <x v="13"/>
    <n v="0"/>
    <n v="0.28789999999999999"/>
    <n v="0.81"/>
    <n v="0"/>
    <x v="0"/>
    <x v="0"/>
    <x v="0"/>
  </r>
  <r>
    <n v="515"/>
    <n v="40566"/>
    <x v="0"/>
    <x v="0"/>
    <x v="13"/>
    <x v="0"/>
    <x v="1"/>
    <x v="0"/>
    <x v="14"/>
    <n v="0"/>
    <n v="0.28789999999999999"/>
    <n v="0.81"/>
    <n v="0"/>
    <x v="0"/>
    <x v="0"/>
    <x v="0"/>
  </r>
  <r>
    <n v="516"/>
    <n v="40566"/>
    <x v="0"/>
    <x v="0"/>
    <x v="14"/>
    <x v="0"/>
    <x v="1"/>
    <x v="0"/>
    <x v="13"/>
    <n v="0"/>
    <n v="0.28789999999999999"/>
    <n v="0.81"/>
    <n v="0"/>
    <x v="0"/>
    <x v="0"/>
    <x v="0"/>
  </r>
  <r>
    <n v="517"/>
    <n v="40566"/>
    <x v="0"/>
    <x v="0"/>
    <x v="15"/>
    <x v="0"/>
    <x v="1"/>
    <x v="0"/>
    <x v="13"/>
    <n v="0"/>
    <n v="0.28789999999999999"/>
    <n v="0.81"/>
    <n v="0"/>
    <x v="0"/>
    <x v="0"/>
    <x v="0"/>
  </r>
  <r>
    <n v="518"/>
    <n v="40566"/>
    <x v="0"/>
    <x v="0"/>
    <x v="16"/>
    <x v="0"/>
    <x v="1"/>
    <x v="0"/>
    <x v="13"/>
    <n v="0"/>
    <n v="0.28789999999999999"/>
    <n v="0.81"/>
    <n v="0"/>
    <x v="0"/>
    <x v="0"/>
    <x v="0"/>
  </r>
  <r>
    <n v="519"/>
    <n v="40566"/>
    <x v="0"/>
    <x v="0"/>
    <x v="17"/>
    <x v="0"/>
    <x v="1"/>
    <x v="0"/>
    <x v="14"/>
    <n v="0"/>
    <n v="0.28789999999999999"/>
    <n v="0.81"/>
    <n v="0"/>
    <x v="0"/>
    <x v="0"/>
    <x v="0"/>
  </r>
  <r>
    <n v="520"/>
    <n v="40566"/>
    <x v="0"/>
    <x v="0"/>
    <x v="18"/>
    <x v="0"/>
    <x v="1"/>
    <x v="0"/>
    <x v="16"/>
    <n v="0"/>
    <n v="0.28789999999999999"/>
    <n v="0.81"/>
    <n v="0"/>
    <x v="0"/>
    <x v="0"/>
    <x v="0"/>
  </r>
  <r>
    <n v="521"/>
    <n v="40566"/>
    <x v="0"/>
    <x v="0"/>
    <x v="19"/>
    <x v="0"/>
    <x v="1"/>
    <x v="0"/>
    <x v="16"/>
    <n v="0"/>
    <n v="0.28789999999999999"/>
    <n v="0.81"/>
    <n v="0"/>
    <x v="0"/>
    <x v="0"/>
    <x v="0"/>
  </r>
  <r>
    <n v="522"/>
    <n v="40566"/>
    <x v="0"/>
    <x v="0"/>
    <x v="20"/>
    <x v="0"/>
    <x v="1"/>
    <x v="0"/>
    <x v="18"/>
    <n v="0"/>
    <n v="0.28789999999999999"/>
    <n v="0.81"/>
    <n v="0"/>
    <x v="0"/>
    <x v="0"/>
    <x v="0"/>
  </r>
  <r>
    <n v="523"/>
    <n v="40566"/>
    <x v="0"/>
    <x v="0"/>
    <x v="21"/>
    <x v="0"/>
    <x v="1"/>
    <x v="0"/>
    <x v="18"/>
    <n v="0"/>
    <n v="0.28789999999999999"/>
    <n v="0.81"/>
    <n v="0"/>
    <x v="0"/>
    <x v="0"/>
    <x v="0"/>
  </r>
  <r>
    <n v="524"/>
    <n v="40566"/>
    <x v="0"/>
    <x v="0"/>
    <x v="22"/>
    <x v="0"/>
    <x v="1"/>
    <x v="0"/>
    <x v="19"/>
    <n v="0"/>
    <n v="0.28789999999999999"/>
    <n v="0.81"/>
    <n v="0"/>
    <x v="0"/>
    <x v="0"/>
    <x v="0"/>
  </r>
  <r>
    <n v="525"/>
    <n v="40566"/>
    <x v="0"/>
    <x v="0"/>
    <x v="23"/>
    <x v="0"/>
    <x v="1"/>
    <x v="0"/>
    <x v="20"/>
    <n v="0"/>
    <n v="0.28789999999999999"/>
    <n v="0.81"/>
    <n v="0"/>
    <x v="0"/>
    <x v="0"/>
    <x v="0"/>
  </r>
  <r>
    <n v="526"/>
    <n v="40567"/>
    <x v="0"/>
    <x v="0"/>
    <x v="0"/>
    <x v="0"/>
    <x v="2"/>
    <x v="0"/>
    <x v="20"/>
    <n v="0"/>
    <n v="0.28789999999999999"/>
    <n v="0.81"/>
    <n v="0"/>
    <x v="0"/>
    <x v="0"/>
    <x v="0"/>
  </r>
  <r>
    <n v="527"/>
    <n v="40567"/>
    <x v="0"/>
    <x v="0"/>
    <x v="1"/>
    <x v="0"/>
    <x v="2"/>
    <x v="0"/>
    <x v="21"/>
    <n v="0"/>
    <n v="0.28789999999999999"/>
    <n v="0.81"/>
    <n v="0"/>
    <x v="0"/>
    <x v="0"/>
    <x v="0"/>
  </r>
  <r>
    <n v="528"/>
    <n v="40567"/>
    <x v="0"/>
    <x v="0"/>
    <x v="3"/>
    <x v="0"/>
    <x v="2"/>
    <x v="0"/>
    <x v="21"/>
    <n v="0"/>
    <n v="0.28789999999999999"/>
    <n v="0.81"/>
    <n v="0"/>
    <x v="0"/>
    <x v="0"/>
    <x v="0"/>
  </r>
  <r>
    <n v="529"/>
    <n v="40567"/>
    <x v="0"/>
    <x v="0"/>
    <x v="4"/>
    <x v="0"/>
    <x v="2"/>
    <x v="0"/>
    <x v="22"/>
    <n v="0"/>
    <n v="0.28789999999999999"/>
    <n v="0.81"/>
    <n v="0"/>
    <x v="0"/>
    <x v="0"/>
    <x v="0"/>
  </r>
  <r>
    <n v="530"/>
    <n v="40567"/>
    <x v="0"/>
    <x v="0"/>
    <x v="5"/>
    <x v="0"/>
    <x v="2"/>
    <x v="0"/>
    <x v="22"/>
    <n v="0"/>
    <n v="0.28789999999999999"/>
    <n v="0.81"/>
    <n v="0"/>
    <x v="0"/>
    <x v="0"/>
    <x v="0"/>
  </r>
  <r>
    <n v="531"/>
    <n v="40567"/>
    <x v="0"/>
    <x v="0"/>
    <x v="6"/>
    <x v="0"/>
    <x v="2"/>
    <x v="0"/>
    <x v="22"/>
    <n v="0"/>
    <n v="0.28789999999999999"/>
    <n v="0.81"/>
    <n v="0"/>
    <x v="0"/>
    <x v="0"/>
    <x v="0"/>
  </r>
  <r>
    <n v="532"/>
    <n v="40567"/>
    <x v="0"/>
    <x v="0"/>
    <x v="7"/>
    <x v="0"/>
    <x v="2"/>
    <x v="0"/>
    <x v="22"/>
    <n v="0"/>
    <n v="0.28789999999999999"/>
    <n v="0.81"/>
    <n v="0"/>
    <x v="0"/>
    <x v="0"/>
    <x v="0"/>
  </r>
  <r>
    <n v="533"/>
    <n v="40567"/>
    <x v="0"/>
    <x v="0"/>
    <x v="8"/>
    <x v="0"/>
    <x v="2"/>
    <x v="0"/>
    <x v="21"/>
    <n v="0"/>
    <n v="0.28789999999999999"/>
    <n v="0.81"/>
    <n v="0"/>
    <x v="0"/>
    <x v="0"/>
    <x v="0"/>
  </r>
  <r>
    <n v="534"/>
    <n v="40567"/>
    <x v="0"/>
    <x v="0"/>
    <x v="9"/>
    <x v="0"/>
    <x v="2"/>
    <x v="0"/>
    <x v="20"/>
    <n v="0"/>
    <n v="0.28789999999999999"/>
    <n v="0.81"/>
    <n v="0"/>
    <x v="0"/>
    <x v="0"/>
    <x v="0"/>
  </r>
  <r>
    <n v="535"/>
    <n v="40567"/>
    <x v="0"/>
    <x v="0"/>
    <x v="10"/>
    <x v="0"/>
    <x v="2"/>
    <x v="0"/>
    <x v="18"/>
    <n v="0"/>
    <n v="0.28789999999999999"/>
    <n v="0.81"/>
    <n v="0"/>
    <x v="0"/>
    <x v="0"/>
    <x v="0"/>
  </r>
  <r>
    <n v="536"/>
    <n v="40567"/>
    <x v="0"/>
    <x v="0"/>
    <x v="11"/>
    <x v="0"/>
    <x v="2"/>
    <x v="0"/>
    <x v="18"/>
    <n v="0"/>
    <n v="0.28789999999999999"/>
    <n v="0.81"/>
    <n v="0"/>
    <x v="0"/>
    <x v="0"/>
    <x v="0"/>
  </r>
  <r>
    <n v="537"/>
    <n v="40567"/>
    <x v="0"/>
    <x v="0"/>
    <x v="12"/>
    <x v="0"/>
    <x v="2"/>
    <x v="1"/>
    <x v="16"/>
    <n v="0"/>
    <n v="0.28789999999999999"/>
    <n v="0.81"/>
    <n v="0"/>
    <x v="0"/>
    <x v="0"/>
    <x v="0"/>
  </r>
  <r>
    <n v="538"/>
    <n v="40567"/>
    <x v="0"/>
    <x v="0"/>
    <x v="13"/>
    <x v="0"/>
    <x v="2"/>
    <x v="1"/>
    <x v="14"/>
    <n v="0"/>
    <n v="0.28789999999999999"/>
    <n v="0.81"/>
    <n v="0"/>
    <x v="0"/>
    <x v="0"/>
    <x v="0"/>
  </r>
  <r>
    <n v="539"/>
    <n v="40567"/>
    <x v="0"/>
    <x v="0"/>
    <x v="14"/>
    <x v="0"/>
    <x v="2"/>
    <x v="1"/>
    <x v="14"/>
    <n v="0"/>
    <n v="0.28789999999999999"/>
    <n v="0.81"/>
    <n v="0"/>
    <x v="0"/>
    <x v="0"/>
    <x v="0"/>
  </r>
  <r>
    <n v="540"/>
    <n v="40567"/>
    <x v="0"/>
    <x v="0"/>
    <x v="15"/>
    <x v="0"/>
    <x v="2"/>
    <x v="0"/>
    <x v="13"/>
    <n v="0"/>
    <n v="0.28789999999999999"/>
    <n v="0.81"/>
    <n v="0"/>
    <x v="0"/>
    <x v="0"/>
    <x v="0"/>
  </r>
  <r>
    <n v="541"/>
    <n v="40567"/>
    <x v="0"/>
    <x v="0"/>
    <x v="16"/>
    <x v="0"/>
    <x v="2"/>
    <x v="0"/>
    <x v="13"/>
    <n v="0"/>
    <n v="0.28789999999999999"/>
    <n v="0.81"/>
    <n v="0"/>
    <x v="0"/>
    <x v="0"/>
    <x v="0"/>
  </r>
  <r>
    <n v="542"/>
    <n v="40567"/>
    <x v="0"/>
    <x v="0"/>
    <x v="17"/>
    <x v="0"/>
    <x v="2"/>
    <x v="0"/>
    <x v="14"/>
    <n v="0"/>
    <n v="0.28789999999999999"/>
    <n v="0.81"/>
    <n v="0"/>
    <x v="0"/>
    <x v="0"/>
    <x v="0"/>
  </r>
  <r>
    <n v="543"/>
    <n v="40567"/>
    <x v="0"/>
    <x v="0"/>
    <x v="18"/>
    <x v="0"/>
    <x v="2"/>
    <x v="0"/>
    <x v="14"/>
    <n v="0"/>
    <n v="0.28789999999999999"/>
    <n v="0.81"/>
    <n v="0"/>
    <x v="0"/>
    <x v="0"/>
    <x v="0"/>
  </r>
  <r>
    <n v="544"/>
    <n v="40567"/>
    <x v="0"/>
    <x v="0"/>
    <x v="19"/>
    <x v="0"/>
    <x v="2"/>
    <x v="0"/>
    <x v="14"/>
    <n v="0"/>
    <n v="0.28789999999999999"/>
    <n v="0.81"/>
    <n v="0"/>
    <x v="0"/>
    <x v="0"/>
    <x v="0"/>
  </r>
  <r>
    <n v="545"/>
    <n v="40567"/>
    <x v="0"/>
    <x v="0"/>
    <x v="20"/>
    <x v="0"/>
    <x v="2"/>
    <x v="0"/>
    <x v="14"/>
    <n v="0"/>
    <n v="0.28789999999999999"/>
    <n v="0.81"/>
    <n v="0"/>
    <x v="0"/>
    <x v="0"/>
    <x v="0"/>
  </r>
  <r>
    <n v="546"/>
    <n v="40567"/>
    <x v="0"/>
    <x v="0"/>
    <x v="21"/>
    <x v="0"/>
    <x v="2"/>
    <x v="0"/>
    <x v="14"/>
    <n v="0"/>
    <n v="0.28789999999999999"/>
    <n v="0.81"/>
    <n v="0"/>
    <x v="0"/>
    <x v="0"/>
    <x v="0"/>
  </r>
  <r>
    <n v="547"/>
    <n v="40567"/>
    <x v="0"/>
    <x v="0"/>
    <x v="22"/>
    <x v="0"/>
    <x v="2"/>
    <x v="1"/>
    <x v="14"/>
    <n v="0"/>
    <n v="0.28789999999999999"/>
    <n v="0.81"/>
    <n v="0"/>
    <x v="0"/>
    <x v="0"/>
    <x v="0"/>
  </r>
  <r>
    <n v="548"/>
    <n v="40567"/>
    <x v="0"/>
    <x v="0"/>
    <x v="23"/>
    <x v="0"/>
    <x v="2"/>
    <x v="1"/>
    <x v="13"/>
    <n v="0"/>
    <n v="0.28789999999999999"/>
    <n v="0.81"/>
    <n v="0"/>
    <x v="0"/>
    <x v="0"/>
    <x v="0"/>
  </r>
  <r>
    <n v="549"/>
    <n v="40568"/>
    <x v="0"/>
    <x v="0"/>
    <x v="0"/>
    <x v="0"/>
    <x v="3"/>
    <x v="1"/>
    <x v="13"/>
    <n v="0"/>
    <n v="0.28789999999999999"/>
    <n v="0.81"/>
    <n v="0"/>
    <x v="0"/>
    <x v="0"/>
    <x v="0"/>
  </r>
  <r>
    <n v="550"/>
    <n v="40568"/>
    <x v="0"/>
    <x v="0"/>
    <x v="1"/>
    <x v="0"/>
    <x v="3"/>
    <x v="1"/>
    <x v="13"/>
    <n v="0"/>
    <n v="0.28789999999999999"/>
    <n v="0.81"/>
    <n v="0"/>
    <x v="0"/>
    <x v="0"/>
    <x v="0"/>
  </r>
  <r>
    <n v="551"/>
    <n v="40568"/>
    <x v="0"/>
    <x v="0"/>
    <x v="2"/>
    <x v="0"/>
    <x v="3"/>
    <x v="0"/>
    <x v="13"/>
    <n v="0"/>
    <n v="0.28789999999999999"/>
    <n v="0.81"/>
    <n v="0"/>
    <x v="0"/>
    <x v="0"/>
    <x v="0"/>
  </r>
  <r>
    <n v="552"/>
    <n v="40568"/>
    <x v="0"/>
    <x v="0"/>
    <x v="4"/>
    <x v="0"/>
    <x v="3"/>
    <x v="0"/>
    <x v="14"/>
    <n v="0"/>
    <n v="0.28789999999999999"/>
    <n v="0.81"/>
    <n v="0"/>
    <x v="0"/>
    <x v="0"/>
    <x v="0"/>
  </r>
  <r>
    <n v="553"/>
    <n v="40568"/>
    <x v="0"/>
    <x v="0"/>
    <x v="5"/>
    <x v="0"/>
    <x v="3"/>
    <x v="0"/>
    <x v="14"/>
    <n v="0"/>
    <n v="0.28789999999999999"/>
    <n v="0.81"/>
    <n v="0"/>
    <x v="0"/>
    <x v="0"/>
    <x v="0"/>
  </r>
  <r>
    <n v="554"/>
    <n v="40568"/>
    <x v="0"/>
    <x v="0"/>
    <x v="6"/>
    <x v="0"/>
    <x v="3"/>
    <x v="0"/>
    <x v="13"/>
    <n v="0"/>
    <n v="0.28789999999999999"/>
    <n v="0.81"/>
    <n v="0"/>
    <x v="0"/>
    <x v="0"/>
    <x v="0"/>
  </r>
  <r>
    <n v="555"/>
    <n v="40568"/>
    <x v="0"/>
    <x v="0"/>
    <x v="7"/>
    <x v="0"/>
    <x v="3"/>
    <x v="0"/>
    <x v="13"/>
    <n v="0"/>
    <n v="0.28789999999999999"/>
    <n v="0.81"/>
    <n v="0"/>
    <x v="0"/>
    <x v="0"/>
    <x v="0"/>
  </r>
  <r>
    <n v="556"/>
    <n v="40568"/>
    <x v="0"/>
    <x v="0"/>
    <x v="8"/>
    <x v="0"/>
    <x v="3"/>
    <x v="1"/>
    <x v="13"/>
    <n v="0"/>
    <n v="0.28789999999999999"/>
    <n v="0.81"/>
    <n v="0"/>
    <x v="0"/>
    <x v="0"/>
    <x v="0"/>
  </r>
  <r>
    <n v="557"/>
    <n v="40568"/>
    <x v="0"/>
    <x v="0"/>
    <x v="9"/>
    <x v="0"/>
    <x v="3"/>
    <x v="1"/>
    <x v="2"/>
    <n v="0"/>
    <n v="0.28789999999999999"/>
    <n v="0.81"/>
    <n v="0"/>
    <x v="0"/>
    <x v="0"/>
    <x v="0"/>
  </r>
  <r>
    <n v="558"/>
    <n v="40568"/>
    <x v="0"/>
    <x v="0"/>
    <x v="10"/>
    <x v="0"/>
    <x v="3"/>
    <x v="1"/>
    <x v="1"/>
    <n v="0"/>
    <n v="0.28789999999999999"/>
    <n v="0.81"/>
    <n v="0"/>
    <x v="0"/>
    <x v="0"/>
    <x v="0"/>
  </r>
  <r>
    <n v="559"/>
    <n v="40568"/>
    <x v="0"/>
    <x v="0"/>
    <x v="11"/>
    <x v="0"/>
    <x v="3"/>
    <x v="1"/>
    <x v="0"/>
    <n v="0"/>
    <n v="0.28789999999999999"/>
    <n v="0.81"/>
    <n v="0"/>
    <x v="0"/>
    <x v="0"/>
    <x v="0"/>
  </r>
  <r>
    <n v="560"/>
    <n v="40568"/>
    <x v="0"/>
    <x v="0"/>
    <x v="12"/>
    <x v="0"/>
    <x v="3"/>
    <x v="1"/>
    <x v="12"/>
    <n v="0"/>
    <n v="0.28789999999999999"/>
    <n v="0.81"/>
    <n v="0"/>
    <x v="0"/>
    <x v="0"/>
    <x v="0"/>
  </r>
  <r>
    <n v="561"/>
    <n v="40568"/>
    <x v="0"/>
    <x v="0"/>
    <x v="13"/>
    <x v="0"/>
    <x v="3"/>
    <x v="1"/>
    <x v="12"/>
    <n v="0"/>
    <n v="0.28789999999999999"/>
    <n v="0.81"/>
    <n v="0"/>
    <x v="0"/>
    <x v="0"/>
    <x v="0"/>
  </r>
  <r>
    <n v="562"/>
    <n v="40568"/>
    <x v="0"/>
    <x v="0"/>
    <x v="14"/>
    <x v="0"/>
    <x v="3"/>
    <x v="1"/>
    <x v="11"/>
    <n v="0"/>
    <n v="0.28789999999999999"/>
    <n v="0.81"/>
    <n v="0"/>
    <x v="0"/>
    <x v="0"/>
    <x v="0"/>
  </r>
  <r>
    <n v="563"/>
    <n v="40568"/>
    <x v="0"/>
    <x v="0"/>
    <x v="15"/>
    <x v="0"/>
    <x v="3"/>
    <x v="1"/>
    <x v="3"/>
    <n v="0"/>
    <n v="0.28789999999999999"/>
    <n v="0.81"/>
    <n v="0"/>
    <x v="0"/>
    <x v="0"/>
    <x v="0"/>
  </r>
  <r>
    <n v="564"/>
    <n v="40568"/>
    <x v="0"/>
    <x v="0"/>
    <x v="16"/>
    <x v="0"/>
    <x v="3"/>
    <x v="1"/>
    <x v="3"/>
    <n v="0"/>
    <n v="0.28789999999999999"/>
    <n v="0.81"/>
    <n v="0"/>
    <x v="0"/>
    <x v="0"/>
    <x v="0"/>
  </r>
  <r>
    <n v="565"/>
    <n v="40568"/>
    <x v="0"/>
    <x v="0"/>
    <x v="17"/>
    <x v="0"/>
    <x v="3"/>
    <x v="0"/>
    <x v="11"/>
    <n v="0"/>
    <n v="0.28789999999999999"/>
    <n v="0.81"/>
    <n v="0"/>
    <x v="0"/>
    <x v="0"/>
    <x v="0"/>
  </r>
  <r>
    <n v="566"/>
    <n v="40568"/>
    <x v="0"/>
    <x v="0"/>
    <x v="18"/>
    <x v="0"/>
    <x v="3"/>
    <x v="1"/>
    <x v="11"/>
    <n v="0"/>
    <n v="0.28789999999999999"/>
    <n v="0.81"/>
    <n v="0"/>
    <x v="0"/>
    <x v="0"/>
    <x v="0"/>
  </r>
  <r>
    <n v="567"/>
    <n v="40568"/>
    <x v="0"/>
    <x v="0"/>
    <x v="19"/>
    <x v="0"/>
    <x v="3"/>
    <x v="1"/>
    <x v="12"/>
    <n v="0"/>
    <n v="0.28789999999999999"/>
    <n v="0.81"/>
    <n v="0"/>
    <x v="0"/>
    <x v="0"/>
    <x v="0"/>
  </r>
  <r>
    <n v="568"/>
    <n v="40568"/>
    <x v="0"/>
    <x v="0"/>
    <x v="20"/>
    <x v="0"/>
    <x v="3"/>
    <x v="0"/>
    <x v="0"/>
    <n v="0"/>
    <n v="0.28789999999999999"/>
    <n v="0.81"/>
    <n v="0"/>
    <x v="0"/>
    <x v="0"/>
    <x v="0"/>
  </r>
  <r>
    <n v="569"/>
    <n v="40568"/>
    <x v="0"/>
    <x v="0"/>
    <x v="21"/>
    <x v="0"/>
    <x v="3"/>
    <x v="0"/>
    <x v="0"/>
    <n v="0"/>
    <n v="0.28789999999999999"/>
    <n v="0.81"/>
    <n v="0"/>
    <x v="0"/>
    <x v="0"/>
    <x v="0"/>
  </r>
  <r>
    <n v="570"/>
    <n v="40568"/>
    <x v="0"/>
    <x v="0"/>
    <x v="22"/>
    <x v="0"/>
    <x v="3"/>
    <x v="0"/>
    <x v="1"/>
    <n v="0"/>
    <n v="0.28789999999999999"/>
    <n v="0.81"/>
    <n v="0"/>
    <x v="0"/>
    <x v="0"/>
    <x v="0"/>
  </r>
  <r>
    <n v="571"/>
    <n v="40568"/>
    <x v="0"/>
    <x v="0"/>
    <x v="23"/>
    <x v="0"/>
    <x v="3"/>
    <x v="1"/>
    <x v="1"/>
    <n v="0"/>
    <n v="0.28789999999999999"/>
    <n v="0.81"/>
    <n v="0"/>
    <x v="0"/>
    <x v="0"/>
    <x v="0"/>
  </r>
  <r>
    <n v="572"/>
    <n v="40569"/>
    <x v="0"/>
    <x v="0"/>
    <x v="0"/>
    <x v="0"/>
    <x v="4"/>
    <x v="1"/>
    <x v="1"/>
    <n v="0"/>
    <n v="0.28789999999999999"/>
    <n v="0.81"/>
    <n v="0"/>
    <x v="0"/>
    <x v="0"/>
    <x v="0"/>
  </r>
  <r>
    <n v="573"/>
    <n v="40569"/>
    <x v="0"/>
    <x v="0"/>
    <x v="1"/>
    <x v="0"/>
    <x v="4"/>
    <x v="1"/>
    <x v="0"/>
    <n v="0"/>
    <n v="0.28789999999999999"/>
    <n v="0.81"/>
    <n v="0"/>
    <x v="0"/>
    <x v="0"/>
    <x v="0"/>
  </r>
  <r>
    <n v="574"/>
    <n v="40569"/>
    <x v="0"/>
    <x v="0"/>
    <x v="2"/>
    <x v="0"/>
    <x v="4"/>
    <x v="2"/>
    <x v="1"/>
    <n v="0"/>
    <n v="0.28789999999999999"/>
    <n v="0.81"/>
    <n v="0"/>
    <x v="0"/>
    <x v="0"/>
    <x v="0"/>
  </r>
  <r>
    <n v="575"/>
    <n v="40569"/>
    <x v="0"/>
    <x v="0"/>
    <x v="5"/>
    <x v="0"/>
    <x v="4"/>
    <x v="2"/>
    <x v="2"/>
    <n v="0"/>
    <n v="0.28789999999999999"/>
    <n v="0.81"/>
    <n v="0"/>
    <x v="0"/>
    <x v="0"/>
    <x v="0"/>
  </r>
  <r>
    <n v="576"/>
    <n v="40569"/>
    <x v="0"/>
    <x v="0"/>
    <x v="6"/>
    <x v="0"/>
    <x v="4"/>
    <x v="2"/>
    <x v="2"/>
    <n v="0"/>
    <n v="0.28789999999999999"/>
    <n v="0.81"/>
    <n v="0"/>
    <x v="0"/>
    <x v="0"/>
    <x v="0"/>
  </r>
  <r>
    <n v="577"/>
    <n v="40569"/>
    <x v="0"/>
    <x v="0"/>
    <x v="7"/>
    <x v="0"/>
    <x v="4"/>
    <x v="2"/>
    <x v="1"/>
    <n v="0"/>
    <n v="0.28789999999999999"/>
    <n v="0.81"/>
    <n v="0"/>
    <x v="0"/>
    <x v="0"/>
    <x v="0"/>
  </r>
  <r>
    <n v="578"/>
    <n v="40569"/>
    <x v="0"/>
    <x v="0"/>
    <x v="8"/>
    <x v="0"/>
    <x v="4"/>
    <x v="2"/>
    <x v="1"/>
    <n v="0"/>
    <n v="0.28789999999999999"/>
    <n v="0.81"/>
    <n v="0"/>
    <x v="0"/>
    <x v="0"/>
    <x v="0"/>
  </r>
  <r>
    <n v="579"/>
    <n v="40569"/>
    <x v="0"/>
    <x v="0"/>
    <x v="9"/>
    <x v="0"/>
    <x v="4"/>
    <x v="2"/>
    <x v="1"/>
    <n v="0"/>
    <n v="0.28789999999999999"/>
    <n v="0.81"/>
    <n v="0"/>
    <x v="0"/>
    <x v="0"/>
    <x v="0"/>
  </r>
  <r>
    <n v="580"/>
    <n v="40569"/>
    <x v="0"/>
    <x v="0"/>
    <x v="10"/>
    <x v="0"/>
    <x v="4"/>
    <x v="2"/>
    <x v="1"/>
    <n v="0"/>
    <n v="0.28789999999999999"/>
    <n v="0.81"/>
    <n v="0"/>
    <x v="0"/>
    <x v="0"/>
    <x v="0"/>
  </r>
  <r>
    <n v="581"/>
    <n v="40569"/>
    <x v="0"/>
    <x v="0"/>
    <x v="11"/>
    <x v="0"/>
    <x v="4"/>
    <x v="2"/>
    <x v="1"/>
    <n v="0"/>
    <n v="0.28789999999999999"/>
    <n v="0.81"/>
    <n v="0"/>
    <x v="0"/>
    <x v="0"/>
    <x v="0"/>
  </r>
  <r>
    <n v="582"/>
    <n v="40569"/>
    <x v="0"/>
    <x v="0"/>
    <x v="12"/>
    <x v="0"/>
    <x v="4"/>
    <x v="2"/>
    <x v="1"/>
    <n v="0"/>
    <n v="0.28789999999999999"/>
    <n v="0.81"/>
    <n v="0"/>
    <x v="0"/>
    <x v="0"/>
    <x v="0"/>
  </r>
  <r>
    <n v="583"/>
    <n v="40569"/>
    <x v="0"/>
    <x v="0"/>
    <x v="13"/>
    <x v="0"/>
    <x v="4"/>
    <x v="2"/>
    <x v="1"/>
    <n v="0"/>
    <n v="0.28789999999999999"/>
    <n v="0.81"/>
    <n v="0"/>
    <x v="0"/>
    <x v="0"/>
    <x v="0"/>
  </r>
  <r>
    <n v="584"/>
    <n v="40569"/>
    <x v="0"/>
    <x v="0"/>
    <x v="14"/>
    <x v="0"/>
    <x v="4"/>
    <x v="2"/>
    <x v="1"/>
    <n v="0"/>
    <n v="0.28789999999999999"/>
    <n v="0.81"/>
    <n v="0"/>
    <x v="0"/>
    <x v="0"/>
    <x v="0"/>
  </r>
  <r>
    <n v="585"/>
    <n v="40569"/>
    <x v="0"/>
    <x v="0"/>
    <x v="15"/>
    <x v="0"/>
    <x v="4"/>
    <x v="2"/>
    <x v="1"/>
    <n v="0"/>
    <n v="0.28789999999999999"/>
    <n v="0.81"/>
    <n v="0"/>
    <x v="0"/>
    <x v="0"/>
    <x v="0"/>
  </r>
  <r>
    <n v="586"/>
    <n v="40569"/>
    <x v="0"/>
    <x v="0"/>
    <x v="16"/>
    <x v="0"/>
    <x v="4"/>
    <x v="3"/>
    <x v="1"/>
    <n v="0"/>
    <n v="0.28789999999999999"/>
    <n v="0.81"/>
    <n v="0"/>
    <x v="0"/>
    <x v="0"/>
    <x v="0"/>
  </r>
  <r>
    <n v="587"/>
    <n v="40569"/>
    <x v="0"/>
    <x v="0"/>
    <x v="17"/>
    <x v="0"/>
    <x v="4"/>
    <x v="2"/>
    <x v="2"/>
    <n v="0"/>
    <n v="0.28789999999999999"/>
    <n v="0.81"/>
    <n v="0"/>
    <x v="0"/>
    <x v="0"/>
    <x v="0"/>
  </r>
  <r>
    <n v="588"/>
    <n v="40570"/>
    <x v="0"/>
    <x v="0"/>
    <x v="16"/>
    <x v="0"/>
    <x v="5"/>
    <x v="0"/>
    <x v="1"/>
    <n v="0"/>
    <n v="0.28789999999999999"/>
    <n v="0.81"/>
    <n v="0"/>
    <x v="0"/>
    <x v="0"/>
    <x v="0"/>
  </r>
  <r>
    <n v="589"/>
    <n v="40570"/>
    <x v="0"/>
    <x v="0"/>
    <x v="17"/>
    <x v="0"/>
    <x v="5"/>
    <x v="0"/>
    <x v="1"/>
    <n v="0"/>
    <n v="0.28789999999999999"/>
    <n v="0.81"/>
    <n v="0"/>
    <x v="0"/>
    <x v="0"/>
    <x v="0"/>
  </r>
  <r>
    <n v="590"/>
    <n v="40570"/>
    <x v="0"/>
    <x v="0"/>
    <x v="18"/>
    <x v="0"/>
    <x v="5"/>
    <x v="0"/>
    <x v="2"/>
    <n v="0"/>
    <n v="0.28789999999999999"/>
    <n v="0.81"/>
    <n v="0"/>
    <x v="0"/>
    <x v="0"/>
    <x v="0"/>
  </r>
  <r>
    <n v="591"/>
    <n v="40570"/>
    <x v="0"/>
    <x v="0"/>
    <x v="19"/>
    <x v="0"/>
    <x v="5"/>
    <x v="0"/>
    <x v="2"/>
    <n v="0"/>
    <n v="0.28789999999999999"/>
    <n v="0.81"/>
    <n v="0"/>
    <x v="0"/>
    <x v="0"/>
    <x v="0"/>
  </r>
  <r>
    <n v="592"/>
    <n v="40570"/>
    <x v="0"/>
    <x v="0"/>
    <x v="20"/>
    <x v="0"/>
    <x v="5"/>
    <x v="0"/>
    <x v="15"/>
    <n v="0"/>
    <n v="0.28789999999999999"/>
    <n v="0.81"/>
    <n v="0"/>
    <x v="0"/>
    <x v="0"/>
    <x v="0"/>
  </r>
  <r>
    <n v="593"/>
    <n v="40570"/>
    <x v="0"/>
    <x v="0"/>
    <x v="21"/>
    <x v="0"/>
    <x v="5"/>
    <x v="0"/>
    <x v="15"/>
    <n v="0"/>
    <n v="0.28789999999999999"/>
    <n v="0.81"/>
    <n v="0"/>
    <x v="0"/>
    <x v="0"/>
    <x v="0"/>
  </r>
  <r>
    <n v="594"/>
    <n v="40570"/>
    <x v="0"/>
    <x v="0"/>
    <x v="22"/>
    <x v="0"/>
    <x v="5"/>
    <x v="0"/>
    <x v="15"/>
    <n v="0"/>
    <n v="0.28789999999999999"/>
    <n v="0.81"/>
    <n v="0"/>
    <x v="0"/>
    <x v="0"/>
    <x v="0"/>
  </r>
  <r>
    <n v="595"/>
    <n v="40570"/>
    <x v="0"/>
    <x v="0"/>
    <x v="23"/>
    <x v="0"/>
    <x v="5"/>
    <x v="0"/>
    <x v="15"/>
    <n v="0"/>
    <n v="0.28789999999999999"/>
    <n v="0.81"/>
    <n v="0"/>
    <x v="0"/>
    <x v="0"/>
    <x v="0"/>
  </r>
  <r>
    <n v="596"/>
    <n v="40571"/>
    <x v="0"/>
    <x v="0"/>
    <x v="0"/>
    <x v="0"/>
    <x v="6"/>
    <x v="1"/>
    <x v="2"/>
    <n v="0"/>
    <n v="0.28789999999999999"/>
    <n v="0.81"/>
    <n v="0"/>
    <x v="0"/>
    <x v="0"/>
    <x v="0"/>
  </r>
  <r>
    <n v="597"/>
    <n v="40571"/>
    <x v="0"/>
    <x v="0"/>
    <x v="1"/>
    <x v="0"/>
    <x v="6"/>
    <x v="1"/>
    <x v="2"/>
    <n v="0"/>
    <n v="0.28789999999999999"/>
    <n v="0.81"/>
    <n v="0"/>
    <x v="0"/>
    <x v="0"/>
    <x v="0"/>
  </r>
  <r>
    <n v="598"/>
    <n v="40571"/>
    <x v="0"/>
    <x v="0"/>
    <x v="2"/>
    <x v="0"/>
    <x v="6"/>
    <x v="1"/>
    <x v="2"/>
    <n v="0"/>
    <n v="0.28789999999999999"/>
    <n v="0.81"/>
    <n v="0"/>
    <x v="0"/>
    <x v="0"/>
    <x v="0"/>
  </r>
  <r>
    <n v="599"/>
    <n v="40571"/>
    <x v="0"/>
    <x v="0"/>
    <x v="3"/>
    <x v="0"/>
    <x v="6"/>
    <x v="1"/>
    <x v="2"/>
    <n v="0"/>
    <n v="0.28789999999999999"/>
    <n v="0.81"/>
    <n v="0"/>
    <x v="0"/>
    <x v="0"/>
    <x v="0"/>
  </r>
  <r>
    <n v="600"/>
    <n v="40571"/>
    <x v="0"/>
    <x v="0"/>
    <x v="5"/>
    <x v="0"/>
    <x v="6"/>
    <x v="1"/>
    <x v="15"/>
    <n v="0"/>
    <n v="0.28789999999999999"/>
    <n v="0.81"/>
    <n v="0"/>
    <x v="0"/>
    <x v="0"/>
    <x v="0"/>
  </r>
  <r>
    <n v="601"/>
    <n v="40571"/>
    <x v="0"/>
    <x v="0"/>
    <x v="6"/>
    <x v="0"/>
    <x v="6"/>
    <x v="1"/>
    <x v="15"/>
    <n v="0"/>
    <n v="0.28789999999999999"/>
    <n v="0.81"/>
    <n v="0"/>
    <x v="0"/>
    <x v="0"/>
    <x v="0"/>
  </r>
  <r>
    <n v="602"/>
    <n v="40571"/>
    <x v="0"/>
    <x v="0"/>
    <x v="7"/>
    <x v="0"/>
    <x v="6"/>
    <x v="1"/>
    <x v="13"/>
    <n v="0"/>
    <n v="0.28789999999999999"/>
    <n v="0.81"/>
    <n v="0"/>
    <x v="0"/>
    <x v="0"/>
    <x v="0"/>
  </r>
  <r>
    <n v="603"/>
    <n v="40571"/>
    <x v="0"/>
    <x v="0"/>
    <x v="8"/>
    <x v="0"/>
    <x v="6"/>
    <x v="1"/>
    <x v="13"/>
    <n v="0"/>
    <n v="0.28789999999999999"/>
    <n v="0.81"/>
    <n v="0"/>
    <x v="0"/>
    <x v="0"/>
    <x v="0"/>
  </r>
  <r>
    <n v="604"/>
    <n v="40571"/>
    <x v="0"/>
    <x v="0"/>
    <x v="9"/>
    <x v="0"/>
    <x v="6"/>
    <x v="2"/>
    <x v="15"/>
    <n v="0"/>
    <n v="0.28789999999999999"/>
    <n v="0.81"/>
    <n v="0"/>
    <x v="0"/>
    <x v="0"/>
    <x v="0"/>
  </r>
  <r>
    <n v="605"/>
    <n v="40571"/>
    <x v="0"/>
    <x v="0"/>
    <x v="10"/>
    <x v="0"/>
    <x v="6"/>
    <x v="2"/>
    <x v="15"/>
    <n v="0"/>
    <n v="0.28789999999999999"/>
    <n v="0.81"/>
    <n v="0"/>
    <x v="0"/>
    <x v="0"/>
    <x v="0"/>
  </r>
  <r>
    <n v="606"/>
    <n v="40571"/>
    <x v="0"/>
    <x v="0"/>
    <x v="11"/>
    <x v="0"/>
    <x v="6"/>
    <x v="2"/>
    <x v="15"/>
    <n v="0"/>
    <n v="0.28789999999999999"/>
    <n v="0.81"/>
    <n v="0"/>
    <x v="0"/>
    <x v="0"/>
    <x v="0"/>
  </r>
  <r>
    <n v="607"/>
    <n v="40571"/>
    <x v="0"/>
    <x v="0"/>
    <x v="12"/>
    <x v="0"/>
    <x v="6"/>
    <x v="2"/>
    <x v="15"/>
    <n v="0"/>
    <n v="0.28789999999999999"/>
    <n v="0.81"/>
    <n v="0"/>
    <x v="0"/>
    <x v="0"/>
    <x v="0"/>
  </r>
  <r>
    <n v="608"/>
    <n v="40571"/>
    <x v="0"/>
    <x v="0"/>
    <x v="13"/>
    <x v="0"/>
    <x v="6"/>
    <x v="2"/>
    <x v="15"/>
    <n v="0"/>
    <n v="0.28789999999999999"/>
    <n v="0.81"/>
    <n v="0"/>
    <x v="0"/>
    <x v="0"/>
    <x v="0"/>
  </r>
  <r>
    <n v="609"/>
    <n v="40571"/>
    <x v="0"/>
    <x v="0"/>
    <x v="14"/>
    <x v="0"/>
    <x v="6"/>
    <x v="2"/>
    <x v="1"/>
    <n v="0"/>
    <n v="0.28789999999999999"/>
    <n v="0.81"/>
    <n v="0"/>
    <x v="0"/>
    <x v="0"/>
    <x v="0"/>
  </r>
  <r>
    <n v="610"/>
    <n v="40571"/>
    <x v="0"/>
    <x v="0"/>
    <x v="15"/>
    <x v="0"/>
    <x v="6"/>
    <x v="1"/>
    <x v="2"/>
    <n v="0"/>
    <n v="0.28789999999999999"/>
    <n v="0.81"/>
    <n v="0"/>
    <x v="0"/>
    <x v="0"/>
    <x v="0"/>
  </r>
  <r>
    <n v="1"/>
    <n v="40571"/>
    <x v="0"/>
    <x v="0"/>
    <x v="15"/>
    <x v="0"/>
    <x v="6"/>
    <x v="1"/>
    <x v="2"/>
    <n v="0"/>
    <n v="0.28789999999999999"/>
    <n v="0.81"/>
    <n v="0"/>
    <x v="0"/>
    <x v="0"/>
    <x v="0"/>
  </r>
  <r>
    <n v="2"/>
    <n v="40571"/>
    <x v="0"/>
    <x v="0"/>
    <x v="15"/>
    <x v="0"/>
    <x v="6"/>
    <x v="1"/>
    <x v="2"/>
    <n v="1"/>
    <n v="0.2727"/>
    <n v="0.8"/>
    <n v="0"/>
    <x v="1"/>
    <x v="1"/>
    <x v="1"/>
  </r>
  <r>
    <n v="3"/>
    <n v="40571"/>
    <x v="0"/>
    <x v="0"/>
    <x v="15"/>
    <x v="0"/>
    <x v="6"/>
    <x v="1"/>
    <x v="2"/>
    <n v="2"/>
    <n v="0.2727"/>
    <n v="0.8"/>
    <n v="0"/>
    <x v="2"/>
    <x v="2"/>
    <x v="2"/>
  </r>
  <r>
    <n v="4"/>
    <n v="40571"/>
    <x v="0"/>
    <x v="0"/>
    <x v="15"/>
    <x v="0"/>
    <x v="6"/>
    <x v="1"/>
    <x v="2"/>
    <n v="3"/>
    <n v="0.28789999999999999"/>
    <n v="0.75"/>
    <n v="0"/>
    <x v="0"/>
    <x v="3"/>
    <x v="3"/>
  </r>
  <r>
    <n v="5"/>
    <n v="40571"/>
    <x v="0"/>
    <x v="0"/>
    <x v="15"/>
    <x v="0"/>
    <x v="6"/>
    <x v="1"/>
    <x v="2"/>
    <n v="4"/>
    <n v="0.28789999999999999"/>
    <n v="0.75"/>
    <n v="0"/>
    <x v="3"/>
    <x v="4"/>
    <x v="4"/>
  </r>
  <r>
    <n v="6"/>
    <n v="40571"/>
    <x v="0"/>
    <x v="0"/>
    <x v="15"/>
    <x v="0"/>
    <x v="6"/>
    <x v="1"/>
    <x v="2"/>
    <n v="5"/>
    <n v="0.2576"/>
    <n v="0.75"/>
    <n v="8.9599999999999999E-2"/>
    <x v="3"/>
    <x v="4"/>
    <x v="4"/>
  </r>
  <r>
    <n v="7"/>
    <n v="40571"/>
    <x v="0"/>
    <x v="0"/>
    <x v="15"/>
    <x v="0"/>
    <x v="6"/>
    <x v="1"/>
    <x v="2"/>
    <n v="6"/>
    <n v="0.2727"/>
    <n v="0.8"/>
    <n v="0"/>
    <x v="4"/>
    <x v="5"/>
    <x v="5"/>
  </r>
  <r>
    <n v="8"/>
    <n v="40571"/>
    <x v="0"/>
    <x v="0"/>
    <x v="15"/>
    <x v="0"/>
    <x v="6"/>
    <x v="1"/>
    <x v="2"/>
    <n v="7"/>
    <n v="0.2576"/>
    <n v="0.86"/>
    <n v="0"/>
    <x v="5"/>
    <x v="6"/>
    <x v="6"/>
  </r>
  <r>
    <n v="9"/>
    <n v="40571"/>
    <x v="0"/>
    <x v="0"/>
    <x v="15"/>
    <x v="0"/>
    <x v="6"/>
    <x v="1"/>
    <x v="2"/>
    <n v="8"/>
    <n v="0"/>
    <n v="0.75"/>
    <n v="0"/>
    <x v="5"/>
    <x v="7"/>
    <x v="7"/>
  </r>
  <r>
    <n v="10"/>
    <n v="40571"/>
    <x v="0"/>
    <x v="0"/>
    <x v="15"/>
    <x v="0"/>
    <x v="6"/>
    <x v="1"/>
    <x v="2"/>
    <n v="9"/>
    <n v="0.34849999999999998"/>
    <n v="0.76"/>
    <n v="0"/>
    <x v="1"/>
    <x v="8"/>
    <x v="8"/>
  </r>
  <r>
    <n v="11"/>
    <n v="40571"/>
    <x v="0"/>
    <x v="0"/>
    <x v="15"/>
    <x v="0"/>
    <x v="6"/>
    <x v="1"/>
    <x v="2"/>
    <n v="10"/>
    <n v="0.39389999999999997"/>
    <n v="0.76"/>
    <n v="0.25369999999999998"/>
    <x v="6"/>
    <x v="9"/>
    <x v="9"/>
  </r>
  <r>
    <n v="12"/>
    <n v="40571"/>
    <x v="0"/>
    <x v="0"/>
    <x v="15"/>
    <x v="0"/>
    <x v="6"/>
    <x v="1"/>
    <x v="2"/>
    <n v="11"/>
    <n v="0.33329999999999999"/>
    <n v="0.81"/>
    <n v="0.28360000000000002"/>
    <x v="7"/>
    <x v="10"/>
    <x v="10"/>
  </r>
  <r>
    <n v="13"/>
    <n v="40571"/>
    <x v="0"/>
    <x v="0"/>
    <x v="15"/>
    <x v="0"/>
    <x v="6"/>
    <x v="1"/>
    <x v="2"/>
    <n v="12"/>
    <n v="0.42420000000000002"/>
    <n v="0.77"/>
    <n v="0.28360000000000002"/>
    <x v="8"/>
    <x v="11"/>
    <x v="11"/>
  </r>
  <r>
    <n v="14"/>
    <n v="40571"/>
    <x v="0"/>
    <x v="0"/>
    <x v="15"/>
    <x v="0"/>
    <x v="6"/>
    <x v="1"/>
    <x v="2"/>
    <n v="13"/>
    <n v="0.45450000000000002"/>
    <n v="0.72"/>
    <n v="0.29849999999999999"/>
    <x v="9"/>
    <x v="12"/>
    <x v="12"/>
  </r>
  <r>
    <n v="15"/>
    <n v="40571"/>
    <x v="0"/>
    <x v="0"/>
    <x v="15"/>
    <x v="0"/>
    <x v="6"/>
    <x v="1"/>
    <x v="2"/>
    <n v="14"/>
    <n v="0.45450000000000002"/>
    <n v="0.72"/>
    <n v="0.28360000000000002"/>
    <x v="10"/>
    <x v="13"/>
    <x v="13"/>
  </r>
  <r>
    <n v="16"/>
    <n v="40571"/>
    <x v="0"/>
    <x v="0"/>
    <x v="15"/>
    <x v="0"/>
    <x v="6"/>
    <x v="1"/>
    <x v="2"/>
    <n v="15"/>
    <n v="0.43940000000000001"/>
    <n v="0.77"/>
    <n v="0.29849999999999999"/>
    <x v="11"/>
    <x v="14"/>
    <x v="14"/>
  </r>
  <r>
    <n v="17"/>
    <n v="40571"/>
    <x v="0"/>
    <x v="0"/>
    <x v="15"/>
    <x v="0"/>
    <x v="6"/>
    <x v="1"/>
    <x v="2"/>
    <n v="16"/>
    <n v="0.42420000000000002"/>
    <n v="0.82"/>
    <n v="0.29849999999999999"/>
    <x v="12"/>
    <x v="15"/>
    <x v="15"/>
  </r>
  <r>
    <n v="18"/>
    <n v="40571"/>
    <x v="0"/>
    <x v="0"/>
    <x v="15"/>
    <x v="0"/>
    <x v="6"/>
    <x v="1"/>
    <x v="2"/>
    <n v="17"/>
    <n v="0"/>
    <n v="0.82"/>
    <n v="0.28360000000000002"/>
    <x v="13"/>
    <x v="15"/>
    <x v="16"/>
  </r>
  <r>
    <n v="19"/>
    <n v="40571"/>
    <x v="0"/>
    <x v="0"/>
    <x v="15"/>
    <x v="0"/>
    <x v="6"/>
    <x v="1"/>
    <x v="2"/>
    <n v="18"/>
    <n v="0.42420000000000002"/>
    <n v="0.88"/>
    <n v="0.25369999999999998"/>
    <x v="14"/>
    <x v="16"/>
    <x v="17"/>
  </r>
  <r>
    <n v="20"/>
    <n v="40571"/>
    <x v="0"/>
    <x v="0"/>
    <x v="15"/>
    <x v="0"/>
    <x v="6"/>
    <x v="1"/>
    <x v="2"/>
    <n v="19"/>
    <n v="0.42420000000000002"/>
    <n v="0.88"/>
    <n v="0.25369999999999998"/>
    <x v="15"/>
    <x v="17"/>
    <x v="18"/>
  </r>
  <r>
    <n v="21"/>
    <n v="40571"/>
    <x v="0"/>
    <x v="0"/>
    <x v="15"/>
    <x v="0"/>
    <x v="6"/>
    <x v="1"/>
    <x v="2"/>
    <n v="20"/>
    <n v="0.40910000000000002"/>
    <n v="0.87"/>
    <n v="0.25369999999999998"/>
    <x v="16"/>
    <x v="18"/>
    <x v="9"/>
  </r>
  <r>
    <n v="22"/>
    <n v="40571"/>
    <x v="0"/>
    <x v="0"/>
    <x v="15"/>
    <x v="0"/>
    <x v="6"/>
    <x v="1"/>
    <x v="2"/>
    <n v="21"/>
    <n v="0.40910000000000002"/>
    <n v="0.87"/>
    <n v="0.19400000000000001"/>
    <x v="0"/>
    <x v="17"/>
    <x v="19"/>
  </r>
  <r>
    <n v="23"/>
    <n v="40571"/>
    <x v="0"/>
    <x v="0"/>
    <x v="15"/>
    <x v="0"/>
    <x v="6"/>
    <x v="1"/>
    <x v="2"/>
    <n v="22"/>
    <n v="0.40910000000000002"/>
    <n v="0.94"/>
    <n v="0.22389999999999999"/>
    <x v="16"/>
    <x v="19"/>
    <x v="20"/>
  </r>
  <r>
    <n v="24"/>
    <n v="40571"/>
    <x v="0"/>
    <x v="0"/>
    <x v="15"/>
    <x v="0"/>
    <x v="6"/>
    <x v="1"/>
    <x v="2"/>
    <n v="23"/>
    <n v="0"/>
    <n v="0.88"/>
    <n v="0.29849999999999999"/>
    <x v="13"/>
    <x v="9"/>
    <x v="21"/>
  </r>
  <r>
    <n v="25"/>
    <n v="40571"/>
    <x v="0"/>
    <x v="0"/>
    <x v="15"/>
    <x v="0"/>
    <x v="6"/>
    <x v="1"/>
    <x v="2"/>
    <n v="24"/>
    <n v="0.45450000000000002"/>
    <n v="0.88"/>
    <n v="0.29849999999999999"/>
    <x v="17"/>
    <x v="0"/>
    <x v="22"/>
  </r>
  <r>
    <n v="26"/>
    <n v="40571"/>
    <x v="0"/>
    <x v="0"/>
    <x v="15"/>
    <x v="0"/>
    <x v="6"/>
    <x v="1"/>
    <x v="2"/>
    <n v="25"/>
    <n v="0.43940000000000001"/>
    <n v="0.94"/>
    <n v="0.25369999999999998"/>
    <x v="5"/>
    <x v="20"/>
    <x v="22"/>
  </r>
  <r>
    <n v="27"/>
    <n v="40571"/>
    <x v="0"/>
    <x v="0"/>
    <x v="15"/>
    <x v="0"/>
    <x v="6"/>
    <x v="1"/>
    <x v="2"/>
    <n v="26"/>
    <n v="0.42420000000000002"/>
    <n v="1"/>
    <n v="0.28360000000000002"/>
    <x v="5"/>
    <x v="21"/>
    <x v="23"/>
  </r>
  <r>
    <n v="28"/>
    <n v="40571"/>
    <x v="0"/>
    <x v="0"/>
    <x v="15"/>
    <x v="0"/>
    <x v="6"/>
    <x v="1"/>
    <x v="2"/>
    <n v="27"/>
    <n v="0.45450000000000002"/>
    <n v="0.94"/>
    <n v="0.19400000000000001"/>
    <x v="4"/>
    <x v="22"/>
    <x v="24"/>
  </r>
  <r>
    <n v="29"/>
    <n v="40571"/>
    <x v="0"/>
    <x v="0"/>
    <x v="15"/>
    <x v="0"/>
    <x v="6"/>
    <x v="1"/>
    <x v="2"/>
    <n v="28"/>
    <n v="0"/>
    <n v="0.94"/>
    <n v="0.19400000000000001"/>
    <x v="4"/>
    <x v="4"/>
    <x v="6"/>
  </r>
  <r>
    <n v="30"/>
    <n v="40571"/>
    <x v="0"/>
    <x v="0"/>
    <x v="15"/>
    <x v="0"/>
    <x v="6"/>
    <x v="1"/>
    <x v="2"/>
    <n v="29"/>
    <n v="0.42420000000000002"/>
    <n v="0.77"/>
    <n v="0.29849999999999999"/>
    <x v="3"/>
    <x v="6"/>
    <x v="5"/>
  </r>
  <r>
    <n v="31"/>
    <n v="40571"/>
    <x v="0"/>
    <x v="0"/>
    <x v="15"/>
    <x v="0"/>
    <x v="6"/>
    <x v="1"/>
    <x v="2"/>
    <n v="30"/>
    <n v="0.40910000000000002"/>
    <n v="0.76"/>
    <n v="0.19400000000000001"/>
    <x v="3"/>
    <x v="4"/>
    <x v="4"/>
  </r>
  <r>
    <n v="32"/>
    <n v="40571"/>
    <x v="0"/>
    <x v="0"/>
    <x v="15"/>
    <x v="0"/>
    <x v="6"/>
    <x v="1"/>
    <x v="2"/>
    <n v="31"/>
    <n v="0.40910000000000002"/>
    <n v="0.71"/>
    <n v="0.22389999999999999"/>
    <x v="3"/>
    <x v="21"/>
    <x v="7"/>
  </r>
  <r>
    <n v="33"/>
    <n v="40571"/>
    <x v="0"/>
    <x v="0"/>
    <x v="15"/>
    <x v="0"/>
    <x v="6"/>
    <x v="1"/>
    <x v="2"/>
    <n v="32"/>
    <n v="0"/>
    <n v="0.76"/>
    <n v="0.22389999999999999"/>
    <x v="5"/>
    <x v="23"/>
    <x v="25"/>
  </r>
  <r>
    <n v="34"/>
    <n v="40571"/>
    <x v="0"/>
    <x v="0"/>
    <x v="15"/>
    <x v="0"/>
    <x v="6"/>
    <x v="1"/>
    <x v="2"/>
    <n v="33"/>
    <n v="0.34849999999999998"/>
    <n v="0.81"/>
    <n v="0.22389999999999999"/>
    <x v="18"/>
    <x v="24"/>
    <x v="26"/>
  </r>
  <r>
    <n v="35"/>
    <n v="40571"/>
    <x v="0"/>
    <x v="0"/>
    <x v="15"/>
    <x v="0"/>
    <x v="6"/>
    <x v="1"/>
    <x v="2"/>
    <n v="34"/>
    <n v="0.33329999999999999"/>
    <n v="0.71"/>
    <n v="0.25369999999999998"/>
    <x v="19"/>
    <x v="25"/>
    <x v="27"/>
  </r>
  <r>
    <n v="36"/>
    <n v="40571"/>
    <x v="0"/>
    <x v="0"/>
    <x v="15"/>
    <x v="0"/>
    <x v="6"/>
    <x v="1"/>
    <x v="2"/>
    <n v="35"/>
    <n v="0.33329999999999999"/>
    <n v="0.66"/>
    <n v="0.29849999999999999"/>
    <x v="20"/>
    <x v="26"/>
    <x v="15"/>
  </r>
  <r>
    <n v="37"/>
    <n v="40571"/>
    <x v="0"/>
    <x v="0"/>
    <x v="15"/>
    <x v="0"/>
    <x v="6"/>
    <x v="1"/>
    <x v="2"/>
    <n v="36"/>
    <n v="0.34849999999999998"/>
    <n v="0.66"/>
    <n v="0.1343"/>
    <x v="16"/>
    <x v="27"/>
    <x v="28"/>
  </r>
  <r>
    <n v="38"/>
    <n v="40571"/>
    <x v="0"/>
    <x v="0"/>
    <x v="15"/>
    <x v="0"/>
    <x v="6"/>
    <x v="1"/>
    <x v="2"/>
    <n v="37"/>
    <n v="0"/>
    <n v="0.76"/>
    <n v="0.19400000000000001"/>
    <x v="17"/>
    <x v="11"/>
    <x v="29"/>
  </r>
  <r>
    <n v="39"/>
    <n v="40571"/>
    <x v="0"/>
    <x v="0"/>
    <x v="15"/>
    <x v="0"/>
    <x v="6"/>
    <x v="1"/>
    <x v="2"/>
    <n v="38"/>
    <n v="0.33329999999999999"/>
    <n v="0.81"/>
    <n v="0.16420000000000001"/>
    <x v="21"/>
    <x v="11"/>
    <x v="30"/>
  </r>
  <r>
    <n v="40"/>
    <n v="40571"/>
    <x v="0"/>
    <x v="0"/>
    <x v="15"/>
    <x v="0"/>
    <x v="6"/>
    <x v="1"/>
    <x v="2"/>
    <n v="39"/>
    <n v="0.33329999999999999"/>
    <n v="0.71"/>
    <n v="0.16420000000000001"/>
    <x v="14"/>
    <x v="28"/>
    <x v="31"/>
  </r>
  <r>
    <n v="41"/>
    <n v="40571"/>
    <x v="0"/>
    <x v="0"/>
    <x v="15"/>
    <x v="0"/>
    <x v="6"/>
    <x v="1"/>
    <x v="2"/>
    <n v="40"/>
    <n v="0.33329999999999999"/>
    <n v="0.56999999999999995"/>
    <n v="0.19400000000000001"/>
    <x v="18"/>
    <x v="29"/>
    <x v="32"/>
  </r>
  <r>
    <n v="42"/>
    <n v="40571"/>
    <x v="0"/>
    <x v="0"/>
    <x v="15"/>
    <x v="0"/>
    <x v="6"/>
    <x v="1"/>
    <x v="2"/>
    <n v="41"/>
    <n v="0.33329999999999999"/>
    <n v="0.46"/>
    <n v="0.32840000000000003"/>
    <x v="22"/>
    <x v="30"/>
    <x v="26"/>
  </r>
  <r>
    <n v="43"/>
    <n v="40571"/>
    <x v="0"/>
    <x v="0"/>
    <x v="15"/>
    <x v="0"/>
    <x v="6"/>
    <x v="1"/>
    <x v="2"/>
    <n v="42"/>
    <n v="0.28789999999999999"/>
    <n v="0.42"/>
    <n v="0.44779999999999998"/>
    <x v="5"/>
    <x v="31"/>
    <x v="33"/>
  </r>
  <r>
    <n v="44"/>
    <n v="40571"/>
    <x v="0"/>
    <x v="0"/>
    <x v="15"/>
    <x v="0"/>
    <x v="6"/>
    <x v="1"/>
    <x v="2"/>
    <n v="43"/>
    <n v="0"/>
    <n v="0.39"/>
    <n v="0.35820000000000002"/>
    <x v="2"/>
    <x v="19"/>
    <x v="34"/>
  </r>
  <r>
    <n v="45"/>
    <n v="40571"/>
    <x v="0"/>
    <x v="0"/>
    <x v="15"/>
    <x v="0"/>
    <x v="6"/>
    <x v="1"/>
    <x v="2"/>
    <n v="44"/>
    <n v="0.2273"/>
    <n v="0.44"/>
    <n v="0.32840000000000003"/>
    <x v="16"/>
    <x v="32"/>
    <x v="35"/>
  </r>
  <r>
    <n v="46"/>
    <n v="40571"/>
    <x v="0"/>
    <x v="0"/>
    <x v="15"/>
    <x v="0"/>
    <x v="6"/>
    <x v="1"/>
    <x v="2"/>
    <n v="45"/>
    <n v="0.21210000000000001"/>
    <n v="0.44"/>
    <n v="0.29849999999999999"/>
    <x v="3"/>
    <x v="33"/>
    <x v="23"/>
  </r>
  <r>
    <n v="47"/>
    <n v="40571"/>
    <x v="0"/>
    <x v="0"/>
    <x v="15"/>
    <x v="0"/>
    <x v="6"/>
    <x v="1"/>
    <x v="2"/>
    <n v="46"/>
    <n v="0.2273"/>
    <n v="0.47"/>
    <n v="0.16420000000000001"/>
    <x v="3"/>
    <x v="21"/>
    <x v="7"/>
  </r>
  <r>
    <n v="48"/>
    <n v="40571"/>
    <x v="0"/>
    <x v="0"/>
    <x v="15"/>
    <x v="0"/>
    <x v="6"/>
    <x v="1"/>
    <x v="2"/>
    <n v="47"/>
    <n v="0.19700000000000001"/>
    <n v="0.44"/>
    <n v="0.35820000000000002"/>
    <x v="3"/>
    <x v="34"/>
    <x v="36"/>
  </r>
  <r>
    <n v="49"/>
    <n v="40571"/>
    <x v="0"/>
    <x v="0"/>
    <x v="15"/>
    <x v="0"/>
    <x v="6"/>
    <x v="1"/>
    <x v="2"/>
    <n v="48"/>
    <n v="0"/>
    <n v="0.44"/>
    <n v="0.41789999999999999"/>
    <x v="3"/>
    <x v="6"/>
    <x v="5"/>
  </r>
  <r>
    <n v="50"/>
    <n v="40571"/>
    <x v="0"/>
    <x v="0"/>
    <x v="15"/>
    <x v="0"/>
    <x v="6"/>
    <x v="1"/>
    <x v="2"/>
    <n v="49"/>
    <n v="0.13639999999999999"/>
    <n v="0.47"/>
    <n v="0.3881"/>
    <x v="3"/>
    <x v="4"/>
    <x v="4"/>
  </r>
  <r>
    <n v="51"/>
    <n v="40571"/>
    <x v="0"/>
    <x v="0"/>
    <x v="15"/>
    <x v="0"/>
    <x v="6"/>
    <x v="1"/>
    <x v="2"/>
    <n v="50"/>
    <n v="0.13639999999999999"/>
    <n v="0.47"/>
    <n v="0.28360000000000002"/>
    <x v="3"/>
    <x v="35"/>
    <x v="6"/>
  </r>
  <r>
    <n v="52"/>
    <n v="40571"/>
    <x v="0"/>
    <x v="0"/>
    <x v="15"/>
    <x v="0"/>
    <x v="6"/>
    <x v="1"/>
    <x v="2"/>
    <n v="51"/>
    <n v="0.1061"/>
    <n v="0.5"/>
    <n v="0.3881"/>
    <x v="3"/>
    <x v="10"/>
    <x v="33"/>
  </r>
  <r>
    <n v="53"/>
    <n v="40571"/>
    <x v="0"/>
    <x v="0"/>
    <x v="15"/>
    <x v="0"/>
    <x v="6"/>
    <x v="1"/>
    <x v="2"/>
    <n v="52"/>
    <n v="0.13639999999999999"/>
    <n v="0.5"/>
    <n v="0.19400000000000001"/>
    <x v="5"/>
    <x v="36"/>
    <x v="37"/>
  </r>
  <r>
    <n v="54"/>
    <n v="40571"/>
    <x v="0"/>
    <x v="0"/>
    <x v="15"/>
    <x v="0"/>
    <x v="6"/>
    <x v="1"/>
    <x v="2"/>
    <n v="53"/>
    <n v="0.1212"/>
    <n v="0.5"/>
    <n v="0.28360000000000002"/>
    <x v="5"/>
    <x v="37"/>
    <x v="38"/>
  </r>
  <r>
    <n v="55"/>
    <n v="40571"/>
    <x v="0"/>
    <x v="0"/>
    <x v="15"/>
    <x v="0"/>
    <x v="6"/>
    <x v="1"/>
    <x v="2"/>
    <n v="54"/>
    <n v="0.13639999999999999"/>
    <n v="0.43"/>
    <n v="0.3881"/>
    <x v="18"/>
    <x v="38"/>
    <x v="39"/>
  </r>
  <r>
    <n v="56"/>
    <n v="40571"/>
    <x v="0"/>
    <x v="0"/>
    <x v="15"/>
    <x v="0"/>
    <x v="6"/>
    <x v="1"/>
    <x v="2"/>
    <n v="55"/>
    <n v="0.16669999999999999"/>
    <n v="0.43"/>
    <n v="0.25369999999999998"/>
    <x v="16"/>
    <x v="39"/>
    <x v="40"/>
  </r>
  <r>
    <n v="57"/>
    <n v="40571"/>
    <x v="0"/>
    <x v="0"/>
    <x v="15"/>
    <x v="0"/>
    <x v="6"/>
    <x v="1"/>
    <x v="2"/>
    <n v="56"/>
    <n v="0.18179999999999999"/>
    <n v="0.4"/>
    <n v="0.32840000000000003"/>
    <x v="22"/>
    <x v="40"/>
    <x v="41"/>
  </r>
  <r>
    <n v="58"/>
    <n v="40571"/>
    <x v="0"/>
    <x v="0"/>
    <x v="15"/>
    <x v="0"/>
    <x v="6"/>
    <x v="1"/>
    <x v="2"/>
    <n v="57"/>
    <n v="0.21210000000000001"/>
    <n v="0.35"/>
    <n v="0.29849999999999999"/>
    <x v="23"/>
    <x v="41"/>
    <x v="42"/>
  </r>
  <r>
    <n v="59"/>
    <n v="40571"/>
    <x v="0"/>
    <x v="0"/>
    <x v="15"/>
    <x v="0"/>
    <x v="6"/>
    <x v="1"/>
    <x v="2"/>
    <n v="58"/>
    <n v="0"/>
    <n v="0.35"/>
    <n v="0.28360000000000002"/>
    <x v="1"/>
    <x v="42"/>
    <x v="42"/>
  </r>
  <r>
    <n v="60"/>
    <n v="40571"/>
    <x v="0"/>
    <x v="0"/>
    <x v="15"/>
    <x v="0"/>
    <x v="6"/>
    <x v="1"/>
    <x v="2"/>
    <n v="59"/>
    <n v="0.2424"/>
    <n v="0.3"/>
    <n v="0.28360000000000002"/>
    <x v="16"/>
    <x v="43"/>
    <x v="43"/>
  </r>
  <r>
    <n v="61"/>
    <n v="40571"/>
    <x v="0"/>
    <x v="0"/>
    <x v="15"/>
    <x v="0"/>
    <x v="6"/>
    <x v="1"/>
    <x v="2"/>
    <n v="60"/>
    <n v="0.2424"/>
    <n v="0.3"/>
    <n v="0.25369999999999998"/>
    <x v="24"/>
    <x v="29"/>
    <x v="44"/>
  </r>
  <r>
    <n v="62"/>
    <n v="40571"/>
    <x v="0"/>
    <x v="0"/>
    <x v="15"/>
    <x v="0"/>
    <x v="6"/>
    <x v="1"/>
    <x v="2"/>
    <n v="61"/>
    <n v="0.2424"/>
    <n v="0.3"/>
    <n v="0.25369999999999998"/>
    <x v="14"/>
    <x v="28"/>
    <x v="31"/>
  </r>
  <r>
    <n v="63"/>
    <n v="40571"/>
    <x v="0"/>
    <x v="0"/>
    <x v="15"/>
    <x v="0"/>
    <x v="6"/>
    <x v="1"/>
    <x v="2"/>
    <n v="62"/>
    <n v="0.2273"/>
    <n v="0.3"/>
    <n v="0.22389999999999999"/>
    <x v="16"/>
    <x v="44"/>
    <x v="45"/>
  </r>
  <r>
    <n v="64"/>
    <n v="40571"/>
    <x v="0"/>
    <x v="0"/>
    <x v="15"/>
    <x v="0"/>
    <x v="6"/>
    <x v="1"/>
    <x v="2"/>
    <n v="63"/>
    <n v="0.2576"/>
    <n v="0.32"/>
    <n v="0.1045"/>
    <x v="14"/>
    <x v="45"/>
    <x v="45"/>
  </r>
  <r>
    <n v="65"/>
    <n v="40571"/>
    <x v="0"/>
    <x v="0"/>
    <x v="15"/>
    <x v="0"/>
    <x v="6"/>
    <x v="1"/>
    <x v="2"/>
    <n v="64"/>
    <n v="0.2576"/>
    <n v="0.47"/>
    <n v="0"/>
    <x v="1"/>
    <x v="46"/>
    <x v="14"/>
  </r>
  <r>
    <n v="66"/>
    <n v="40571"/>
    <x v="0"/>
    <x v="0"/>
    <x v="15"/>
    <x v="0"/>
    <x v="6"/>
    <x v="1"/>
    <x v="2"/>
    <n v="65"/>
    <n v="0"/>
    <n v="0.47"/>
    <n v="0.1045"/>
    <x v="0"/>
    <x v="47"/>
    <x v="46"/>
  </r>
  <r>
    <n v="67"/>
    <n v="40571"/>
    <x v="0"/>
    <x v="0"/>
    <x v="15"/>
    <x v="0"/>
    <x v="6"/>
    <x v="1"/>
    <x v="2"/>
    <n v="66"/>
    <n v="0.19700000000000001"/>
    <n v="0.64"/>
    <n v="0.1343"/>
    <x v="0"/>
    <x v="47"/>
    <x v="46"/>
  </r>
  <r>
    <n v="68"/>
    <n v="40571"/>
    <x v="0"/>
    <x v="0"/>
    <x v="15"/>
    <x v="0"/>
    <x v="6"/>
    <x v="1"/>
    <x v="2"/>
    <n v="67"/>
    <n v="0.1515"/>
    <n v="0.69"/>
    <n v="0.1343"/>
    <x v="3"/>
    <x v="32"/>
    <x v="25"/>
  </r>
  <r>
    <n v="69"/>
    <n v="40571"/>
    <x v="0"/>
    <x v="0"/>
    <x v="15"/>
    <x v="0"/>
    <x v="6"/>
    <x v="1"/>
    <x v="2"/>
    <n v="68"/>
    <n v="0.21210000000000001"/>
    <n v="0.55000000000000004"/>
    <n v="0.1045"/>
    <x v="5"/>
    <x v="48"/>
    <x v="47"/>
  </r>
  <r>
    <n v="70"/>
    <n v="40571"/>
    <x v="0"/>
    <x v="0"/>
    <x v="15"/>
    <x v="0"/>
    <x v="6"/>
    <x v="1"/>
    <x v="2"/>
    <n v="69"/>
    <n v="0"/>
    <n v="0.55000000000000004"/>
    <n v="0.1045"/>
    <x v="3"/>
    <x v="34"/>
    <x v="36"/>
  </r>
  <r>
    <n v="71"/>
    <n v="40571"/>
    <x v="0"/>
    <x v="0"/>
    <x v="15"/>
    <x v="0"/>
    <x v="6"/>
    <x v="1"/>
    <x v="2"/>
    <n v="70"/>
    <n v="0.18179999999999999"/>
    <n v="0.59"/>
    <n v="0.1045"/>
    <x v="3"/>
    <x v="6"/>
    <x v="5"/>
  </r>
  <r>
    <n v="72"/>
    <n v="40571"/>
    <x v="0"/>
    <x v="0"/>
    <x v="15"/>
    <x v="0"/>
    <x v="6"/>
    <x v="1"/>
    <x v="2"/>
    <n v="71"/>
    <n v="0.1515"/>
    <n v="0.63"/>
    <n v="0.1343"/>
    <x v="3"/>
    <x v="4"/>
    <x v="4"/>
  </r>
  <r>
    <n v="73"/>
    <n v="40571"/>
    <x v="0"/>
    <x v="0"/>
    <x v="15"/>
    <x v="0"/>
    <x v="6"/>
    <x v="1"/>
    <x v="2"/>
    <n v="72"/>
    <n v="0.18179999999999999"/>
    <n v="0.63"/>
    <n v="8.9599999999999999E-2"/>
    <x v="3"/>
    <x v="6"/>
    <x v="5"/>
  </r>
  <r>
    <n v="74"/>
    <n v="40571"/>
    <x v="0"/>
    <x v="0"/>
    <x v="15"/>
    <x v="0"/>
    <x v="6"/>
    <x v="1"/>
    <x v="2"/>
    <n v="73"/>
    <n v="0.1515"/>
    <n v="0.68"/>
    <n v="0.1045"/>
    <x v="3"/>
    <x v="22"/>
    <x v="48"/>
  </r>
  <r>
    <n v="75"/>
    <n v="40571"/>
    <x v="0"/>
    <x v="0"/>
    <x v="15"/>
    <x v="0"/>
    <x v="6"/>
    <x v="1"/>
    <x v="2"/>
    <n v="74"/>
    <n v="0.1515"/>
    <n v="0.74"/>
    <n v="0.1045"/>
    <x v="3"/>
    <x v="49"/>
    <x v="9"/>
  </r>
  <r>
    <n v="76"/>
    <n v="40571"/>
    <x v="0"/>
    <x v="0"/>
    <x v="15"/>
    <x v="0"/>
    <x v="6"/>
    <x v="1"/>
    <x v="2"/>
    <n v="75"/>
    <n v="0.1515"/>
    <n v="0.74"/>
    <n v="0.1343"/>
    <x v="4"/>
    <x v="50"/>
    <x v="12"/>
  </r>
  <r>
    <n v="77"/>
    <n v="40571"/>
    <x v="0"/>
    <x v="0"/>
    <x v="15"/>
    <x v="0"/>
    <x v="6"/>
    <x v="1"/>
    <x v="2"/>
    <n v="76"/>
    <n v="0.1515"/>
    <n v="0.69"/>
    <n v="0.16420000000000001"/>
    <x v="4"/>
    <x v="51"/>
    <x v="49"/>
  </r>
  <r>
    <n v="78"/>
    <n v="40571"/>
    <x v="0"/>
    <x v="0"/>
    <x v="15"/>
    <x v="0"/>
    <x v="6"/>
    <x v="1"/>
    <x v="2"/>
    <n v="77"/>
    <n v="0.1515"/>
    <n v="0.64"/>
    <n v="0.22389999999999999"/>
    <x v="4"/>
    <x v="52"/>
    <x v="50"/>
  </r>
  <r>
    <n v="79"/>
    <n v="40571"/>
    <x v="0"/>
    <x v="0"/>
    <x v="15"/>
    <x v="0"/>
    <x v="6"/>
    <x v="1"/>
    <x v="2"/>
    <n v="78"/>
    <n v="0.13639999999999999"/>
    <n v="0.69"/>
    <n v="0.32840000000000003"/>
    <x v="2"/>
    <x v="53"/>
    <x v="51"/>
  </r>
  <r>
    <n v="80"/>
    <n v="40571"/>
    <x v="0"/>
    <x v="0"/>
    <x v="15"/>
    <x v="0"/>
    <x v="6"/>
    <x v="1"/>
    <x v="2"/>
    <n v="79"/>
    <n v="0.21210000000000001"/>
    <n v="0.51"/>
    <n v="0.29849999999999999"/>
    <x v="18"/>
    <x v="54"/>
    <x v="52"/>
  </r>
  <r>
    <n v="81"/>
    <n v="40571"/>
    <x v="0"/>
    <x v="0"/>
    <x v="15"/>
    <x v="0"/>
    <x v="6"/>
    <x v="1"/>
    <x v="2"/>
    <n v="80"/>
    <n v="0.2273"/>
    <n v="0.51"/>
    <n v="0.16420000000000001"/>
    <x v="6"/>
    <x v="43"/>
    <x v="53"/>
  </r>
  <r>
    <n v="82"/>
    <n v="40571"/>
    <x v="0"/>
    <x v="0"/>
    <x v="15"/>
    <x v="0"/>
    <x v="6"/>
    <x v="1"/>
    <x v="2"/>
    <n v="81"/>
    <n v="0.2273"/>
    <n v="0.56000000000000005"/>
    <n v="0.19400000000000001"/>
    <x v="25"/>
    <x v="55"/>
    <x v="54"/>
  </r>
  <r>
    <n v="83"/>
    <n v="40571"/>
    <x v="0"/>
    <x v="0"/>
    <x v="15"/>
    <x v="0"/>
    <x v="6"/>
    <x v="1"/>
    <x v="2"/>
    <n v="82"/>
    <n v="0.2576"/>
    <n v="0.52"/>
    <n v="0.22389999999999999"/>
    <x v="14"/>
    <x v="25"/>
    <x v="55"/>
  </r>
  <r>
    <n v="84"/>
    <n v="40571"/>
    <x v="0"/>
    <x v="0"/>
    <x v="15"/>
    <x v="0"/>
    <x v="6"/>
    <x v="1"/>
    <x v="2"/>
    <n v="83"/>
    <n v="0.2727"/>
    <n v="0.52"/>
    <n v="0.25369999999999998"/>
    <x v="26"/>
    <x v="41"/>
    <x v="32"/>
  </r>
  <r>
    <n v="85"/>
    <n v="40571"/>
    <x v="0"/>
    <x v="0"/>
    <x v="15"/>
    <x v="0"/>
    <x v="6"/>
    <x v="1"/>
    <x v="2"/>
    <n v="84"/>
    <n v="0.28789999999999999"/>
    <n v="0.49"/>
    <n v="0.25369999999999998"/>
    <x v="13"/>
    <x v="56"/>
    <x v="56"/>
  </r>
  <r>
    <n v="86"/>
    <n v="40571"/>
    <x v="0"/>
    <x v="0"/>
    <x v="15"/>
    <x v="0"/>
    <x v="6"/>
    <x v="1"/>
    <x v="2"/>
    <n v="85"/>
    <n v="0.2727"/>
    <n v="0.48"/>
    <n v="0.22389999999999999"/>
    <x v="22"/>
    <x v="57"/>
    <x v="57"/>
  </r>
  <r>
    <n v="87"/>
    <n v="40571"/>
    <x v="0"/>
    <x v="0"/>
    <x v="15"/>
    <x v="0"/>
    <x v="6"/>
    <x v="1"/>
    <x v="2"/>
    <n v="86"/>
    <n v="0.2576"/>
    <n v="0.48"/>
    <n v="0.19400000000000001"/>
    <x v="0"/>
    <x v="58"/>
    <x v="58"/>
  </r>
  <r>
    <n v="88"/>
    <n v="40571"/>
    <x v="0"/>
    <x v="0"/>
    <x v="15"/>
    <x v="0"/>
    <x v="6"/>
    <x v="1"/>
    <x v="2"/>
    <n v="87"/>
    <n v="0.2576"/>
    <n v="0.48"/>
    <n v="0.1045"/>
    <x v="4"/>
    <x v="59"/>
    <x v="59"/>
  </r>
  <r>
    <n v="89"/>
    <n v="40571"/>
    <x v="0"/>
    <x v="0"/>
    <x v="15"/>
    <x v="0"/>
    <x v="6"/>
    <x v="1"/>
    <x v="2"/>
    <n v="88"/>
    <n v="0.2576"/>
    <n v="0.48"/>
    <n v="0.1045"/>
    <x v="5"/>
    <x v="42"/>
    <x v="60"/>
  </r>
  <r>
    <n v="90"/>
    <n v="40571"/>
    <x v="0"/>
    <x v="0"/>
    <x v="15"/>
    <x v="0"/>
    <x v="6"/>
    <x v="1"/>
    <x v="2"/>
    <n v="89"/>
    <n v="0.2727"/>
    <n v="0.64"/>
    <n v="0"/>
    <x v="3"/>
    <x v="41"/>
    <x v="61"/>
  </r>
  <r>
    <n v="91"/>
    <n v="40571"/>
    <x v="0"/>
    <x v="0"/>
    <x v="15"/>
    <x v="0"/>
    <x v="6"/>
    <x v="1"/>
    <x v="2"/>
    <n v="90"/>
    <n v="0.2576"/>
    <n v="0.64"/>
    <n v="8.9599999999999999E-2"/>
    <x v="5"/>
    <x v="60"/>
    <x v="17"/>
  </r>
  <r>
    <n v="92"/>
    <n v="40571"/>
    <x v="0"/>
    <x v="0"/>
    <x v="15"/>
    <x v="0"/>
    <x v="6"/>
    <x v="1"/>
    <x v="2"/>
    <n v="91"/>
    <n v="0.2273"/>
    <n v="0.69"/>
    <n v="8.9599999999999999E-2"/>
    <x v="4"/>
    <x v="33"/>
    <x v="62"/>
  </r>
  <r>
    <n v="93"/>
    <n v="40571"/>
    <x v="0"/>
    <x v="0"/>
    <x v="15"/>
    <x v="0"/>
    <x v="6"/>
    <x v="1"/>
    <x v="2"/>
    <n v="92"/>
    <n v="0.2576"/>
    <n v="0.64"/>
    <n v="0"/>
    <x v="3"/>
    <x v="8"/>
    <x v="24"/>
  </r>
  <r>
    <n v="94"/>
    <n v="40571"/>
    <x v="0"/>
    <x v="0"/>
    <x v="15"/>
    <x v="0"/>
    <x v="6"/>
    <x v="1"/>
    <x v="2"/>
    <n v="93"/>
    <n v="0.19700000000000001"/>
    <n v="0.74"/>
    <n v="8.9599999999999999E-2"/>
    <x v="3"/>
    <x v="8"/>
    <x v="24"/>
  </r>
  <r>
    <n v="95"/>
    <n v="40571"/>
    <x v="0"/>
    <x v="0"/>
    <x v="15"/>
    <x v="0"/>
    <x v="6"/>
    <x v="1"/>
    <x v="2"/>
    <n v="94"/>
    <n v="0.19700000000000001"/>
    <n v="0.74"/>
    <n v="8.9599999999999999E-2"/>
    <x v="3"/>
    <x v="6"/>
    <x v="5"/>
  </r>
  <r>
    <n v="96"/>
    <n v="40571"/>
    <x v="0"/>
    <x v="0"/>
    <x v="15"/>
    <x v="0"/>
    <x v="6"/>
    <x v="1"/>
    <x v="2"/>
    <n v="95"/>
    <n v="0.2273"/>
    <n v="0.48"/>
    <n v="0.22389999999999999"/>
    <x v="3"/>
    <x v="6"/>
    <x v="5"/>
  </r>
  <r>
    <n v="97"/>
    <n v="40571"/>
    <x v="0"/>
    <x v="0"/>
    <x v="15"/>
    <x v="0"/>
    <x v="6"/>
    <x v="1"/>
    <x v="2"/>
    <n v="96"/>
    <n v="0.2273"/>
    <n v="0.47"/>
    <n v="0.16420000000000001"/>
    <x v="3"/>
    <x v="35"/>
    <x v="6"/>
  </r>
  <r>
    <n v="98"/>
    <n v="40571"/>
    <x v="0"/>
    <x v="0"/>
    <x v="15"/>
    <x v="0"/>
    <x v="6"/>
    <x v="1"/>
    <x v="2"/>
    <n v="97"/>
    <n v="0.19700000000000001"/>
    <n v="0.47"/>
    <n v="0.22389999999999999"/>
    <x v="3"/>
    <x v="39"/>
    <x v="63"/>
  </r>
  <r>
    <n v="99"/>
    <n v="40571"/>
    <x v="0"/>
    <x v="0"/>
    <x v="15"/>
    <x v="0"/>
    <x v="6"/>
    <x v="1"/>
    <x v="2"/>
    <n v="98"/>
    <n v="0.18179999999999999"/>
    <n v="0.43"/>
    <n v="0.19400000000000001"/>
    <x v="5"/>
    <x v="61"/>
    <x v="39"/>
  </r>
  <r>
    <n v="100"/>
    <n v="40571"/>
    <x v="0"/>
    <x v="0"/>
    <x v="15"/>
    <x v="0"/>
    <x v="6"/>
    <x v="1"/>
    <x v="2"/>
    <n v="99"/>
    <n v="0.18179999999999999"/>
    <n v="0.4"/>
    <n v="0.29849999999999999"/>
    <x v="0"/>
    <x v="62"/>
    <x v="64"/>
  </r>
  <r>
    <n v="101"/>
    <n v="40571"/>
    <x v="0"/>
    <x v="0"/>
    <x v="15"/>
    <x v="0"/>
    <x v="6"/>
    <x v="1"/>
    <x v="2"/>
    <n v="100"/>
    <n v="0.19700000000000001"/>
    <n v="0.37"/>
    <n v="0.32840000000000003"/>
    <x v="15"/>
    <x v="63"/>
    <x v="65"/>
  </r>
  <r>
    <n v="102"/>
    <n v="40571"/>
    <x v="0"/>
    <x v="0"/>
    <x v="15"/>
    <x v="0"/>
    <x v="6"/>
    <x v="1"/>
    <x v="2"/>
    <n v="101"/>
    <n v="0.19700000000000001"/>
    <n v="0.37"/>
    <n v="0.32840000000000003"/>
    <x v="17"/>
    <x v="42"/>
    <x v="52"/>
  </r>
  <r>
    <n v="103"/>
    <n v="40571"/>
    <x v="0"/>
    <x v="0"/>
    <x v="15"/>
    <x v="0"/>
    <x v="6"/>
    <x v="1"/>
    <x v="2"/>
    <n v="102"/>
    <n v="0.2273"/>
    <n v="0.33"/>
    <n v="0.32840000000000003"/>
    <x v="6"/>
    <x v="60"/>
    <x v="66"/>
  </r>
  <r>
    <n v="104"/>
    <n v="40571"/>
    <x v="0"/>
    <x v="0"/>
    <x v="15"/>
    <x v="0"/>
    <x v="6"/>
    <x v="1"/>
    <x v="2"/>
    <n v="103"/>
    <n v="0.2273"/>
    <n v="0.33"/>
    <n v="0.32840000000000003"/>
    <x v="2"/>
    <x v="64"/>
    <x v="67"/>
  </r>
  <r>
    <n v="105"/>
    <n v="40571"/>
    <x v="0"/>
    <x v="0"/>
    <x v="15"/>
    <x v="0"/>
    <x v="6"/>
    <x v="1"/>
    <x v="2"/>
    <n v="104"/>
    <n v="0.2576"/>
    <n v="0.3"/>
    <n v="0.29849999999999999"/>
    <x v="15"/>
    <x v="65"/>
    <x v="68"/>
  </r>
  <r>
    <n v="106"/>
    <n v="40571"/>
    <x v="0"/>
    <x v="0"/>
    <x v="15"/>
    <x v="0"/>
    <x v="6"/>
    <x v="1"/>
    <x v="2"/>
    <n v="105"/>
    <n v="0.28789999999999999"/>
    <n v="0.28000000000000003"/>
    <n v="0.19400000000000001"/>
    <x v="22"/>
    <x v="15"/>
    <x v="69"/>
  </r>
  <r>
    <n v="107"/>
    <n v="40571"/>
    <x v="0"/>
    <x v="0"/>
    <x v="15"/>
    <x v="0"/>
    <x v="6"/>
    <x v="1"/>
    <x v="2"/>
    <n v="106"/>
    <n v="0.28789999999999999"/>
    <n v="0.28000000000000003"/>
    <n v="0.19400000000000001"/>
    <x v="18"/>
    <x v="11"/>
    <x v="69"/>
  </r>
  <r>
    <n v="108"/>
    <n v="40571"/>
    <x v="0"/>
    <x v="0"/>
    <x v="15"/>
    <x v="0"/>
    <x v="6"/>
    <x v="1"/>
    <x v="2"/>
    <n v="107"/>
    <n v="0.31819999999999998"/>
    <n v="0.28000000000000003"/>
    <n v="8.9599999999999999E-2"/>
    <x v="17"/>
    <x v="66"/>
    <x v="70"/>
  </r>
  <r>
    <n v="109"/>
    <n v="40571"/>
    <x v="0"/>
    <x v="0"/>
    <x v="15"/>
    <x v="0"/>
    <x v="6"/>
    <x v="1"/>
    <x v="2"/>
    <n v="108"/>
    <n v="0.2273"/>
    <n v="0.38"/>
    <n v="0.19400000000000001"/>
    <x v="17"/>
    <x v="67"/>
    <x v="71"/>
  </r>
  <r>
    <n v="110"/>
    <n v="40571"/>
    <x v="0"/>
    <x v="0"/>
    <x v="15"/>
    <x v="0"/>
    <x v="6"/>
    <x v="1"/>
    <x v="2"/>
    <n v="109"/>
    <n v="0.2424"/>
    <n v="0.38"/>
    <n v="0.1343"/>
    <x v="0"/>
    <x v="68"/>
    <x v="72"/>
  </r>
  <r>
    <n v="111"/>
    <n v="40571"/>
    <x v="0"/>
    <x v="0"/>
    <x v="15"/>
    <x v="0"/>
    <x v="6"/>
    <x v="1"/>
    <x v="2"/>
    <n v="110"/>
    <n v="0.2576"/>
    <n v="0.38"/>
    <n v="0.1045"/>
    <x v="2"/>
    <x v="69"/>
    <x v="73"/>
  </r>
  <r>
    <n v="112"/>
    <n v="40571"/>
    <x v="0"/>
    <x v="0"/>
    <x v="15"/>
    <x v="0"/>
    <x v="6"/>
    <x v="1"/>
    <x v="2"/>
    <n v="111"/>
    <n v="0.2273"/>
    <n v="0.47"/>
    <n v="0.16420000000000001"/>
    <x v="18"/>
    <x v="70"/>
    <x v="70"/>
  </r>
  <r>
    <n v="113"/>
    <n v="40571"/>
    <x v="0"/>
    <x v="0"/>
    <x v="15"/>
    <x v="0"/>
    <x v="6"/>
    <x v="1"/>
    <x v="2"/>
    <n v="112"/>
    <n v="0.19700000000000001"/>
    <n v="0.51"/>
    <n v="0.19400000000000001"/>
    <x v="0"/>
    <x v="71"/>
    <x v="74"/>
  </r>
  <r>
    <n v="114"/>
    <n v="40571"/>
    <x v="0"/>
    <x v="0"/>
    <x v="15"/>
    <x v="0"/>
    <x v="6"/>
    <x v="1"/>
    <x v="2"/>
    <n v="113"/>
    <n v="0.19700000000000001"/>
    <n v="0.55000000000000004"/>
    <n v="0.1343"/>
    <x v="5"/>
    <x v="40"/>
    <x v="51"/>
  </r>
  <r>
    <n v="115"/>
    <n v="40571"/>
    <x v="0"/>
    <x v="0"/>
    <x v="15"/>
    <x v="0"/>
    <x v="6"/>
    <x v="1"/>
    <x v="2"/>
    <n v="114"/>
    <n v="0.2576"/>
    <n v="0.47"/>
    <n v="0"/>
    <x v="5"/>
    <x v="72"/>
    <x v="75"/>
  </r>
  <r>
    <n v="116"/>
    <n v="40571"/>
    <x v="0"/>
    <x v="0"/>
    <x v="15"/>
    <x v="0"/>
    <x v="6"/>
    <x v="1"/>
    <x v="2"/>
    <n v="115"/>
    <n v="0.2424"/>
    <n v="0.55000000000000004"/>
    <n v="0"/>
    <x v="3"/>
    <x v="48"/>
    <x v="62"/>
  </r>
  <r>
    <n v="117"/>
    <n v="40571"/>
    <x v="0"/>
    <x v="0"/>
    <x v="15"/>
    <x v="0"/>
    <x v="6"/>
    <x v="1"/>
    <x v="2"/>
    <n v="116"/>
    <n v="0.2273"/>
    <n v="0.64"/>
    <n v="0"/>
    <x v="3"/>
    <x v="22"/>
    <x v="48"/>
  </r>
  <r>
    <n v="118"/>
    <n v="40571"/>
    <x v="0"/>
    <x v="0"/>
    <x v="15"/>
    <x v="0"/>
    <x v="6"/>
    <x v="1"/>
    <x v="2"/>
    <n v="117"/>
    <n v="0.2273"/>
    <n v="0.64"/>
    <n v="0"/>
    <x v="3"/>
    <x v="6"/>
    <x v="5"/>
  </r>
  <r>
    <n v="119"/>
    <n v="40571"/>
    <x v="0"/>
    <x v="0"/>
    <x v="15"/>
    <x v="0"/>
    <x v="6"/>
    <x v="1"/>
    <x v="2"/>
    <n v="118"/>
    <n v="0.19700000000000001"/>
    <n v="0.64"/>
    <n v="8.9599999999999999E-2"/>
    <x v="3"/>
    <x v="4"/>
    <x v="4"/>
  </r>
  <r>
    <n v="120"/>
    <n v="40571"/>
    <x v="0"/>
    <x v="0"/>
    <x v="15"/>
    <x v="0"/>
    <x v="6"/>
    <x v="1"/>
    <x v="2"/>
    <n v="119"/>
    <n v="0.18179999999999999"/>
    <n v="0.69"/>
    <n v="8.9599999999999999E-2"/>
    <x v="3"/>
    <x v="22"/>
    <x v="48"/>
  </r>
  <r>
    <n v="121"/>
    <n v="40571"/>
    <x v="0"/>
    <x v="0"/>
    <x v="15"/>
    <x v="0"/>
    <x v="6"/>
    <x v="1"/>
    <x v="2"/>
    <n v="120"/>
    <n v="0.16669999999999999"/>
    <n v="0.63"/>
    <n v="0.1045"/>
    <x v="3"/>
    <x v="49"/>
    <x v="9"/>
  </r>
  <r>
    <n v="122"/>
    <n v="40571"/>
    <x v="0"/>
    <x v="0"/>
    <x v="15"/>
    <x v="0"/>
    <x v="6"/>
    <x v="1"/>
    <x v="2"/>
    <n v="121"/>
    <n v="0.2273"/>
    <n v="0.59"/>
    <n v="0"/>
    <x v="3"/>
    <x v="73"/>
    <x v="76"/>
  </r>
  <r>
    <n v="123"/>
    <n v="40571"/>
    <x v="0"/>
    <x v="0"/>
    <x v="15"/>
    <x v="0"/>
    <x v="6"/>
    <x v="1"/>
    <x v="2"/>
    <n v="122"/>
    <n v="0.2273"/>
    <n v="0.59"/>
    <n v="0"/>
    <x v="0"/>
    <x v="74"/>
    <x v="77"/>
  </r>
  <r>
    <n v="124"/>
    <n v="40571"/>
    <x v="0"/>
    <x v="0"/>
    <x v="15"/>
    <x v="0"/>
    <x v="6"/>
    <x v="1"/>
    <x v="2"/>
    <n v="123"/>
    <n v="0.2424"/>
    <n v="0.51"/>
    <n v="0"/>
    <x v="15"/>
    <x v="75"/>
    <x v="78"/>
  </r>
  <r>
    <n v="125"/>
    <n v="40571"/>
    <x v="0"/>
    <x v="0"/>
    <x v="15"/>
    <x v="0"/>
    <x v="6"/>
    <x v="1"/>
    <x v="2"/>
    <n v="124"/>
    <n v="0.2576"/>
    <n v="0.47"/>
    <n v="0"/>
    <x v="0"/>
    <x v="76"/>
    <x v="79"/>
  </r>
  <r>
    <n v="126"/>
    <n v="40571"/>
    <x v="0"/>
    <x v="0"/>
    <x v="15"/>
    <x v="0"/>
    <x v="6"/>
    <x v="1"/>
    <x v="2"/>
    <n v="125"/>
    <n v="0.2576"/>
    <n v="0.44"/>
    <n v="8.9599999999999999E-2"/>
    <x v="4"/>
    <x v="77"/>
    <x v="29"/>
  </r>
  <r>
    <n v="127"/>
    <n v="40571"/>
    <x v="0"/>
    <x v="0"/>
    <x v="15"/>
    <x v="0"/>
    <x v="6"/>
    <x v="1"/>
    <x v="2"/>
    <n v="126"/>
    <n v="0.28789999999999999"/>
    <n v="0.35"/>
    <n v="0"/>
    <x v="15"/>
    <x v="78"/>
    <x v="11"/>
  </r>
  <r>
    <n v="128"/>
    <n v="40571"/>
    <x v="0"/>
    <x v="0"/>
    <x v="15"/>
    <x v="0"/>
    <x v="6"/>
    <x v="1"/>
    <x v="2"/>
    <n v="127"/>
    <n v="0.2727"/>
    <n v="0.35"/>
    <n v="0.1045"/>
    <x v="6"/>
    <x v="11"/>
    <x v="16"/>
  </r>
  <r>
    <n v="129"/>
    <n v="40571"/>
    <x v="0"/>
    <x v="0"/>
    <x v="15"/>
    <x v="0"/>
    <x v="6"/>
    <x v="1"/>
    <x v="2"/>
    <n v="128"/>
    <n v="0.2727"/>
    <n v="0.36"/>
    <n v="0.16420000000000001"/>
    <x v="16"/>
    <x v="79"/>
    <x v="27"/>
  </r>
  <r>
    <n v="130"/>
    <n v="40571"/>
    <x v="0"/>
    <x v="0"/>
    <x v="15"/>
    <x v="0"/>
    <x v="6"/>
    <x v="1"/>
    <x v="2"/>
    <n v="129"/>
    <n v="0.2727"/>
    <n v="0.36"/>
    <n v="0"/>
    <x v="1"/>
    <x v="25"/>
    <x v="69"/>
  </r>
  <r>
    <n v="131"/>
    <n v="40571"/>
    <x v="0"/>
    <x v="0"/>
    <x v="15"/>
    <x v="0"/>
    <x v="6"/>
    <x v="1"/>
    <x v="2"/>
    <n v="130"/>
    <n v="0.2576"/>
    <n v="0.38"/>
    <n v="0.16420000000000001"/>
    <x v="6"/>
    <x v="64"/>
    <x v="80"/>
  </r>
  <r>
    <n v="132"/>
    <n v="40571"/>
    <x v="0"/>
    <x v="0"/>
    <x v="15"/>
    <x v="0"/>
    <x v="6"/>
    <x v="1"/>
    <x v="2"/>
    <n v="131"/>
    <n v="0.2273"/>
    <n v="0.51"/>
    <n v="0.16420000000000001"/>
    <x v="14"/>
    <x v="80"/>
    <x v="81"/>
  </r>
  <r>
    <n v="133"/>
    <n v="40571"/>
    <x v="0"/>
    <x v="0"/>
    <x v="15"/>
    <x v="0"/>
    <x v="6"/>
    <x v="1"/>
    <x v="2"/>
    <n v="132"/>
    <n v="0.2273"/>
    <n v="0.51"/>
    <n v="0.1343"/>
    <x v="2"/>
    <x v="81"/>
    <x v="82"/>
  </r>
  <r>
    <n v="134"/>
    <n v="40571"/>
    <x v="0"/>
    <x v="0"/>
    <x v="15"/>
    <x v="0"/>
    <x v="6"/>
    <x v="1"/>
    <x v="2"/>
    <n v="133"/>
    <n v="0.2576"/>
    <n v="0.55000000000000004"/>
    <n v="8.9599999999999999E-2"/>
    <x v="0"/>
    <x v="63"/>
    <x v="59"/>
  </r>
  <r>
    <n v="135"/>
    <n v="40571"/>
    <x v="0"/>
    <x v="0"/>
    <x v="15"/>
    <x v="0"/>
    <x v="6"/>
    <x v="1"/>
    <x v="2"/>
    <n v="134"/>
    <n v="0.21210000000000001"/>
    <n v="0.51"/>
    <n v="0.16420000000000001"/>
    <x v="0"/>
    <x v="43"/>
    <x v="83"/>
  </r>
  <r>
    <n v="136"/>
    <n v="40571"/>
    <x v="0"/>
    <x v="0"/>
    <x v="15"/>
    <x v="0"/>
    <x v="6"/>
    <x v="1"/>
    <x v="2"/>
    <n v="135"/>
    <n v="0.21210000000000001"/>
    <n v="0.55000000000000004"/>
    <n v="0.22389999999999999"/>
    <x v="3"/>
    <x v="41"/>
    <x v="61"/>
  </r>
  <r>
    <n v="137"/>
    <n v="40571"/>
    <x v="0"/>
    <x v="0"/>
    <x v="15"/>
    <x v="0"/>
    <x v="6"/>
    <x v="1"/>
    <x v="2"/>
    <n v="136"/>
    <n v="0.21210000000000001"/>
    <n v="0.51"/>
    <n v="0.28360000000000002"/>
    <x v="5"/>
    <x v="82"/>
    <x v="46"/>
  </r>
  <r>
    <n v="138"/>
    <n v="40571"/>
    <x v="0"/>
    <x v="0"/>
    <x v="15"/>
    <x v="0"/>
    <x v="6"/>
    <x v="1"/>
    <x v="2"/>
    <n v="137"/>
    <n v="0.19700000000000001"/>
    <n v="0.59"/>
    <n v="0.19400000000000001"/>
    <x v="17"/>
    <x v="23"/>
    <x v="84"/>
  </r>
  <r>
    <n v="139"/>
    <n v="40571"/>
    <x v="0"/>
    <x v="0"/>
    <x v="15"/>
    <x v="0"/>
    <x v="6"/>
    <x v="1"/>
    <x v="2"/>
    <n v="138"/>
    <n v="0.19700000000000001"/>
    <n v="0.64"/>
    <n v="0.19400000000000001"/>
    <x v="17"/>
    <x v="0"/>
    <x v="22"/>
  </r>
  <r>
    <n v="140"/>
    <n v="40571"/>
    <x v="0"/>
    <x v="0"/>
    <x v="15"/>
    <x v="0"/>
    <x v="6"/>
    <x v="1"/>
    <x v="2"/>
    <n v="139"/>
    <n v="0.19700000000000001"/>
    <n v="0.69"/>
    <n v="0.22389999999999999"/>
    <x v="4"/>
    <x v="34"/>
    <x v="85"/>
  </r>
  <r>
    <n v="141"/>
    <n v="40571"/>
    <x v="0"/>
    <x v="0"/>
    <x v="15"/>
    <x v="0"/>
    <x v="6"/>
    <x v="1"/>
    <x v="2"/>
    <n v="140"/>
    <n v="0.19700000000000001"/>
    <n v="0.69"/>
    <n v="0.22389999999999999"/>
    <x v="3"/>
    <x v="4"/>
    <x v="4"/>
  </r>
  <r>
    <n v="142"/>
    <n v="40571"/>
    <x v="0"/>
    <x v="0"/>
    <x v="15"/>
    <x v="0"/>
    <x v="6"/>
    <x v="1"/>
    <x v="2"/>
    <n v="141"/>
    <n v="0.21210000000000001"/>
    <n v="0.69"/>
    <n v="0.1343"/>
    <x v="3"/>
    <x v="4"/>
    <x v="4"/>
  </r>
  <r>
    <n v="143"/>
    <n v="40571"/>
    <x v="0"/>
    <x v="0"/>
    <x v="15"/>
    <x v="0"/>
    <x v="6"/>
    <x v="1"/>
    <x v="2"/>
    <n v="142"/>
    <n v="0.2727"/>
    <n v="0.55000000000000004"/>
    <n v="0"/>
    <x v="3"/>
    <x v="34"/>
    <x v="36"/>
  </r>
  <r>
    <n v="144"/>
    <n v="40571"/>
    <x v="0"/>
    <x v="0"/>
    <x v="15"/>
    <x v="0"/>
    <x v="6"/>
    <x v="1"/>
    <x v="2"/>
    <n v="143"/>
    <n v="0.2576"/>
    <n v="0.69"/>
    <n v="0"/>
    <x v="1"/>
    <x v="16"/>
    <x v="19"/>
  </r>
  <r>
    <n v="145"/>
    <n v="40571"/>
    <x v="0"/>
    <x v="0"/>
    <x v="15"/>
    <x v="0"/>
    <x v="6"/>
    <x v="1"/>
    <x v="2"/>
    <n v="144"/>
    <n v="0.21210000000000001"/>
    <n v="0.69"/>
    <n v="0.1343"/>
    <x v="1"/>
    <x v="83"/>
    <x v="11"/>
  </r>
  <r>
    <n v="146"/>
    <n v="40571"/>
    <x v="0"/>
    <x v="0"/>
    <x v="15"/>
    <x v="0"/>
    <x v="6"/>
    <x v="1"/>
    <x v="2"/>
    <n v="145"/>
    <n v="0.19700000000000001"/>
    <n v="0.51"/>
    <n v="0.25369999999999998"/>
    <x v="20"/>
    <x v="84"/>
    <x v="86"/>
  </r>
  <r>
    <n v="147"/>
    <n v="40571"/>
    <x v="0"/>
    <x v="0"/>
    <x v="15"/>
    <x v="0"/>
    <x v="6"/>
    <x v="1"/>
    <x v="2"/>
    <n v="146"/>
    <n v="0.18179999999999999"/>
    <n v="0.47"/>
    <n v="0.29849999999999999"/>
    <x v="14"/>
    <x v="85"/>
    <x v="87"/>
  </r>
  <r>
    <n v="148"/>
    <n v="40571"/>
    <x v="0"/>
    <x v="0"/>
    <x v="15"/>
    <x v="0"/>
    <x v="6"/>
    <x v="1"/>
    <x v="2"/>
    <n v="147"/>
    <n v="0.19700000000000001"/>
    <n v="0.37"/>
    <n v="0.32840000000000003"/>
    <x v="19"/>
    <x v="12"/>
    <x v="55"/>
  </r>
  <r>
    <n v="149"/>
    <n v="40571"/>
    <x v="0"/>
    <x v="0"/>
    <x v="15"/>
    <x v="0"/>
    <x v="6"/>
    <x v="1"/>
    <x v="2"/>
    <n v="148"/>
    <n v="0.19700000000000001"/>
    <n v="0.4"/>
    <n v="0.22389999999999999"/>
    <x v="21"/>
    <x v="41"/>
    <x v="16"/>
  </r>
  <r>
    <n v="150"/>
    <n v="40571"/>
    <x v="0"/>
    <x v="0"/>
    <x v="15"/>
    <x v="0"/>
    <x v="6"/>
    <x v="1"/>
    <x v="2"/>
    <n v="149"/>
    <n v="0.19700000000000001"/>
    <n v="0.37"/>
    <n v="0.25369999999999998"/>
    <x v="14"/>
    <x v="54"/>
    <x v="29"/>
  </r>
  <r>
    <n v="151"/>
    <n v="40571"/>
    <x v="0"/>
    <x v="0"/>
    <x v="15"/>
    <x v="0"/>
    <x v="6"/>
    <x v="1"/>
    <x v="2"/>
    <n v="150"/>
    <n v="0.18179999999999999"/>
    <n v="0.37"/>
    <n v="0.28360000000000002"/>
    <x v="14"/>
    <x v="27"/>
    <x v="88"/>
  </r>
  <r>
    <n v="152"/>
    <n v="40571"/>
    <x v="0"/>
    <x v="0"/>
    <x v="15"/>
    <x v="0"/>
    <x v="6"/>
    <x v="1"/>
    <x v="2"/>
    <n v="151"/>
    <n v="0.19700000000000001"/>
    <n v="0.4"/>
    <n v="0.25369999999999998"/>
    <x v="18"/>
    <x v="30"/>
    <x v="89"/>
  </r>
  <r>
    <n v="153"/>
    <n v="40571"/>
    <x v="0"/>
    <x v="0"/>
    <x v="15"/>
    <x v="0"/>
    <x v="6"/>
    <x v="1"/>
    <x v="2"/>
    <n v="152"/>
    <n v="0.21210000000000001"/>
    <n v="0.37"/>
    <n v="0.16420000000000001"/>
    <x v="14"/>
    <x v="36"/>
    <x v="44"/>
  </r>
  <r>
    <n v="154"/>
    <n v="40571"/>
    <x v="0"/>
    <x v="0"/>
    <x v="15"/>
    <x v="0"/>
    <x v="6"/>
    <x v="1"/>
    <x v="2"/>
    <n v="153"/>
    <n v="0.21210000000000001"/>
    <n v="0.37"/>
    <n v="0.16420000000000001"/>
    <x v="2"/>
    <x v="70"/>
    <x v="90"/>
  </r>
  <r>
    <n v="155"/>
    <n v="40571"/>
    <x v="0"/>
    <x v="0"/>
    <x v="15"/>
    <x v="0"/>
    <x v="6"/>
    <x v="1"/>
    <x v="2"/>
    <n v="154"/>
    <n v="0.2576"/>
    <n v="0.37"/>
    <n v="0"/>
    <x v="14"/>
    <x v="86"/>
    <x v="91"/>
  </r>
  <r>
    <n v="156"/>
    <n v="40571"/>
    <x v="0"/>
    <x v="0"/>
    <x v="15"/>
    <x v="0"/>
    <x v="6"/>
    <x v="1"/>
    <x v="2"/>
    <n v="155"/>
    <n v="0.2273"/>
    <n v="0.4"/>
    <n v="8.9599999999999999E-2"/>
    <x v="18"/>
    <x v="75"/>
    <x v="92"/>
  </r>
  <r>
    <n v="157"/>
    <n v="40571"/>
    <x v="0"/>
    <x v="0"/>
    <x v="15"/>
    <x v="0"/>
    <x v="6"/>
    <x v="1"/>
    <x v="2"/>
    <n v="156"/>
    <n v="0.19700000000000001"/>
    <n v="0.55000000000000004"/>
    <n v="8.9599999999999999E-2"/>
    <x v="0"/>
    <x v="50"/>
    <x v="76"/>
  </r>
  <r>
    <n v="158"/>
    <n v="40571"/>
    <x v="0"/>
    <x v="0"/>
    <x v="15"/>
    <x v="0"/>
    <x v="6"/>
    <x v="1"/>
    <x v="2"/>
    <n v="157"/>
    <n v="0.21210000000000001"/>
    <n v="0.47"/>
    <n v="0.1045"/>
    <x v="5"/>
    <x v="54"/>
    <x v="41"/>
  </r>
  <r>
    <n v="159"/>
    <n v="40571"/>
    <x v="0"/>
    <x v="0"/>
    <x v="15"/>
    <x v="0"/>
    <x v="6"/>
    <x v="1"/>
    <x v="2"/>
    <n v="158"/>
    <n v="0.19700000000000001"/>
    <n v="0.47"/>
    <n v="0.1343"/>
    <x v="3"/>
    <x v="87"/>
    <x v="21"/>
  </r>
  <r>
    <n v="160"/>
    <n v="40571"/>
    <x v="0"/>
    <x v="0"/>
    <x v="15"/>
    <x v="0"/>
    <x v="6"/>
    <x v="1"/>
    <x v="2"/>
    <n v="159"/>
    <n v="0.19700000000000001"/>
    <n v="0.43"/>
    <n v="0.16420000000000001"/>
    <x v="4"/>
    <x v="60"/>
    <x v="9"/>
  </r>
  <r>
    <n v="161"/>
    <n v="40571"/>
    <x v="0"/>
    <x v="0"/>
    <x v="15"/>
    <x v="0"/>
    <x v="6"/>
    <x v="1"/>
    <x v="2"/>
    <n v="160"/>
    <n v="0.19700000000000001"/>
    <n v="0.51"/>
    <n v="0.16420000000000001"/>
    <x v="5"/>
    <x v="88"/>
    <x v="93"/>
  </r>
  <r>
    <n v="162"/>
    <n v="40571"/>
    <x v="0"/>
    <x v="0"/>
    <x v="15"/>
    <x v="0"/>
    <x v="6"/>
    <x v="1"/>
    <x v="2"/>
    <n v="161"/>
    <n v="0.19700000000000001"/>
    <n v="0.51"/>
    <n v="0.16420000000000001"/>
    <x v="5"/>
    <x v="9"/>
    <x v="94"/>
  </r>
  <r>
    <n v="163"/>
    <n v="40571"/>
    <x v="0"/>
    <x v="0"/>
    <x v="15"/>
    <x v="0"/>
    <x v="6"/>
    <x v="1"/>
    <x v="2"/>
    <n v="162"/>
    <n v="0.21210000000000001"/>
    <n v="0.55000000000000004"/>
    <n v="8.9599999999999999E-2"/>
    <x v="5"/>
    <x v="89"/>
    <x v="0"/>
  </r>
  <r>
    <n v="164"/>
    <n v="40571"/>
    <x v="0"/>
    <x v="0"/>
    <x v="15"/>
    <x v="0"/>
    <x v="6"/>
    <x v="1"/>
    <x v="2"/>
    <n v="163"/>
    <n v="0.2424"/>
    <n v="0.55000000000000004"/>
    <n v="0"/>
    <x v="0"/>
    <x v="0"/>
    <x v="0"/>
  </r>
  <r>
    <n v="165"/>
    <n v="40571"/>
    <x v="0"/>
    <x v="0"/>
    <x v="15"/>
    <x v="0"/>
    <x v="6"/>
    <x v="1"/>
    <x v="2"/>
    <n v="164"/>
    <n v="0.19700000000000001"/>
    <n v="0.55000000000000004"/>
    <n v="0.16420000000000001"/>
    <x v="3"/>
    <x v="7"/>
    <x v="85"/>
  </r>
  <r>
    <n v="166"/>
    <n v="40571"/>
    <x v="0"/>
    <x v="0"/>
    <x v="15"/>
    <x v="0"/>
    <x v="6"/>
    <x v="1"/>
    <x v="2"/>
    <n v="165"/>
    <n v="0.19700000000000001"/>
    <n v="0.55000000000000004"/>
    <n v="0.16420000000000001"/>
    <x v="3"/>
    <x v="4"/>
    <x v="4"/>
  </r>
  <r>
    <n v="167"/>
    <n v="40571"/>
    <x v="0"/>
    <x v="0"/>
    <x v="15"/>
    <x v="0"/>
    <x v="6"/>
    <x v="1"/>
    <x v="2"/>
    <n v="166"/>
    <n v="0.16669999999999999"/>
    <n v="0.74"/>
    <n v="0.16420000000000001"/>
    <x v="3"/>
    <x v="34"/>
    <x v="36"/>
  </r>
  <r>
    <n v="168"/>
    <n v="40571"/>
    <x v="0"/>
    <x v="0"/>
    <x v="15"/>
    <x v="0"/>
    <x v="6"/>
    <x v="1"/>
    <x v="2"/>
    <n v="167"/>
    <n v="0.16669999999999999"/>
    <n v="0.74"/>
    <n v="0.16420000000000001"/>
    <x v="3"/>
    <x v="6"/>
    <x v="5"/>
  </r>
  <r>
    <n v="169"/>
    <n v="40571"/>
    <x v="0"/>
    <x v="0"/>
    <x v="15"/>
    <x v="0"/>
    <x v="6"/>
    <x v="1"/>
    <x v="2"/>
    <n v="168"/>
    <n v="0.18179999999999999"/>
    <n v="0.74"/>
    <n v="0.1045"/>
    <x v="5"/>
    <x v="21"/>
    <x v="23"/>
  </r>
  <r>
    <n v="170"/>
    <n v="40571"/>
    <x v="0"/>
    <x v="0"/>
    <x v="15"/>
    <x v="0"/>
    <x v="6"/>
    <x v="1"/>
    <x v="2"/>
    <n v="169"/>
    <n v="0.18179999999999999"/>
    <n v="0.93"/>
    <n v="0.1045"/>
    <x v="3"/>
    <x v="89"/>
    <x v="93"/>
  </r>
  <r>
    <n v="171"/>
    <n v="40571"/>
    <x v="0"/>
    <x v="0"/>
    <x v="15"/>
    <x v="0"/>
    <x v="6"/>
    <x v="1"/>
    <x v="2"/>
    <n v="170"/>
    <n v="0.18179999999999999"/>
    <n v="0.93"/>
    <n v="0.1045"/>
    <x v="3"/>
    <x v="32"/>
    <x v="25"/>
  </r>
  <r>
    <n v="172"/>
    <n v="40571"/>
    <x v="0"/>
    <x v="0"/>
    <x v="15"/>
    <x v="0"/>
    <x v="6"/>
    <x v="1"/>
    <x v="2"/>
    <n v="171"/>
    <n v="0.19700000000000001"/>
    <n v="0.8"/>
    <n v="0.16420000000000001"/>
    <x v="2"/>
    <x v="90"/>
    <x v="42"/>
  </r>
  <r>
    <n v="173"/>
    <n v="40571"/>
    <x v="0"/>
    <x v="0"/>
    <x v="15"/>
    <x v="0"/>
    <x v="6"/>
    <x v="1"/>
    <x v="2"/>
    <n v="172"/>
    <n v="0.18179999999999999"/>
    <n v="0.69"/>
    <n v="0.3881"/>
    <x v="4"/>
    <x v="91"/>
    <x v="69"/>
  </r>
  <r>
    <n v="174"/>
    <n v="40571"/>
    <x v="0"/>
    <x v="0"/>
    <x v="15"/>
    <x v="0"/>
    <x v="6"/>
    <x v="1"/>
    <x v="2"/>
    <n v="173"/>
    <n v="0.18179999999999999"/>
    <n v="0.59"/>
    <n v="0.35820000000000002"/>
    <x v="1"/>
    <x v="92"/>
    <x v="95"/>
  </r>
  <r>
    <n v="175"/>
    <n v="40571"/>
    <x v="0"/>
    <x v="0"/>
    <x v="15"/>
    <x v="0"/>
    <x v="6"/>
    <x v="1"/>
    <x v="2"/>
    <n v="174"/>
    <n v="0.18179999999999999"/>
    <n v="0.44"/>
    <n v="0.32840000000000003"/>
    <x v="18"/>
    <x v="73"/>
    <x v="96"/>
  </r>
  <r>
    <n v="176"/>
    <n v="40571"/>
    <x v="0"/>
    <x v="0"/>
    <x v="15"/>
    <x v="0"/>
    <x v="6"/>
    <x v="1"/>
    <x v="2"/>
    <n v="175"/>
    <n v="0.16669999999999999"/>
    <n v="0.32"/>
    <n v="0.49249999999999999"/>
    <x v="6"/>
    <x v="93"/>
    <x v="76"/>
  </r>
  <r>
    <n v="177"/>
    <n v="40571"/>
    <x v="0"/>
    <x v="0"/>
    <x v="15"/>
    <x v="0"/>
    <x v="6"/>
    <x v="1"/>
    <x v="2"/>
    <n v="176"/>
    <n v="0.16669999999999999"/>
    <n v="0.32"/>
    <n v="0.44779999999999998"/>
    <x v="2"/>
    <x v="94"/>
    <x v="30"/>
  </r>
  <r>
    <n v="178"/>
    <n v="40571"/>
    <x v="0"/>
    <x v="0"/>
    <x v="15"/>
    <x v="0"/>
    <x v="6"/>
    <x v="1"/>
    <x v="2"/>
    <n v="177"/>
    <n v="0.13639999999999999"/>
    <n v="0.28999999999999998"/>
    <n v="0.44779999999999998"/>
    <x v="1"/>
    <x v="56"/>
    <x v="31"/>
  </r>
  <r>
    <n v="179"/>
    <n v="40571"/>
    <x v="0"/>
    <x v="0"/>
    <x v="15"/>
    <x v="0"/>
    <x v="6"/>
    <x v="1"/>
    <x v="2"/>
    <n v="178"/>
    <n v="0.1212"/>
    <n v="0.37"/>
    <n v="0.55220000000000002"/>
    <x v="2"/>
    <x v="27"/>
    <x v="83"/>
  </r>
  <r>
    <n v="180"/>
    <n v="40571"/>
    <x v="0"/>
    <x v="0"/>
    <x v="15"/>
    <x v="0"/>
    <x v="6"/>
    <x v="1"/>
    <x v="2"/>
    <n v="179"/>
    <n v="0.1212"/>
    <n v="0.39"/>
    <n v="0.29849999999999999"/>
    <x v="0"/>
    <x v="15"/>
    <x v="97"/>
  </r>
  <r>
    <n v="181"/>
    <n v="40571"/>
    <x v="0"/>
    <x v="0"/>
    <x v="15"/>
    <x v="0"/>
    <x v="6"/>
    <x v="1"/>
    <x v="2"/>
    <n v="180"/>
    <n v="0.1212"/>
    <n v="0.36"/>
    <n v="0.25369999999999998"/>
    <x v="17"/>
    <x v="16"/>
    <x v="33"/>
  </r>
  <r>
    <n v="182"/>
    <n v="40571"/>
    <x v="0"/>
    <x v="0"/>
    <x v="15"/>
    <x v="0"/>
    <x v="6"/>
    <x v="1"/>
    <x v="2"/>
    <n v="181"/>
    <n v="0.1212"/>
    <n v="0.36"/>
    <n v="0.25369999999999998"/>
    <x v="3"/>
    <x v="95"/>
    <x v="20"/>
  </r>
  <r>
    <n v="183"/>
    <n v="40571"/>
    <x v="0"/>
    <x v="0"/>
    <x v="15"/>
    <x v="0"/>
    <x v="6"/>
    <x v="1"/>
    <x v="2"/>
    <n v="182"/>
    <n v="0.1061"/>
    <n v="0.39"/>
    <n v="0.35820000000000002"/>
    <x v="4"/>
    <x v="96"/>
    <x v="18"/>
  </r>
  <r>
    <n v="184"/>
    <n v="40571"/>
    <x v="0"/>
    <x v="0"/>
    <x v="15"/>
    <x v="0"/>
    <x v="6"/>
    <x v="1"/>
    <x v="2"/>
    <n v="183"/>
    <n v="0.1061"/>
    <n v="0.36"/>
    <n v="0.3881"/>
    <x v="5"/>
    <x v="39"/>
    <x v="19"/>
  </r>
  <r>
    <n v="185"/>
    <n v="40571"/>
    <x v="0"/>
    <x v="0"/>
    <x v="15"/>
    <x v="0"/>
    <x v="6"/>
    <x v="1"/>
    <x v="2"/>
    <n v="184"/>
    <n v="6.0600000000000001E-2"/>
    <n v="0.39"/>
    <n v="0.44779999999999998"/>
    <x v="3"/>
    <x v="97"/>
    <x v="34"/>
  </r>
  <r>
    <n v="186"/>
    <n v="40571"/>
    <x v="0"/>
    <x v="0"/>
    <x v="15"/>
    <x v="0"/>
    <x v="6"/>
    <x v="1"/>
    <x v="2"/>
    <n v="185"/>
    <n v="7.5800000000000006E-2"/>
    <n v="0.42"/>
    <n v="0.3881"/>
    <x v="5"/>
    <x v="9"/>
    <x v="94"/>
  </r>
  <r>
    <n v="187"/>
    <n v="40571"/>
    <x v="0"/>
    <x v="0"/>
    <x v="15"/>
    <x v="0"/>
    <x v="6"/>
    <x v="1"/>
    <x v="2"/>
    <n v="186"/>
    <n v="6.0600000000000001E-2"/>
    <n v="0.42"/>
    <n v="0.4627"/>
    <x v="3"/>
    <x v="98"/>
    <x v="47"/>
  </r>
  <r>
    <n v="188"/>
    <n v="40571"/>
    <x v="0"/>
    <x v="0"/>
    <x v="15"/>
    <x v="0"/>
    <x v="6"/>
    <x v="1"/>
    <x v="2"/>
    <n v="187"/>
    <n v="6.0600000000000001E-2"/>
    <n v="0.46"/>
    <n v="0.4627"/>
    <x v="3"/>
    <x v="48"/>
    <x v="62"/>
  </r>
  <r>
    <n v="189"/>
    <n v="40571"/>
    <x v="0"/>
    <x v="0"/>
    <x v="15"/>
    <x v="0"/>
    <x v="6"/>
    <x v="1"/>
    <x v="2"/>
    <n v="188"/>
    <n v="7.5800000000000006E-2"/>
    <n v="0.46"/>
    <n v="0.41789999999999999"/>
    <x v="3"/>
    <x v="22"/>
    <x v="48"/>
  </r>
  <r>
    <n v="190"/>
    <n v="40571"/>
    <x v="0"/>
    <x v="0"/>
    <x v="15"/>
    <x v="0"/>
    <x v="6"/>
    <x v="1"/>
    <x v="2"/>
    <n v="189"/>
    <n v="9.0899999999999995E-2"/>
    <n v="0.53"/>
    <n v="0.19400000000000001"/>
    <x v="3"/>
    <x v="4"/>
    <x v="4"/>
  </r>
  <r>
    <n v="191"/>
    <n v="40571"/>
    <x v="0"/>
    <x v="0"/>
    <x v="15"/>
    <x v="0"/>
    <x v="6"/>
    <x v="1"/>
    <x v="2"/>
    <n v="190"/>
    <n v="9.0899999999999995E-2"/>
    <n v="0.53"/>
    <n v="0.19400000000000001"/>
    <x v="3"/>
    <x v="4"/>
    <x v="4"/>
  </r>
  <r>
    <n v="192"/>
    <n v="40571"/>
    <x v="0"/>
    <x v="0"/>
    <x v="15"/>
    <x v="0"/>
    <x v="6"/>
    <x v="1"/>
    <x v="2"/>
    <n v="191"/>
    <n v="9.0899999999999995E-2"/>
    <n v="0.49"/>
    <n v="0.28360000000000002"/>
    <x v="3"/>
    <x v="4"/>
    <x v="4"/>
  </r>
  <r>
    <n v="193"/>
    <n v="40571"/>
    <x v="0"/>
    <x v="0"/>
    <x v="15"/>
    <x v="0"/>
    <x v="6"/>
    <x v="1"/>
    <x v="2"/>
    <n v="192"/>
    <n v="9.0899999999999995E-2"/>
    <n v="0.53"/>
    <n v="0.19400000000000001"/>
    <x v="5"/>
    <x v="34"/>
    <x v="24"/>
  </r>
  <r>
    <n v="194"/>
    <n v="40571"/>
    <x v="0"/>
    <x v="0"/>
    <x v="15"/>
    <x v="0"/>
    <x v="6"/>
    <x v="1"/>
    <x v="2"/>
    <n v="193"/>
    <n v="9.0899999999999995E-2"/>
    <n v="0.49"/>
    <n v="0.28360000000000002"/>
    <x v="3"/>
    <x v="3"/>
    <x v="98"/>
  </r>
  <r>
    <n v="195"/>
    <n v="40571"/>
    <x v="0"/>
    <x v="0"/>
    <x v="15"/>
    <x v="0"/>
    <x v="6"/>
    <x v="1"/>
    <x v="2"/>
    <n v="194"/>
    <n v="7.5800000000000006E-2"/>
    <n v="0.46"/>
    <n v="0.52239999999999998"/>
    <x v="3"/>
    <x v="23"/>
    <x v="75"/>
  </r>
  <r>
    <n v="196"/>
    <n v="40571"/>
    <x v="0"/>
    <x v="0"/>
    <x v="15"/>
    <x v="0"/>
    <x v="6"/>
    <x v="1"/>
    <x v="2"/>
    <n v="195"/>
    <n v="0.1061"/>
    <n v="0.43"/>
    <n v="0.3881"/>
    <x v="3"/>
    <x v="47"/>
    <x v="99"/>
  </r>
  <r>
    <n v="197"/>
    <n v="40571"/>
    <x v="0"/>
    <x v="0"/>
    <x v="15"/>
    <x v="0"/>
    <x v="6"/>
    <x v="1"/>
    <x v="2"/>
    <n v="196"/>
    <n v="0.1212"/>
    <n v="0.4"/>
    <n v="0.52239999999999998"/>
    <x v="4"/>
    <x v="12"/>
    <x v="99"/>
  </r>
  <r>
    <n v="198"/>
    <n v="40571"/>
    <x v="0"/>
    <x v="0"/>
    <x v="15"/>
    <x v="0"/>
    <x v="6"/>
    <x v="1"/>
    <x v="2"/>
    <n v="197"/>
    <n v="0.13639999999999999"/>
    <n v="0.37"/>
    <n v="0.44779999999999998"/>
    <x v="17"/>
    <x v="55"/>
    <x v="56"/>
  </r>
  <r>
    <n v="199"/>
    <n v="40571"/>
    <x v="0"/>
    <x v="0"/>
    <x v="15"/>
    <x v="0"/>
    <x v="6"/>
    <x v="1"/>
    <x v="2"/>
    <n v="198"/>
    <n v="0.16669999999999999"/>
    <n v="0.34"/>
    <n v="0.44779999999999998"/>
    <x v="15"/>
    <x v="94"/>
    <x v="28"/>
  </r>
  <r>
    <n v="200"/>
    <n v="40571"/>
    <x v="0"/>
    <x v="0"/>
    <x v="15"/>
    <x v="0"/>
    <x v="6"/>
    <x v="1"/>
    <x v="2"/>
    <n v="199"/>
    <n v="0.18179999999999999"/>
    <n v="0.32"/>
    <n v="0.4627"/>
    <x v="1"/>
    <x v="27"/>
    <x v="44"/>
  </r>
  <r>
    <n v="201"/>
    <n v="40571"/>
    <x v="0"/>
    <x v="0"/>
    <x v="15"/>
    <x v="0"/>
    <x v="6"/>
    <x v="1"/>
    <x v="2"/>
    <n v="200"/>
    <n v="0.19700000000000001"/>
    <n v="0.35"/>
    <n v="0.35820000000000002"/>
    <x v="2"/>
    <x v="99"/>
    <x v="100"/>
  </r>
  <r>
    <n v="202"/>
    <n v="40571"/>
    <x v="0"/>
    <x v="0"/>
    <x v="15"/>
    <x v="0"/>
    <x v="6"/>
    <x v="1"/>
    <x v="2"/>
    <n v="201"/>
    <n v="0.16669999999999999"/>
    <n v="0.34"/>
    <n v="0.44779999999999998"/>
    <x v="23"/>
    <x v="55"/>
    <x v="101"/>
  </r>
  <r>
    <n v="203"/>
    <n v="40571"/>
    <x v="0"/>
    <x v="0"/>
    <x v="15"/>
    <x v="0"/>
    <x v="6"/>
    <x v="1"/>
    <x v="2"/>
    <n v="202"/>
    <n v="0.1515"/>
    <n v="0.37"/>
    <n v="0.3881"/>
    <x v="0"/>
    <x v="79"/>
    <x v="69"/>
  </r>
  <r>
    <n v="204"/>
    <n v="40571"/>
    <x v="0"/>
    <x v="0"/>
    <x v="15"/>
    <x v="0"/>
    <x v="6"/>
    <x v="1"/>
    <x v="2"/>
    <n v="203"/>
    <n v="0.13639999999999999"/>
    <n v="0.4"/>
    <n v="0.32840000000000003"/>
    <x v="17"/>
    <x v="100"/>
    <x v="61"/>
  </r>
  <r>
    <n v="205"/>
    <n v="40571"/>
    <x v="0"/>
    <x v="0"/>
    <x v="15"/>
    <x v="0"/>
    <x v="6"/>
    <x v="1"/>
    <x v="2"/>
    <n v="204"/>
    <n v="0.13639999999999999"/>
    <n v="0.43"/>
    <n v="0.32840000000000003"/>
    <x v="5"/>
    <x v="71"/>
    <x v="102"/>
  </r>
  <r>
    <n v="206"/>
    <n v="40571"/>
    <x v="0"/>
    <x v="0"/>
    <x v="15"/>
    <x v="0"/>
    <x v="6"/>
    <x v="1"/>
    <x v="2"/>
    <n v="205"/>
    <n v="0.1212"/>
    <n v="0.46"/>
    <n v="0.25369999999999998"/>
    <x v="3"/>
    <x v="101"/>
    <x v="103"/>
  </r>
  <r>
    <n v="207"/>
    <n v="40571"/>
    <x v="0"/>
    <x v="0"/>
    <x v="15"/>
    <x v="0"/>
    <x v="6"/>
    <x v="1"/>
    <x v="2"/>
    <n v="206"/>
    <n v="0.1061"/>
    <n v="0.46"/>
    <n v="0.41789999999999999"/>
    <x v="5"/>
    <x v="23"/>
    <x v="25"/>
  </r>
  <r>
    <n v="208"/>
    <n v="40571"/>
    <x v="0"/>
    <x v="0"/>
    <x v="15"/>
    <x v="0"/>
    <x v="6"/>
    <x v="1"/>
    <x v="2"/>
    <n v="207"/>
    <n v="0.1212"/>
    <n v="0.46"/>
    <n v="0.29849999999999999"/>
    <x v="2"/>
    <x v="3"/>
    <x v="93"/>
  </r>
  <r>
    <n v="209"/>
    <n v="40571"/>
    <x v="0"/>
    <x v="0"/>
    <x v="15"/>
    <x v="0"/>
    <x v="6"/>
    <x v="1"/>
    <x v="2"/>
    <n v="208"/>
    <n v="0.13639999999999999"/>
    <n v="0.5"/>
    <n v="0.19400000000000001"/>
    <x v="3"/>
    <x v="8"/>
    <x v="24"/>
  </r>
  <r>
    <n v="210"/>
    <n v="40571"/>
    <x v="0"/>
    <x v="0"/>
    <x v="15"/>
    <x v="0"/>
    <x v="6"/>
    <x v="1"/>
    <x v="2"/>
    <n v="209"/>
    <n v="0.1212"/>
    <n v="0.5"/>
    <n v="0.28360000000000002"/>
    <x v="4"/>
    <x v="35"/>
    <x v="36"/>
  </r>
  <r>
    <n v="211"/>
    <n v="40571"/>
    <x v="0"/>
    <x v="0"/>
    <x v="15"/>
    <x v="0"/>
    <x v="6"/>
    <x v="1"/>
    <x v="2"/>
    <n v="210"/>
    <n v="0.1212"/>
    <n v="0.5"/>
    <n v="0.28360000000000002"/>
    <x v="5"/>
    <x v="5"/>
    <x v="4"/>
  </r>
  <r>
    <n v="212"/>
    <n v="40571"/>
    <x v="0"/>
    <x v="0"/>
    <x v="15"/>
    <x v="0"/>
    <x v="6"/>
    <x v="1"/>
    <x v="2"/>
    <n v="211"/>
    <n v="0.1212"/>
    <n v="0.5"/>
    <n v="0.22389999999999999"/>
    <x v="3"/>
    <x v="35"/>
    <x v="6"/>
  </r>
  <r>
    <n v="213"/>
    <n v="40571"/>
    <x v="0"/>
    <x v="0"/>
    <x v="15"/>
    <x v="0"/>
    <x v="6"/>
    <x v="1"/>
    <x v="2"/>
    <n v="212"/>
    <n v="0.1212"/>
    <n v="0.5"/>
    <n v="0.22389999999999999"/>
    <x v="3"/>
    <x v="4"/>
    <x v="4"/>
  </r>
  <r>
    <n v="214"/>
    <n v="40571"/>
    <x v="0"/>
    <x v="0"/>
    <x v="15"/>
    <x v="0"/>
    <x v="6"/>
    <x v="1"/>
    <x v="2"/>
    <n v="213"/>
    <n v="0.1212"/>
    <n v="0.54"/>
    <n v="0.1343"/>
    <x v="5"/>
    <x v="6"/>
    <x v="6"/>
  </r>
  <r>
    <n v="215"/>
    <n v="40571"/>
    <x v="0"/>
    <x v="0"/>
    <x v="15"/>
    <x v="0"/>
    <x v="6"/>
    <x v="1"/>
    <x v="2"/>
    <n v="214"/>
    <n v="0.1061"/>
    <n v="0.54"/>
    <n v="0.25369999999999998"/>
    <x v="3"/>
    <x v="35"/>
    <x v="6"/>
  </r>
  <r>
    <n v="216"/>
    <n v="40571"/>
    <x v="0"/>
    <x v="0"/>
    <x v="15"/>
    <x v="0"/>
    <x v="6"/>
    <x v="1"/>
    <x v="2"/>
    <n v="215"/>
    <n v="0.1212"/>
    <n v="0.5"/>
    <n v="0.28360000000000002"/>
    <x v="3"/>
    <x v="17"/>
    <x v="35"/>
  </r>
  <r>
    <n v="217"/>
    <n v="40571"/>
    <x v="0"/>
    <x v="0"/>
    <x v="15"/>
    <x v="0"/>
    <x v="6"/>
    <x v="1"/>
    <x v="2"/>
    <n v="216"/>
    <n v="0.1212"/>
    <n v="0.5"/>
    <n v="0.22389999999999999"/>
    <x v="4"/>
    <x v="102"/>
    <x v="43"/>
  </r>
  <r>
    <n v="218"/>
    <n v="40571"/>
    <x v="0"/>
    <x v="0"/>
    <x v="15"/>
    <x v="0"/>
    <x v="6"/>
    <x v="1"/>
    <x v="2"/>
    <n v="217"/>
    <n v="0.1212"/>
    <n v="0.5"/>
    <n v="0.28360000000000002"/>
    <x v="17"/>
    <x v="103"/>
    <x v="104"/>
  </r>
  <r>
    <n v="219"/>
    <n v="40571"/>
    <x v="0"/>
    <x v="0"/>
    <x v="15"/>
    <x v="0"/>
    <x v="6"/>
    <x v="1"/>
    <x v="2"/>
    <n v="218"/>
    <n v="0.1212"/>
    <n v="0.5"/>
    <n v="0.25369999999999998"/>
    <x v="4"/>
    <x v="50"/>
    <x v="12"/>
  </r>
  <r>
    <n v="220"/>
    <n v="40571"/>
    <x v="0"/>
    <x v="0"/>
    <x v="15"/>
    <x v="0"/>
    <x v="6"/>
    <x v="1"/>
    <x v="2"/>
    <n v="219"/>
    <n v="0.1212"/>
    <n v="0.5"/>
    <n v="0.29849999999999999"/>
    <x v="3"/>
    <x v="17"/>
    <x v="35"/>
  </r>
  <r>
    <n v="221"/>
    <n v="40571"/>
    <x v="0"/>
    <x v="0"/>
    <x v="15"/>
    <x v="0"/>
    <x v="6"/>
    <x v="1"/>
    <x v="2"/>
    <n v="220"/>
    <n v="0.13639999999999999"/>
    <n v="0.47"/>
    <n v="0.28360000000000002"/>
    <x v="4"/>
    <x v="95"/>
    <x v="33"/>
  </r>
  <r>
    <n v="222"/>
    <n v="40571"/>
    <x v="0"/>
    <x v="0"/>
    <x v="15"/>
    <x v="0"/>
    <x v="6"/>
    <x v="1"/>
    <x v="2"/>
    <n v="221"/>
    <n v="0.18179999999999999"/>
    <n v="0.4"/>
    <n v="0.28360000000000002"/>
    <x v="2"/>
    <x v="12"/>
    <x v="46"/>
  </r>
  <r>
    <n v="223"/>
    <n v="40571"/>
    <x v="0"/>
    <x v="0"/>
    <x v="15"/>
    <x v="0"/>
    <x v="6"/>
    <x v="1"/>
    <x v="2"/>
    <n v="222"/>
    <n v="0.18179999999999999"/>
    <n v="0.4"/>
    <n v="0.28360000000000002"/>
    <x v="17"/>
    <x v="54"/>
    <x v="60"/>
  </r>
  <r>
    <n v="224"/>
    <n v="40571"/>
    <x v="0"/>
    <x v="0"/>
    <x v="15"/>
    <x v="0"/>
    <x v="6"/>
    <x v="1"/>
    <x v="2"/>
    <n v="223"/>
    <n v="0.19700000000000001"/>
    <n v="0.4"/>
    <n v="0.22389999999999999"/>
    <x v="3"/>
    <x v="12"/>
    <x v="105"/>
  </r>
  <r>
    <n v="225"/>
    <n v="40571"/>
    <x v="0"/>
    <x v="0"/>
    <x v="15"/>
    <x v="0"/>
    <x v="6"/>
    <x v="1"/>
    <x v="2"/>
    <n v="224"/>
    <n v="0.19700000000000001"/>
    <n v="0.4"/>
    <n v="0.22389999999999999"/>
    <x v="4"/>
    <x v="30"/>
    <x v="79"/>
  </r>
  <r>
    <n v="226"/>
    <n v="40571"/>
    <x v="0"/>
    <x v="0"/>
    <x v="15"/>
    <x v="0"/>
    <x v="6"/>
    <x v="1"/>
    <x v="2"/>
    <n v="225"/>
    <n v="0.21210000000000001"/>
    <n v="0.4"/>
    <n v="0.1343"/>
    <x v="17"/>
    <x v="14"/>
    <x v="30"/>
  </r>
  <r>
    <n v="227"/>
    <n v="40571"/>
    <x v="0"/>
    <x v="0"/>
    <x v="15"/>
    <x v="0"/>
    <x v="6"/>
    <x v="1"/>
    <x v="2"/>
    <n v="226"/>
    <n v="0.2273"/>
    <n v="0.4"/>
    <n v="0.1045"/>
    <x v="17"/>
    <x v="104"/>
    <x v="106"/>
  </r>
  <r>
    <n v="228"/>
    <n v="40571"/>
    <x v="0"/>
    <x v="0"/>
    <x v="15"/>
    <x v="0"/>
    <x v="6"/>
    <x v="1"/>
    <x v="2"/>
    <n v="227"/>
    <n v="0.19700000000000001"/>
    <n v="0.4"/>
    <n v="0.22389999999999999"/>
    <x v="5"/>
    <x v="105"/>
    <x v="107"/>
  </r>
  <r>
    <n v="229"/>
    <n v="40571"/>
    <x v="0"/>
    <x v="0"/>
    <x v="15"/>
    <x v="0"/>
    <x v="6"/>
    <x v="1"/>
    <x v="2"/>
    <n v="228"/>
    <n v="0.16669999999999999"/>
    <n v="0.47"/>
    <n v="0.16420000000000001"/>
    <x v="0"/>
    <x v="50"/>
    <x v="76"/>
  </r>
  <r>
    <n v="230"/>
    <n v="40571"/>
    <x v="0"/>
    <x v="0"/>
    <x v="15"/>
    <x v="0"/>
    <x v="6"/>
    <x v="1"/>
    <x v="2"/>
    <n v="229"/>
    <n v="0.16669999999999999"/>
    <n v="0.5"/>
    <n v="0.16420000000000001"/>
    <x v="5"/>
    <x v="26"/>
    <x v="30"/>
  </r>
  <r>
    <n v="231"/>
    <n v="40571"/>
    <x v="0"/>
    <x v="0"/>
    <x v="15"/>
    <x v="0"/>
    <x v="6"/>
    <x v="1"/>
    <x v="2"/>
    <n v="230"/>
    <n v="0.13639999999999999"/>
    <n v="0.59"/>
    <n v="0.19400000000000001"/>
    <x v="5"/>
    <x v="53"/>
    <x v="103"/>
  </r>
  <r>
    <n v="232"/>
    <n v="40571"/>
    <x v="0"/>
    <x v="0"/>
    <x v="15"/>
    <x v="0"/>
    <x v="6"/>
    <x v="1"/>
    <x v="2"/>
    <n v="231"/>
    <n v="0.1515"/>
    <n v="0.59"/>
    <n v="0.16420000000000001"/>
    <x v="4"/>
    <x v="97"/>
    <x v="108"/>
  </r>
  <r>
    <n v="233"/>
    <n v="40571"/>
    <x v="0"/>
    <x v="0"/>
    <x v="15"/>
    <x v="0"/>
    <x v="6"/>
    <x v="1"/>
    <x v="2"/>
    <n v="232"/>
    <n v="0.1515"/>
    <n v="0.59"/>
    <n v="0.16420000000000001"/>
    <x v="3"/>
    <x v="72"/>
    <x v="109"/>
  </r>
  <r>
    <n v="234"/>
    <n v="40571"/>
    <x v="0"/>
    <x v="0"/>
    <x v="15"/>
    <x v="0"/>
    <x v="6"/>
    <x v="1"/>
    <x v="2"/>
    <n v="233"/>
    <n v="0.16669999999999999"/>
    <n v="0.59"/>
    <n v="0.1045"/>
    <x v="4"/>
    <x v="3"/>
    <x v="47"/>
  </r>
  <r>
    <n v="235"/>
    <n v="40571"/>
    <x v="0"/>
    <x v="0"/>
    <x v="15"/>
    <x v="0"/>
    <x v="6"/>
    <x v="1"/>
    <x v="2"/>
    <n v="234"/>
    <n v="0.1515"/>
    <n v="0.59"/>
    <n v="0.16420000000000001"/>
    <x v="3"/>
    <x v="35"/>
    <x v="6"/>
  </r>
  <r>
    <n v="236"/>
    <n v="40571"/>
    <x v="0"/>
    <x v="0"/>
    <x v="15"/>
    <x v="0"/>
    <x v="6"/>
    <x v="1"/>
    <x v="2"/>
    <n v="235"/>
    <n v="0.1515"/>
    <n v="0.55000000000000004"/>
    <n v="0.19400000000000001"/>
    <x v="3"/>
    <x v="35"/>
    <x v="6"/>
  </r>
  <r>
    <n v="237"/>
    <n v="40571"/>
    <x v="0"/>
    <x v="0"/>
    <x v="15"/>
    <x v="0"/>
    <x v="6"/>
    <x v="1"/>
    <x v="2"/>
    <n v="236"/>
    <n v="0.18179999999999999"/>
    <n v="0.55000000000000004"/>
    <n v="0.1343"/>
    <x v="3"/>
    <x v="8"/>
    <x v="24"/>
  </r>
  <r>
    <n v="238"/>
    <n v="40571"/>
    <x v="0"/>
    <x v="0"/>
    <x v="15"/>
    <x v="0"/>
    <x v="6"/>
    <x v="1"/>
    <x v="2"/>
    <n v="237"/>
    <n v="0.18179999999999999"/>
    <n v="0.55000000000000004"/>
    <n v="0.1343"/>
    <x v="3"/>
    <x v="2"/>
    <x v="110"/>
  </r>
  <r>
    <n v="239"/>
    <n v="40571"/>
    <x v="0"/>
    <x v="0"/>
    <x v="15"/>
    <x v="0"/>
    <x v="6"/>
    <x v="1"/>
    <x v="2"/>
    <n v="238"/>
    <n v="0.2273"/>
    <n v="0.55000000000000004"/>
    <n v="0"/>
    <x v="4"/>
    <x v="106"/>
    <x v="111"/>
  </r>
  <r>
    <n v="240"/>
    <n v="40571"/>
    <x v="0"/>
    <x v="0"/>
    <x v="15"/>
    <x v="0"/>
    <x v="6"/>
    <x v="1"/>
    <x v="2"/>
    <n v="239"/>
    <n v="0.21210000000000001"/>
    <n v="0.51"/>
    <n v="8.9599999999999999E-2"/>
    <x v="0"/>
    <x v="107"/>
    <x v="112"/>
  </r>
  <r>
    <n v="241"/>
    <n v="40571"/>
    <x v="0"/>
    <x v="0"/>
    <x v="15"/>
    <x v="0"/>
    <x v="6"/>
    <x v="1"/>
    <x v="2"/>
    <n v="240"/>
    <n v="0.19700000000000001"/>
    <n v="0.51"/>
    <n v="0.16420000000000001"/>
    <x v="0"/>
    <x v="69"/>
    <x v="113"/>
  </r>
  <r>
    <n v="242"/>
    <n v="40571"/>
    <x v="0"/>
    <x v="0"/>
    <x v="15"/>
    <x v="0"/>
    <x v="6"/>
    <x v="1"/>
    <x v="2"/>
    <n v="241"/>
    <n v="0.21210000000000001"/>
    <n v="0.51"/>
    <n v="0.16420000000000001"/>
    <x v="0"/>
    <x v="82"/>
    <x v="60"/>
  </r>
  <r>
    <n v="243"/>
    <n v="40571"/>
    <x v="0"/>
    <x v="0"/>
    <x v="15"/>
    <x v="0"/>
    <x v="6"/>
    <x v="1"/>
    <x v="2"/>
    <n v="242"/>
    <n v="0.21210000000000001"/>
    <n v="0.47"/>
    <n v="0.1343"/>
    <x v="17"/>
    <x v="17"/>
    <x v="17"/>
  </r>
  <r>
    <n v="244"/>
    <n v="40571"/>
    <x v="0"/>
    <x v="0"/>
    <x v="15"/>
    <x v="0"/>
    <x v="6"/>
    <x v="1"/>
    <x v="2"/>
    <n v="243"/>
    <n v="0.2273"/>
    <n v="0.51"/>
    <n v="0.1045"/>
    <x v="4"/>
    <x v="11"/>
    <x v="52"/>
  </r>
  <r>
    <n v="245"/>
    <n v="40571"/>
    <x v="0"/>
    <x v="0"/>
    <x v="15"/>
    <x v="0"/>
    <x v="6"/>
    <x v="1"/>
    <x v="2"/>
    <n v="244"/>
    <n v="0.2273"/>
    <n v="0.59"/>
    <n v="8.9599999999999999E-2"/>
    <x v="15"/>
    <x v="24"/>
    <x v="46"/>
  </r>
  <r>
    <n v="246"/>
    <n v="40571"/>
    <x v="0"/>
    <x v="0"/>
    <x v="15"/>
    <x v="0"/>
    <x v="6"/>
    <x v="1"/>
    <x v="2"/>
    <n v="245"/>
    <n v="0.2273"/>
    <n v="0.59"/>
    <n v="8.9599999999999999E-2"/>
    <x v="0"/>
    <x v="91"/>
    <x v="55"/>
  </r>
  <r>
    <n v="247"/>
    <n v="40571"/>
    <x v="0"/>
    <x v="0"/>
    <x v="15"/>
    <x v="0"/>
    <x v="6"/>
    <x v="1"/>
    <x v="2"/>
    <n v="246"/>
    <n v="0.19700000000000001"/>
    <n v="0.8"/>
    <n v="8.9599999999999999E-2"/>
    <x v="4"/>
    <x v="108"/>
    <x v="105"/>
  </r>
  <r>
    <n v="248"/>
    <n v="40571"/>
    <x v="0"/>
    <x v="0"/>
    <x v="15"/>
    <x v="0"/>
    <x v="6"/>
    <x v="1"/>
    <x v="2"/>
    <n v="247"/>
    <n v="0.1515"/>
    <n v="0.86"/>
    <n v="0.22389999999999999"/>
    <x v="17"/>
    <x v="109"/>
    <x v="31"/>
  </r>
  <r>
    <n v="249"/>
    <n v="40571"/>
    <x v="0"/>
    <x v="0"/>
    <x v="15"/>
    <x v="0"/>
    <x v="6"/>
    <x v="1"/>
    <x v="2"/>
    <n v="248"/>
    <n v="0.1515"/>
    <n v="0.86"/>
    <n v="0.22389999999999999"/>
    <x v="15"/>
    <x v="110"/>
    <x v="114"/>
  </r>
  <r>
    <n v="250"/>
    <n v="40571"/>
    <x v="0"/>
    <x v="0"/>
    <x v="15"/>
    <x v="0"/>
    <x v="6"/>
    <x v="1"/>
    <x v="2"/>
    <n v="249"/>
    <n v="0.18179999999999999"/>
    <n v="0.93"/>
    <n v="0.1045"/>
    <x v="5"/>
    <x v="111"/>
    <x v="76"/>
  </r>
  <r>
    <n v="251"/>
    <n v="40571"/>
    <x v="0"/>
    <x v="0"/>
    <x v="15"/>
    <x v="0"/>
    <x v="6"/>
    <x v="1"/>
    <x v="2"/>
    <n v="250"/>
    <n v="0.2273"/>
    <n v="0.93"/>
    <n v="0"/>
    <x v="3"/>
    <x v="82"/>
    <x v="41"/>
  </r>
  <r>
    <n v="252"/>
    <n v="40571"/>
    <x v="0"/>
    <x v="0"/>
    <x v="15"/>
    <x v="0"/>
    <x v="6"/>
    <x v="1"/>
    <x v="2"/>
    <n v="251"/>
    <n v="0.1515"/>
    <n v="0.93"/>
    <n v="0.19400000000000001"/>
    <x v="3"/>
    <x v="1"/>
    <x v="2"/>
  </r>
  <r>
    <n v="253"/>
    <n v="40571"/>
    <x v="0"/>
    <x v="0"/>
    <x v="15"/>
    <x v="0"/>
    <x v="6"/>
    <x v="1"/>
    <x v="2"/>
    <n v="252"/>
    <n v="0.19700000000000001"/>
    <n v="0.86"/>
    <n v="8.9599999999999999E-2"/>
    <x v="3"/>
    <x v="32"/>
    <x v="25"/>
  </r>
  <r>
    <n v="254"/>
    <n v="40571"/>
    <x v="0"/>
    <x v="0"/>
    <x v="15"/>
    <x v="0"/>
    <x v="6"/>
    <x v="1"/>
    <x v="2"/>
    <n v="253"/>
    <n v="0.18179999999999999"/>
    <n v="0.93"/>
    <n v="0.1045"/>
    <x v="5"/>
    <x v="95"/>
    <x v="115"/>
  </r>
  <r>
    <n v="255"/>
    <n v="40571"/>
    <x v="0"/>
    <x v="0"/>
    <x v="15"/>
    <x v="0"/>
    <x v="6"/>
    <x v="1"/>
    <x v="2"/>
    <n v="254"/>
    <n v="0.19700000000000001"/>
    <n v="0.93"/>
    <n v="8.9599999999999999E-2"/>
    <x v="5"/>
    <x v="72"/>
    <x v="75"/>
  </r>
  <r>
    <n v="256"/>
    <n v="40571"/>
    <x v="0"/>
    <x v="0"/>
    <x v="15"/>
    <x v="0"/>
    <x v="6"/>
    <x v="1"/>
    <x v="2"/>
    <n v="255"/>
    <n v="0.19700000000000001"/>
    <n v="0.86"/>
    <n v="8.9599999999999999E-2"/>
    <x v="3"/>
    <x v="7"/>
    <x v="85"/>
  </r>
  <r>
    <n v="257"/>
    <n v="40571"/>
    <x v="0"/>
    <x v="0"/>
    <x v="15"/>
    <x v="0"/>
    <x v="6"/>
    <x v="1"/>
    <x v="2"/>
    <n v="256"/>
    <n v="0.18179999999999999"/>
    <n v="0.86"/>
    <n v="0.1045"/>
    <x v="3"/>
    <x v="8"/>
    <x v="24"/>
  </r>
  <r>
    <n v="258"/>
    <n v="40571"/>
    <x v="0"/>
    <x v="0"/>
    <x v="15"/>
    <x v="0"/>
    <x v="6"/>
    <x v="1"/>
    <x v="2"/>
    <n v="257"/>
    <n v="0.1515"/>
    <n v="0.86"/>
    <n v="0.1343"/>
    <x v="3"/>
    <x v="4"/>
    <x v="4"/>
  </r>
  <r>
    <n v="259"/>
    <n v="40571"/>
    <x v="0"/>
    <x v="0"/>
    <x v="15"/>
    <x v="0"/>
    <x v="6"/>
    <x v="1"/>
    <x v="2"/>
    <n v="258"/>
    <n v="0.1515"/>
    <n v="0.86"/>
    <n v="0.16420000000000001"/>
    <x v="3"/>
    <x v="34"/>
    <x v="36"/>
  </r>
  <r>
    <n v="260"/>
    <n v="40571"/>
    <x v="0"/>
    <x v="0"/>
    <x v="15"/>
    <x v="0"/>
    <x v="6"/>
    <x v="1"/>
    <x v="2"/>
    <n v="259"/>
    <n v="0.1515"/>
    <n v="0.93"/>
    <n v="0.1343"/>
    <x v="3"/>
    <x v="20"/>
    <x v="0"/>
  </r>
  <r>
    <n v="261"/>
    <n v="40571"/>
    <x v="0"/>
    <x v="0"/>
    <x v="15"/>
    <x v="0"/>
    <x v="6"/>
    <x v="1"/>
    <x v="2"/>
    <n v="260"/>
    <n v="0.1515"/>
    <n v="0.69"/>
    <n v="0.1343"/>
    <x v="3"/>
    <x v="25"/>
    <x v="60"/>
  </r>
  <r>
    <n v="262"/>
    <n v="40571"/>
    <x v="0"/>
    <x v="0"/>
    <x v="15"/>
    <x v="0"/>
    <x v="6"/>
    <x v="1"/>
    <x v="2"/>
    <n v="261"/>
    <n v="0.16669999999999999"/>
    <n v="0.59"/>
    <n v="0.16420000000000001"/>
    <x v="0"/>
    <x v="85"/>
    <x v="116"/>
  </r>
  <r>
    <n v="263"/>
    <n v="40571"/>
    <x v="0"/>
    <x v="0"/>
    <x v="15"/>
    <x v="0"/>
    <x v="6"/>
    <x v="1"/>
    <x v="2"/>
    <n v="262"/>
    <n v="0.13639999999999999"/>
    <n v="0.59"/>
    <n v="0.32840000000000003"/>
    <x v="0"/>
    <x v="78"/>
    <x v="117"/>
  </r>
  <r>
    <n v="264"/>
    <n v="40571"/>
    <x v="0"/>
    <x v="0"/>
    <x v="15"/>
    <x v="0"/>
    <x v="6"/>
    <x v="1"/>
    <x v="2"/>
    <n v="263"/>
    <n v="0.18179999999999999"/>
    <n v="0.55000000000000004"/>
    <n v="0.22389999999999999"/>
    <x v="3"/>
    <x v="87"/>
    <x v="21"/>
  </r>
  <r>
    <n v="265"/>
    <n v="40571"/>
    <x v="0"/>
    <x v="0"/>
    <x v="15"/>
    <x v="0"/>
    <x v="6"/>
    <x v="1"/>
    <x v="2"/>
    <n v="264"/>
    <n v="0.18179999999999999"/>
    <n v="0.51"/>
    <n v="0.3881"/>
    <x v="0"/>
    <x v="1"/>
    <x v="17"/>
  </r>
  <r>
    <n v="266"/>
    <n v="40571"/>
    <x v="0"/>
    <x v="0"/>
    <x v="15"/>
    <x v="0"/>
    <x v="6"/>
    <x v="1"/>
    <x v="2"/>
    <n v="265"/>
    <n v="0.1515"/>
    <n v="0.47"/>
    <n v="0.58209999999999995"/>
    <x v="0"/>
    <x v="15"/>
    <x v="97"/>
  </r>
  <r>
    <n v="267"/>
    <n v="40571"/>
    <x v="0"/>
    <x v="0"/>
    <x v="15"/>
    <x v="0"/>
    <x v="6"/>
    <x v="1"/>
    <x v="2"/>
    <n v="266"/>
    <n v="0.19700000000000001"/>
    <n v="0.44"/>
    <n v="0.35820000000000002"/>
    <x v="3"/>
    <x v="47"/>
    <x v="99"/>
  </r>
  <r>
    <n v="268"/>
    <n v="40571"/>
    <x v="0"/>
    <x v="0"/>
    <x v="15"/>
    <x v="0"/>
    <x v="6"/>
    <x v="1"/>
    <x v="2"/>
    <n v="267"/>
    <n v="0.18179999999999999"/>
    <n v="0.47"/>
    <n v="0.32840000000000003"/>
    <x v="3"/>
    <x v="100"/>
    <x v="40"/>
  </r>
  <r>
    <n v="269"/>
    <n v="40571"/>
    <x v="0"/>
    <x v="0"/>
    <x v="15"/>
    <x v="0"/>
    <x v="6"/>
    <x v="1"/>
    <x v="2"/>
    <n v="268"/>
    <n v="0.16669999999999999"/>
    <n v="0.47"/>
    <n v="0.41789999999999999"/>
    <x v="5"/>
    <x v="41"/>
    <x v="99"/>
  </r>
  <r>
    <n v="270"/>
    <n v="40571"/>
    <x v="0"/>
    <x v="0"/>
    <x v="15"/>
    <x v="0"/>
    <x v="6"/>
    <x v="1"/>
    <x v="2"/>
    <n v="269"/>
    <n v="0.19700000000000001"/>
    <n v="0.44"/>
    <n v="0.32840000000000003"/>
    <x v="2"/>
    <x v="36"/>
    <x v="118"/>
  </r>
  <r>
    <n v="271"/>
    <n v="40571"/>
    <x v="0"/>
    <x v="0"/>
    <x v="15"/>
    <x v="0"/>
    <x v="6"/>
    <x v="1"/>
    <x v="2"/>
    <n v="270"/>
    <n v="0.18179999999999999"/>
    <n v="0.47"/>
    <n v="0.35820000000000002"/>
    <x v="3"/>
    <x v="112"/>
    <x v="119"/>
  </r>
  <r>
    <n v="272"/>
    <n v="40571"/>
    <x v="0"/>
    <x v="0"/>
    <x v="15"/>
    <x v="0"/>
    <x v="6"/>
    <x v="1"/>
    <x v="2"/>
    <n v="271"/>
    <n v="0.1515"/>
    <n v="0.47"/>
    <n v="0.52239999999999998"/>
    <x v="4"/>
    <x v="113"/>
    <x v="120"/>
  </r>
  <r>
    <n v="273"/>
    <n v="40571"/>
    <x v="0"/>
    <x v="0"/>
    <x v="15"/>
    <x v="0"/>
    <x v="6"/>
    <x v="1"/>
    <x v="2"/>
    <n v="272"/>
    <n v="0.1515"/>
    <n v="0.47"/>
    <n v="0.41789999999999999"/>
    <x v="5"/>
    <x v="70"/>
    <x v="56"/>
  </r>
  <r>
    <n v="274"/>
    <n v="40571"/>
    <x v="0"/>
    <x v="0"/>
    <x v="15"/>
    <x v="0"/>
    <x v="6"/>
    <x v="1"/>
    <x v="2"/>
    <n v="273"/>
    <n v="0.13639999999999999"/>
    <n v="0.5"/>
    <n v="0.32840000000000003"/>
    <x v="4"/>
    <x v="25"/>
    <x v="10"/>
  </r>
  <r>
    <n v="275"/>
    <n v="40571"/>
    <x v="0"/>
    <x v="0"/>
    <x v="15"/>
    <x v="0"/>
    <x v="6"/>
    <x v="1"/>
    <x v="2"/>
    <n v="274"/>
    <n v="0.13639999999999999"/>
    <n v="0.55000000000000004"/>
    <n v="0.32840000000000003"/>
    <x v="3"/>
    <x v="77"/>
    <x v="52"/>
  </r>
  <r>
    <n v="276"/>
    <n v="40571"/>
    <x v="0"/>
    <x v="0"/>
    <x v="15"/>
    <x v="0"/>
    <x v="6"/>
    <x v="1"/>
    <x v="2"/>
    <n v="275"/>
    <n v="0.1212"/>
    <n v="0.55000000000000004"/>
    <n v="0.44779999999999998"/>
    <x v="5"/>
    <x v="1"/>
    <x v="63"/>
  </r>
  <r>
    <n v="277"/>
    <n v="40571"/>
    <x v="0"/>
    <x v="0"/>
    <x v="15"/>
    <x v="0"/>
    <x v="6"/>
    <x v="1"/>
    <x v="2"/>
    <n v="276"/>
    <n v="0.1061"/>
    <n v="0.59"/>
    <n v="0.41789999999999999"/>
    <x v="5"/>
    <x v="23"/>
    <x v="25"/>
  </r>
  <r>
    <n v="278"/>
    <n v="40571"/>
    <x v="0"/>
    <x v="0"/>
    <x v="15"/>
    <x v="0"/>
    <x v="6"/>
    <x v="1"/>
    <x v="2"/>
    <n v="277"/>
    <n v="0.1212"/>
    <n v="0.59"/>
    <n v="0.28360000000000002"/>
    <x v="5"/>
    <x v="8"/>
    <x v="85"/>
  </r>
  <r>
    <n v="279"/>
    <n v="40571"/>
    <x v="0"/>
    <x v="0"/>
    <x v="15"/>
    <x v="0"/>
    <x v="6"/>
    <x v="1"/>
    <x v="2"/>
    <n v="278"/>
    <n v="0.1212"/>
    <n v="0.5"/>
    <n v="0.28360000000000002"/>
    <x v="3"/>
    <x v="6"/>
    <x v="5"/>
  </r>
  <r>
    <n v="280"/>
    <n v="40571"/>
    <x v="0"/>
    <x v="0"/>
    <x v="15"/>
    <x v="0"/>
    <x v="6"/>
    <x v="1"/>
    <x v="2"/>
    <n v="279"/>
    <n v="0.1212"/>
    <n v="0.5"/>
    <n v="0.35820000000000002"/>
    <x v="3"/>
    <x v="6"/>
    <x v="5"/>
  </r>
  <r>
    <n v="281"/>
    <n v="40571"/>
    <x v="0"/>
    <x v="0"/>
    <x v="15"/>
    <x v="0"/>
    <x v="6"/>
    <x v="1"/>
    <x v="2"/>
    <n v="280"/>
    <n v="0.1212"/>
    <n v="0.5"/>
    <n v="0.32840000000000003"/>
    <x v="3"/>
    <x v="35"/>
    <x v="6"/>
  </r>
  <r>
    <n v="282"/>
    <n v="40571"/>
    <x v="0"/>
    <x v="0"/>
    <x v="15"/>
    <x v="0"/>
    <x v="6"/>
    <x v="1"/>
    <x v="2"/>
    <n v="281"/>
    <n v="0.1212"/>
    <n v="0.5"/>
    <n v="0.25369999999999998"/>
    <x v="3"/>
    <x v="22"/>
    <x v="48"/>
  </r>
  <r>
    <n v="283"/>
    <n v="40571"/>
    <x v="0"/>
    <x v="0"/>
    <x v="15"/>
    <x v="0"/>
    <x v="6"/>
    <x v="1"/>
    <x v="2"/>
    <n v="282"/>
    <n v="0.1212"/>
    <n v="0.5"/>
    <n v="0.29849999999999999"/>
    <x v="3"/>
    <x v="35"/>
    <x v="6"/>
  </r>
  <r>
    <n v="284"/>
    <n v="40571"/>
    <x v="0"/>
    <x v="0"/>
    <x v="15"/>
    <x v="0"/>
    <x v="6"/>
    <x v="1"/>
    <x v="2"/>
    <n v="283"/>
    <n v="0.1515"/>
    <n v="0.54"/>
    <n v="0.1343"/>
    <x v="3"/>
    <x v="95"/>
    <x v="20"/>
  </r>
  <r>
    <n v="285"/>
    <n v="40571"/>
    <x v="0"/>
    <x v="0"/>
    <x v="15"/>
    <x v="0"/>
    <x v="6"/>
    <x v="1"/>
    <x v="2"/>
    <n v="284"/>
    <n v="0.1515"/>
    <n v="0.54"/>
    <n v="0.1343"/>
    <x v="3"/>
    <x v="109"/>
    <x v="44"/>
  </r>
  <r>
    <n v="286"/>
    <n v="40571"/>
    <x v="0"/>
    <x v="0"/>
    <x v="15"/>
    <x v="0"/>
    <x v="6"/>
    <x v="1"/>
    <x v="2"/>
    <n v="285"/>
    <n v="0.13639999999999999"/>
    <n v="0.5"/>
    <n v="0.19400000000000001"/>
    <x v="2"/>
    <x v="114"/>
    <x v="121"/>
  </r>
  <r>
    <n v="287"/>
    <n v="40571"/>
    <x v="0"/>
    <x v="0"/>
    <x v="15"/>
    <x v="0"/>
    <x v="6"/>
    <x v="1"/>
    <x v="2"/>
    <n v="286"/>
    <n v="0.1212"/>
    <n v="0.5"/>
    <n v="0.32840000000000003"/>
    <x v="4"/>
    <x v="115"/>
    <x v="119"/>
  </r>
  <r>
    <n v="288"/>
    <n v="40571"/>
    <x v="0"/>
    <x v="0"/>
    <x v="15"/>
    <x v="0"/>
    <x v="6"/>
    <x v="1"/>
    <x v="2"/>
    <n v="287"/>
    <n v="0.13639999999999999"/>
    <n v="0.5"/>
    <n v="0.35820000000000002"/>
    <x v="4"/>
    <x v="49"/>
    <x v="103"/>
  </r>
  <r>
    <n v="289"/>
    <n v="40571"/>
    <x v="0"/>
    <x v="0"/>
    <x v="15"/>
    <x v="0"/>
    <x v="6"/>
    <x v="1"/>
    <x v="2"/>
    <n v="288"/>
    <n v="0.16669999999999999"/>
    <n v="0.44"/>
    <n v="0.44779999999999998"/>
    <x v="17"/>
    <x v="39"/>
    <x v="18"/>
  </r>
  <r>
    <n v="290"/>
    <n v="40571"/>
    <x v="0"/>
    <x v="0"/>
    <x v="15"/>
    <x v="0"/>
    <x v="6"/>
    <x v="1"/>
    <x v="2"/>
    <n v="289"/>
    <n v="0.16669999999999999"/>
    <n v="0.44"/>
    <n v="0.41789999999999999"/>
    <x v="0"/>
    <x v="47"/>
    <x v="46"/>
  </r>
  <r>
    <n v="291"/>
    <n v="40571"/>
    <x v="0"/>
    <x v="0"/>
    <x v="15"/>
    <x v="0"/>
    <x v="6"/>
    <x v="1"/>
    <x v="2"/>
    <n v="290"/>
    <n v="0.19700000000000001"/>
    <n v="0.41"/>
    <n v="0.44779999999999998"/>
    <x v="4"/>
    <x v="38"/>
    <x v="56"/>
  </r>
  <r>
    <n v="292"/>
    <n v="40571"/>
    <x v="0"/>
    <x v="0"/>
    <x v="15"/>
    <x v="0"/>
    <x v="6"/>
    <x v="1"/>
    <x v="2"/>
    <n v="291"/>
    <n v="0.19700000000000001"/>
    <n v="0.41"/>
    <n v="0.3881"/>
    <x v="0"/>
    <x v="87"/>
    <x v="51"/>
  </r>
  <r>
    <n v="293"/>
    <n v="40571"/>
    <x v="0"/>
    <x v="0"/>
    <x v="15"/>
    <x v="0"/>
    <x v="6"/>
    <x v="1"/>
    <x v="2"/>
    <n v="292"/>
    <n v="0.21210000000000001"/>
    <n v="0.38"/>
    <n v="0.29849999999999999"/>
    <x v="2"/>
    <x v="11"/>
    <x v="122"/>
  </r>
  <r>
    <n v="294"/>
    <n v="40571"/>
    <x v="0"/>
    <x v="0"/>
    <x v="15"/>
    <x v="0"/>
    <x v="6"/>
    <x v="1"/>
    <x v="2"/>
    <n v="293"/>
    <n v="0.21210000000000001"/>
    <n v="0.38"/>
    <n v="0.35820000000000002"/>
    <x v="4"/>
    <x v="83"/>
    <x v="53"/>
  </r>
  <r>
    <n v="295"/>
    <n v="40571"/>
    <x v="0"/>
    <x v="0"/>
    <x v="15"/>
    <x v="0"/>
    <x v="6"/>
    <x v="1"/>
    <x v="2"/>
    <n v="294"/>
    <n v="0.18179999999999999"/>
    <n v="0.4"/>
    <n v="0.28360000000000002"/>
    <x v="17"/>
    <x v="81"/>
    <x v="123"/>
  </r>
  <r>
    <n v="296"/>
    <n v="40571"/>
    <x v="0"/>
    <x v="0"/>
    <x v="15"/>
    <x v="0"/>
    <x v="6"/>
    <x v="1"/>
    <x v="2"/>
    <n v="295"/>
    <n v="0.18179999999999999"/>
    <n v="0.4"/>
    <n v="0.32840000000000003"/>
    <x v="0"/>
    <x v="116"/>
    <x v="124"/>
  </r>
  <r>
    <n v="297"/>
    <n v="40571"/>
    <x v="0"/>
    <x v="0"/>
    <x v="15"/>
    <x v="0"/>
    <x v="6"/>
    <x v="1"/>
    <x v="2"/>
    <n v="296"/>
    <n v="0.1515"/>
    <n v="0.47"/>
    <n v="0.25369999999999998"/>
    <x v="5"/>
    <x v="52"/>
    <x v="111"/>
  </r>
  <r>
    <n v="298"/>
    <n v="40571"/>
    <x v="0"/>
    <x v="0"/>
    <x v="15"/>
    <x v="0"/>
    <x v="6"/>
    <x v="1"/>
    <x v="2"/>
    <n v="297"/>
    <n v="0.1515"/>
    <n v="0.47"/>
    <n v="0.22389999999999999"/>
    <x v="3"/>
    <x v="27"/>
    <x v="37"/>
  </r>
  <r>
    <n v="299"/>
    <n v="40571"/>
    <x v="0"/>
    <x v="0"/>
    <x v="15"/>
    <x v="0"/>
    <x v="6"/>
    <x v="1"/>
    <x v="2"/>
    <n v="298"/>
    <n v="0.1212"/>
    <n v="0.46"/>
    <n v="0.29849999999999999"/>
    <x v="3"/>
    <x v="71"/>
    <x v="1"/>
  </r>
  <r>
    <n v="300"/>
    <n v="40571"/>
    <x v="0"/>
    <x v="0"/>
    <x v="15"/>
    <x v="0"/>
    <x v="6"/>
    <x v="1"/>
    <x v="2"/>
    <n v="299"/>
    <n v="0.1212"/>
    <n v="0.46"/>
    <n v="0.32840000000000003"/>
    <x v="3"/>
    <x v="10"/>
    <x v="33"/>
  </r>
  <r>
    <n v="301"/>
    <n v="40571"/>
    <x v="0"/>
    <x v="0"/>
    <x v="15"/>
    <x v="0"/>
    <x v="6"/>
    <x v="1"/>
    <x v="2"/>
    <n v="300"/>
    <n v="0.13639999999999999"/>
    <n v="0.5"/>
    <n v="0.19400000000000001"/>
    <x v="5"/>
    <x v="88"/>
    <x v="93"/>
  </r>
  <r>
    <n v="302"/>
    <n v="40571"/>
    <x v="0"/>
    <x v="0"/>
    <x v="15"/>
    <x v="0"/>
    <x v="6"/>
    <x v="1"/>
    <x v="2"/>
    <n v="301"/>
    <n v="0.13639999999999999"/>
    <n v="0.5"/>
    <n v="0.19400000000000001"/>
    <x v="3"/>
    <x v="88"/>
    <x v="8"/>
  </r>
  <r>
    <n v="303"/>
    <n v="40571"/>
    <x v="0"/>
    <x v="0"/>
    <x v="15"/>
    <x v="0"/>
    <x v="6"/>
    <x v="1"/>
    <x v="2"/>
    <n v="302"/>
    <n v="0.1212"/>
    <n v="0.54"/>
    <n v="0.16420000000000001"/>
    <x v="3"/>
    <x v="34"/>
    <x v="36"/>
  </r>
  <r>
    <n v="304"/>
    <n v="40571"/>
    <x v="0"/>
    <x v="0"/>
    <x v="15"/>
    <x v="0"/>
    <x v="6"/>
    <x v="1"/>
    <x v="2"/>
    <n v="303"/>
    <n v="0.1212"/>
    <n v="0.54"/>
    <n v="0.1343"/>
    <x v="3"/>
    <x v="4"/>
    <x v="4"/>
  </r>
  <r>
    <n v="305"/>
    <n v="40571"/>
    <x v="0"/>
    <x v="0"/>
    <x v="15"/>
    <x v="0"/>
    <x v="6"/>
    <x v="1"/>
    <x v="2"/>
    <n v="304"/>
    <n v="0.13639999999999999"/>
    <n v="0.54"/>
    <n v="0.1045"/>
    <x v="3"/>
    <x v="4"/>
    <x v="4"/>
  </r>
  <r>
    <n v="306"/>
    <n v="40571"/>
    <x v="0"/>
    <x v="0"/>
    <x v="15"/>
    <x v="0"/>
    <x v="6"/>
    <x v="1"/>
    <x v="2"/>
    <n v="305"/>
    <n v="0.13639999999999999"/>
    <n v="0.54"/>
    <n v="8.9599999999999999E-2"/>
    <x v="3"/>
    <x v="21"/>
    <x v="7"/>
  </r>
  <r>
    <n v="307"/>
    <n v="40571"/>
    <x v="0"/>
    <x v="0"/>
    <x v="15"/>
    <x v="0"/>
    <x v="6"/>
    <x v="1"/>
    <x v="2"/>
    <n v="306"/>
    <n v="0.18179999999999999"/>
    <n v="0.54"/>
    <n v="0"/>
    <x v="3"/>
    <x v="19"/>
    <x v="22"/>
  </r>
  <r>
    <n v="308"/>
    <n v="40571"/>
    <x v="0"/>
    <x v="0"/>
    <x v="15"/>
    <x v="0"/>
    <x v="6"/>
    <x v="1"/>
    <x v="2"/>
    <n v="307"/>
    <n v="0.1212"/>
    <n v="0.74"/>
    <n v="0.16420000000000001"/>
    <x v="3"/>
    <x v="14"/>
    <x v="27"/>
  </r>
  <r>
    <n v="309"/>
    <n v="40571"/>
    <x v="0"/>
    <x v="0"/>
    <x v="15"/>
    <x v="0"/>
    <x v="6"/>
    <x v="1"/>
    <x v="2"/>
    <n v="308"/>
    <n v="0.16669999999999999"/>
    <n v="0.68"/>
    <n v="0"/>
    <x v="4"/>
    <x v="117"/>
    <x v="125"/>
  </r>
  <r>
    <n v="310"/>
    <n v="40571"/>
    <x v="0"/>
    <x v="0"/>
    <x v="15"/>
    <x v="0"/>
    <x v="6"/>
    <x v="1"/>
    <x v="2"/>
    <n v="309"/>
    <n v="0.1515"/>
    <n v="0.69"/>
    <n v="0.1343"/>
    <x v="3"/>
    <x v="118"/>
    <x v="126"/>
  </r>
  <r>
    <n v="311"/>
    <n v="40571"/>
    <x v="0"/>
    <x v="0"/>
    <x v="15"/>
    <x v="0"/>
    <x v="6"/>
    <x v="1"/>
    <x v="2"/>
    <n v="310"/>
    <n v="0.18179999999999999"/>
    <n v="0.55000000000000004"/>
    <n v="0.19400000000000001"/>
    <x v="17"/>
    <x v="71"/>
    <x v="40"/>
  </r>
  <r>
    <n v="312"/>
    <n v="40571"/>
    <x v="0"/>
    <x v="0"/>
    <x v="15"/>
    <x v="0"/>
    <x v="6"/>
    <x v="1"/>
    <x v="2"/>
    <n v="311"/>
    <n v="0.16669999999999999"/>
    <n v="0.51"/>
    <n v="0.28360000000000002"/>
    <x v="15"/>
    <x v="12"/>
    <x v="26"/>
  </r>
  <r>
    <n v="313"/>
    <n v="40571"/>
    <x v="0"/>
    <x v="0"/>
    <x v="15"/>
    <x v="0"/>
    <x v="6"/>
    <x v="1"/>
    <x v="2"/>
    <n v="312"/>
    <n v="0.19700000000000001"/>
    <n v="0.44"/>
    <n v="0.25369999999999998"/>
    <x v="4"/>
    <x v="79"/>
    <x v="42"/>
  </r>
  <r>
    <n v="314"/>
    <n v="40571"/>
    <x v="0"/>
    <x v="0"/>
    <x v="15"/>
    <x v="0"/>
    <x v="6"/>
    <x v="1"/>
    <x v="2"/>
    <n v="313"/>
    <n v="0.19700000000000001"/>
    <n v="0.37"/>
    <n v="0.3881"/>
    <x v="17"/>
    <x v="26"/>
    <x v="43"/>
  </r>
  <r>
    <n v="315"/>
    <n v="40571"/>
    <x v="0"/>
    <x v="0"/>
    <x v="15"/>
    <x v="0"/>
    <x v="6"/>
    <x v="1"/>
    <x v="2"/>
    <n v="314"/>
    <n v="0.21210000000000001"/>
    <n v="0.41"/>
    <n v="0.28360000000000002"/>
    <x v="2"/>
    <x v="79"/>
    <x v="37"/>
  </r>
  <r>
    <n v="316"/>
    <n v="40571"/>
    <x v="0"/>
    <x v="0"/>
    <x v="15"/>
    <x v="0"/>
    <x v="6"/>
    <x v="1"/>
    <x v="2"/>
    <n v="315"/>
    <n v="0.2424"/>
    <n v="0.38"/>
    <n v="0.16420000000000001"/>
    <x v="14"/>
    <x v="79"/>
    <x v="118"/>
  </r>
  <r>
    <n v="317"/>
    <n v="40571"/>
    <x v="0"/>
    <x v="0"/>
    <x v="15"/>
    <x v="0"/>
    <x v="6"/>
    <x v="1"/>
    <x v="2"/>
    <n v="316"/>
    <n v="0.2424"/>
    <n v="0.41"/>
    <n v="0.1045"/>
    <x v="0"/>
    <x v="61"/>
    <x v="127"/>
  </r>
  <r>
    <n v="318"/>
    <n v="40571"/>
    <x v="0"/>
    <x v="0"/>
    <x v="15"/>
    <x v="0"/>
    <x v="6"/>
    <x v="1"/>
    <x v="2"/>
    <n v="317"/>
    <n v="0.2273"/>
    <n v="0.41"/>
    <n v="0.16420000000000001"/>
    <x v="17"/>
    <x v="119"/>
    <x v="128"/>
  </r>
  <r>
    <n v="319"/>
    <n v="40571"/>
    <x v="0"/>
    <x v="0"/>
    <x v="15"/>
    <x v="0"/>
    <x v="6"/>
    <x v="1"/>
    <x v="2"/>
    <n v="318"/>
    <n v="0.2576"/>
    <n v="0.47"/>
    <n v="0"/>
    <x v="2"/>
    <x v="120"/>
    <x v="119"/>
  </r>
  <r>
    <n v="320"/>
    <n v="40571"/>
    <x v="0"/>
    <x v="0"/>
    <x v="15"/>
    <x v="0"/>
    <x v="6"/>
    <x v="1"/>
    <x v="2"/>
    <n v="319"/>
    <n v="0.19700000000000001"/>
    <n v="0.59"/>
    <n v="8.9599999999999999E-2"/>
    <x v="0"/>
    <x v="121"/>
    <x v="101"/>
  </r>
  <r>
    <n v="321"/>
    <n v="40571"/>
    <x v="0"/>
    <x v="0"/>
    <x v="15"/>
    <x v="0"/>
    <x v="6"/>
    <x v="1"/>
    <x v="2"/>
    <n v="320"/>
    <n v="0.2424"/>
    <n v="0.59"/>
    <n v="0"/>
    <x v="3"/>
    <x v="56"/>
    <x v="118"/>
  </r>
  <r>
    <n v="322"/>
    <n v="40571"/>
    <x v="0"/>
    <x v="0"/>
    <x v="15"/>
    <x v="0"/>
    <x v="6"/>
    <x v="1"/>
    <x v="2"/>
    <n v="321"/>
    <n v="0.2273"/>
    <n v="0.69"/>
    <n v="0"/>
    <x v="17"/>
    <x v="41"/>
    <x v="46"/>
  </r>
  <r>
    <n v="323"/>
    <n v="40571"/>
    <x v="0"/>
    <x v="0"/>
    <x v="15"/>
    <x v="0"/>
    <x v="6"/>
    <x v="1"/>
    <x v="2"/>
    <n v="322"/>
    <n v="0.2273"/>
    <n v="0.69"/>
    <n v="0"/>
    <x v="4"/>
    <x v="60"/>
    <x v="9"/>
  </r>
  <r>
    <n v="324"/>
    <n v="40571"/>
    <x v="0"/>
    <x v="0"/>
    <x v="15"/>
    <x v="0"/>
    <x v="6"/>
    <x v="1"/>
    <x v="2"/>
    <n v="323"/>
    <n v="0.2424"/>
    <n v="0.55000000000000004"/>
    <n v="0"/>
    <x v="5"/>
    <x v="16"/>
    <x v="110"/>
  </r>
  <r>
    <n v="325"/>
    <n v="40571"/>
    <x v="0"/>
    <x v="0"/>
    <x v="15"/>
    <x v="0"/>
    <x v="6"/>
    <x v="1"/>
    <x v="2"/>
    <n v="324"/>
    <n v="0.2424"/>
    <n v="0.55000000000000004"/>
    <n v="0"/>
    <x v="0"/>
    <x v="18"/>
    <x v="20"/>
  </r>
  <r>
    <n v="326"/>
    <n v="40571"/>
    <x v="0"/>
    <x v="0"/>
    <x v="15"/>
    <x v="0"/>
    <x v="6"/>
    <x v="1"/>
    <x v="2"/>
    <n v="325"/>
    <n v="0.19700000000000001"/>
    <n v="0.59"/>
    <n v="8.9599999999999999E-2"/>
    <x v="4"/>
    <x v="72"/>
    <x v="25"/>
  </r>
  <r>
    <n v="327"/>
    <n v="40571"/>
    <x v="0"/>
    <x v="0"/>
    <x v="15"/>
    <x v="0"/>
    <x v="6"/>
    <x v="1"/>
    <x v="2"/>
    <n v="326"/>
    <n v="0.19700000000000001"/>
    <n v="0.59"/>
    <n v="8.9599999999999999E-2"/>
    <x v="3"/>
    <x v="98"/>
    <x v="47"/>
  </r>
  <r>
    <n v="328"/>
    <n v="40571"/>
    <x v="0"/>
    <x v="0"/>
    <x v="15"/>
    <x v="0"/>
    <x v="6"/>
    <x v="1"/>
    <x v="2"/>
    <n v="327"/>
    <n v="0.2273"/>
    <n v="0.59"/>
    <n v="0"/>
    <x v="5"/>
    <x v="7"/>
    <x v="7"/>
  </r>
  <r>
    <n v="329"/>
    <n v="40571"/>
    <x v="0"/>
    <x v="0"/>
    <x v="15"/>
    <x v="0"/>
    <x v="6"/>
    <x v="1"/>
    <x v="2"/>
    <n v="328"/>
    <n v="0.2273"/>
    <n v="0.59"/>
    <n v="0"/>
    <x v="3"/>
    <x v="34"/>
    <x v="36"/>
  </r>
  <r>
    <n v="330"/>
    <n v="40571"/>
    <x v="0"/>
    <x v="0"/>
    <x v="15"/>
    <x v="0"/>
    <x v="6"/>
    <x v="1"/>
    <x v="2"/>
    <n v="329"/>
    <n v="0.2273"/>
    <n v="0.59"/>
    <n v="0"/>
    <x v="3"/>
    <x v="4"/>
    <x v="4"/>
  </r>
  <r>
    <n v="331"/>
    <n v="40571"/>
    <x v="0"/>
    <x v="0"/>
    <x v="15"/>
    <x v="0"/>
    <x v="6"/>
    <x v="1"/>
    <x v="2"/>
    <n v="330"/>
    <n v="0.16669999999999999"/>
    <n v="0.63"/>
    <n v="0.1045"/>
    <x v="5"/>
    <x v="6"/>
    <x v="6"/>
  </r>
  <r>
    <n v="332"/>
    <n v="40571"/>
    <x v="0"/>
    <x v="0"/>
    <x v="15"/>
    <x v="0"/>
    <x v="6"/>
    <x v="1"/>
    <x v="2"/>
    <n v="331"/>
    <n v="0.21210000000000001"/>
    <n v="0.63"/>
    <n v="0"/>
    <x v="5"/>
    <x v="33"/>
    <x v="98"/>
  </r>
  <r>
    <n v="333"/>
    <n v="40571"/>
    <x v="0"/>
    <x v="0"/>
    <x v="15"/>
    <x v="0"/>
    <x v="6"/>
    <x v="1"/>
    <x v="2"/>
    <n v="332"/>
    <n v="0.1515"/>
    <n v="0.63"/>
    <n v="0.1343"/>
    <x v="5"/>
    <x v="97"/>
    <x v="84"/>
  </r>
  <r>
    <n v="334"/>
    <n v="40571"/>
    <x v="0"/>
    <x v="0"/>
    <x v="15"/>
    <x v="0"/>
    <x v="6"/>
    <x v="1"/>
    <x v="2"/>
    <n v="333"/>
    <n v="0.18179999999999999"/>
    <n v="0.64"/>
    <n v="0.1343"/>
    <x v="4"/>
    <x v="17"/>
    <x v="63"/>
  </r>
  <r>
    <n v="335"/>
    <n v="40571"/>
    <x v="0"/>
    <x v="0"/>
    <x v="15"/>
    <x v="0"/>
    <x v="6"/>
    <x v="1"/>
    <x v="2"/>
    <n v="334"/>
    <n v="0.19700000000000001"/>
    <n v="0.59"/>
    <n v="0.16420000000000001"/>
    <x v="4"/>
    <x v="77"/>
    <x v="29"/>
  </r>
  <r>
    <n v="336"/>
    <n v="40571"/>
    <x v="0"/>
    <x v="0"/>
    <x v="15"/>
    <x v="0"/>
    <x v="6"/>
    <x v="1"/>
    <x v="2"/>
    <n v="335"/>
    <n v="0.19700000000000001"/>
    <n v="0.55000000000000004"/>
    <n v="0.22389999999999999"/>
    <x v="25"/>
    <x v="25"/>
    <x v="44"/>
  </r>
  <r>
    <n v="337"/>
    <n v="40571"/>
    <x v="0"/>
    <x v="0"/>
    <x v="15"/>
    <x v="0"/>
    <x v="6"/>
    <x v="1"/>
    <x v="2"/>
    <n v="336"/>
    <n v="0.2273"/>
    <n v="0.48"/>
    <n v="0.22389999999999999"/>
    <x v="13"/>
    <x v="64"/>
    <x v="70"/>
  </r>
  <r>
    <n v="338"/>
    <n v="40571"/>
    <x v="0"/>
    <x v="0"/>
    <x v="15"/>
    <x v="0"/>
    <x v="6"/>
    <x v="1"/>
    <x v="2"/>
    <n v="337"/>
    <n v="0.2576"/>
    <n v="0.38"/>
    <n v="0.29849999999999999"/>
    <x v="27"/>
    <x v="122"/>
    <x v="129"/>
  </r>
  <r>
    <n v="339"/>
    <n v="40571"/>
    <x v="0"/>
    <x v="0"/>
    <x v="15"/>
    <x v="0"/>
    <x v="6"/>
    <x v="1"/>
    <x v="2"/>
    <n v="338"/>
    <n v="0.28789999999999999"/>
    <n v="0.39"/>
    <n v="0.28360000000000002"/>
    <x v="7"/>
    <x v="50"/>
    <x v="130"/>
  </r>
  <r>
    <n v="340"/>
    <n v="40571"/>
    <x v="0"/>
    <x v="0"/>
    <x v="15"/>
    <x v="0"/>
    <x v="6"/>
    <x v="1"/>
    <x v="2"/>
    <n v="339"/>
    <n v="0.31819999999999998"/>
    <n v="0.36"/>
    <n v="0.19400000000000001"/>
    <x v="27"/>
    <x v="123"/>
    <x v="131"/>
  </r>
  <r>
    <n v="341"/>
    <n v="40571"/>
    <x v="0"/>
    <x v="0"/>
    <x v="15"/>
    <x v="0"/>
    <x v="6"/>
    <x v="1"/>
    <x v="2"/>
    <n v="340"/>
    <n v="0.33329999999999999"/>
    <n v="0.34"/>
    <n v="0.19400000000000001"/>
    <x v="28"/>
    <x v="73"/>
    <x v="116"/>
  </r>
  <r>
    <n v="342"/>
    <n v="40571"/>
    <x v="0"/>
    <x v="0"/>
    <x v="15"/>
    <x v="0"/>
    <x v="6"/>
    <x v="1"/>
    <x v="2"/>
    <n v="341"/>
    <n v="0.30299999999999999"/>
    <n v="0.36"/>
    <n v="0.28360000000000002"/>
    <x v="8"/>
    <x v="25"/>
    <x v="56"/>
  </r>
  <r>
    <n v="343"/>
    <n v="40571"/>
    <x v="0"/>
    <x v="0"/>
    <x v="15"/>
    <x v="0"/>
    <x v="6"/>
    <x v="1"/>
    <x v="2"/>
    <n v="342"/>
    <n v="0.28789999999999999"/>
    <n v="0.45"/>
    <n v="0.25369999999999998"/>
    <x v="13"/>
    <x v="94"/>
    <x v="11"/>
  </r>
  <r>
    <n v="344"/>
    <n v="40571"/>
    <x v="0"/>
    <x v="0"/>
    <x v="15"/>
    <x v="0"/>
    <x v="6"/>
    <x v="1"/>
    <x v="2"/>
    <n v="343"/>
    <n v="0.30299999999999999"/>
    <n v="0.39"/>
    <n v="0.25369999999999998"/>
    <x v="24"/>
    <x v="91"/>
    <x v="30"/>
  </r>
  <r>
    <n v="345"/>
    <n v="40571"/>
    <x v="0"/>
    <x v="0"/>
    <x v="15"/>
    <x v="0"/>
    <x v="6"/>
    <x v="1"/>
    <x v="2"/>
    <n v="344"/>
    <n v="0.30299999999999999"/>
    <n v="0.39"/>
    <n v="0.25369999999999998"/>
    <x v="15"/>
    <x v="96"/>
    <x v="102"/>
  </r>
  <r>
    <n v="346"/>
    <n v="40571"/>
    <x v="0"/>
    <x v="0"/>
    <x v="15"/>
    <x v="0"/>
    <x v="6"/>
    <x v="1"/>
    <x v="2"/>
    <n v="345"/>
    <n v="0.30299999999999999"/>
    <n v="0.39"/>
    <n v="0.22389999999999999"/>
    <x v="15"/>
    <x v="82"/>
    <x v="52"/>
  </r>
  <r>
    <n v="347"/>
    <n v="40571"/>
    <x v="0"/>
    <x v="0"/>
    <x v="15"/>
    <x v="0"/>
    <x v="6"/>
    <x v="1"/>
    <x v="2"/>
    <n v="346"/>
    <n v="0.31819999999999998"/>
    <n v="0.42"/>
    <n v="0.1045"/>
    <x v="3"/>
    <x v="16"/>
    <x v="132"/>
  </r>
  <r>
    <n v="348"/>
    <n v="40571"/>
    <x v="0"/>
    <x v="0"/>
    <x v="15"/>
    <x v="0"/>
    <x v="6"/>
    <x v="1"/>
    <x v="2"/>
    <n v="347"/>
    <n v="0.28789999999999999"/>
    <n v="0.45"/>
    <n v="0.28360000000000002"/>
    <x v="2"/>
    <x v="87"/>
    <x v="40"/>
  </r>
  <r>
    <n v="349"/>
    <n v="40571"/>
    <x v="0"/>
    <x v="0"/>
    <x v="15"/>
    <x v="0"/>
    <x v="6"/>
    <x v="1"/>
    <x v="2"/>
    <n v="348"/>
    <n v="0.30299999999999999"/>
    <n v="0.56000000000000005"/>
    <n v="0"/>
    <x v="15"/>
    <x v="39"/>
    <x v="21"/>
  </r>
  <r>
    <n v="350"/>
    <n v="40571"/>
    <x v="0"/>
    <x v="0"/>
    <x v="15"/>
    <x v="0"/>
    <x v="6"/>
    <x v="1"/>
    <x v="2"/>
    <n v="349"/>
    <n v="0.2727"/>
    <n v="0.56000000000000005"/>
    <n v="0.1343"/>
    <x v="17"/>
    <x v="23"/>
    <x v="84"/>
  </r>
  <r>
    <n v="351"/>
    <n v="40571"/>
    <x v="0"/>
    <x v="0"/>
    <x v="15"/>
    <x v="0"/>
    <x v="6"/>
    <x v="1"/>
    <x v="2"/>
    <n v="350"/>
    <n v="0.28789999999999999"/>
    <n v="0.56000000000000005"/>
    <n v="8.9599999999999999E-2"/>
    <x v="0"/>
    <x v="0"/>
    <x v="0"/>
  </r>
  <r>
    <n v="352"/>
    <n v="40571"/>
    <x v="0"/>
    <x v="0"/>
    <x v="15"/>
    <x v="0"/>
    <x v="6"/>
    <x v="1"/>
    <x v="2"/>
    <n v="351"/>
    <n v="0.2727"/>
    <n v="0.69"/>
    <n v="0"/>
    <x v="14"/>
    <x v="8"/>
    <x v="93"/>
  </r>
  <r>
    <n v="353"/>
    <n v="40571"/>
    <x v="0"/>
    <x v="0"/>
    <x v="15"/>
    <x v="0"/>
    <x v="6"/>
    <x v="1"/>
    <x v="2"/>
    <n v="352"/>
    <n v="0.2576"/>
    <n v="0.56000000000000005"/>
    <n v="0.16420000000000001"/>
    <x v="3"/>
    <x v="4"/>
    <x v="4"/>
  </r>
  <r>
    <n v="354"/>
    <n v="40571"/>
    <x v="0"/>
    <x v="0"/>
    <x v="15"/>
    <x v="0"/>
    <x v="6"/>
    <x v="1"/>
    <x v="2"/>
    <n v="353"/>
    <n v="0.2576"/>
    <n v="0.56000000000000005"/>
    <n v="0.16420000000000001"/>
    <x v="5"/>
    <x v="4"/>
    <x v="5"/>
  </r>
  <r>
    <n v="355"/>
    <n v="40571"/>
    <x v="0"/>
    <x v="0"/>
    <x v="15"/>
    <x v="0"/>
    <x v="6"/>
    <x v="1"/>
    <x v="2"/>
    <n v="354"/>
    <n v="0.2576"/>
    <n v="0.56000000000000005"/>
    <n v="0.16420000000000001"/>
    <x v="3"/>
    <x v="4"/>
    <x v="4"/>
  </r>
  <r>
    <n v="356"/>
    <n v="40571"/>
    <x v="0"/>
    <x v="0"/>
    <x v="15"/>
    <x v="0"/>
    <x v="6"/>
    <x v="1"/>
    <x v="2"/>
    <n v="355"/>
    <n v="0.21210000000000001"/>
    <n v="0.56000000000000005"/>
    <n v="0.29849999999999999"/>
    <x v="3"/>
    <x v="35"/>
    <x v="6"/>
  </r>
  <r>
    <n v="357"/>
    <n v="40571"/>
    <x v="0"/>
    <x v="0"/>
    <x v="15"/>
    <x v="0"/>
    <x v="6"/>
    <x v="1"/>
    <x v="2"/>
    <n v="356"/>
    <n v="0.21210000000000001"/>
    <n v="0.55000000000000004"/>
    <n v="0.28360000000000002"/>
    <x v="3"/>
    <x v="72"/>
    <x v="109"/>
  </r>
  <r>
    <n v="358"/>
    <n v="40571"/>
    <x v="0"/>
    <x v="0"/>
    <x v="15"/>
    <x v="0"/>
    <x v="6"/>
    <x v="1"/>
    <x v="2"/>
    <n v="357"/>
    <n v="0.21210000000000001"/>
    <n v="0.51"/>
    <n v="0.25369999999999998"/>
    <x v="0"/>
    <x v="31"/>
    <x v="2"/>
  </r>
  <r>
    <n v="359"/>
    <n v="40571"/>
    <x v="0"/>
    <x v="0"/>
    <x v="15"/>
    <x v="0"/>
    <x v="6"/>
    <x v="1"/>
    <x v="2"/>
    <n v="358"/>
    <n v="0.21210000000000001"/>
    <n v="0.51"/>
    <n v="0.28360000000000002"/>
    <x v="1"/>
    <x v="13"/>
    <x v="67"/>
  </r>
  <r>
    <n v="360"/>
    <n v="40571"/>
    <x v="0"/>
    <x v="0"/>
    <x v="15"/>
    <x v="0"/>
    <x v="6"/>
    <x v="1"/>
    <x v="2"/>
    <n v="359"/>
    <n v="0.2273"/>
    <n v="0.44"/>
    <n v="0.25369999999999998"/>
    <x v="29"/>
    <x v="14"/>
    <x v="15"/>
  </r>
  <r>
    <n v="361"/>
    <n v="40571"/>
    <x v="0"/>
    <x v="0"/>
    <x v="15"/>
    <x v="0"/>
    <x v="6"/>
    <x v="1"/>
    <x v="2"/>
    <n v="360"/>
    <n v="0.21210000000000001"/>
    <n v="0.41"/>
    <n v="0.28360000000000002"/>
    <x v="8"/>
    <x v="102"/>
    <x v="133"/>
  </r>
  <r>
    <n v="362"/>
    <n v="40571"/>
    <x v="0"/>
    <x v="0"/>
    <x v="15"/>
    <x v="0"/>
    <x v="6"/>
    <x v="1"/>
    <x v="2"/>
    <n v="361"/>
    <n v="0.2273"/>
    <n v="0.35"/>
    <n v="0.29849999999999999"/>
    <x v="29"/>
    <x v="73"/>
    <x v="130"/>
  </r>
  <r>
    <n v="363"/>
    <n v="40571"/>
    <x v="0"/>
    <x v="0"/>
    <x v="15"/>
    <x v="0"/>
    <x v="6"/>
    <x v="1"/>
    <x v="2"/>
    <n v="362"/>
    <n v="0.2727"/>
    <n v="0.36"/>
    <n v="0.25369999999999998"/>
    <x v="30"/>
    <x v="94"/>
    <x v="134"/>
  </r>
  <r>
    <n v="364"/>
    <n v="40571"/>
    <x v="0"/>
    <x v="0"/>
    <x v="15"/>
    <x v="0"/>
    <x v="6"/>
    <x v="1"/>
    <x v="2"/>
    <n v="363"/>
    <n v="0.2424"/>
    <n v="0.38"/>
    <n v="0.25369999999999998"/>
    <x v="10"/>
    <x v="78"/>
    <x v="135"/>
  </r>
  <r>
    <n v="365"/>
    <n v="40571"/>
    <x v="0"/>
    <x v="0"/>
    <x v="15"/>
    <x v="0"/>
    <x v="6"/>
    <x v="1"/>
    <x v="2"/>
    <n v="364"/>
    <n v="0.2273"/>
    <n v="0.38"/>
    <n v="0.22389999999999999"/>
    <x v="30"/>
    <x v="99"/>
    <x v="111"/>
  </r>
  <r>
    <n v="366"/>
    <n v="40571"/>
    <x v="0"/>
    <x v="0"/>
    <x v="15"/>
    <x v="0"/>
    <x v="6"/>
    <x v="1"/>
    <x v="2"/>
    <n v="365"/>
    <n v="0.21210000000000001"/>
    <n v="0.37"/>
    <n v="0.25369999999999998"/>
    <x v="29"/>
    <x v="70"/>
    <x v="136"/>
  </r>
  <r>
    <n v="367"/>
    <n v="40571"/>
    <x v="0"/>
    <x v="0"/>
    <x v="15"/>
    <x v="0"/>
    <x v="6"/>
    <x v="1"/>
    <x v="2"/>
    <n v="366"/>
    <n v="0.21210000000000001"/>
    <n v="0.4"/>
    <n v="0.16420000000000001"/>
    <x v="16"/>
    <x v="90"/>
    <x v="16"/>
  </r>
  <r>
    <n v="368"/>
    <n v="40571"/>
    <x v="0"/>
    <x v="0"/>
    <x v="15"/>
    <x v="0"/>
    <x v="6"/>
    <x v="1"/>
    <x v="2"/>
    <n v="367"/>
    <n v="0.19700000000000001"/>
    <n v="0.47"/>
    <n v="0.1343"/>
    <x v="24"/>
    <x v="12"/>
    <x v="42"/>
  </r>
  <r>
    <n v="369"/>
    <n v="40571"/>
    <x v="0"/>
    <x v="0"/>
    <x v="15"/>
    <x v="0"/>
    <x v="6"/>
    <x v="1"/>
    <x v="2"/>
    <n v="368"/>
    <n v="0.19700000000000001"/>
    <n v="0.47"/>
    <n v="0.16420000000000001"/>
    <x v="18"/>
    <x v="54"/>
    <x v="52"/>
  </r>
  <r>
    <n v="370"/>
    <n v="40571"/>
    <x v="0"/>
    <x v="0"/>
    <x v="15"/>
    <x v="0"/>
    <x v="6"/>
    <x v="1"/>
    <x v="2"/>
    <n v="369"/>
    <n v="0.19700000000000001"/>
    <n v="0.51"/>
    <n v="0.16420000000000001"/>
    <x v="15"/>
    <x v="97"/>
    <x v="20"/>
  </r>
  <r>
    <n v="371"/>
    <n v="40571"/>
    <x v="0"/>
    <x v="0"/>
    <x v="15"/>
    <x v="0"/>
    <x v="6"/>
    <x v="1"/>
    <x v="2"/>
    <n v="370"/>
    <n v="0.21210000000000001"/>
    <n v="0.49"/>
    <n v="0.1343"/>
    <x v="4"/>
    <x v="23"/>
    <x v="137"/>
  </r>
  <r>
    <n v="372"/>
    <n v="40571"/>
    <x v="0"/>
    <x v="0"/>
    <x v="15"/>
    <x v="0"/>
    <x v="6"/>
    <x v="1"/>
    <x v="2"/>
    <n v="371"/>
    <n v="0.2273"/>
    <n v="0.4"/>
    <n v="0.1045"/>
    <x v="3"/>
    <x v="72"/>
    <x v="109"/>
  </r>
  <r>
    <n v="373"/>
    <n v="40571"/>
    <x v="0"/>
    <x v="0"/>
    <x v="15"/>
    <x v="0"/>
    <x v="6"/>
    <x v="1"/>
    <x v="2"/>
    <n v="372"/>
    <n v="0.19700000000000001"/>
    <n v="0.47"/>
    <n v="0.22389999999999999"/>
    <x v="5"/>
    <x v="20"/>
    <x v="22"/>
  </r>
  <r>
    <n v="374"/>
    <n v="40571"/>
    <x v="0"/>
    <x v="0"/>
    <x v="15"/>
    <x v="0"/>
    <x v="6"/>
    <x v="1"/>
    <x v="2"/>
    <n v="373"/>
    <n v="0.19700000000000001"/>
    <n v="0.44"/>
    <n v="0.19400000000000001"/>
    <x v="5"/>
    <x v="89"/>
    <x v="0"/>
  </r>
  <r>
    <n v="375"/>
    <n v="40571"/>
    <x v="0"/>
    <x v="0"/>
    <x v="15"/>
    <x v="0"/>
    <x v="6"/>
    <x v="1"/>
    <x v="2"/>
    <n v="374"/>
    <n v="0.16669999999999999"/>
    <n v="0.43"/>
    <n v="0.25369999999999998"/>
    <x v="3"/>
    <x v="21"/>
    <x v="7"/>
  </r>
  <r>
    <n v="376"/>
    <n v="40571"/>
    <x v="0"/>
    <x v="0"/>
    <x v="15"/>
    <x v="0"/>
    <x v="6"/>
    <x v="1"/>
    <x v="2"/>
    <n v="375"/>
    <n v="0.18179999999999999"/>
    <n v="0.43"/>
    <n v="0.19400000000000001"/>
    <x v="3"/>
    <x v="6"/>
    <x v="5"/>
  </r>
  <r>
    <n v="377"/>
    <n v="40571"/>
    <x v="0"/>
    <x v="0"/>
    <x v="15"/>
    <x v="0"/>
    <x v="6"/>
    <x v="1"/>
    <x v="2"/>
    <n v="376"/>
    <n v="0.19700000000000001"/>
    <n v="0.43"/>
    <n v="0.1343"/>
    <x v="5"/>
    <x v="6"/>
    <x v="6"/>
  </r>
  <r>
    <n v="378"/>
    <n v="40571"/>
    <x v="0"/>
    <x v="0"/>
    <x v="15"/>
    <x v="0"/>
    <x v="6"/>
    <x v="1"/>
    <x v="2"/>
    <n v="377"/>
    <n v="0.19700000000000001"/>
    <n v="0.43"/>
    <n v="0.16420000000000001"/>
    <x v="3"/>
    <x v="4"/>
    <x v="4"/>
  </r>
  <r>
    <n v="379"/>
    <n v="40571"/>
    <x v="0"/>
    <x v="0"/>
    <x v="15"/>
    <x v="0"/>
    <x v="6"/>
    <x v="1"/>
    <x v="2"/>
    <n v="378"/>
    <n v="0.18179999999999999"/>
    <n v="0.43"/>
    <n v="0.19400000000000001"/>
    <x v="3"/>
    <x v="34"/>
    <x v="36"/>
  </r>
  <r>
    <n v="380"/>
    <n v="40571"/>
    <x v="0"/>
    <x v="0"/>
    <x v="15"/>
    <x v="0"/>
    <x v="6"/>
    <x v="1"/>
    <x v="2"/>
    <n v="379"/>
    <n v="0.18179999999999999"/>
    <n v="0.5"/>
    <n v="0.1343"/>
    <x v="17"/>
    <x v="33"/>
    <x v="3"/>
  </r>
  <r>
    <n v="381"/>
    <n v="40571"/>
    <x v="0"/>
    <x v="0"/>
    <x v="15"/>
    <x v="0"/>
    <x v="6"/>
    <x v="1"/>
    <x v="2"/>
    <n v="380"/>
    <n v="0.1515"/>
    <n v="0.47"/>
    <n v="0.22389999999999999"/>
    <x v="0"/>
    <x v="10"/>
    <x v="63"/>
  </r>
  <r>
    <n v="382"/>
    <n v="40571"/>
    <x v="0"/>
    <x v="0"/>
    <x v="15"/>
    <x v="0"/>
    <x v="6"/>
    <x v="1"/>
    <x v="2"/>
    <n v="381"/>
    <n v="0.1515"/>
    <n v="0.47"/>
    <n v="0.22389999999999999"/>
    <x v="1"/>
    <x v="87"/>
    <x v="105"/>
  </r>
  <r>
    <n v="383"/>
    <n v="40571"/>
    <x v="0"/>
    <x v="0"/>
    <x v="15"/>
    <x v="0"/>
    <x v="6"/>
    <x v="1"/>
    <x v="2"/>
    <n v="382"/>
    <n v="0.1515"/>
    <n v="0.5"/>
    <n v="0.25369999999999998"/>
    <x v="18"/>
    <x v="54"/>
    <x v="52"/>
  </r>
  <r>
    <n v="384"/>
    <n v="40571"/>
    <x v="0"/>
    <x v="0"/>
    <x v="15"/>
    <x v="0"/>
    <x v="6"/>
    <x v="1"/>
    <x v="2"/>
    <n v="383"/>
    <n v="0.1515"/>
    <n v="0.55000000000000004"/>
    <n v="0.19400000000000001"/>
    <x v="14"/>
    <x v="11"/>
    <x v="37"/>
  </r>
  <r>
    <n v="385"/>
    <n v="40571"/>
    <x v="0"/>
    <x v="0"/>
    <x v="15"/>
    <x v="0"/>
    <x v="6"/>
    <x v="1"/>
    <x v="2"/>
    <n v="384"/>
    <n v="0.19700000000000001"/>
    <n v="0.47"/>
    <n v="0.1343"/>
    <x v="22"/>
    <x v="14"/>
    <x v="138"/>
  </r>
  <r>
    <n v="386"/>
    <n v="40571"/>
    <x v="0"/>
    <x v="0"/>
    <x v="15"/>
    <x v="0"/>
    <x v="6"/>
    <x v="1"/>
    <x v="2"/>
    <n v="385"/>
    <n v="0.19700000000000001"/>
    <n v="0.47"/>
    <n v="0.1343"/>
    <x v="23"/>
    <x v="122"/>
    <x v="15"/>
  </r>
  <r>
    <n v="387"/>
    <n v="40571"/>
    <x v="0"/>
    <x v="0"/>
    <x v="15"/>
    <x v="0"/>
    <x v="6"/>
    <x v="1"/>
    <x v="2"/>
    <n v="386"/>
    <n v="0.21210000000000001"/>
    <n v="0.43"/>
    <n v="0.1045"/>
    <x v="6"/>
    <x v="64"/>
    <x v="80"/>
  </r>
  <r>
    <n v="388"/>
    <n v="40571"/>
    <x v="0"/>
    <x v="0"/>
    <x v="15"/>
    <x v="0"/>
    <x v="6"/>
    <x v="1"/>
    <x v="2"/>
    <n v="387"/>
    <n v="0.21210000000000001"/>
    <n v="0.47"/>
    <n v="0.16420000000000001"/>
    <x v="27"/>
    <x v="109"/>
    <x v="15"/>
  </r>
  <r>
    <n v="389"/>
    <n v="40571"/>
    <x v="0"/>
    <x v="0"/>
    <x v="15"/>
    <x v="0"/>
    <x v="6"/>
    <x v="1"/>
    <x v="2"/>
    <n v="388"/>
    <n v="0.21210000000000001"/>
    <n v="0.47"/>
    <n v="0.16420000000000001"/>
    <x v="15"/>
    <x v="83"/>
    <x v="100"/>
  </r>
  <r>
    <n v="390"/>
    <n v="40571"/>
    <x v="0"/>
    <x v="0"/>
    <x v="15"/>
    <x v="0"/>
    <x v="6"/>
    <x v="1"/>
    <x v="2"/>
    <n v="389"/>
    <n v="0.19700000000000001"/>
    <n v="0.51"/>
    <n v="0.19400000000000001"/>
    <x v="17"/>
    <x v="28"/>
    <x v="68"/>
  </r>
  <r>
    <n v="391"/>
    <n v="40571"/>
    <x v="0"/>
    <x v="0"/>
    <x v="15"/>
    <x v="0"/>
    <x v="6"/>
    <x v="1"/>
    <x v="2"/>
    <n v="390"/>
    <n v="0.16669999999999999"/>
    <n v="0.55000000000000004"/>
    <n v="0.25369999999999998"/>
    <x v="18"/>
    <x v="66"/>
    <x v="101"/>
  </r>
  <r>
    <n v="392"/>
    <n v="40571"/>
    <x v="0"/>
    <x v="0"/>
    <x v="15"/>
    <x v="0"/>
    <x v="6"/>
    <x v="1"/>
    <x v="2"/>
    <n v="391"/>
    <n v="0.18179999999999999"/>
    <n v="0.59"/>
    <n v="0.19400000000000001"/>
    <x v="4"/>
    <x v="29"/>
    <x v="122"/>
  </r>
  <r>
    <n v="393"/>
    <n v="40571"/>
    <x v="0"/>
    <x v="0"/>
    <x v="15"/>
    <x v="0"/>
    <x v="6"/>
    <x v="1"/>
    <x v="2"/>
    <n v="392"/>
    <n v="0.1515"/>
    <n v="0.8"/>
    <n v="0.19400000000000001"/>
    <x v="17"/>
    <x v="31"/>
    <x v="63"/>
  </r>
  <r>
    <n v="394"/>
    <n v="40571"/>
    <x v="0"/>
    <x v="0"/>
    <x v="15"/>
    <x v="0"/>
    <x v="6"/>
    <x v="1"/>
    <x v="2"/>
    <n v="393"/>
    <n v="0.1515"/>
    <n v="0.8"/>
    <n v="0.19400000000000001"/>
    <x v="0"/>
    <x v="9"/>
    <x v="110"/>
  </r>
  <r>
    <n v="395"/>
    <n v="40571"/>
    <x v="0"/>
    <x v="0"/>
    <x v="15"/>
    <x v="0"/>
    <x v="6"/>
    <x v="1"/>
    <x v="2"/>
    <n v="394"/>
    <n v="0.1212"/>
    <n v="0.93"/>
    <n v="0.25369999999999998"/>
    <x v="3"/>
    <x v="0"/>
    <x v="3"/>
  </r>
  <r>
    <n v="396"/>
    <n v="40571"/>
    <x v="0"/>
    <x v="0"/>
    <x v="15"/>
    <x v="0"/>
    <x v="6"/>
    <x v="1"/>
    <x v="2"/>
    <n v="395"/>
    <n v="0.13639999999999999"/>
    <n v="0.86"/>
    <n v="0.28360000000000002"/>
    <x v="5"/>
    <x v="35"/>
    <x v="48"/>
  </r>
  <r>
    <n v="397"/>
    <n v="40571"/>
    <x v="0"/>
    <x v="0"/>
    <x v="15"/>
    <x v="0"/>
    <x v="6"/>
    <x v="1"/>
    <x v="2"/>
    <n v="396"/>
    <n v="0.18179999999999999"/>
    <n v="0.86"/>
    <n v="0.32840000000000003"/>
    <x v="3"/>
    <x v="35"/>
    <x v="6"/>
  </r>
  <r>
    <n v="398"/>
    <n v="40571"/>
    <x v="0"/>
    <x v="0"/>
    <x v="15"/>
    <x v="0"/>
    <x v="6"/>
    <x v="1"/>
    <x v="2"/>
    <n v="397"/>
    <n v="0.19700000000000001"/>
    <n v="0.86"/>
    <n v="0.22389999999999999"/>
    <x v="3"/>
    <x v="97"/>
    <x v="34"/>
  </r>
  <r>
    <n v="399"/>
    <n v="40571"/>
    <x v="0"/>
    <x v="0"/>
    <x v="15"/>
    <x v="0"/>
    <x v="6"/>
    <x v="1"/>
    <x v="2"/>
    <n v="398"/>
    <n v="0.2273"/>
    <n v="0.8"/>
    <n v="0.16420000000000001"/>
    <x v="4"/>
    <x v="16"/>
    <x v="20"/>
  </r>
  <r>
    <n v="400"/>
    <n v="40571"/>
    <x v="0"/>
    <x v="0"/>
    <x v="15"/>
    <x v="0"/>
    <x v="6"/>
    <x v="1"/>
    <x v="2"/>
    <n v="399"/>
    <n v="0.2273"/>
    <n v="0.87"/>
    <n v="0.16420000000000001"/>
    <x v="0"/>
    <x v="1"/>
    <x v="17"/>
  </r>
  <r>
    <n v="401"/>
    <n v="40571"/>
    <x v="0"/>
    <x v="0"/>
    <x v="15"/>
    <x v="0"/>
    <x v="6"/>
    <x v="1"/>
    <x v="2"/>
    <n v="400"/>
    <n v="0.2273"/>
    <n v="0.87"/>
    <n v="0.19400000000000001"/>
    <x v="3"/>
    <x v="124"/>
    <x v="42"/>
  </r>
  <r>
    <n v="402"/>
    <n v="40571"/>
    <x v="0"/>
    <x v="0"/>
    <x v="15"/>
    <x v="0"/>
    <x v="6"/>
    <x v="1"/>
    <x v="2"/>
    <n v="401"/>
    <n v="0.2273"/>
    <n v="0.82"/>
    <n v="0.19400000000000001"/>
    <x v="5"/>
    <x v="125"/>
    <x v="139"/>
  </r>
  <r>
    <n v="403"/>
    <n v="40571"/>
    <x v="0"/>
    <x v="0"/>
    <x v="15"/>
    <x v="0"/>
    <x v="6"/>
    <x v="1"/>
    <x v="2"/>
    <n v="402"/>
    <n v="0.2273"/>
    <n v="0.8"/>
    <n v="0.16420000000000001"/>
    <x v="5"/>
    <x v="126"/>
    <x v="140"/>
  </r>
  <r>
    <n v="404"/>
    <n v="40571"/>
    <x v="0"/>
    <x v="0"/>
    <x v="15"/>
    <x v="0"/>
    <x v="6"/>
    <x v="1"/>
    <x v="2"/>
    <n v="403"/>
    <n v="0.2273"/>
    <n v="0.8"/>
    <n v="0.1343"/>
    <x v="5"/>
    <x v="52"/>
    <x v="111"/>
  </r>
  <r>
    <n v="405"/>
    <n v="40571"/>
    <x v="0"/>
    <x v="0"/>
    <x v="15"/>
    <x v="0"/>
    <x v="6"/>
    <x v="1"/>
    <x v="2"/>
    <n v="404"/>
    <n v="0.2727"/>
    <n v="0.87"/>
    <n v="0"/>
    <x v="3"/>
    <x v="93"/>
    <x v="56"/>
  </r>
  <r>
    <n v="406"/>
    <n v="40571"/>
    <x v="0"/>
    <x v="0"/>
    <x v="15"/>
    <x v="0"/>
    <x v="6"/>
    <x v="1"/>
    <x v="2"/>
    <n v="405"/>
    <n v="0.2424"/>
    <n v="0.93"/>
    <n v="0.1045"/>
    <x v="3"/>
    <x v="40"/>
    <x v="102"/>
  </r>
  <r>
    <n v="407"/>
    <n v="40571"/>
    <x v="0"/>
    <x v="0"/>
    <x v="15"/>
    <x v="0"/>
    <x v="6"/>
    <x v="1"/>
    <x v="2"/>
    <n v="406"/>
    <n v="0.2576"/>
    <n v="0.93"/>
    <n v="8.9599999999999999E-2"/>
    <x v="3"/>
    <x v="39"/>
    <x v="63"/>
  </r>
  <r>
    <n v="408"/>
    <n v="40571"/>
    <x v="0"/>
    <x v="0"/>
    <x v="15"/>
    <x v="0"/>
    <x v="6"/>
    <x v="1"/>
    <x v="2"/>
    <n v="407"/>
    <n v="0.2727"/>
    <n v="0.93"/>
    <n v="0"/>
    <x v="5"/>
    <x v="23"/>
    <x v="25"/>
  </r>
  <r>
    <n v="409"/>
    <n v="40571"/>
    <x v="0"/>
    <x v="0"/>
    <x v="15"/>
    <x v="0"/>
    <x v="6"/>
    <x v="1"/>
    <x v="2"/>
    <n v="408"/>
    <n v="0.2727"/>
    <n v="0.93"/>
    <n v="0"/>
    <x v="3"/>
    <x v="35"/>
    <x v="6"/>
  </r>
  <r>
    <n v="410"/>
    <n v="40571"/>
    <x v="0"/>
    <x v="0"/>
    <x v="15"/>
    <x v="0"/>
    <x v="6"/>
    <x v="1"/>
    <x v="2"/>
    <n v="409"/>
    <n v="0.2273"/>
    <n v="0.93"/>
    <n v="0.1343"/>
    <x v="5"/>
    <x v="8"/>
    <x v="85"/>
  </r>
  <r>
    <n v="411"/>
    <n v="40571"/>
    <x v="0"/>
    <x v="0"/>
    <x v="15"/>
    <x v="0"/>
    <x v="6"/>
    <x v="1"/>
    <x v="2"/>
    <n v="410"/>
    <n v="0.2273"/>
    <n v="0.93"/>
    <n v="0.1343"/>
    <x v="3"/>
    <x v="35"/>
    <x v="6"/>
  </r>
  <r>
    <n v="412"/>
    <n v="40571"/>
    <x v="0"/>
    <x v="0"/>
    <x v="15"/>
    <x v="0"/>
    <x v="6"/>
    <x v="1"/>
    <x v="2"/>
    <n v="411"/>
    <n v="0.2273"/>
    <n v="0.93"/>
    <n v="0.1343"/>
    <x v="5"/>
    <x v="4"/>
    <x v="5"/>
  </r>
  <r>
    <n v="413"/>
    <n v="40571"/>
    <x v="0"/>
    <x v="0"/>
    <x v="15"/>
    <x v="0"/>
    <x v="6"/>
    <x v="1"/>
    <x v="2"/>
    <n v="412"/>
    <n v="0.2576"/>
    <n v="0.93"/>
    <n v="8.9599999999999999E-2"/>
    <x v="3"/>
    <x v="7"/>
    <x v="85"/>
  </r>
  <r>
    <n v="414"/>
    <n v="40571"/>
    <x v="0"/>
    <x v="0"/>
    <x v="15"/>
    <x v="0"/>
    <x v="6"/>
    <x v="1"/>
    <x v="2"/>
    <n v="413"/>
    <n v="0.2576"/>
    <n v="0.93"/>
    <n v="8.9599999999999999E-2"/>
    <x v="3"/>
    <x v="1"/>
    <x v="2"/>
  </r>
  <r>
    <n v="415"/>
    <n v="40571"/>
    <x v="0"/>
    <x v="0"/>
    <x v="15"/>
    <x v="0"/>
    <x v="6"/>
    <x v="1"/>
    <x v="2"/>
    <n v="414"/>
    <n v="0.2576"/>
    <n v="0.92"/>
    <n v="0.1045"/>
    <x v="5"/>
    <x v="121"/>
    <x v="127"/>
  </r>
  <r>
    <n v="416"/>
    <n v="40571"/>
    <x v="0"/>
    <x v="0"/>
    <x v="15"/>
    <x v="0"/>
    <x v="6"/>
    <x v="1"/>
    <x v="2"/>
    <n v="415"/>
    <n v="0.2576"/>
    <n v="0.93"/>
    <n v="0.1045"/>
    <x v="5"/>
    <x v="127"/>
    <x v="141"/>
  </r>
  <r>
    <n v="417"/>
    <n v="40571"/>
    <x v="0"/>
    <x v="0"/>
    <x v="15"/>
    <x v="0"/>
    <x v="6"/>
    <x v="1"/>
    <x v="2"/>
    <n v="416"/>
    <n v="0.2576"/>
    <n v="0.93"/>
    <n v="0.1045"/>
    <x v="4"/>
    <x v="128"/>
    <x v="142"/>
  </r>
  <r>
    <n v="418"/>
    <n v="40571"/>
    <x v="0"/>
    <x v="0"/>
    <x v="15"/>
    <x v="0"/>
    <x v="6"/>
    <x v="1"/>
    <x v="2"/>
    <n v="417"/>
    <n v="0.2727"/>
    <n v="0.93"/>
    <n v="0.1343"/>
    <x v="5"/>
    <x v="24"/>
    <x v="105"/>
  </r>
  <r>
    <n v="419"/>
    <n v="40571"/>
    <x v="0"/>
    <x v="0"/>
    <x v="15"/>
    <x v="0"/>
    <x v="6"/>
    <x v="1"/>
    <x v="2"/>
    <n v="418"/>
    <n v="0.30299999999999999"/>
    <n v="0.87"/>
    <n v="8.9599999999999999E-2"/>
    <x v="2"/>
    <x v="12"/>
    <x v="46"/>
  </r>
  <r>
    <n v="420"/>
    <n v="40571"/>
    <x v="0"/>
    <x v="0"/>
    <x v="15"/>
    <x v="0"/>
    <x v="6"/>
    <x v="1"/>
    <x v="2"/>
    <n v="419"/>
    <n v="0.31819999999999998"/>
    <n v="0.81"/>
    <n v="8.9599999999999999E-2"/>
    <x v="2"/>
    <x v="65"/>
    <x v="27"/>
  </r>
  <r>
    <n v="421"/>
    <n v="40571"/>
    <x v="0"/>
    <x v="0"/>
    <x v="15"/>
    <x v="0"/>
    <x v="6"/>
    <x v="1"/>
    <x v="2"/>
    <n v="420"/>
    <n v="0.40910000000000002"/>
    <n v="0.62"/>
    <n v="0.28360000000000002"/>
    <x v="16"/>
    <x v="28"/>
    <x v="53"/>
  </r>
  <r>
    <n v="422"/>
    <n v="40571"/>
    <x v="0"/>
    <x v="0"/>
    <x v="15"/>
    <x v="0"/>
    <x v="6"/>
    <x v="1"/>
    <x v="2"/>
    <n v="421"/>
    <n v="0.40910000000000002"/>
    <n v="0.57999999999999996"/>
    <n v="0.25369999999999998"/>
    <x v="18"/>
    <x v="56"/>
    <x v="28"/>
  </r>
  <r>
    <n v="423"/>
    <n v="40571"/>
    <x v="0"/>
    <x v="0"/>
    <x v="15"/>
    <x v="0"/>
    <x v="6"/>
    <x v="1"/>
    <x v="2"/>
    <n v="422"/>
    <n v="0.40910000000000002"/>
    <n v="0.54"/>
    <n v="0.28360000000000002"/>
    <x v="17"/>
    <x v="78"/>
    <x v="100"/>
  </r>
  <r>
    <n v="424"/>
    <n v="40571"/>
    <x v="0"/>
    <x v="0"/>
    <x v="15"/>
    <x v="0"/>
    <x v="6"/>
    <x v="1"/>
    <x v="2"/>
    <n v="423"/>
    <n v="0.39389999999999997"/>
    <n v="0.57999999999999996"/>
    <n v="0.3881"/>
    <x v="22"/>
    <x v="111"/>
    <x v="133"/>
  </r>
  <r>
    <n v="425"/>
    <n v="40571"/>
    <x v="0"/>
    <x v="0"/>
    <x v="15"/>
    <x v="0"/>
    <x v="6"/>
    <x v="1"/>
    <x v="2"/>
    <n v="424"/>
    <n v="0.33329999999999999"/>
    <n v="0.56999999999999995"/>
    <n v="0.32840000000000003"/>
    <x v="18"/>
    <x v="84"/>
    <x v="141"/>
  </r>
  <r>
    <n v="426"/>
    <n v="40571"/>
    <x v="0"/>
    <x v="0"/>
    <x v="15"/>
    <x v="0"/>
    <x v="6"/>
    <x v="1"/>
    <x v="2"/>
    <n v="425"/>
    <n v="0.31819999999999998"/>
    <n v="0.61"/>
    <n v="0.28360000000000002"/>
    <x v="2"/>
    <x v="117"/>
    <x v="143"/>
  </r>
  <r>
    <n v="427"/>
    <n v="40571"/>
    <x v="0"/>
    <x v="0"/>
    <x v="15"/>
    <x v="0"/>
    <x v="6"/>
    <x v="1"/>
    <x v="2"/>
    <n v="426"/>
    <n v="0.28789999999999999"/>
    <n v="0.56999999999999995"/>
    <n v="0.41789999999999999"/>
    <x v="17"/>
    <x v="123"/>
    <x v="59"/>
  </r>
  <r>
    <n v="428"/>
    <n v="40571"/>
    <x v="0"/>
    <x v="0"/>
    <x v="15"/>
    <x v="0"/>
    <x v="6"/>
    <x v="1"/>
    <x v="2"/>
    <n v="427"/>
    <n v="0.30299999999999999"/>
    <n v="0.49"/>
    <n v="0.29849999999999999"/>
    <x v="4"/>
    <x v="64"/>
    <x v="31"/>
  </r>
  <r>
    <n v="429"/>
    <n v="40571"/>
    <x v="0"/>
    <x v="0"/>
    <x v="15"/>
    <x v="0"/>
    <x v="6"/>
    <x v="1"/>
    <x v="2"/>
    <n v="428"/>
    <n v="0.28789999999999999"/>
    <n v="0.49"/>
    <n v="0.41789999999999999"/>
    <x v="17"/>
    <x v="11"/>
    <x v="29"/>
  </r>
  <r>
    <n v="430"/>
    <n v="40571"/>
    <x v="0"/>
    <x v="0"/>
    <x v="15"/>
    <x v="0"/>
    <x v="6"/>
    <x v="1"/>
    <x v="2"/>
    <n v="429"/>
    <n v="0.30299999999999999"/>
    <n v="0.52"/>
    <n v="0.16420000000000001"/>
    <x v="15"/>
    <x v="42"/>
    <x v="29"/>
  </r>
  <r>
    <n v="431"/>
    <n v="40571"/>
    <x v="0"/>
    <x v="0"/>
    <x v="15"/>
    <x v="0"/>
    <x v="6"/>
    <x v="1"/>
    <x v="2"/>
    <n v="430"/>
    <n v="0.2727"/>
    <n v="0.52"/>
    <n v="0.4627"/>
    <x v="5"/>
    <x v="2"/>
    <x v="20"/>
  </r>
  <r>
    <n v="432"/>
    <n v="40571"/>
    <x v="0"/>
    <x v="0"/>
    <x v="15"/>
    <x v="0"/>
    <x v="6"/>
    <x v="1"/>
    <x v="2"/>
    <n v="431"/>
    <n v="0.2273"/>
    <n v="0.56000000000000005"/>
    <n v="0.3881"/>
    <x v="2"/>
    <x v="21"/>
    <x v="3"/>
  </r>
  <r>
    <n v="433"/>
    <n v="40571"/>
    <x v="0"/>
    <x v="0"/>
    <x v="15"/>
    <x v="0"/>
    <x v="6"/>
    <x v="1"/>
    <x v="2"/>
    <n v="432"/>
    <n v="0.2727"/>
    <n v="0.56000000000000005"/>
    <n v="0"/>
    <x v="4"/>
    <x v="35"/>
    <x v="36"/>
  </r>
  <r>
    <n v="434"/>
    <n v="40571"/>
    <x v="0"/>
    <x v="0"/>
    <x v="15"/>
    <x v="0"/>
    <x v="6"/>
    <x v="1"/>
    <x v="2"/>
    <n v="433"/>
    <n v="0.2727"/>
    <n v="0.56000000000000005"/>
    <n v="0"/>
    <x v="3"/>
    <x v="6"/>
    <x v="5"/>
  </r>
  <r>
    <n v="435"/>
    <n v="40571"/>
    <x v="0"/>
    <x v="0"/>
    <x v="15"/>
    <x v="0"/>
    <x v="6"/>
    <x v="1"/>
    <x v="2"/>
    <n v="434"/>
    <n v="0.2576"/>
    <n v="0.56000000000000005"/>
    <n v="0.16420000000000001"/>
    <x v="3"/>
    <x v="4"/>
    <x v="4"/>
  </r>
  <r>
    <n v="436"/>
    <n v="40571"/>
    <x v="0"/>
    <x v="0"/>
    <x v="15"/>
    <x v="0"/>
    <x v="6"/>
    <x v="1"/>
    <x v="2"/>
    <n v="435"/>
    <n v="0.2576"/>
    <n v="0.56000000000000005"/>
    <n v="0.16420000000000001"/>
    <x v="3"/>
    <x v="4"/>
    <x v="4"/>
  </r>
  <r>
    <n v="437"/>
    <n v="40571"/>
    <x v="0"/>
    <x v="0"/>
    <x v="15"/>
    <x v="0"/>
    <x v="6"/>
    <x v="1"/>
    <x v="2"/>
    <n v="436"/>
    <n v="0.2273"/>
    <n v="0.6"/>
    <n v="0.22389999999999999"/>
    <x v="3"/>
    <x v="8"/>
    <x v="24"/>
  </r>
  <r>
    <n v="438"/>
    <n v="40571"/>
    <x v="0"/>
    <x v="0"/>
    <x v="15"/>
    <x v="0"/>
    <x v="6"/>
    <x v="1"/>
    <x v="2"/>
    <n v="437"/>
    <n v="0.21210000000000001"/>
    <n v="0.6"/>
    <n v="0.22389999999999999"/>
    <x v="3"/>
    <x v="96"/>
    <x v="17"/>
  </r>
  <r>
    <n v="439"/>
    <n v="40571"/>
    <x v="0"/>
    <x v="0"/>
    <x v="15"/>
    <x v="0"/>
    <x v="6"/>
    <x v="1"/>
    <x v="2"/>
    <n v="438"/>
    <n v="0.21210000000000001"/>
    <n v="0.55000000000000004"/>
    <n v="0.22389999999999999"/>
    <x v="5"/>
    <x v="129"/>
    <x v="129"/>
  </r>
  <r>
    <n v="440"/>
    <n v="40571"/>
    <x v="0"/>
    <x v="0"/>
    <x v="15"/>
    <x v="0"/>
    <x v="6"/>
    <x v="1"/>
    <x v="2"/>
    <n v="439"/>
    <n v="0.21210000000000001"/>
    <n v="0.55000000000000004"/>
    <n v="0.28360000000000002"/>
    <x v="4"/>
    <x v="130"/>
    <x v="144"/>
  </r>
  <r>
    <n v="441"/>
    <n v="40571"/>
    <x v="0"/>
    <x v="0"/>
    <x v="15"/>
    <x v="0"/>
    <x v="6"/>
    <x v="1"/>
    <x v="2"/>
    <n v="440"/>
    <n v="0.2273"/>
    <n v="0.52"/>
    <n v="0.22389999999999999"/>
    <x v="0"/>
    <x v="131"/>
    <x v="145"/>
  </r>
  <r>
    <n v="442"/>
    <n v="40571"/>
    <x v="0"/>
    <x v="0"/>
    <x v="15"/>
    <x v="0"/>
    <x v="6"/>
    <x v="1"/>
    <x v="2"/>
    <n v="441"/>
    <n v="0.2273"/>
    <n v="0.48"/>
    <n v="0.29849999999999999"/>
    <x v="5"/>
    <x v="90"/>
    <x v="52"/>
  </r>
  <r>
    <n v="443"/>
    <n v="40571"/>
    <x v="0"/>
    <x v="0"/>
    <x v="15"/>
    <x v="0"/>
    <x v="6"/>
    <x v="1"/>
    <x v="2"/>
    <n v="442"/>
    <n v="0.2727"/>
    <n v="0.45"/>
    <n v="0.16420000000000001"/>
    <x v="2"/>
    <x v="36"/>
    <x v="118"/>
  </r>
  <r>
    <n v="444"/>
    <n v="40571"/>
    <x v="0"/>
    <x v="0"/>
    <x v="15"/>
    <x v="0"/>
    <x v="6"/>
    <x v="1"/>
    <x v="2"/>
    <n v="443"/>
    <n v="0.33329999999999999"/>
    <n v="0.42"/>
    <n v="0"/>
    <x v="18"/>
    <x v="99"/>
    <x v="11"/>
  </r>
  <r>
    <n v="445"/>
    <n v="40571"/>
    <x v="0"/>
    <x v="0"/>
    <x v="15"/>
    <x v="0"/>
    <x v="6"/>
    <x v="1"/>
    <x v="2"/>
    <n v="444"/>
    <n v="0.28789999999999999"/>
    <n v="0.45"/>
    <n v="0.1045"/>
    <x v="6"/>
    <x v="132"/>
    <x v="95"/>
  </r>
  <r>
    <n v="446"/>
    <n v="40571"/>
    <x v="0"/>
    <x v="0"/>
    <x v="15"/>
    <x v="0"/>
    <x v="6"/>
    <x v="1"/>
    <x v="2"/>
    <n v="445"/>
    <n v="0.30299999999999999"/>
    <n v="0.45"/>
    <n v="0.1343"/>
    <x v="15"/>
    <x v="102"/>
    <x v="117"/>
  </r>
  <r>
    <n v="447"/>
    <n v="40571"/>
    <x v="0"/>
    <x v="0"/>
    <x v="15"/>
    <x v="0"/>
    <x v="6"/>
    <x v="1"/>
    <x v="2"/>
    <n v="446"/>
    <n v="0.31819999999999998"/>
    <n v="0.45"/>
    <n v="0.19400000000000001"/>
    <x v="1"/>
    <x v="133"/>
    <x v="27"/>
  </r>
  <r>
    <n v="448"/>
    <n v="40571"/>
    <x v="0"/>
    <x v="0"/>
    <x v="15"/>
    <x v="0"/>
    <x v="6"/>
    <x v="1"/>
    <x v="2"/>
    <n v="447"/>
    <n v="0.30299999999999999"/>
    <n v="0.49"/>
    <n v="0.1343"/>
    <x v="1"/>
    <x v="93"/>
    <x v="134"/>
  </r>
  <r>
    <n v="449"/>
    <n v="40571"/>
    <x v="0"/>
    <x v="0"/>
    <x v="15"/>
    <x v="0"/>
    <x v="6"/>
    <x v="1"/>
    <x v="2"/>
    <n v="448"/>
    <n v="0.31819999999999998"/>
    <n v="0.49"/>
    <n v="0.1045"/>
    <x v="1"/>
    <x v="134"/>
    <x v="146"/>
  </r>
  <r>
    <n v="450"/>
    <n v="40571"/>
    <x v="0"/>
    <x v="0"/>
    <x v="15"/>
    <x v="0"/>
    <x v="6"/>
    <x v="1"/>
    <x v="2"/>
    <n v="449"/>
    <n v="0.2576"/>
    <n v="0.56000000000000005"/>
    <n v="0.19400000000000001"/>
    <x v="5"/>
    <x v="103"/>
    <x v="147"/>
  </r>
  <r>
    <n v="451"/>
    <n v="40571"/>
    <x v="0"/>
    <x v="0"/>
    <x v="15"/>
    <x v="0"/>
    <x v="6"/>
    <x v="1"/>
    <x v="2"/>
    <n v="450"/>
    <n v="0.2273"/>
    <n v="0.56000000000000005"/>
    <n v="0.32840000000000003"/>
    <x v="15"/>
    <x v="44"/>
    <x v="148"/>
  </r>
  <r>
    <n v="452"/>
    <n v="40571"/>
    <x v="0"/>
    <x v="0"/>
    <x v="15"/>
    <x v="0"/>
    <x v="6"/>
    <x v="1"/>
    <x v="2"/>
    <n v="451"/>
    <n v="0.2424"/>
    <n v="0.6"/>
    <n v="0.28360000000000002"/>
    <x v="4"/>
    <x v="125"/>
    <x v="149"/>
  </r>
  <r>
    <n v="453"/>
    <n v="40571"/>
    <x v="0"/>
    <x v="0"/>
    <x v="15"/>
    <x v="0"/>
    <x v="6"/>
    <x v="1"/>
    <x v="2"/>
    <n v="452"/>
    <n v="0.2273"/>
    <n v="0.6"/>
    <n v="0.25369999999999998"/>
    <x v="0"/>
    <x v="25"/>
    <x v="52"/>
  </r>
  <r>
    <n v="454"/>
    <n v="40571"/>
    <x v="0"/>
    <x v="0"/>
    <x v="15"/>
    <x v="0"/>
    <x v="6"/>
    <x v="1"/>
    <x v="2"/>
    <n v="453"/>
    <n v="0.21210000000000001"/>
    <n v="0.65"/>
    <n v="0.28360000000000002"/>
    <x v="3"/>
    <x v="90"/>
    <x v="10"/>
  </r>
  <r>
    <n v="455"/>
    <n v="40571"/>
    <x v="0"/>
    <x v="0"/>
    <x v="15"/>
    <x v="0"/>
    <x v="6"/>
    <x v="1"/>
    <x v="2"/>
    <n v="454"/>
    <n v="0.21210000000000001"/>
    <n v="0.65"/>
    <n v="0.32840000000000003"/>
    <x v="0"/>
    <x v="95"/>
    <x v="35"/>
  </r>
  <r>
    <n v="456"/>
    <n v="40571"/>
    <x v="0"/>
    <x v="0"/>
    <x v="15"/>
    <x v="0"/>
    <x v="6"/>
    <x v="1"/>
    <x v="2"/>
    <n v="455"/>
    <n v="0.2273"/>
    <n v="0.7"/>
    <n v="0.25369999999999998"/>
    <x v="5"/>
    <x v="32"/>
    <x v="137"/>
  </r>
  <r>
    <n v="457"/>
    <n v="40571"/>
    <x v="0"/>
    <x v="0"/>
    <x v="15"/>
    <x v="0"/>
    <x v="6"/>
    <x v="1"/>
    <x v="2"/>
    <n v="456"/>
    <n v="0.2273"/>
    <n v="0.7"/>
    <n v="0.25369999999999998"/>
    <x v="3"/>
    <x v="8"/>
    <x v="24"/>
  </r>
  <r>
    <n v="458"/>
    <n v="40571"/>
    <x v="0"/>
    <x v="0"/>
    <x v="15"/>
    <x v="0"/>
    <x v="6"/>
    <x v="1"/>
    <x v="2"/>
    <n v="457"/>
    <n v="0.2424"/>
    <n v="0.75"/>
    <n v="0.16420000000000001"/>
    <x v="3"/>
    <x v="6"/>
    <x v="5"/>
  </r>
  <r>
    <n v="459"/>
    <n v="40571"/>
    <x v="0"/>
    <x v="0"/>
    <x v="15"/>
    <x v="0"/>
    <x v="6"/>
    <x v="1"/>
    <x v="2"/>
    <n v="458"/>
    <n v="0.21210000000000001"/>
    <n v="0.8"/>
    <n v="0.29849999999999999"/>
    <x v="3"/>
    <x v="4"/>
    <x v="4"/>
  </r>
  <r>
    <n v="460"/>
    <n v="40571"/>
    <x v="0"/>
    <x v="0"/>
    <x v="15"/>
    <x v="0"/>
    <x v="6"/>
    <x v="1"/>
    <x v="2"/>
    <n v="459"/>
    <n v="0.2576"/>
    <n v="0.87"/>
    <n v="8.9599999999999999E-2"/>
    <x v="3"/>
    <x v="4"/>
    <x v="4"/>
  </r>
  <r>
    <n v="461"/>
    <n v="40571"/>
    <x v="0"/>
    <x v="0"/>
    <x v="15"/>
    <x v="0"/>
    <x v="6"/>
    <x v="1"/>
    <x v="2"/>
    <n v="460"/>
    <n v="0.19700000000000001"/>
    <n v="0.6"/>
    <n v="0.41789999999999999"/>
    <x v="5"/>
    <x v="22"/>
    <x v="36"/>
  </r>
  <r>
    <n v="462"/>
    <n v="40571"/>
    <x v="0"/>
    <x v="0"/>
    <x v="15"/>
    <x v="0"/>
    <x v="6"/>
    <x v="1"/>
    <x v="2"/>
    <n v="461"/>
    <n v="0.21210000000000001"/>
    <n v="0.55000000000000004"/>
    <n v="0.25369999999999998"/>
    <x v="3"/>
    <x v="2"/>
    <x v="110"/>
  </r>
  <r>
    <n v="463"/>
    <n v="40571"/>
    <x v="0"/>
    <x v="0"/>
    <x v="15"/>
    <x v="0"/>
    <x v="6"/>
    <x v="1"/>
    <x v="2"/>
    <n v="462"/>
    <n v="0.18179999999999999"/>
    <n v="0.51"/>
    <n v="0.28360000000000002"/>
    <x v="4"/>
    <x v="43"/>
    <x v="118"/>
  </r>
  <r>
    <n v="464"/>
    <n v="40571"/>
    <x v="0"/>
    <x v="0"/>
    <x v="15"/>
    <x v="0"/>
    <x v="6"/>
    <x v="1"/>
    <x v="2"/>
    <n v="463"/>
    <n v="0.18179999999999999"/>
    <n v="0.47"/>
    <n v="0.32840000000000003"/>
    <x v="18"/>
    <x v="135"/>
    <x v="112"/>
  </r>
  <r>
    <n v="465"/>
    <n v="40571"/>
    <x v="0"/>
    <x v="0"/>
    <x v="15"/>
    <x v="0"/>
    <x v="6"/>
    <x v="1"/>
    <x v="2"/>
    <n v="464"/>
    <n v="0.18179999999999999"/>
    <n v="0.51"/>
    <n v="0.35820000000000002"/>
    <x v="18"/>
    <x v="136"/>
    <x v="150"/>
  </r>
  <r>
    <n v="466"/>
    <n v="40571"/>
    <x v="0"/>
    <x v="0"/>
    <x v="15"/>
    <x v="0"/>
    <x v="6"/>
    <x v="1"/>
    <x v="2"/>
    <n v="465"/>
    <n v="0.16669999999999999"/>
    <n v="0.47"/>
    <n v="0.4627"/>
    <x v="15"/>
    <x v="77"/>
    <x v="55"/>
  </r>
  <r>
    <n v="467"/>
    <n v="40571"/>
    <x v="0"/>
    <x v="0"/>
    <x v="15"/>
    <x v="0"/>
    <x v="6"/>
    <x v="1"/>
    <x v="2"/>
    <n v="466"/>
    <n v="0.18179999999999999"/>
    <n v="0.41"/>
    <n v="0.4627"/>
    <x v="15"/>
    <x v="42"/>
    <x v="29"/>
  </r>
  <r>
    <n v="468"/>
    <n v="40571"/>
    <x v="0"/>
    <x v="0"/>
    <x v="15"/>
    <x v="0"/>
    <x v="6"/>
    <x v="1"/>
    <x v="2"/>
    <n v="467"/>
    <n v="0.18179999999999999"/>
    <n v="0.27"/>
    <n v="0.58209999999999995"/>
    <x v="16"/>
    <x v="28"/>
    <x v="53"/>
  </r>
  <r>
    <n v="469"/>
    <n v="40571"/>
    <x v="0"/>
    <x v="0"/>
    <x v="15"/>
    <x v="0"/>
    <x v="6"/>
    <x v="1"/>
    <x v="2"/>
    <n v="468"/>
    <n v="0.1515"/>
    <n v="0.21"/>
    <n v="0.58209999999999995"/>
    <x v="1"/>
    <x v="65"/>
    <x v="88"/>
  </r>
  <r>
    <n v="470"/>
    <n v="40571"/>
    <x v="0"/>
    <x v="0"/>
    <x v="15"/>
    <x v="0"/>
    <x v="6"/>
    <x v="1"/>
    <x v="2"/>
    <n v="469"/>
    <n v="0.1515"/>
    <n v="0.25"/>
    <n v="0.52239999999999998"/>
    <x v="15"/>
    <x v="90"/>
    <x v="69"/>
  </r>
  <r>
    <n v="471"/>
    <n v="40571"/>
    <x v="0"/>
    <x v="0"/>
    <x v="15"/>
    <x v="0"/>
    <x v="6"/>
    <x v="1"/>
    <x v="2"/>
    <n v="470"/>
    <n v="0.1212"/>
    <n v="0.26"/>
    <n v="0.44779999999999998"/>
    <x v="17"/>
    <x v="124"/>
    <x v="32"/>
  </r>
  <r>
    <n v="472"/>
    <n v="40571"/>
    <x v="0"/>
    <x v="0"/>
    <x v="15"/>
    <x v="0"/>
    <x v="6"/>
    <x v="1"/>
    <x v="2"/>
    <n v="471"/>
    <n v="0.13639999999999999"/>
    <n v="0.26"/>
    <n v="0.35820000000000002"/>
    <x v="3"/>
    <x v="106"/>
    <x v="54"/>
  </r>
  <r>
    <n v="473"/>
    <n v="40571"/>
    <x v="0"/>
    <x v="0"/>
    <x v="15"/>
    <x v="0"/>
    <x v="6"/>
    <x v="1"/>
    <x v="2"/>
    <n v="472"/>
    <n v="0.1212"/>
    <n v="0.28000000000000003"/>
    <n v="0.35820000000000002"/>
    <x v="22"/>
    <x v="137"/>
    <x v="143"/>
  </r>
  <r>
    <n v="474"/>
    <n v="40571"/>
    <x v="0"/>
    <x v="0"/>
    <x v="15"/>
    <x v="0"/>
    <x v="6"/>
    <x v="1"/>
    <x v="2"/>
    <n v="473"/>
    <n v="0.1212"/>
    <n v="0.3"/>
    <n v="0.25369999999999998"/>
    <x v="5"/>
    <x v="138"/>
    <x v="151"/>
  </r>
  <r>
    <n v="475"/>
    <n v="40571"/>
    <x v="0"/>
    <x v="0"/>
    <x v="15"/>
    <x v="0"/>
    <x v="6"/>
    <x v="1"/>
    <x v="2"/>
    <n v="474"/>
    <n v="0.1061"/>
    <n v="0.3"/>
    <n v="0.32840000000000003"/>
    <x v="0"/>
    <x v="139"/>
    <x v="152"/>
  </r>
  <r>
    <n v="476"/>
    <n v="40571"/>
    <x v="0"/>
    <x v="0"/>
    <x v="15"/>
    <x v="0"/>
    <x v="6"/>
    <x v="1"/>
    <x v="2"/>
    <n v="475"/>
    <n v="7.5800000000000006E-2"/>
    <n v="0.33"/>
    <n v="0.41789999999999999"/>
    <x v="5"/>
    <x v="15"/>
    <x v="26"/>
  </r>
  <r>
    <n v="477"/>
    <n v="40571"/>
    <x v="0"/>
    <x v="0"/>
    <x v="15"/>
    <x v="0"/>
    <x v="6"/>
    <x v="1"/>
    <x v="2"/>
    <n v="476"/>
    <n v="7.5800000000000006E-2"/>
    <n v="0.38"/>
    <n v="0.28360000000000002"/>
    <x v="3"/>
    <x v="40"/>
    <x v="102"/>
  </r>
  <r>
    <n v="478"/>
    <n v="40571"/>
    <x v="0"/>
    <x v="0"/>
    <x v="15"/>
    <x v="0"/>
    <x v="6"/>
    <x v="1"/>
    <x v="2"/>
    <n v="477"/>
    <n v="3.0300000000000001E-2"/>
    <n v="0.41"/>
    <n v="0.3881"/>
    <x v="5"/>
    <x v="39"/>
    <x v="19"/>
  </r>
  <r>
    <n v="479"/>
    <n v="40571"/>
    <x v="0"/>
    <x v="0"/>
    <x v="15"/>
    <x v="0"/>
    <x v="6"/>
    <x v="1"/>
    <x v="2"/>
    <n v="478"/>
    <n v="4.5499999999999999E-2"/>
    <n v="0.38"/>
    <n v="0.32840000000000003"/>
    <x v="3"/>
    <x v="2"/>
    <x v="110"/>
  </r>
  <r>
    <n v="480"/>
    <n v="40571"/>
    <x v="0"/>
    <x v="0"/>
    <x v="15"/>
    <x v="0"/>
    <x v="6"/>
    <x v="1"/>
    <x v="2"/>
    <n v="479"/>
    <n v="3.0300000000000001E-2"/>
    <n v="0.45"/>
    <n v="0.25369999999999998"/>
    <x v="3"/>
    <x v="0"/>
    <x v="3"/>
  </r>
  <r>
    <n v="481"/>
    <n v="40571"/>
    <x v="0"/>
    <x v="0"/>
    <x v="15"/>
    <x v="0"/>
    <x v="6"/>
    <x v="1"/>
    <x v="2"/>
    <n v="480"/>
    <n v="0"/>
    <n v="0.41"/>
    <n v="0.3881"/>
    <x v="0"/>
    <x v="33"/>
    <x v="47"/>
  </r>
  <r>
    <n v="482"/>
    <n v="40571"/>
    <x v="0"/>
    <x v="0"/>
    <x v="15"/>
    <x v="0"/>
    <x v="6"/>
    <x v="1"/>
    <x v="2"/>
    <n v="481"/>
    <n v="3.0300000000000001E-2"/>
    <n v="0.41"/>
    <n v="0.25369999999999998"/>
    <x v="3"/>
    <x v="48"/>
    <x v="62"/>
  </r>
  <r>
    <n v="483"/>
    <n v="40571"/>
    <x v="0"/>
    <x v="0"/>
    <x v="15"/>
    <x v="0"/>
    <x v="6"/>
    <x v="1"/>
    <x v="2"/>
    <n v="482"/>
    <n v="3.0300000000000001E-2"/>
    <n v="0.41"/>
    <n v="0.28360000000000002"/>
    <x v="5"/>
    <x v="8"/>
    <x v="85"/>
  </r>
  <r>
    <n v="484"/>
    <n v="40571"/>
    <x v="0"/>
    <x v="0"/>
    <x v="15"/>
    <x v="0"/>
    <x v="6"/>
    <x v="1"/>
    <x v="2"/>
    <n v="483"/>
    <n v="1.52E-2"/>
    <n v="0.48"/>
    <n v="0.29849999999999999"/>
    <x v="3"/>
    <x v="35"/>
    <x v="6"/>
  </r>
  <r>
    <n v="485"/>
    <n v="40571"/>
    <x v="0"/>
    <x v="0"/>
    <x v="15"/>
    <x v="0"/>
    <x v="6"/>
    <x v="1"/>
    <x v="2"/>
    <n v="484"/>
    <n v="3.0300000000000001E-2"/>
    <n v="0.44"/>
    <n v="0.22389999999999999"/>
    <x v="3"/>
    <x v="6"/>
    <x v="5"/>
  </r>
  <r>
    <n v="486"/>
    <n v="40571"/>
    <x v="0"/>
    <x v="0"/>
    <x v="15"/>
    <x v="0"/>
    <x v="6"/>
    <x v="1"/>
    <x v="2"/>
    <n v="485"/>
    <n v="1.52E-2"/>
    <n v="0.44"/>
    <n v="0.28360000000000002"/>
    <x v="3"/>
    <x v="21"/>
    <x v="7"/>
  </r>
  <r>
    <n v="487"/>
    <n v="40571"/>
    <x v="0"/>
    <x v="0"/>
    <x v="15"/>
    <x v="0"/>
    <x v="6"/>
    <x v="1"/>
    <x v="2"/>
    <n v="486"/>
    <n v="0"/>
    <n v="0.44"/>
    <n v="0.32840000000000003"/>
    <x v="5"/>
    <x v="16"/>
    <x v="110"/>
  </r>
  <r>
    <n v="488"/>
    <n v="40571"/>
    <x v="0"/>
    <x v="0"/>
    <x v="15"/>
    <x v="0"/>
    <x v="6"/>
    <x v="1"/>
    <x v="2"/>
    <n v="487"/>
    <n v="3.0300000000000001E-2"/>
    <n v="0.41"/>
    <n v="0.25369999999999998"/>
    <x v="0"/>
    <x v="53"/>
    <x v="1"/>
  </r>
  <r>
    <n v="489"/>
    <n v="40571"/>
    <x v="0"/>
    <x v="0"/>
    <x v="15"/>
    <x v="0"/>
    <x v="6"/>
    <x v="1"/>
    <x v="2"/>
    <n v="488"/>
    <n v="6.0600000000000001E-2"/>
    <n v="0.41"/>
    <n v="0.16420000000000001"/>
    <x v="0"/>
    <x v="54"/>
    <x v="26"/>
  </r>
  <r>
    <n v="490"/>
    <n v="40571"/>
    <x v="0"/>
    <x v="0"/>
    <x v="15"/>
    <x v="0"/>
    <x v="6"/>
    <x v="1"/>
    <x v="2"/>
    <n v="489"/>
    <n v="7.5800000000000006E-2"/>
    <n v="0.38"/>
    <n v="0.1343"/>
    <x v="17"/>
    <x v="79"/>
    <x v="55"/>
  </r>
  <r>
    <n v="491"/>
    <n v="40571"/>
    <x v="0"/>
    <x v="0"/>
    <x v="15"/>
    <x v="0"/>
    <x v="6"/>
    <x v="1"/>
    <x v="2"/>
    <n v="490"/>
    <n v="0.1061"/>
    <n v="0.38"/>
    <n v="0.1045"/>
    <x v="22"/>
    <x v="91"/>
    <x v="27"/>
  </r>
  <r>
    <n v="492"/>
    <n v="40571"/>
    <x v="0"/>
    <x v="0"/>
    <x v="15"/>
    <x v="0"/>
    <x v="6"/>
    <x v="1"/>
    <x v="2"/>
    <n v="491"/>
    <n v="0.16669999999999999"/>
    <n v="0.35"/>
    <n v="0"/>
    <x v="6"/>
    <x v="109"/>
    <x v="11"/>
  </r>
  <r>
    <n v="493"/>
    <n v="40571"/>
    <x v="0"/>
    <x v="0"/>
    <x v="15"/>
    <x v="0"/>
    <x v="6"/>
    <x v="1"/>
    <x v="2"/>
    <n v="492"/>
    <n v="0.13639999999999999"/>
    <n v="0.33"/>
    <n v="0.1045"/>
    <x v="16"/>
    <x v="27"/>
    <x v="28"/>
  </r>
  <r>
    <n v="494"/>
    <n v="40571"/>
    <x v="0"/>
    <x v="0"/>
    <x v="15"/>
    <x v="0"/>
    <x v="6"/>
    <x v="1"/>
    <x v="2"/>
    <n v="493"/>
    <n v="0.1515"/>
    <n v="0.28000000000000003"/>
    <n v="0"/>
    <x v="22"/>
    <x v="139"/>
    <x v="153"/>
  </r>
  <r>
    <n v="495"/>
    <n v="40571"/>
    <x v="0"/>
    <x v="0"/>
    <x v="15"/>
    <x v="0"/>
    <x v="6"/>
    <x v="1"/>
    <x v="2"/>
    <n v="494"/>
    <n v="0.13639999999999999"/>
    <n v="0.28000000000000003"/>
    <n v="0.19400000000000001"/>
    <x v="16"/>
    <x v="109"/>
    <x v="56"/>
  </r>
  <r>
    <n v="496"/>
    <n v="40571"/>
    <x v="0"/>
    <x v="0"/>
    <x v="15"/>
    <x v="0"/>
    <x v="6"/>
    <x v="1"/>
    <x v="2"/>
    <n v="495"/>
    <n v="0.19700000000000001"/>
    <n v="0.28000000000000003"/>
    <n v="0"/>
    <x v="1"/>
    <x v="79"/>
    <x v="16"/>
  </r>
  <r>
    <n v="497"/>
    <n v="40571"/>
    <x v="0"/>
    <x v="0"/>
    <x v="15"/>
    <x v="0"/>
    <x v="6"/>
    <x v="1"/>
    <x v="2"/>
    <n v="496"/>
    <n v="9.0899999999999995E-2"/>
    <n v="0.35"/>
    <n v="0.19400000000000001"/>
    <x v="3"/>
    <x v="25"/>
    <x v="60"/>
  </r>
  <r>
    <n v="498"/>
    <n v="40571"/>
    <x v="0"/>
    <x v="0"/>
    <x v="15"/>
    <x v="0"/>
    <x v="6"/>
    <x v="1"/>
    <x v="2"/>
    <n v="497"/>
    <n v="0.1061"/>
    <n v="0.35"/>
    <n v="0.1343"/>
    <x v="15"/>
    <x v="42"/>
    <x v="29"/>
  </r>
  <r>
    <n v="499"/>
    <n v="40571"/>
    <x v="0"/>
    <x v="0"/>
    <x v="15"/>
    <x v="0"/>
    <x v="6"/>
    <x v="1"/>
    <x v="2"/>
    <n v="498"/>
    <n v="7.5800000000000006E-2"/>
    <n v="0.45"/>
    <n v="0.16420000000000001"/>
    <x v="5"/>
    <x v="100"/>
    <x v="79"/>
  </r>
  <r>
    <n v="500"/>
    <n v="40571"/>
    <x v="0"/>
    <x v="0"/>
    <x v="15"/>
    <x v="0"/>
    <x v="6"/>
    <x v="1"/>
    <x v="2"/>
    <n v="499"/>
    <n v="0.1061"/>
    <n v="0.41"/>
    <n v="8.9599999999999999E-2"/>
    <x v="3"/>
    <x v="87"/>
    <x v="21"/>
  </r>
  <r>
    <n v="501"/>
    <n v="40571"/>
    <x v="0"/>
    <x v="0"/>
    <x v="15"/>
    <x v="0"/>
    <x v="6"/>
    <x v="1"/>
    <x v="2"/>
    <n v="500"/>
    <n v="0.1515"/>
    <n v="0.49"/>
    <n v="0"/>
    <x v="18"/>
    <x v="140"/>
    <x v="33"/>
  </r>
  <r>
    <n v="502"/>
    <n v="40571"/>
    <x v="0"/>
    <x v="0"/>
    <x v="15"/>
    <x v="0"/>
    <x v="6"/>
    <x v="1"/>
    <x v="2"/>
    <n v="501"/>
    <n v="7.5800000000000006E-2"/>
    <n v="0.56999999999999995"/>
    <n v="0.1045"/>
    <x v="4"/>
    <x v="17"/>
    <x v="63"/>
  </r>
  <r>
    <n v="503"/>
    <n v="40571"/>
    <x v="0"/>
    <x v="0"/>
    <x v="15"/>
    <x v="0"/>
    <x v="6"/>
    <x v="1"/>
    <x v="2"/>
    <n v="502"/>
    <n v="7.5800000000000006E-2"/>
    <n v="0.56999999999999995"/>
    <n v="0.1045"/>
    <x v="4"/>
    <x v="32"/>
    <x v="34"/>
  </r>
  <r>
    <n v="504"/>
    <n v="40571"/>
    <x v="0"/>
    <x v="0"/>
    <x v="15"/>
    <x v="0"/>
    <x v="6"/>
    <x v="1"/>
    <x v="2"/>
    <n v="503"/>
    <n v="7.5800000000000006E-2"/>
    <n v="0.56999999999999995"/>
    <n v="0.1045"/>
    <x v="5"/>
    <x v="98"/>
    <x v="3"/>
  </r>
  <r>
    <n v="505"/>
    <n v="40571"/>
    <x v="0"/>
    <x v="0"/>
    <x v="15"/>
    <x v="0"/>
    <x v="6"/>
    <x v="1"/>
    <x v="2"/>
    <n v="504"/>
    <n v="6.0600000000000001E-2"/>
    <n v="0.62"/>
    <n v="0.1343"/>
    <x v="0"/>
    <x v="89"/>
    <x v="109"/>
  </r>
  <r>
    <n v="506"/>
    <n v="40571"/>
    <x v="0"/>
    <x v="0"/>
    <x v="15"/>
    <x v="0"/>
    <x v="6"/>
    <x v="1"/>
    <x v="2"/>
    <n v="505"/>
    <n v="6.0600000000000001E-2"/>
    <n v="0.62"/>
    <n v="0.1343"/>
    <x v="5"/>
    <x v="22"/>
    <x v="36"/>
  </r>
  <r>
    <n v="507"/>
    <n v="40571"/>
    <x v="0"/>
    <x v="0"/>
    <x v="15"/>
    <x v="0"/>
    <x v="6"/>
    <x v="1"/>
    <x v="2"/>
    <n v="506"/>
    <n v="7.5800000000000006E-2"/>
    <n v="0.56999999999999995"/>
    <n v="0.1045"/>
    <x v="3"/>
    <x v="35"/>
    <x v="6"/>
  </r>
  <r>
    <n v="508"/>
    <n v="40571"/>
    <x v="0"/>
    <x v="0"/>
    <x v="15"/>
    <x v="0"/>
    <x v="6"/>
    <x v="1"/>
    <x v="2"/>
    <n v="507"/>
    <n v="7.5800000000000006E-2"/>
    <n v="0.56999999999999995"/>
    <n v="0.1045"/>
    <x v="3"/>
    <x v="4"/>
    <x v="4"/>
  </r>
  <r>
    <n v="509"/>
    <n v="40571"/>
    <x v="0"/>
    <x v="0"/>
    <x v="15"/>
    <x v="0"/>
    <x v="6"/>
    <x v="1"/>
    <x v="2"/>
    <n v="508"/>
    <n v="0.1061"/>
    <n v="0.57999999999999996"/>
    <n v="0.16420000000000001"/>
    <x v="5"/>
    <x v="4"/>
    <x v="5"/>
  </r>
  <r>
    <n v="510"/>
    <n v="40571"/>
    <x v="0"/>
    <x v="0"/>
    <x v="15"/>
    <x v="0"/>
    <x v="6"/>
    <x v="1"/>
    <x v="2"/>
    <n v="509"/>
    <n v="7.5800000000000006E-2"/>
    <n v="0.62"/>
    <n v="0.16420000000000001"/>
    <x v="4"/>
    <x v="19"/>
    <x v="75"/>
  </r>
  <r>
    <n v="511"/>
    <n v="40571"/>
    <x v="0"/>
    <x v="0"/>
    <x v="15"/>
    <x v="0"/>
    <x v="6"/>
    <x v="1"/>
    <x v="2"/>
    <n v="510"/>
    <n v="7.5800000000000006E-2"/>
    <n v="0.54"/>
    <n v="0.35820000000000002"/>
    <x v="0"/>
    <x v="18"/>
    <x v="20"/>
  </r>
  <r>
    <n v="512"/>
    <n v="40571"/>
    <x v="0"/>
    <x v="0"/>
    <x v="15"/>
    <x v="0"/>
    <x v="6"/>
    <x v="1"/>
    <x v="2"/>
    <n v="511"/>
    <n v="0.1061"/>
    <n v="0.46"/>
    <n v="0.3881"/>
    <x v="18"/>
    <x v="82"/>
    <x v="154"/>
  </r>
  <r>
    <n v="513"/>
    <n v="40571"/>
    <x v="0"/>
    <x v="0"/>
    <x v="15"/>
    <x v="0"/>
    <x v="6"/>
    <x v="1"/>
    <x v="2"/>
    <n v="512"/>
    <n v="0.13639999999999999"/>
    <n v="0.43"/>
    <n v="0.22389999999999999"/>
    <x v="30"/>
    <x v="99"/>
    <x v="111"/>
  </r>
  <r>
    <n v="514"/>
    <n v="40571"/>
    <x v="0"/>
    <x v="0"/>
    <x v="15"/>
    <x v="0"/>
    <x v="6"/>
    <x v="1"/>
    <x v="2"/>
    <n v="513"/>
    <n v="0.1212"/>
    <n v="0.37"/>
    <n v="0.4627"/>
    <x v="31"/>
    <x v="50"/>
    <x v="155"/>
  </r>
  <r>
    <n v="515"/>
    <n v="40571"/>
    <x v="0"/>
    <x v="0"/>
    <x v="15"/>
    <x v="0"/>
    <x v="6"/>
    <x v="1"/>
    <x v="2"/>
    <n v="514"/>
    <n v="0.1061"/>
    <n v="0.33"/>
    <n v="0.3881"/>
    <x v="6"/>
    <x v="102"/>
    <x v="90"/>
  </r>
  <r>
    <n v="516"/>
    <n v="40571"/>
    <x v="0"/>
    <x v="0"/>
    <x v="15"/>
    <x v="0"/>
    <x v="6"/>
    <x v="1"/>
    <x v="2"/>
    <n v="515"/>
    <n v="0.13639999999999999"/>
    <n v="0.28000000000000003"/>
    <n v="0.35820000000000002"/>
    <x v="26"/>
    <x v="139"/>
    <x v="14"/>
  </r>
  <r>
    <n v="517"/>
    <n v="40571"/>
    <x v="0"/>
    <x v="0"/>
    <x v="15"/>
    <x v="0"/>
    <x v="6"/>
    <x v="1"/>
    <x v="2"/>
    <n v="516"/>
    <n v="0.13639999999999999"/>
    <n v="0.28000000000000003"/>
    <n v="0.35820000000000002"/>
    <x v="23"/>
    <x v="27"/>
    <x v="43"/>
  </r>
  <r>
    <n v="518"/>
    <n v="40571"/>
    <x v="0"/>
    <x v="0"/>
    <x v="15"/>
    <x v="0"/>
    <x v="6"/>
    <x v="1"/>
    <x v="2"/>
    <n v="517"/>
    <n v="0.13639999999999999"/>
    <n v="0.26"/>
    <n v="0.32840000000000003"/>
    <x v="14"/>
    <x v="90"/>
    <x v="32"/>
  </r>
  <r>
    <n v="519"/>
    <n v="40571"/>
    <x v="0"/>
    <x v="0"/>
    <x v="15"/>
    <x v="0"/>
    <x v="6"/>
    <x v="1"/>
    <x v="2"/>
    <n v="518"/>
    <n v="0.1061"/>
    <n v="0.26"/>
    <n v="0.3881"/>
    <x v="2"/>
    <x v="54"/>
    <x v="97"/>
  </r>
  <r>
    <n v="520"/>
    <n v="40571"/>
    <x v="0"/>
    <x v="0"/>
    <x v="15"/>
    <x v="0"/>
    <x v="6"/>
    <x v="1"/>
    <x v="2"/>
    <n v="519"/>
    <n v="0.1212"/>
    <n v="0.3"/>
    <n v="0.25369999999999998"/>
    <x v="2"/>
    <x v="100"/>
    <x v="99"/>
  </r>
  <r>
    <n v="521"/>
    <n v="40571"/>
    <x v="0"/>
    <x v="0"/>
    <x v="15"/>
    <x v="0"/>
    <x v="6"/>
    <x v="1"/>
    <x v="2"/>
    <n v="520"/>
    <n v="0.1212"/>
    <n v="0.3"/>
    <n v="0.28360000000000002"/>
    <x v="2"/>
    <x v="108"/>
    <x v="89"/>
  </r>
  <r>
    <n v="522"/>
    <n v="40571"/>
    <x v="0"/>
    <x v="0"/>
    <x v="15"/>
    <x v="0"/>
    <x v="6"/>
    <x v="1"/>
    <x v="2"/>
    <n v="521"/>
    <n v="0.1061"/>
    <n v="0.36"/>
    <n v="0.25369999999999998"/>
    <x v="17"/>
    <x v="17"/>
    <x v="17"/>
  </r>
  <r>
    <n v="523"/>
    <n v="40571"/>
    <x v="0"/>
    <x v="0"/>
    <x v="15"/>
    <x v="0"/>
    <x v="6"/>
    <x v="1"/>
    <x v="2"/>
    <n v="522"/>
    <n v="0.1061"/>
    <n v="0.36"/>
    <n v="0.19400000000000001"/>
    <x v="2"/>
    <x v="32"/>
    <x v="94"/>
  </r>
  <r>
    <n v="524"/>
    <n v="40571"/>
    <x v="0"/>
    <x v="0"/>
    <x v="15"/>
    <x v="0"/>
    <x v="6"/>
    <x v="1"/>
    <x v="2"/>
    <n v="523"/>
    <n v="9.0899999999999995E-2"/>
    <n v="0.38"/>
    <n v="0.19400000000000001"/>
    <x v="2"/>
    <x v="140"/>
    <x v="20"/>
  </r>
  <r>
    <n v="525"/>
    <n v="40571"/>
    <x v="0"/>
    <x v="0"/>
    <x v="15"/>
    <x v="0"/>
    <x v="6"/>
    <x v="1"/>
    <x v="2"/>
    <n v="524"/>
    <n v="6.0600000000000001E-2"/>
    <n v="0.41"/>
    <n v="0.22389999999999999"/>
    <x v="17"/>
    <x v="19"/>
    <x v="137"/>
  </r>
  <r>
    <n v="526"/>
    <n v="40571"/>
    <x v="0"/>
    <x v="0"/>
    <x v="15"/>
    <x v="0"/>
    <x v="6"/>
    <x v="1"/>
    <x v="2"/>
    <n v="525"/>
    <n v="6.0600000000000001E-2"/>
    <n v="0.41"/>
    <n v="0.19400000000000001"/>
    <x v="3"/>
    <x v="7"/>
    <x v="85"/>
  </r>
  <r>
    <n v="527"/>
    <n v="40571"/>
    <x v="0"/>
    <x v="0"/>
    <x v="15"/>
    <x v="0"/>
    <x v="6"/>
    <x v="1"/>
    <x v="2"/>
    <n v="526"/>
    <n v="4.5499999999999999E-2"/>
    <n v="0.45"/>
    <n v="0.19400000000000001"/>
    <x v="3"/>
    <x v="4"/>
    <x v="4"/>
  </r>
  <r>
    <n v="528"/>
    <n v="40571"/>
    <x v="0"/>
    <x v="0"/>
    <x v="15"/>
    <x v="0"/>
    <x v="6"/>
    <x v="1"/>
    <x v="2"/>
    <n v="527"/>
    <n v="3.0300000000000001E-2"/>
    <n v="0.45"/>
    <n v="0.25369999999999998"/>
    <x v="3"/>
    <x v="4"/>
    <x v="4"/>
  </r>
  <r>
    <n v="529"/>
    <n v="40571"/>
    <x v="0"/>
    <x v="0"/>
    <x v="15"/>
    <x v="0"/>
    <x v="6"/>
    <x v="1"/>
    <x v="2"/>
    <n v="528"/>
    <n v="6.0600000000000001E-2"/>
    <n v="0.48"/>
    <n v="0.1343"/>
    <x v="3"/>
    <x v="4"/>
    <x v="4"/>
  </r>
  <r>
    <n v="530"/>
    <n v="40571"/>
    <x v="0"/>
    <x v="0"/>
    <x v="15"/>
    <x v="0"/>
    <x v="6"/>
    <x v="1"/>
    <x v="2"/>
    <n v="529"/>
    <n v="6.0600000000000001E-2"/>
    <n v="0.48"/>
    <n v="0.1343"/>
    <x v="3"/>
    <x v="34"/>
    <x v="36"/>
  </r>
  <r>
    <n v="531"/>
    <n v="40571"/>
    <x v="0"/>
    <x v="0"/>
    <x v="15"/>
    <x v="0"/>
    <x v="6"/>
    <x v="1"/>
    <x v="2"/>
    <n v="530"/>
    <n v="7.5800000000000006E-2"/>
    <n v="0.48"/>
    <n v="8.9599999999999999E-2"/>
    <x v="3"/>
    <x v="89"/>
    <x v="93"/>
  </r>
  <r>
    <n v="532"/>
    <n v="40571"/>
    <x v="0"/>
    <x v="0"/>
    <x v="15"/>
    <x v="0"/>
    <x v="6"/>
    <x v="1"/>
    <x v="2"/>
    <n v="531"/>
    <n v="0.1212"/>
    <n v="0.48"/>
    <n v="0"/>
    <x v="2"/>
    <x v="55"/>
    <x v="11"/>
  </r>
  <r>
    <n v="533"/>
    <n v="40571"/>
    <x v="0"/>
    <x v="0"/>
    <x v="15"/>
    <x v="0"/>
    <x v="6"/>
    <x v="1"/>
    <x v="2"/>
    <n v="532"/>
    <n v="0.13639999999999999"/>
    <n v="0.49"/>
    <n v="0"/>
    <x v="15"/>
    <x v="141"/>
    <x v="156"/>
  </r>
  <r>
    <n v="534"/>
    <n v="40571"/>
    <x v="0"/>
    <x v="0"/>
    <x v="15"/>
    <x v="0"/>
    <x v="6"/>
    <x v="1"/>
    <x v="2"/>
    <n v="533"/>
    <n v="0.1515"/>
    <n v="0.41"/>
    <n v="0"/>
    <x v="17"/>
    <x v="52"/>
    <x v="96"/>
  </r>
  <r>
    <n v="535"/>
    <n v="40571"/>
    <x v="0"/>
    <x v="0"/>
    <x v="15"/>
    <x v="0"/>
    <x v="6"/>
    <x v="1"/>
    <x v="2"/>
    <n v="534"/>
    <n v="0.13639999999999999"/>
    <n v="0.42"/>
    <n v="0"/>
    <x v="15"/>
    <x v="60"/>
    <x v="1"/>
  </r>
  <r>
    <n v="536"/>
    <n v="40571"/>
    <x v="0"/>
    <x v="0"/>
    <x v="15"/>
    <x v="0"/>
    <x v="6"/>
    <x v="1"/>
    <x v="2"/>
    <n v="535"/>
    <n v="0.1212"/>
    <n v="0.46"/>
    <n v="0.1343"/>
    <x v="0"/>
    <x v="30"/>
    <x v="66"/>
  </r>
  <r>
    <n v="537"/>
    <n v="40571"/>
    <x v="0"/>
    <x v="0"/>
    <x v="15"/>
    <x v="0"/>
    <x v="6"/>
    <x v="1"/>
    <x v="2"/>
    <n v="536"/>
    <n v="0.13639999999999999"/>
    <n v="0.42"/>
    <n v="0.19400000000000001"/>
    <x v="16"/>
    <x v="15"/>
    <x v="55"/>
  </r>
  <r>
    <n v="538"/>
    <n v="40571"/>
    <x v="0"/>
    <x v="0"/>
    <x v="15"/>
    <x v="0"/>
    <x v="6"/>
    <x v="1"/>
    <x v="2"/>
    <n v="537"/>
    <n v="0.13639999999999999"/>
    <n v="0.43"/>
    <n v="0.22389999999999999"/>
    <x v="15"/>
    <x v="25"/>
    <x v="122"/>
  </r>
  <r>
    <n v="539"/>
    <n v="40571"/>
    <x v="0"/>
    <x v="0"/>
    <x v="15"/>
    <x v="0"/>
    <x v="6"/>
    <x v="1"/>
    <x v="2"/>
    <n v="538"/>
    <n v="0.13639999999999999"/>
    <n v="0.46"/>
    <n v="0.22389999999999999"/>
    <x v="4"/>
    <x v="30"/>
    <x v="79"/>
  </r>
  <r>
    <n v="540"/>
    <n v="40571"/>
    <x v="0"/>
    <x v="0"/>
    <x v="15"/>
    <x v="0"/>
    <x v="6"/>
    <x v="1"/>
    <x v="2"/>
    <n v="539"/>
    <n v="0.16669999999999999"/>
    <n v="0.4"/>
    <n v="0.16420000000000001"/>
    <x v="18"/>
    <x v="54"/>
    <x v="52"/>
  </r>
  <r>
    <n v="541"/>
    <n v="40571"/>
    <x v="0"/>
    <x v="0"/>
    <x v="15"/>
    <x v="0"/>
    <x v="6"/>
    <x v="1"/>
    <x v="2"/>
    <n v="540"/>
    <n v="0.1515"/>
    <n v="0.47"/>
    <n v="0.25369999999999998"/>
    <x v="17"/>
    <x v="43"/>
    <x v="27"/>
  </r>
  <r>
    <n v="542"/>
    <n v="40571"/>
    <x v="0"/>
    <x v="0"/>
    <x v="15"/>
    <x v="0"/>
    <x v="6"/>
    <x v="1"/>
    <x v="2"/>
    <n v="541"/>
    <n v="0.1212"/>
    <n v="0.5"/>
    <n v="0.25369999999999998"/>
    <x v="15"/>
    <x v="86"/>
    <x v="157"/>
  </r>
  <r>
    <n v="543"/>
    <n v="40571"/>
    <x v="0"/>
    <x v="0"/>
    <x v="15"/>
    <x v="0"/>
    <x v="6"/>
    <x v="1"/>
    <x v="2"/>
    <n v="542"/>
    <n v="0.13639999999999999"/>
    <n v="0.59"/>
    <n v="0.19400000000000001"/>
    <x v="1"/>
    <x v="142"/>
    <x v="158"/>
  </r>
  <r>
    <n v="544"/>
    <n v="40571"/>
    <x v="0"/>
    <x v="0"/>
    <x v="15"/>
    <x v="0"/>
    <x v="6"/>
    <x v="1"/>
    <x v="2"/>
    <n v="543"/>
    <n v="0.1515"/>
    <n v="0.54"/>
    <n v="0.16420000000000001"/>
    <x v="2"/>
    <x v="143"/>
    <x v="13"/>
  </r>
  <r>
    <n v="545"/>
    <n v="40571"/>
    <x v="0"/>
    <x v="0"/>
    <x v="15"/>
    <x v="0"/>
    <x v="6"/>
    <x v="1"/>
    <x v="2"/>
    <n v="544"/>
    <n v="0.13639999999999999"/>
    <n v="0.59"/>
    <n v="0.19400000000000001"/>
    <x v="5"/>
    <x v="122"/>
    <x v="117"/>
  </r>
  <r>
    <n v="546"/>
    <n v="40571"/>
    <x v="0"/>
    <x v="0"/>
    <x v="15"/>
    <x v="0"/>
    <x v="6"/>
    <x v="1"/>
    <x v="2"/>
    <n v="545"/>
    <n v="0.1515"/>
    <n v="0.63"/>
    <n v="0.16420000000000001"/>
    <x v="15"/>
    <x v="42"/>
    <x v="29"/>
  </r>
  <r>
    <n v="547"/>
    <n v="40571"/>
    <x v="0"/>
    <x v="0"/>
    <x v="15"/>
    <x v="0"/>
    <x v="6"/>
    <x v="1"/>
    <x v="2"/>
    <n v="546"/>
    <n v="0.13639999999999999"/>
    <n v="0.63"/>
    <n v="0.22389999999999999"/>
    <x v="0"/>
    <x v="1"/>
    <x v="17"/>
  </r>
  <r>
    <n v="548"/>
    <n v="40571"/>
    <x v="0"/>
    <x v="0"/>
    <x v="15"/>
    <x v="0"/>
    <x v="6"/>
    <x v="1"/>
    <x v="2"/>
    <n v="547"/>
    <n v="0.1515"/>
    <n v="0.64"/>
    <n v="0.25369999999999998"/>
    <x v="0"/>
    <x v="144"/>
    <x v="108"/>
  </r>
  <r>
    <n v="549"/>
    <n v="40571"/>
    <x v="0"/>
    <x v="0"/>
    <x v="15"/>
    <x v="0"/>
    <x v="6"/>
    <x v="1"/>
    <x v="2"/>
    <n v="548"/>
    <n v="0.13639999999999999"/>
    <n v="0.69"/>
    <n v="0.28360000000000002"/>
    <x v="0"/>
    <x v="8"/>
    <x v="23"/>
  </r>
  <r>
    <n v="550"/>
    <n v="40571"/>
    <x v="0"/>
    <x v="0"/>
    <x v="15"/>
    <x v="0"/>
    <x v="6"/>
    <x v="1"/>
    <x v="2"/>
    <n v="549"/>
    <n v="0.16669999999999999"/>
    <n v="0.69"/>
    <n v="0.16420000000000001"/>
    <x v="3"/>
    <x v="34"/>
    <x v="36"/>
  </r>
  <r>
    <n v="551"/>
    <n v="40571"/>
    <x v="0"/>
    <x v="0"/>
    <x v="15"/>
    <x v="0"/>
    <x v="6"/>
    <x v="1"/>
    <x v="2"/>
    <n v="550"/>
    <n v="0.1515"/>
    <n v="0.69"/>
    <n v="0.22389999999999999"/>
    <x v="3"/>
    <x v="6"/>
    <x v="5"/>
  </r>
  <r>
    <n v="552"/>
    <n v="40571"/>
    <x v="0"/>
    <x v="0"/>
    <x v="15"/>
    <x v="0"/>
    <x v="6"/>
    <x v="1"/>
    <x v="2"/>
    <n v="551"/>
    <n v="0.16669999999999999"/>
    <n v="0.74"/>
    <n v="0.1045"/>
    <x v="3"/>
    <x v="4"/>
    <x v="4"/>
  </r>
  <r>
    <n v="553"/>
    <n v="40571"/>
    <x v="0"/>
    <x v="0"/>
    <x v="15"/>
    <x v="0"/>
    <x v="6"/>
    <x v="1"/>
    <x v="2"/>
    <n v="552"/>
    <n v="0.13639999999999999"/>
    <n v="0.74"/>
    <n v="0.22389999999999999"/>
    <x v="3"/>
    <x v="33"/>
    <x v="23"/>
  </r>
  <r>
    <n v="554"/>
    <n v="40571"/>
    <x v="0"/>
    <x v="0"/>
    <x v="15"/>
    <x v="0"/>
    <x v="6"/>
    <x v="1"/>
    <x v="2"/>
    <n v="553"/>
    <n v="0.18179999999999999"/>
    <n v="0.74"/>
    <n v="0.1045"/>
    <x v="5"/>
    <x v="96"/>
    <x v="9"/>
  </r>
  <r>
    <n v="555"/>
    <n v="40571"/>
    <x v="0"/>
    <x v="0"/>
    <x v="15"/>
    <x v="0"/>
    <x v="6"/>
    <x v="1"/>
    <x v="2"/>
    <n v="554"/>
    <n v="0.1515"/>
    <n v="0.74"/>
    <n v="0.22389999999999999"/>
    <x v="2"/>
    <x v="145"/>
    <x v="159"/>
  </r>
  <r>
    <n v="556"/>
    <n v="40571"/>
    <x v="0"/>
    <x v="0"/>
    <x v="15"/>
    <x v="0"/>
    <x v="6"/>
    <x v="1"/>
    <x v="2"/>
    <n v="555"/>
    <n v="0.18179999999999999"/>
    <n v="0.74"/>
    <n v="0.1343"/>
    <x v="2"/>
    <x v="146"/>
    <x v="160"/>
  </r>
  <r>
    <n v="557"/>
    <n v="40571"/>
    <x v="0"/>
    <x v="0"/>
    <x v="15"/>
    <x v="0"/>
    <x v="6"/>
    <x v="1"/>
    <x v="2"/>
    <n v="556"/>
    <n v="0.2273"/>
    <n v="0.64"/>
    <n v="8.9599999999999999E-2"/>
    <x v="22"/>
    <x v="120"/>
    <x v="124"/>
  </r>
  <r>
    <n v="558"/>
    <n v="40571"/>
    <x v="0"/>
    <x v="0"/>
    <x v="15"/>
    <x v="0"/>
    <x v="6"/>
    <x v="1"/>
    <x v="2"/>
    <n v="557"/>
    <n v="0.2424"/>
    <n v="0.6"/>
    <n v="0.1045"/>
    <x v="15"/>
    <x v="47"/>
    <x v="97"/>
  </r>
  <r>
    <n v="559"/>
    <n v="40571"/>
    <x v="0"/>
    <x v="0"/>
    <x v="15"/>
    <x v="0"/>
    <x v="6"/>
    <x v="1"/>
    <x v="2"/>
    <n v="558"/>
    <n v="0.2424"/>
    <n v="0.6"/>
    <n v="0.1343"/>
    <x v="15"/>
    <x v="11"/>
    <x v="42"/>
  </r>
  <r>
    <n v="560"/>
    <n v="40571"/>
    <x v="0"/>
    <x v="0"/>
    <x v="15"/>
    <x v="0"/>
    <x v="6"/>
    <x v="1"/>
    <x v="2"/>
    <n v="559"/>
    <n v="0.28789999999999999"/>
    <n v="0.56000000000000005"/>
    <n v="8.9599999999999999E-2"/>
    <x v="27"/>
    <x v="66"/>
    <x v="13"/>
  </r>
  <r>
    <n v="561"/>
    <n v="40571"/>
    <x v="0"/>
    <x v="0"/>
    <x v="15"/>
    <x v="0"/>
    <x v="6"/>
    <x v="1"/>
    <x v="2"/>
    <n v="560"/>
    <n v="0.2727"/>
    <n v="0.56000000000000005"/>
    <n v="0.1343"/>
    <x v="27"/>
    <x v="109"/>
    <x v="15"/>
  </r>
  <r>
    <n v="562"/>
    <n v="40571"/>
    <x v="0"/>
    <x v="0"/>
    <x v="15"/>
    <x v="0"/>
    <x v="6"/>
    <x v="1"/>
    <x v="2"/>
    <n v="561"/>
    <n v="0.33329999999999999"/>
    <n v="0.45"/>
    <n v="0"/>
    <x v="16"/>
    <x v="77"/>
    <x v="118"/>
  </r>
  <r>
    <n v="563"/>
    <n v="40571"/>
    <x v="0"/>
    <x v="0"/>
    <x v="15"/>
    <x v="0"/>
    <x v="6"/>
    <x v="1"/>
    <x v="2"/>
    <n v="562"/>
    <n v="0.34849999999999998"/>
    <n v="0.42"/>
    <n v="0"/>
    <x v="27"/>
    <x v="36"/>
    <x v="11"/>
  </r>
  <r>
    <n v="564"/>
    <n v="40571"/>
    <x v="0"/>
    <x v="0"/>
    <x v="15"/>
    <x v="0"/>
    <x v="6"/>
    <x v="1"/>
    <x v="2"/>
    <n v="563"/>
    <n v="0.34849999999999998"/>
    <n v="0.42"/>
    <n v="0"/>
    <x v="24"/>
    <x v="46"/>
    <x v="155"/>
  </r>
  <r>
    <n v="565"/>
    <n v="40571"/>
    <x v="0"/>
    <x v="0"/>
    <x v="15"/>
    <x v="0"/>
    <x v="6"/>
    <x v="1"/>
    <x v="2"/>
    <n v="564"/>
    <n v="0.33329999999999999"/>
    <n v="0.45"/>
    <n v="0"/>
    <x v="24"/>
    <x v="147"/>
    <x v="161"/>
  </r>
  <r>
    <n v="566"/>
    <n v="40571"/>
    <x v="0"/>
    <x v="0"/>
    <x v="15"/>
    <x v="0"/>
    <x v="6"/>
    <x v="1"/>
    <x v="2"/>
    <n v="565"/>
    <n v="0.31819999999999998"/>
    <n v="0.49"/>
    <n v="8.9599999999999999E-2"/>
    <x v="18"/>
    <x v="148"/>
    <x v="162"/>
  </r>
  <r>
    <n v="567"/>
    <n v="40571"/>
    <x v="0"/>
    <x v="0"/>
    <x v="15"/>
    <x v="0"/>
    <x v="6"/>
    <x v="1"/>
    <x v="2"/>
    <n v="566"/>
    <n v="0.2576"/>
    <n v="0.65"/>
    <n v="0.16420000000000001"/>
    <x v="23"/>
    <x v="149"/>
    <x v="163"/>
  </r>
  <r>
    <n v="568"/>
    <n v="40571"/>
    <x v="0"/>
    <x v="0"/>
    <x v="15"/>
    <x v="0"/>
    <x v="6"/>
    <x v="1"/>
    <x v="2"/>
    <n v="567"/>
    <n v="0.2273"/>
    <n v="0.65"/>
    <n v="0.19400000000000001"/>
    <x v="19"/>
    <x v="145"/>
    <x v="164"/>
  </r>
  <r>
    <n v="569"/>
    <n v="40571"/>
    <x v="0"/>
    <x v="0"/>
    <x v="15"/>
    <x v="0"/>
    <x v="6"/>
    <x v="1"/>
    <x v="2"/>
    <n v="568"/>
    <n v="0.2273"/>
    <n v="0.65"/>
    <n v="0.19400000000000001"/>
    <x v="2"/>
    <x v="71"/>
    <x v="79"/>
  </r>
  <r>
    <n v="570"/>
    <n v="40571"/>
    <x v="0"/>
    <x v="0"/>
    <x v="15"/>
    <x v="0"/>
    <x v="6"/>
    <x v="1"/>
    <x v="2"/>
    <n v="569"/>
    <n v="0.2273"/>
    <n v="0.64"/>
    <n v="0.16420000000000001"/>
    <x v="17"/>
    <x v="47"/>
    <x v="26"/>
  </r>
  <r>
    <n v="571"/>
    <n v="40571"/>
    <x v="0"/>
    <x v="0"/>
    <x v="15"/>
    <x v="0"/>
    <x v="6"/>
    <x v="1"/>
    <x v="2"/>
    <n v="570"/>
    <n v="0.2273"/>
    <n v="0.64"/>
    <n v="0.16420000000000001"/>
    <x v="0"/>
    <x v="53"/>
    <x v="1"/>
  </r>
  <r>
    <n v="572"/>
    <n v="40571"/>
    <x v="0"/>
    <x v="0"/>
    <x v="15"/>
    <x v="0"/>
    <x v="6"/>
    <x v="1"/>
    <x v="2"/>
    <n v="571"/>
    <n v="0.2273"/>
    <n v="0.69"/>
    <n v="0.1343"/>
    <x v="0"/>
    <x v="88"/>
    <x v="22"/>
  </r>
  <r>
    <n v="573"/>
    <n v="40571"/>
    <x v="0"/>
    <x v="0"/>
    <x v="15"/>
    <x v="0"/>
    <x v="6"/>
    <x v="1"/>
    <x v="2"/>
    <n v="572"/>
    <n v="0.2424"/>
    <n v="0.65"/>
    <n v="0.1343"/>
    <x v="3"/>
    <x v="34"/>
    <x v="36"/>
  </r>
  <r>
    <n v="574"/>
    <n v="40571"/>
    <x v="0"/>
    <x v="0"/>
    <x v="15"/>
    <x v="0"/>
    <x v="6"/>
    <x v="1"/>
    <x v="2"/>
    <n v="573"/>
    <n v="0.2273"/>
    <n v="0.69"/>
    <n v="0.19400000000000001"/>
    <x v="0"/>
    <x v="7"/>
    <x v="98"/>
  </r>
  <r>
    <n v="575"/>
    <n v="40571"/>
    <x v="0"/>
    <x v="0"/>
    <x v="15"/>
    <x v="0"/>
    <x v="6"/>
    <x v="1"/>
    <x v="2"/>
    <n v="574"/>
    <n v="0.18179999999999999"/>
    <n v="0.86"/>
    <n v="0.28360000000000002"/>
    <x v="3"/>
    <x v="4"/>
    <x v="4"/>
  </r>
  <r>
    <n v="576"/>
    <n v="40571"/>
    <x v="0"/>
    <x v="0"/>
    <x v="15"/>
    <x v="0"/>
    <x v="6"/>
    <x v="1"/>
    <x v="2"/>
    <n v="575"/>
    <n v="0.18179999999999999"/>
    <n v="0.86"/>
    <n v="0.28360000000000002"/>
    <x v="3"/>
    <x v="21"/>
    <x v="7"/>
  </r>
  <r>
    <n v="577"/>
    <n v="40571"/>
    <x v="0"/>
    <x v="0"/>
    <x v="15"/>
    <x v="0"/>
    <x v="6"/>
    <x v="1"/>
    <x v="2"/>
    <n v="576"/>
    <n v="0.21210000000000001"/>
    <n v="0.87"/>
    <n v="0.29849999999999999"/>
    <x v="5"/>
    <x v="31"/>
    <x v="33"/>
  </r>
  <r>
    <n v="578"/>
    <n v="40571"/>
    <x v="0"/>
    <x v="0"/>
    <x v="15"/>
    <x v="0"/>
    <x v="6"/>
    <x v="1"/>
    <x v="2"/>
    <n v="577"/>
    <n v="0.21210000000000001"/>
    <n v="0.87"/>
    <n v="0.29849999999999999"/>
    <x v="0"/>
    <x v="94"/>
    <x v="44"/>
  </r>
  <r>
    <n v="579"/>
    <n v="40571"/>
    <x v="0"/>
    <x v="0"/>
    <x v="15"/>
    <x v="0"/>
    <x v="6"/>
    <x v="1"/>
    <x v="2"/>
    <n v="578"/>
    <n v="0.21210000000000001"/>
    <n v="0.87"/>
    <n v="0.29849999999999999"/>
    <x v="0"/>
    <x v="11"/>
    <x v="154"/>
  </r>
  <r>
    <n v="580"/>
    <n v="40571"/>
    <x v="0"/>
    <x v="0"/>
    <x v="15"/>
    <x v="0"/>
    <x v="6"/>
    <x v="1"/>
    <x v="2"/>
    <n v="579"/>
    <n v="0.21210000000000001"/>
    <n v="0.93"/>
    <n v="0.28360000000000002"/>
    <x v="4"/>
    <x v="16"/>
    <x v="20"/>
  </r>
  <r>
    <n v="581"/>
    <n v="40571"/>
    <x v="0"/>
    <x v="0"/>
    <x v="15"/>
    <x v="0"/>
    <x v="6"/>
    <x v="1"/>
    <x v="2"/>
    <n v="580"/>
    <n v="0.19700000000000001"/>
    <n v="0.93"/>
    <n v="0.32840000000000003"/>
    <x v="15"/>
    <x v="96"/>
    <x v="102"/>
  </r>
  <r>
    <n v="582"/>
    <n v="40571"/>
    <x v="0"/>
    <x v="0"/>
    <x v="15"/>
    <x v="0"/>
    <x v="6"/>
    <x v="1"/>
    <x v="2"/>
    <n v="581"/>
    <n v="0.19700000000000001"/>
    <n v="0.93"/>
    <n v="0.32840000000000003"/>
    <x v="18"/>
    <x v="40"/>
    <x v="61"/>
  </r>
  <r>
    <n v="583"/>
    <n v="40571"/>
    <x v="0"/>
    <x v="0"/>
    <x v="15"/>
    <x v="0"/>
    <x v="6"/>
    <x v="1"/>
    <x v="2"/>
    <n v="582"/>
    <n v="0.19700000000000001"/>
    <n v="0.93"/>
    <n v="0.32840000000000003"/>
    <x v="17"/>
    <x v="30"/>
    <x v="105"/>
  </r>
  <r>
    <n v="584"/>
    <n v="40571"/>
    <x v="0"/>
    <x v="0"/>
    <x v="15"/>
    <x v="0"/>
    <x v="6"/>
    <x v="1"/>
    <x v="2"/>
    <n v="583"/>
    <n v="0.19700000000000001"/>
    <n v="0.93"/>
    <n v="0.35820000000000002"/>
    <x v="3"/>
    <x v="49"/>
    <x v="9"/>
  </r>
  <r>
    <n v="585"/>
    <n v="40571"/>
    <x v="0"/>
    <x v="0"/>
    <x v="15"/>
    <x v="0"/>
    <x v="6"/>
    <x v="1"/>
    <x v="2"/>
    <n v="584"/>
    <n v="0.18179999999999999"/>
    <n v="0.93"/>
    <n v="0.4627"/>
    <x v="5"/>
    <x v="76"/>
    <x v="74"/>
  </r>
  <r>
    <n v="586"/>
    <n v="40571"/>
    <x v="0"/>
    <x v="0"/>
    <x v="15"/>
    <x v="0"/>
    <x v="6"/>
    <x v="1"/>
    <x v="2"/>
    <n v="585"/>
    <n v="0.19700000000000001"/>
    <n v="0.93"/>
    <n v="0.32840000000000003"/>
    <x v="5"/>
    <x v="96"/>
    <x v="9"/>
  </r>
  <r>
    <n v="587"/>
    <n v="40571"/>
    <x v="0"/>
    <x v="0"/>
    <x v="15"/>
    <x v="0"/>
    <x v="6"/>
    <x v="1"/>
    <x v="2"/>
    <n v="586"/>
    <n v="0.18179999999999999"/>
    <n v="0.93"/>
    <n v="0.35820000000000002"/>
    <x v="3"/>
    <x v="16"/>
    <x v="132"/>
  </r>
  <r>
    <n v="588"/>
    <n v="40571"/>
    <x v="0"/>
    <x v="0"/>
    <x v="15"/>
    <x v="0"/>
    <x v="6"/>
    <x v="1"/>
    <x v="2"/>
    <n v="587"/>
    <n v="0.2273"/>
    <n v="0.55000000000000004"/>
    <n v="0.19400000000000001"/>
    <x v="5"/>
    <x v="140"/>
    <x v="108"/>
  </r>
  <r>
    <n v="589"/>
    <n v="40571"/>
    <x v="0"/>
    <x v="0"/>
    <x v="15"/>
    <x v="0"/>
    <x v="6"/>
    <x v="1"/>
    <x v="2"/>
    <n v="588"/>
    <n v="0.2424"/>
    <n v="0.55000000000000004"/>
    <n v="0.1045"/>
    <x v="4"/>
    <x v="70"/>
    <x v="11"/>
  </r>
  <r>
    <n v="590"/>
    <n v="40571"/>
    <x v="0"/>
    <x v="0"/>
    <x v="15"/>
    <x v="0"/>
    <x v="6"/>
    <x v="1"/>
    <x v="2"/>
    <n v="589"/>
    <n v="0.2273"/>
    <n v="0.69"/>
    <n v="8.9599999999999999E-2"/>
    <x v="0"/>
    <x v="143"/>
    <x v="133"/>
  </r>
  <r>
    <n v="591"/>
    <n v="40571"/>
    <x v="0"/>
    <x v="0"/>
    <x v="15"/>
    <x v="0"/>
    <x v="6"/>
    <x v="1"/>
    <x v="2"/>
    <n v="590"/>
    <n v="0.2273"/>
    <n v="0.69"/>
    <n v="8.9599999999999999E-2"/>
    <x v="0"/>
    <x v="83"/>
    <x v="67"/>
  </r>
  <r>
    <n v="592"/>
    <n v="40571"/>
    <x v="0"/>
    <x v="0"/>
    <x v="15"/>
    <x v="0"/>
    <x v="6"/>
    <x v="1"/>
    <x v="2"/>
    <n v="591"/>
    <n v="0.21210000000000001"/>
    <n v="0.74"/>
    <n v="8.9599999999999999E-2"/>
    <x v="17"/>
    <x v="11"/>
    <x v="29"/>
  </r>
  <r>
    <n v="593"/>
    <n v="40571"/>
    <x v="0"/>
    <x v="0"/>
    <x v="15"/>
    <x v="0"/>
    <x v="6"/>
    <x v="1"/>
    <x v="2"/>
    <n v="592"/>
    <n v="0.21210000000000001"/>
    <n v="0.74"/>
    <n v="8.9599999999999999E-2"/>
    <x v="4"/>
    <x v="49"/>
    <x v="103"/>
  </r>
  <r>
    <n v="594"/>
    <n v="40571"/>
    <x v="0"/>
    <x v="0"/>
    <x v="15"/>
    <x v="0"/>
    <x v="6"/>
    <x v="1"/>
    <x v="2"/>
    <n v="593"/>
    <n v="0.21210000000000001"/>
    <n v="0.74"/>
    <n v="8.9599999999999999E-2"/>
    <x v="3"/>
    <x v="2"/>
    <x v="110"/>
  </r>
  <r>
    <n v="595"/>
    <n v="40571"/>
    <x v="0"/>
    <x v="0"/>
    <x v="15"/>
    <x v="0"/>
    <x v="6"/>
    <x v="1"/>
    <x v="2"/>
    <n v="594"/>
    <n v="0.19700000000000001"/>
    <n v="0.8"/>
    <n v="0.16420000000000001"/>
    <x v="3"/>
    <x v="20"/>
    <x v="0"/>
  </r>
  <r>
    <n v="596"/>
    <n v="40571"/>
    <x v="0"/>
    <x v="0"/>
    <x v="15"/>
    <x v="0"/>
    <x v="6"/>
    <x v="1"/>
    <x v="2"/>
    <n v="595"/>
    <n v="0.21210000000000001"/>
    <n v="0.75"/>
    <n v="0.1343"/>
    <x v="3"/>
    <x v="33"/>
    <x v="23"/>
  </r>
  <r>
    <n v="597"/>
    <n v="40571"/>
    <x v="0"/>
    <x v="0"/>
    <x v="15"/>
    <x v="0"/>
    <x v="6"/>
    <x v="1"/>
    <x v="2"/>
    <n v="596"/>
    <n v="0.21210000000000001"/>
    <n v="0.75"/>
    <n v="0.1343"/>
    <x v="5"/>
    <x v="6"/>
    <x v="6"/>
  </r>
  <r>
    <n v="598"/>
    <n v="40571"/>
    <x v="0"/>
    <x v="0"/>
    <x v="15"/>
    <x v="0"/>
    <x v="6"/>
    <x v="1"/>
    <x v="2"/>
    <n v="597"/>
    <n v="0.21210000000000001"/>
    <n v="0.75"/>
    <n v="0.16420000000000001"/>
    <x v="3"/>
    <x v="6"/>
    <x v="5"/>
  </r>
  <r>
    <n v="599"/>
    <n v="40571"/>
    <x v="0"/>
    <x v="0"/>
    <x v="15"/>
    <x v="0"/>
    <x v="6"/>
    <x v="1"/>
    <x v="2"/>
    <n v="598"/>
    <n v="0.2273"/>
    <n v="0.75"/>
    <n v="0.1045"/>
    <x v="5"/>
    <x v="5"/>
    <x v="4"/>
  </r>
  <r>
    <n v="600"/>
    <n v="40571"/>
    <x v="0"/>
    <x v="0"/>
    <x v="15"/>
    <x v="0"/>
    <x v="6"/>
    <x v="1"/>
    <x v="2"/>
    <n v="599"/>
    <n v="0.21210000000000001"/>
    <n v="0.8"/>
    <n v="0.1045"/>
    <x v="3"/>
    <x v="22"/>
    <x v="48"/>
  </r>
  <r>
    <n v="601"/>
    <n v="40571"/>
    <x v="0"/>
    <x v="0"/>
    <x v="15"/>
    <x v="0"/>
    <x v="6"/>
    <x v="1"/>
    <x v="2"/>
    <n v="600"/>
    <n v="0.19700000000000001"/>
    <n v="0.8"/>
    <n v="0.1343"/>
    <x v="3"/>
    <x v="20"/>
    <x v="0"/>
  </r>
  <r>
    <n v="602"/>
    <n v="40571"/>
    <x v="0"/>
    <x v="0"/>
    <x v="15"/>
    <x v="0"/>
    <x v="6"/>
    <x v="1"/>
    <x v="2"/>
    <n v="601"/>
    <n v="0.19700000000000001"/>
    <n v="0.86"/>
    <n v="8.9599999999999999E-2"/>
    <x v="4"/>
    <x v="29"/>
    <x v="122"/>
  </r>
  <r>
    <n v="603"/>
    <n v="40571"/>
    <x v="0"/>
    <x v="0"/>
    <x v="15"/>
    <x v="0"/>
    <x v="6"/>
    <x v="1"/>
    <x v="2"/>
    <n v="602"/>
    <n v="0.19700000000000001"/>
    <n v="0.86"/>
    <n v="8.9599999999999999E-2"/>
    <x v="4"/>
    <x v="119"/>
    <x v="45"/>
  </r>
  <r>
    <n v="604"/>
    <n v="40571"/>
    <x v="0"/>
    <x v="0"/>
    <x v="15"/>
    <x v="0"/>
    <x v="6"/>
    <x v="1"/>
    <x v="2"/>
    <n v="603"/>
    <n v="0.21210000000000001"/>
    <n v="0.86"/>
    <n v="8.9599999999999999E-2"/>
    <x v="15"/>
    <x v="73"/>
    <x v="129"/>
  </r>
  <r>
    <n v="605"/>
    <n v="40571"/>
    <x v="0"/>
    <x v="0"/>
    <x v="15"/>
    <x v="0"/>
    <x v="6"/>
    <x v="1"/>
    <x v="2"/>
    <n v="604"/>
    <n v="0.21210000000000001"/>
    <n v="0.86"/>
    <n v="0.1045"/>
    <x v="3"/>
    <x v="47"/>
    <x v="99"/>
  </r>
  <r>
    <n v="606"/>
    <n v="40571"/>
    <x v="0"/>
    <x v="0"/>
    <x v="15"/>
    <x v="0"/>
    <x v="6"/>
    <x v="1"/>
    <x v="2"/>
    <n v="605"/>
    <n v="0.21210000000000001"/>
    <n v="0.93"/>
    <n v="0.1045"/>
    <x v="3"/>
    <x v="10"/>
    <x v="33"/>
  </r>
  <r>
    <n v="607"/>
    <n v="40571"/>
    <x v="0"/>
    <x v="0"/>
    <x v="15"/>
    <x v="0"/>
    <x v="6"/>
    <x v="1"/>
    <x v="2"/>
    <n v="606"/>
    <n v="0.21210000000000001"/>
    <n v="0.93"/>
    <n v="0.1045"/>
    <x v="5"/>
    <x v="95"/>
    <x v="115"/>
  </r>
  <r>
    <n v="608"/>
    <n v="40571"/>
    <x v="0"/>
    <x v="0"/>
    <x v="15"/>
    <x v="0"/>
    <x v="6"/>
    <x v="1"/>
    <x v="2"/>
    <n v="607"/>
    <n v="0.21210000000000001"/>
    <n v="0.93"/>
    <n v="0.1045"/>
    <x v="3"/>
    <x v="17"/>
    <x v="35"/>
  </r>
  <r>
    <n v="609"/>
    <n v="40571"/>
    <x v="0"/>
    <x v="0"/>
    <x v="15"/>
    <x v="0"/>
    <x v="6"/>
    <x v="1"/>
    <x v="2"/>
    <n v="608"/>
    <n v="0.2727"/>
    <n v="0.8"/>
    <n v="0"/>
    <x v="4"/>
    <x v="49"/>
    <x v="103"/>
  </r>
  <r>
    <n v="610"/>
    <n v="40571"/>
    <x v="0"/>
    <x v="0"/>
    <x v="15"/>
    <x v="0"/>
    <x v="6"/>
    <x v="1"/>
    <x v="2"/>
    <n v="609"/>
    <n v="0.2576"/>
    <n v="0.86"/>
    <n v="0"/>
    <x v="5"/>
    <x v="71"/>
    <x v="102"/>
  </r>
  <r>
    <n v="611"/>
    <n v="40571"/>
    <x v="0"/>
    <x v="0"/>
    <x v="15"/>
    <x v="0"/>
    <x v="6"/>
    <x v="1"/>
    <x v="2"/>
    <n v="0"/>
    <n v="0"/>
    <n v="0"/>
    <n v="0"/>
    <x v="3"/>
    <x v="5"/>
    <x v="1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1">
  <r>
    <n v="1"/>
    <n v="40544"/>
    <x v="0"/>
    <x v="0"/>
    <x v="0"/>
    <b v="0"/>
    <n v="6"/>
    <x v="0"/>
    <x v="0"/>
    <n v="0"/>
    <n v="0.28789999999999999"/>
    <n v="0.81"/>
    <n v="0"/>
    <x v="0"/>
    <x v="0"/>
    <x v="0"/>
    <x v="0"/>
  </r>
  <r>
    <n v="2"/>
    <n v="40544"/>
    <x v="0"/>
    <x v="0"/>
    <x v="1"/>
    <b v="0"/>
    <n v="6"/>
    <x v="0"/>
    <x v="1"/>
    <n v="0"/>
    <n v="0.28789999999999999"/>
    <n v="0.81"/>
    <n v="0"/>
    <x v="0"/>
    <x v="0"/>
    <x v="0"/>
    <x v="0"/>
  </r>
  <r>
    <n v="3"/>
    <n v="40544"/>
    <x v="0"/>
    <x v="0"/>
    <x v="2"/>
    <b v="0"/>
    <n v="6"/>
    <x v="0"/>
    <x v="1"/>
    <n v="0"/>
    <n v="0.28789999999999999"/>
    <n v="0.81"/>
    <n v="0"/>
    <x v="0"/>
    <x v="0"/>
    <x v="0"/>
    <x v="0"/>
  </r>
  <r>
    <n v="4"/>
    <n v="40544"/>
    <x v="0"/>
    <x v="0"/>
    <x v="3"/>
    <b v="0"/>
    <n v="6"/>
    <x v="0"/>
    <x v="0"/>
    <n v="0"/>
    <n v="0.28789999999999999"/>
    <n v="0.81"/>
    <n v="0"/>
    <x v="0"/>
    <x v="0"/>
    <x v="0"/>
    <x v="0"/>
  </r>
  <r>
    <n v="5"/>
    <n v="40544"/>
    <x v="0"/>
    <x v="0"/>
    <x v="4"/>
    <b v="0"/>
    <n v="6"/>
    <x v="0"/>
    <x v="0"/>
    <n v="0"/>
    <n v="0.28789999999999999"/>
    <n v="0.81"/>
    <n v="0"/>
    <x v="0"/>
    <x v="0"/>
    <x v="0"/>
    <x v="0"/>
  </r>
  <r>
    <n v="6"/>
    <n v="40544"/>
    <x v="0"/>
    <x v="0"/>
    <x v="5"/>
    <b v="0"/>
    <n v="6"/>
    <x v="1"/>
    <x v="0"/>
    <n v="0"/>
    <n v="0.28789999999999999"/>
    <n v="0.81"/>
    <n v="0"/>
    <x v="0"/>
    <x v="0"/>
    <x v="0"/>
    <x v="0"/>
  </r>
  <r>
    <n v="7"/>
    <n v="40544"/>
    <x v="0"/>
    <x v="0"/>
    <x v="6"/>
    <b v="0"/>
    <n v="6"/>
    <x v="0"/>
    <x v="1"/>
    <n v="0"/>
    <n v="0.28789999999999999"/>
    <n v="0.81"/>
    <n v="0"/>
    <x v="0"/>
    <x v="0"/>
    <x v="0"/>
    <x v="0"/>
  </r>
  <r>
    <n v="8"/>
    <n v="40544"/>
    <x v="0"/>
    <x v="0"/>
    <x v="7"/>
    <b v="0"/>
    <n v="6"/>
    <x v="0"/>
    <x v="2"/>
    <n v="0"/>
    <n v="0.28789999999999999"/>
    <n v="0.81"/>
    <n v="0"/>
    <x v="0"/>
    <x v="0"/>
    <x v="0"/>
    <x v="0"/>
  </r>
  <r>
    <n v="9"/>
    <n v="40544"/>
    <x v="0"/>
    <x v="0"/>
    <x v="8"/>
    <b v="0"/>
    <n v="6"/>
    <x v="0"/>
    <x v="0"/>
    <n v="0"/>
    <n v="0.28789999999999999"/>
    <n v="0.81"/>
    <n v="0"/>
    <x v="0"/>
    <x v="0"/>
    <x v="0"/>
    <x v="0"/>
  </r>
  <r>
    <n v="10"/>
    <n v="40544"/>
    <x v="0"/>
    <x v="0"/>
    <x v="9"/>
    <b v="0"/>
    <n v="6"/>
    <x v="0"/>
    <x v="3"/>
    <n v="0"/>
    <n v="0.28789999999999999"/>
    <n v="0.81"/>
    <n v="0"/>
    <x v="0"/>
    <x v="0"/>
    <x v="0"/>
    <x v="0"/>
  </r>
  <r>
    <n v="11"/>
    <n v="40544"/>
    <x v="0"/>
    <x v="0"/>
    <x v="10"/>
    <b v="0"/>
    <n v="6"/>
    <x v="0"/>
    <x v="4"/>
    <n v="0"/>
    <n v="0.28789999999999999"/>
    <n v="0.81"/>
    <n v="0"/>
    <x v="0"/>
    <x v="0"/>
    <x v="0"/>
    <x v="0"/>
  </r>
  <r>
    <n v="12"/>
    <n v="40544"/>
    <x v="0"/>
    <x v="0"/>
    <x v="11"/>
    <b v="0"/>
    <n v="6"/>
    <x v="0"/>
    <x v="5"/>
    <n v="0"/>
    <n v="0.28789999999999999"/>
    <n v="0.81"/>
    <n v="0"/>
    <x v="0"/>
    <x v="0"/>
    <x v="0"/>
    <x v="0"/>
  </r>
  <r>
    <n v="13"/>
    <n v="40544"/>
    <x v="0"/>
    <x v="0"/>
    <x v="12"/>
    <b v="0"/>
    <n v="6"/>
    <x v="0"/>
    <x v="6"/>
    <n v="0"/>
    <n v="0.28789999999999999"/>
    <n v="0.81"/>
    <n v="0"/>
    <x v="0"/>
    <x v="0"/>
    <x v="0"/>
    <x v="0"/>
  </r>
  <r>
    <n v="14"/>
    <n v="40544"/>
    <x v="0"/>
    <x v="0"/>
    <x v="13"/>
    <b v="0"/>
    <n v="6"/>
    <x v="1"/>
    <x v="7"/>
    <n v="0"/>
    <n v="0.28789999999999999"/>
    <n v="0.81"/>
    <n v="0"/>
    <x v="0"/>
    <x v="0"/>
    <x v="0"/>
    <x v="0"/>
  </r>
  <r>
    <n v="15"/>
    <n v="40544"/>
    <x v="0"/>
    <x v="0"/>
    <x v="14"/>
    <b v="0"/>
    <n v="6"/>
    <x v="1"/>
    <x v="7"/>
    <n v="0"/>
    <n v="0.28789999999999999"/>
    <n v="0.81"/>
    <n v="0"/>
    <x v="0"/>
    <x v="0"/>
    <x v="0"/>
    <x v="0"/>
  </r>
  <r>
    <n v="16"/>
    <n v="40544"/>
    <x v="0"/>
    <x v="0"/>
    <x v="15"/>
    <b v="0"/>
    <n v="6"/>
    <x v="1"/>
    <x v="8"/>
    <n v="0"/>
    <n v="0.28789999999999999"/>
    <n v="0.81"/>
    <n v="0"/>
    <x v="0"/>
    <x v="0"/>
    <x v="0"/>
    <x v="0"/>
  </r>
  <r>
    <n v="17"/>
    <n v="40544"/>
    <x v="0"/>
    <x v="0"/>
    <x v="16"/>
    <b v="0"/>
    <n v="6"/>
    <x v="1"/>
    <x v="6"/>
    <n v="0"/>
    <n v="0.28789999999999999"/>
    <n v="0.81"/>
    <n v="0"/>
    <x v="0"/>
    <x v="0"/>
    <x v="0"/>
    <x v="0"/>
  </r>
  <r>
    <n v="18"/>
    <n v="40544"/>
    <x v="0"/>
    <x v="0"/>
    <x v="17"/>
    <b v="0"/>
    <n v="6"/>
    <x v="1"/>
    <x v="8"/>
    <n v="0"/>
    <n v="0.28789999999999999"/>
    <n v="0.81"/>
    <n v="0"/>
    <x v="0"/>
    <x v="0"/>
    <x v="0"/>
    <x v="0"/>
  </r>
  <r>
    <n v="19"/>
    <n v="40544"/>
    <x v="0"/>
    <x v="0"/>
    <x v="18"/>
    <b v="0"/>
    <n v="6"/>
    <x v="2"/>
    <x v="6"/>
    <n v="0"/>
    <n v="0.28789999999999999"/>
    <n v="0.81"/>
    <n v="0"/>
    <x v="0"/>
    <x v="0"/>
    <x v="0"/>
    <x v="0"/>
  </r>
  <r>
    <n v="20"/>
    <n v="40544"/>
    <x v="0"/>
    <x v="0"/>
    <x v="19"/>
    <b v="0"/>
    <n v="6"/>
    <x v="2"/>
    <x v="6"/>
    <n v="0"/>
    <n v="0.28789999999999999"/>
    <n v="0.81"/>
    <n v="0"/>
    <x v="0"/>
    <x v="0"/>
    <x v="0"/>
    <x v="0"/>
  </r>
  <r>
    <n v="21"/>
    <n v="40544"/>
    <x v="0"/>
    <x v="0"/>
    <x v="20"/>
    <b v="0"/>
    <n v="6"/>
    <x v="1"/>
    <x v="9"/>
    <n v="0"/>
    <n v="0.28789999999999999"/>
    <n v="0.81"/>
    <n v="0"/>
    <x v="0"/>
    <x v="0"/>
    <x v="0"/>
    <x v="0"/>
  </r>
  <r>
    <n v="22"/>
    <n v="40544"/>
    <x v="0"/>
    <x v="0"/>
    <x v="21"/>
    <b v="0"/>
    <n v="6"/>
    <x v="1"/>
    <x v="9"/>
    <n v="0"/>
    <n v="0.28789999999999999"/>
    <n v="0.81"/>
    <n v="0"/>
    <x v="0"/>
    <x v="0"/>
    <x v="0"/>
    <x v="0"/>
  </r>
  <r>
    <n v="23"/>
    <n v="40544"/>
    <x v="0"/>
    <x v="0"/>
    <x v="22"/>
    <b v="0"/>
    <n v="6"/>
    <x v="1"/>
    <x v="9"/>
    <n v="0"/>
    <n v="0.28789999999999999"/>
    <n v="0.81"/>
    <n v="0"/>
    <x v="0"/>
    <x v="0"/>
    <x v="0"/>
    <x v="0"/>
  </r>
  <r>
    <n v="24"/>
    <n v="40544"/>
    <x v="0"/>
    <x v="0"/>
    <x v="23"/>
    <b v="0"/>
    <n v="6"/>
    <x v="1"/>
    <x v="7"/>
    <n v="0"/>
    <n v="0.28789999999999999"/>
    <n v="0.81"/>
    <n v="0"/>
    <x v="0"/>
    <x v="0"/>
    <x v="0"/>
    <x v="0"/>
  </r>
  <r>
    <n v="25"/>
    <n v="40545"/>
    <x v="0"/>
    <x v="0"/>
    <x v="0"/>
    <b v="0"/>
    <n v="0"/>
    <x v="1"/>
    <x v="7"/>
    <n v="0"/>
    <n v="0.28789999999999999"/>
    <n v="0.81"/>
    <n v="0"/>
    <x v="0"/>
    <x v="0"/>
    <x v="0"/>
    <x v="1"/>
  </r>
  <r>
    <n v="26"/>
    <n v="40545"/>
    <x v="0"/>
    <x v="0"/>
    <x v="1"/>
    <b v="0"/>
    <n v="0"/>
    <x v="1"/>
    <x v="8"/>
    <n v="0"/>
    <n v="0.28789999999999999"/>
    <n v="0.81"/>
    <n v="0"/>
    <x v="0"/>
    <x v="0"/>
    <x v="0"/>
    <x v="1"/>
  </r>
  <r>
    <n v="27"/>
    <n v="40545"/>
    <x v="0"/>
    <x v="0"/>
    <x v="2"/>
    <b v="0"/>
    <n v="0"/>
    <x v="1"/>
    <x v="6"/>
    <n v="0"/>
    <n v="0.28789999999999999"/>
    <n v="0.81"/>
    <n v="0"/>
    <x v="0"/>
    <x v="0"/>
    <x v="0"/>
    <x v="1"/>
  </r>
  <r>
    <n v="28"/>
    <n v="40545"/>
    <x v="0"/>
    <x v="0"/>
    <x v="3"/>
    <b v="0"/>
    <n v="0"/>
    <x v="1"/>
    <x v="7"/>
    <n v="0"/>
    <n v="0.28789999999999999"/>
    <n v="0.81"/>
    <n v="0"/>
    <x v="0"/>
    <x v="0"/>
    <x v="0"/>
    <x v="1"/>
  </r>
  <r>
    <n v="29"/>
    <n v="40545"/>
    <x v="0"/>
    <x v="0"/>
    <x v="4"/>
    <b v="0"/>
    <n v="0"/>
    <x v="1"/>
    <x v="7"/>
    <n v="0"/>
    <n v="0.28789999999999999"/>
    <n v="0.81"/>
    <n v="0"/>
    <x v="0"/>
    <x v="0"/>
    <x v="0"/>
    <x v="1"/>
  </r>
  <r>
    <n v="30"/>
    <n v="40545"/>
    <x v="0"/>
    <x v="0"/>
    <x v="6"/>
    <b v="0"/>
    <n v="0"/>
    <x v="2"/>
    <x v="6"/>
    <n v="0"/>
    <n v="0.28789999999999999"/>
    <n v="0.81"/>
    <n v="0"/>
    <x v="0"/>
    <x v="0"/>
    <x v="0"/>
    <x v="1"/>
  </r>
  <r>
    <n v="31"/>
    <n v="40545"/>
    <x v="0"/>
    <x v="0"/>
    <x v="7"/>
    <b v="0"/>
    <n v="0"/>
    <x v="1"/>
    <x v="9"/>
    <n v="0"/>
    <n v="0.28789999999999999"/>
    <n v="0.81"/>
    <n v="0"/>
    <x v="0"/>
    <x v="0"/>
    <x v="0"/>
    <x v="1"/>
  </r>
  <r>
    <n v="32"/>
    <n v="40545"/>
    <x v="0"/>
    <x v="0"/>
    <x v="8"/>
    <b v="0"/>
    <n v="0"/>
    <x v="2"/>
    <x v="9"/>
    <n v="0"/>
    <n v="0.28789999999999999"/>
    <n v="0.81"/>
    <n v="0"/>
    <x v="0"/>
    <x v="0"/>
    <x v="0"/>
    <x v="1"/>
  </r>
  <r>
    <n v="33"/>
    <n v="40545"/>
    <x v="0"/>
    <x v="0"/>
    <x v="9"/>
    <b v="0"/>
    <n v="0"/>
    <x v="1"/>
    <x v="4"/>
    <n v="0"/>
    <n v="0.28789999999999999"/>
    <n v="0.81"/>
    <n v="0"/>
    <x v="0"/>
    <x v="0"/>
    <x v="0"/>
    <x v="1"/>
  </r>
  <r>
    <n v="34"/>
    <n v="40545"/>
    <x v="0"/>
    <x v="0"/>
    <x v="10"/>
    <b v="0"/>
    <n v="0"/>
    <x v="1"/>
    <x v="5"/>
    <n v="0"/>
    <n v="0.28789999999999999"/>
    <n v="0.81"/>
    <n v="0"/>
    <x v="0"/>
    <x v="0"/>
    <x v="0"/>
    <x v="1"/>
  </r>
  <r>
    <n v="35"/>
    <n v="40545"/>
    <x v="0"/>
    <x v="0"/>
    <x v="11"/>
    <b v="0"/>
    <n v="0"/>
    <x v="1"/>
    <x v="5"/>
    <n v="0"/>
    <n v="0.28789999999999999"/>
    <n v="0.81"/>
    <n v="0"/>
    <x v="0"/>
    <x v="0"/>
    <x v="0"/>
    <x v="1"/>
  </r>
  <r>
    <n v="36"/>
    <n v="40545"/>
    <x v="0"/>
    <x v="0"/>
    <x v="12"/>
    <b v="0"/>
    <n v="0"/>
    <x v="1"/>
    <x v="5"/>
    <n v="0"/>
    <n v="0.28789999999999999"/>
    <n v="0.81"/>
    <n v="0"/>
    <x v="0"/>
    <x v="0"/>
    <x v="0"/>
    <x v="1"/>
  </r>
  <r>
    <n v="37"/>
    <n v="40545"/>
    <x v="0"/>
    <x v="0"/>
    <x v="13"/>
    <b v="0"/>
    <n v="0"/>
    <x v="1"/>
    <x v="5"/>
    <n v="0"/>
    <n v="0.28789999999999999"/>
    <n v="0.81"/>
    <n v="0"/>
    <x v="0"/>
    <x v="0"/>
    <x v="0"/>
    <x v="1"/>
  </r>
  <r>
    <n v="38"/>
    <n v="40545"/>
    <x v="0"/>
    <x v="0"/>
    <x v="14"/>
    <b v="0"/>
    <n v="0"/>
    <x v="2"/>
    <x v="5"/>
    <n v="0"/>
    <n v="0.28789999999999999"/>
    <n v="0.81"/>
    <n v="0"/>
    <x v="0"/>
    <x v="0"/>
    <x v="0"/>
    <x v="1"/>
  </r>
  <r>
    <n v="39"/>
    <n v="40545"/>
    <x v="0"/>
    <x v="0"/>
    <x v="15"/>
    <b v="0"/>
    <n v="0"/>
    <x v="2"/>
    <x v="10"/>
    <n v="0"/>
    <n v="0.28789999999999999"/>
    <n v="0.81"/>
    <n v="0"/>
    <x v="0"/>
    <x v="0"/>
    <x v="0"/>
    <x v="1"/>
  </r>
  <r>
    <n v="40"/>
    <n v="40545"/>
    <x v="0"/>
    <x v="0"/>
    <x v="16"/>
    <b v="0"/>
    <n v="0"/>
    <x v="2"/>
    <x v="10"/>
    <n v="0"/>
    <n v="0.28789999999999999"/>
    <n v="0.81"/>
    <n v="0"/>
    <x v="0"/>
    <x v="0"/>
    <x v="0"/>
    <x v="1"/>
  </r>
  <r>
    <n v="41"/>
    <n v="40545"/>
    <x v="0"/>
    <x v="0"/>
    <x v="17"/>
    <b v="0"/>
    <n v="0"/>
    <x v="0"/>
    <x v="10"/>
    <n v="0"/>
    <n v="0.28789999999999999"/>
    <n v="0.81"/>
    <n v="0"/>
    <x v="0"/>
    <x v="0"/>
    <x v="0"/>
    <x v="1"/>
  </r>
  <r>
    <n v="42"/>
    <n v="40545"/>
    <x v="0"/>
    <x v="0"/>
    <x v="18"/>
    <b v="0"/>
    <n v="0"/>
    <x v="1"/>
    <x v="5"/>
    <n v="0"/>
    <n v="0.28789999999999999"/>
    <n v="0.81"/>
    <n v="0"/>
    <x v="0"/>
    <x v="0"/>
    <x v="0"/>
    <x v="1"/>
  </r>
  <r>
    <n v="43"/>
    <n v="40545"/>
    <x v="0"/>
    <x v="0"/>
    <x v="19"/>
    <b v="0"/>
    <n v="0"/>
    <x v="0"/>
    <x v="3"/>
    <n v="0"/>
    <n v="0.28789999999999999"/>
    <n v="0.81"/>
    <n v="0"/>
    <x v="0"/>
    <x v="0"/>
    <x v="0"/>
    <x v="1"/>
  </r>
  <r>
    <n v="44"/>
    <n v="40545"/>
    <x v="0"/>
    <x v="0"/>
    <x v="20"/>
    <b v="0"/>
    <n v="0"/>
    <x v="0"/>
    <x v="11"/>
    <n v="0"/>
    <n v="0.28789999999999999"/>
    <n v="0.81"/>
    <n v="0"/>
    <x v="0"/>
    <x v="0"/>
    <x v="0"/>
    <x v="1"/>
  </r>
  <r>
    <n v="45"/>
    <n v="40545"/>
    <x v="0"/>
    <x v="0"/>
    <x v="21"/>
    <b v="0"/>
    <n v="0"/>
    <x v="0"/>
    <x v="12"/>
    <n v="0"/>
    <n v="0.28789999999999999"/>
    <n v="0.81"/>
    <n v="0"/>
    <x v="0"/>
    <x v="0"/>
    <x v="0"/>
    <x v="1"/>
  </r>
  <r>
    <n v="46"/>
    <n v="40545"/>
    <x v="0"/>
    <x v="0"/>
    <x v="22"/>
    <b v="0"/>
    <n v="0"/>
    <x v="0"/>
    <x v="0"/>
    <n v="0"/>
    <n v="0.28789999999999999"/>
    <n v="0.81"/>
    <n v="0"/>
    <x v="0"/>
    <x v="0"/>
    <x v="0"/>
    <x v="1"/>
  </r>
  <r>
    <n v="47"/>
    <n v="40545"/>
    <x v="0"/>
    <x v="0"/>
    <x v="23"/>
    <b v="0"/>
    <n v="0"/>
    <x v="0"/>
    <x v="1"/>
    <n v="0"/>
    <n v="0.28789999999999999"/>
    <n v="0.81"/>
    <n v="0"/>
    <x v="0"/>
    <x v="0"/>
    <x v="0"/>
    <x v="1"/>
  </r>
  <r>
    <n v="48"/>
    <n v="40546"/>
    <x v="0"/>
    <x v="0"/>
    <x v="0"/>
    <b v="0"/>
    <n v="1"/>
    <x v="0"/>
    <x v="1"/>
    <n v="0"/>
    <n v="0.28789999999999999"/>
    <n v="0.81"/>
    <n v="0"/>
    <x v="0"/>
    <x v="0"/>
    <x v="0"/>
    <x v="1"/>
  </r>
  <r>
    <n v="49"/>
    <n v="40546"/>
    <x v="0"/>
    <x v="0"/>
    <x v="1"/>
    <b v="0"/>
    <n v="1"/>
    <x v="0"/>
    <x v="2"/>
    <n v="0"/>
    <n v="0.28789999999999999"/>
    <n v="0.81"/>
    <n v="0"/>
    <x v="0"/>
    <x v="0"/>
    <x v="0"/>
    <x v="1"/>
  </r>
  <r>
    <n v="50"/>
    <n v="40546"/>
    <x v="0"/>
    <x v="0"/>
    <x v="4"/>
    <b v="0"/>
    <n v="1"/>
    <x v="0"/>
    <x v="13"/>
    <n v="0"/>
    <n v="0.28789999999999999"/>
    <n v="0.81"/>
    <n v="0"/>
    <x v="0"/>
    <x v="0"/>
    <x v="0"/>
    <x v="1"/>
  </r>
  <r>
    <n v="51"/>
    <n v="40546"/>
    <x v="0"/>
    <x v="0"/>
    <x v="5"/>
    <b v="0"/>
    <n v="1"/>
    <x v="0"/>
    <x v="13"/>
    <n v="0"/>
    <n v="0.28789999999999999"/>
    <n v="0.81"/>
    <n v="0"/>
    <x v="0"/>
    <x v="0"/>
    <x v="0"/>
    <x v="1"/>
  </r>
  <r>
    <n v="52"/>
    <n v="40546"/>
    <x v="0"/>
    <x v="0"/>
    <x v="6"/>
    <b v="0"/>
    <n v="1"/>
    <x v="0"/>
    <x v="14"/>
    <n v="0"/>
    <n v="0.28789999999999999"/>
    <n v="0.81"/>
    <n v="0"/>
    <x v="0"/>
    <x v="0"/>
    <x v="0"/>
    <x v="1"/>
  </r>
  <r>
    <n v="53"/>
    <n v="40546"/>
    <x v="0"/>
    <x v="0"/>
    <x v="7"/>
    <b v="0"/>
    <n v="1"/>
    <x v="0"/>
    <x v="14"/>
    <n v="0"/>
    <n v="0.28789999999999999"/>
    <n v="0.81"/>
    <n v="0"/>
    <x v="0"/>
    <x v="0"/>
    <x v="0"/>
    <x v="1"/>
  </r>
  <r>
    <n v="54"/>
    <n v="40546"/>
    <x v="0"/>
    <x v="0"/>
    <x v="8"/>
    <b v="0"/>
    <n v="1"/>
    <x v="0"/>
    <x v="14"/>
    <n v="0"/>
    <n v="0.28789999999999999"/>
    <n v="0.81"/>
    <n v="0"/>
    <x v="0"/>
    <x v="0"/>
    <x v="0"/>
    <x v="1"/>
  </r>
  <r>
    <n v="55"/>
    <n v="40546"/>
    <x v="0"/>
    <x v="0"/>
    <x v="9"/>
    <b v="0"/>
    <n v="1"/>
    <x v="0"/>
    <x v="13"/>
    <n v="0"/>
    <n v="0.28789999999999999"/>
    <n v="0.81"/>
    <n v="0"/>
    <x v="0"/>
    <x v="0"/>
    <x v="0"/>
    <x v="1"/>
  </r>
  <r>
    <n v="56"/>
    <n v="40546"/>
    <x v="0"/>
    <x v="0"/>
    <x v="10"/>
    <b v="0"/>
    <n v="1"/>
    <x v="0"/>
    <x v="15"/>
    <n v="0"/>
    <n v="0.28789999999999999"/>
    <n v="0.81"/>
    <n v="0"/>
    <x v="0"/>
    <x v="0"/>
    <x v="0"/>
    <x v="1"/>
  </r>
  <r>
    <n v="57"/>
    <n v="40546"/>
    <x v="0"/>
    <x v="0"/>
    <x v="11"/>
    <b v="0"/>
    <n v="1"/>
    <x v="0"/>
    <x v="2"/>
    <n v="0"/>
    <n v="0.28789999999999999"/>
    <n v="0.81"/>
    <n v="0"/>
    <x v="0"/>
    <x v="0"/>
    <x v="0"/>
    <x v="1"/>
  </r>
  <r>
    <n v="58"/>
    <n v="40546"/>
    <x v="0"/>
    <x v="0"/>
    <x v="12"/>
    <b v="0"/>
    <n v="1"/>
    <x v="0"/>
    <x v="1"/>
    <n v="0"/>
    <n v="0.28789999999999999"/>
    <n v="0.81"/>
    <n v="0"/>
    <x v="0"/>
    <x v="0"/>
    <x v="0"/>
    <x v="1"/>
  </r>
  <r>
    <n v="59"/>
    <n v="40546"/>
    <x v="0"/>
    <x v="0"/>
    <x v="13"/>
    <b v="0"/>
    <n v="1"/>
    <x v="0"/>
    <x v="0"/>
    <n v="0"/>
    <n v="0.28789999999999999"/>
    <n v="0.81"/>
    <n v="0"/>
    <x v="0"/>
    <x v="0"/>
    <x v="0"/>
    <x v="1"/>
  </r>
  <r>
    <n v="60"/>
    <n v="40546"/>
    <x v="0"/>
    <x v="0"/>
    <x v="14"/>
    <b v="0"/>
    <n v="1"/>
    <x v="0"/>
    <x v="12"/>
    <n v="0"/>
    <n v="0.28789999999999999"/>
    <n v="0.81"/>
    <n v="0"/>
    <x v="0"/>
    <x v="0"/>
    <x v="0"/>
    <x v="1"/>
  </r>
  <r>
    <n v="61"/>
    <n v="40546"/>
    <x v="0"/>
    <x v="0"/>
    <x v="15"/>
    <b v="0"/>
    <n v="1"/>
    <x v="0"/>
    <x v="12"/>
    <n v="0"/>
    <n v="0.28789999999999999"/>
    <n v="0.81"/>
    <n v="0"/>
    <x v="0"/>
    <x v="0"/>
    <x v="0"/>
    <x v="1"/>
  </r>
  <r>
    <n v="62"/>
    <n v="40546"/>
    <x v="0"/>
    <x v="0"/>
    <x v="16"/>
    <b v="0"/>
    <n v="1"/>
    <x v="0"/>
    <x v="12"/>
    <n v="0"/>
    <n v="0.28789999999999999"/>
    <n v="0.81"/>
    <n v="0"/>
    <x v="0"/>
    <x v="0"/>
    <x v="0"/>
    <x v="1"/>
  </r>
  <r>
    <n v="63"/>
    <n v="40546"/>
    <x v="0"/>
    <x v="0"/>
    <x v="17"/>
    <b v="0"/>
    <n v="1"/>
    <x v="0"/>
    <x v="0"/>
    <n v="0"/>
    <n v="0.28789999999999999"/>
    <n v="0.81"/>
    <n v="0"/>
    <x v="0"/>
    <x v="0"/>
    <x v="0"/>
    <x v="1"/>
  </r>
  <r>
    <n v="64"/>
    <n v="40546"/>
    <x v="0"/>
    <x v="0"/>
    <x v="18"/>
    <b v="0"/>
    <n v="1"/>
    <x v="0"/>
    <x v="0"/>
    <n v="0"/>
    <n v="0.28789999999999999"/>
    <n v="0.81"/>
    <n v="0"/>
    <x v="0"/>
    <x v="0"/>
    <x v="0"/>
    <x v="1"/>
  </r>
  <r>
    <n v="65"/>
    <n v="40546"/>
    <x v="0"/>
    <x v="0"/>
    <x v="19"/>
    <b v="0"/>
    <n v="1"/>
    <x v="0"/>
    <x v="2"/>
    <n v="0"/>
    <n v="0.28789999999999999"/>
    <n v="0.81"/>
    <n v="0"/>
    <x v="0"/>
    <x v="0"/>
    <x v="0"/>
    <x v="1"/>
  </r>
  <r>
    <n v="66"/>
    <n v="40546"/>
    <x v="0"/>
    <x v="0"/>
    <x v="20"/>
    <b v="0"/>
    <n v="1"/>
    <x v="0"/>
    <x v="2"/>
    <n v="0"/>
    <n v="0.28789999999999999"/>
    <n v="0.81"/>
    <n v="0"/>
    <x v="0"/>
    <x v="0"/>
    <x v="0"/>
    <x v="1"/>
  </r>
  <r>
    <n v="67"/>
    <n v="40546"/>
    <x v="0"/>
    <x v="0"/>
    <x v="21"/>
    <b v="0"/>
    <n v="1"/>
    <x v="0"/>
    <x v="15"/>
    <n v="0"/>
    <n v="0.28789999999999999"/>
    <n v="0.81"/>
    <n v="0"/>
    <x v="0"/>
    <x v="0"/>
    <x v="0"/>
    <x v="1"/>
  </r>
  <r>
    <n v="68"/>
    <n v="40546"/>
    <x v="0"/>
    <x v="0"/>
    <x v="22"/>
    <b v="0"/>
    <n v="1"/>
    <x v="0"/>
    <x v="14"/>
    <n v="0"/>
    <n v="0.28789999999999999"/>
    <n v="0.81"/>
    <n v="0"/>
    <x v="0"/>
    <x v="0"/>
    <x v="0"/>
    <x v="1"/>
  </r>
  <r>
    <n v="69"/>
    <n v="40546"/>
    <x v="0"/>
    <x v="0"/>
    <x v="23"/>
    <b v="0"/>
    <n v="1"/>
    <x v="0"/>
    <x v="15"/>
    <n v="0"/>
    <n v="0.28789999999999999"/>
    <n v="0.81"/>
    <n v="0"/>
    <x v="0"/>
    <x v="0"/>
    <x v="0"/>
    <x v="1"/>
  </r>
  <r>
    <n v="70"/>
    <n v="40547"/>
    <x v="0"/>
    <x v="0"/>
    <x v="0"/>
    <b v="0"/>
    <n v="2"/>
    <x v="0"/>
    <x v="13"/>
    <n v="0"/>
    <n v="0.28789999999999999"/>
    <n v="0.81"/>
    <n v="0"/>
    <x v="0"/>
    <x v="0"/>
    <x v="0"/>
    <x v="1"/>
  </r>
  <r>
    <n v="71"/>
    <n v="40547"/>
    <x v="0"/>
    <x v="0"/>
    <x v="1"/>
    <b v="0"/>
    <n v="2"/>
    <x v="0"/>
    <x v="13"/>
    <n v="0"/>
    <n v="0.28789999999999999"/>
    <n v="0.81"/>
    <n v="0"/>
    <x v="0"/>
    <x v="0"/>
    <x v="0"/>
    <x v="1"/>
  </r>
  <r>
    <n v="72"/>
    <n v="40547"/>
    <x v="0"/>
    <x v="0"/>
    <x v="2"/>
    <b v="0"/>
    <n v="2"/>
    <x v="0"/>
    <x v="14"/>
    <n v="0"/>
    <n v="0.28789999999999999"/>
    <n v="0.81"/>
    <n v="0"/>
    <x v="0"/>
    <x v="0"/>
    <x v="0"/>
    <x v="1"/>
  </r>
  <r>
    <n v="73"/>
    <n v="40547"/>
    <x v="0"/>
    <x v="0"/>
    <x v="4"/>
    <b v="0"/>
    <n v="2"/>
    <x v="0"/>
    <x v="14"/>
    <n v="0"/>
    <n v="0.28789999999999999"/>
    <n v="0.81"/>
    <n v="0"/>
    <x v="0"/>
    <x v="0"/>
    <x v="0"/>
    <x v="1"/>
  </r>
  <r>
    <n v="74"/>
    <n v="40547"/>
    <x v="0"/>
    <x v="0"/>
    <x v="5"/>
    <b v="0"/>
    <n v="2"/>
    <x v="0"/>
    <x v="16"/>
    <n v="0"/>
    <n v="0.28789999999999999"/>
    <n v="0.81"/>
    <n v="0"/>
    <x v="0"/>
    <x v="0"/>
    <x v="0"/>
    <x v="1"/>
  </r>
  <r>
    <n v="75"/>
    <n v="40547"/>
    <x v="0"/>
    <x v="0"/>
    <x v="6"/>
    <b v="0"/>
    <n v="2"/>
    <x v="0"/>
    <x v="16"/>
    <n v="0"/>
    <n v="0.28789999999999999"/>
    <n v="0.81"/>
    <n v="0"/>
    <x v="0"/>
    <x v="0"/>
    <x v="0"/>
    <x v="1"/>
  </r>
  <r>
    <n v="76"/>
    <n v="40547"/>
    <x v="0"/>
    <x v="0"/>
    <x v="7"/>
    <b v="0"/>
    <n v="2"/>
    <x v="0"/>
    <x v="16"/>
    <n v="0"/>
    <n v="0.28789999999999999"/>
    <n v="0.81"/>
    <n v="0"/>
    <x v="0"/>
    <x v="0"/>
    <x v="0"/>
    <x v="1"/>
  </r>
  <r>
    <n v="77"/>
    <n v="40547"/>
    <x v="0"/>
    <x v="0"/>
    <x v="8"/>
    <b v="0"/>
    <n v="2"/>
    <x v="0"/>
    <x v="14"/>
    <n v="0"/>
    <n v="0.28789999999999999"/>
    <n v="0.81"/>
    <n v="0"/>
    <x v="0"/>
    <x v="0"/>
    <x v="0"/>
    <x v="1"/>
  </r>
  <r>
    <n v="78"/>
    <n v="40547"/>
    <x v="0"/>
    <x v="0"/>
    <x v="9"/>
    <b v="0"/>
    <n v="2"/>
    <x v="0"/>
    <x v="13"/>
    <n v="0"/>
    <n v="0.28789999999999999"/>
    <n v="0.81"/>
    <n v="0"/>
    <x v="0"/>
    <x v="0"/>
    <x v="0"/>
    <x v="1"/>
  </r>
  <r>
    <n v="79"/>
    <n v="40547"/>
    <x v="0"/>
    <x v="0"/>
    <x v="10"/>
    <b v="0"/>
    <n v="2"/>
    <x v="1"/>
    <x v="13"/>
    <n v="0"/>
    <n v="0.28789999999999999"/>
    <n v="0.81"/>
    <n v="0"/>
    <x v="0"/>
    <x v="0"/>
    <x v="0"/>
    <x v="1"/>
  </r>
  <r>
    <n v="80"/>
    <n v="40547"/>
    <x v="0"/>
    <x v="0"/>
    <x v="11"/>
    <b v="0"/>
    <n v="2"/>
    <x v="0"/>
    <x v="1"/>
    <n v="0"/>
    <n v="0.28789999999999999"/>
    <n v="0.81"/>
    <n v="0"/>
    <x v="0"/>
    <x v="0"/>
    <x v="0"/>
    <x v="1"/>
  </r>
  <r>
    <n v="81"/>
    <n v="40547"/>
    <x v="0"/>
    <x v="0"/>
    <x v="12"/>
    <b v="0"/>
    <n v="2"/>
    <x v="0"/>
    <x v="1"/>
    <n v="0"/>
    <n v="0.28789999999999999"/>
    <n v="0.81"/>
    <n v="0"/>
    <x v="0"/>
    <x v="0"/>
    <x v="0"/>
    <x v="1"/>
  </r>
  <r>
    <n v="82"/>
    <n v="40547"/>
    <x v="0"/>
    <x v="0"/>
    <x v="13"/>
    <b v="0"/>
    <n v="2"/>
    <x v="0"/>
    <x v="0"/>
    <n v="0"/>
    <n v="0.28789999999999999"/>
    <n v="0.81"/>
    <n v="0"/>
    <x v="0"/>
    <x v="0"/>
    <x v="0"/>
    <x v="1"/>
  </r>
  <r>
    <n v="83"/>
    <n v="40547"/>
    <x v="0"/>
    <x v="0"/>
    <x v="14"/>
    <b v="0"/>
    <n v="2"/>
    <x v="0"/>
    <x v="12"/>
    <n v="0"/>
    <n v="0.28789999999999999"/>
    <n v="0.81"/>
    <n v="0"/>
    <x v="0"/>
    <x v="0"/>
    <x v="0"/>
    <x v="1"/>
  </r>
  <r>
    <n v="84"/>
    <n v="40547"/>
    <x v="0"/>
    <x v="0"/>
    <x v="15"/>
    <b v="0"/>
    <n v="2"/>
    <x v="0"/>
    <x v="17"/>
    <n v="0"/>
    <n v="0.28789999999999999"/>
    <n v="0.81"/>
    <n v="0"/>
    <x v="0"/>
    <x v="0"/>
    <x v="0"/>
    <x v="1"/>
  </r>
  <r>
    <n v="85"/>
    <n v="40547"/>
    <x v="0"/>
    <x v="0"/>
    <x v="16"/>
    <b v="0"/>
    <n v="2"/>
    <x v="0"/>
    <x v="11"/>
    <n v="0"/>
    <n v="0.28789999999999999"/>
    <n v="0.81"/>
    <n v="0"/>
    <x v="0"/>
    <x v="0"/>
    <x v="0"/>
    <x v="1"/>
  </r>
  <r>
    <n v="86"/>
    <n v="40547"/>
    <x v="0"/>
    <x v="0"/>
    <x v="17"/>
    <b v="0"/>
    <n v="2"/>
    <x v="0"/>
    <x v="17"/>
    <n v="0"/>
    <n v="0.28789999999999999"/>
    <n v="0.81"/>
    <n v="0"/>
    <x v="0"/>
    <x v="0"/>
    <x v="0"/>
    <x v="1"/>
  </r>
  <r>
    <n v="87"/>
    <n v="40547"/>
    <x v="0"/>
    <x v="0"/>
    <x v="18"/>
    <b v="0"/>
    <n v="2"/>
    <x v="0"/>
    <x v="12"/>
    <n v="0"/>
    <n v="0.28789999999999999"/>
    <n v="0.81"/>
    <n v="0"/>
    <x v="0"/>
    <x v="0"/>
    <x v="0"/>
    <x v="1"/>
  </r>
  <r>
    <n v="88"/>
    <n v="40547"/>
    <x v="0"/>
    <x v="0"/>
    <x v="19"/>
    <b v="0"/>
    <n v="2"/>
    <x v="0"/>
    <x v="0"/>
    <n v="0"/>
    <n v="0.28789999999999999"/>
    <n v="0.81"/>
    <n v="0"/>
    <x v="0"/>
    <x v="0"/>
    <x v="0"/>
    <x v="1"/>
  </r>
  <r>
    <n v="89"/>
    <n v="40547"/>
    <x v="0"/>
    <x v="0"/>
    <x v="20"/>
    <b v="0"/>
    <n v="2"/>
    <x v="0"/>
    <x v="0"/>
    <n v="0"/>
    <n v="0.28789999999999999"/>
    <n v="0.81"/>
    <n v="0"/>
    <x v="0"/>
    <x v="0"/>
    <x v="0"/>
    <x v="1"/>
  </r>
  <r>
    <n v="90"/>
    <n v="40547"/>
    <x v="0"/>
    <x v="0"/>
    <x v="21"/>
    <b v="0"/>
    <n v="2"/>
    <x v="0"/>
    <x v="1"/>
    <n v="0"/>
    <n v="0.28789999999999999"/>
    <n v="0.81"/>
    <n v="0"/>
    <x v="0"/>
    <x v="0"/>
    <x v="0"/>
    <x v="1"/>
  </r>
  <r>
    <n v="91"/>
    <n v="40547"/>
    <x v="0"/>
    <x v="0"/>
    <x v="22"/>
    <b v="0"/>
    <n v="2"/>
    <x v="0"/>
    <x v="1"/>
    <n v="0"/>
    <n v="0.28789999999999999"/>
    <n v="0.81"/>
    <n v="0"/>
    <x v="0"/>
    <x v="0"/>
    <x v="0"/>
    <x v="1"/>
  </r>
  <r>
    <n v="92"/>
    <n v="40547"/>
    <x v="0"/>
    <x v="0"/>
    <x v="23"/>
    <b v="0"/>
    <n v="2"/>
    <x v="0"/>
    <x v="2"/>
    <n v="0"/>
    <n v="0.28789999999999999"/>
    <n v="0.81"/>
    <n v="0"/>
    <x v="0"/>
    <x v="0"/>
    <x v="0"/>
    <x v="1"/>
  </r>
  <r>
    <n v="93"/>
    <n v="40548"/>
    <x v="0"/>
    <x v="0"/>
    <x v="0"/>
    <b v="0"/>
    <n v="3"/>
    <x v="0"/>
    <x v="2"/>
    <n v="0"/>
    <n v="0.28789999999999999"/>
    <n v="0.81"/>
    <n v="0"/>
    <x v="0"/>
    <x v="0"/>
    <x v="0"/>
    <x v="1"/>
  </r>
  <r>
    <n v="94"/>
    <n v="40548"/>
    <x v="0"/>
    <x v="0"/>
    <x v="1"/>
    <b v="0"/>
    <n v="3"/>
    <x v="0"/>
    <x v="13"/>
    <n v="0"/>
    <n v="0.28789999999999999"/>
    <n v="0.81"/>
    <n v="0"/>
    <x v="0"/>
    <x v="0"/>
    <x v="0"/>
    <x v="1"/>
  </r>
  <r>
    <n v="95"/>
    <n v="40548"/>
    <x v="0"/>
    <x v="0"/>
    <x v="2"/>
    <b v="0"/>
    <n v="3"/>
    <x v="0"/>
    <x v="13"/>
    <n v="0"/>
    <n v="0.28789999999999999"/>
    <n v="0.81"/>
    <n v="0"/>
    <x v="0"/>
    <x v="0"/>
    <x v="0"/>
    <x v="1"/>
  </r>
  <r>
    <n v="96"/>
    <n v="40548"/>
    <x v="0"/>
    <x v="0"/>
    <x v="4"/>
    <b v="0"/>
    <n v="3"/>
    <x v="0"/>
    <x v="0"/>
    <n v="0"/>
    <n v="0.28789999999999999"/>
    <n v="0.81"/>
    <n v="0"/>
    <x v="0"/>
    <x v="0"/>
    <x v="0"/>
    <x v="1"/>
  </r>
  <r>
    <n v="97"/>
    <n v="40548"/>
    <x v="0"/>
    <x v="0"/>
    <x v="5"/>
    <b v="0"/>
    <n v="3"/>
    <x v="0"/>
    <x v="1"/>
    <n v="0"/>
    <n v="0.28789999999999999"/>
    <n v="0.81"/>
    <n v="0"/>
    <x v="0"/>
    <x v="0"/>
    <x v="0"/>
    <x v="1"/>
  </r>
  <r>
    <n v="98"/>
    <n v="40548"/>
    <x v="0"/>
    <x v="0"/>
    <x v="6"/>
    <b v="0"/>
    <n v="3"/>
    <x v="0"/>
    <x v="2"/>
    <n v="0"/>
    <n v="0.28789999999999999"/>
    <n v="0.81"/>
    <n v="0"/>
    <x v="0"/>
    <x v="0"/>
    <x v="0"/>
    <x v="1"/>
  </r>
  <r>
    <n v="99"/>
    <n v="40548"/>
    <x v="0"/>
    <x v="0"/>
    <x v="7"/>
    <b v="0"/>
    <n v="3"/>
    <x v="0"/>
    <x v="15"/>
    <n v="0"/>
    <n v="0.28789999999999999"/>
    <n v="0.81"/>
    <n v="0"/>
    <x v="0"/>
    <x v="0"/>
    <x v="0"/>
    <x v="1"/>
  </r>
  <r>
    <n v="100"/>
    <n v="40548"/>
    <x v="0"/>
    <x v="0"/>
    <x v="8"/>
    <b v="0"/>
    <n v="3"/>
    <x v="0"/>
    <x v="2"/>
    <n v="0"/>
    <n v="0.28789999999999999"/>
    <n v="0.81"/>
    <n v="0"/>
    <x v="0"/>
    <x v="0"/>
    <x v="0"/>
    <x v="1"/>
  </r>
  <r>
    <n v="101"/>
    <n v="40548"/>
    <x v="0"/>
    <x v="0"/>
    <x v="9"/>
    <b v="0"/>
    <n v="3"/>
    <x v="0"/>
    <x v="1"/>
    <n v="0"/>
    <n v="0.28789999999999999"/>
    <n v="0.81"/>
    <n v="0"/>
    <x v="0"/>
    <x v="0"/>
    <x v="0"/>
    <x v="1"/>
  </r>
  <r>
    <n v="102"/>
    <n v="40548"/>
    <x v="0"/>
    <x v="0"/>
    <x v="10"/>
    <b v="0"/>
    <n v="3"/>
    <x v="0"/>
    <x v="1"/>
    <n v="0"/>
    <n v="0.28789999999999999"/>
    <n v="0.81"/>
    <n v="0"/>
    <x v="0"/>
    <x v="0"/>
    <x v="0"/>
    <x v="1"/>
  </r>
  <r>
    <n v="103"/>
    <n v="40548"/>
    <x v="0"/>
    <x v="0"/>
    <x v="11"/>
    <b v="0"/>
    <n v="3"/>
    <x v="0"/>
    <x v="12"/>
    <n v="0"/>
    <n v="0.28789999999999999"/>
    <n v="0.81"/>
    <n v="0"/>
    <x v="0"/>
    <x v="0"/>
    <x v="0"/>
    <x v="1"/>
  </r>
  <r>
    <n v="104"/>
    <n v="40548"/>
    <x v="0"/>
    <x v="0"/>
    <x v="12"/>
    <b v="0"/>
    <n v="3"/>
    <x v="0"/>
    <x v="12"/>
    <n v="0"/>
    <n v="0.28789999999999999"/>
    <n v="0.81"/>
    <n v="0"/>
    <x v="0"/>
    <x v="0"/>
    <x v="0"/>
    <x v="1"/>
  </r>
  <r>
    <n v="105"/>
    <n v="40548"/>
    <x v="0"/>
    <x v="0"/>
    <x v="13"/>
    <b v="0"/>
    <n v="3"/>
    <x v="0"/>
    <x v="17"/>
    <n v="0"/>
    <n v="0.28789999999999999"/>
    <n v="0.81"/>
    <n v="0"/>
    <x v="0"/>
    <x v="0"/>
    <x v="0"/>
    <x v="1"/>
  </r>
  <r>
    <n v="106"/>
    <n v="40548"/>
    <x v="0"/>
    <x v="0"/>
    <x v="14"/>
    <b v="0"/>
    <n v="3"/>
    <x v="0"/>
    <x v="11"/>
    <n v="0"/>
    <n v="0.28789999999999999"/>
    <n v="0.81"/>
    <n v="0"/>
    <x v="0"/>
    <x v="0"/>
    <x v="0"/>
    <x v="1"/>
  </r>
  <r>
    <n v="107"/>
    <n v="40548"/>
    <x v="0"/>
    <x v="0"/>
    <x v="15"/>
    <b v="0"/>
    <n v="3"/>
    <x v="0"/>
    <x v="11"/>
    <n v="0"/>
    <n v="0.28789999999999999"/>
    <n v="0.81"/>
    <n v="0"/>
    <x v="0"/>
    <x v="0"/>
    <x v="0"/>
    <x v="1"/>
  </r>
  <r>
    <n v="108"/>
    <n v="40548"/>
    <x v="0"/>
    <x v="0"/>
    <x v="16"/>
    <b v="0"/>
    <n v="3"/>
    <x v="0"/>
    <x v="11"/>
    <n v="0"/>
    <n v="0.28789999999999999"/>
    <n v="0.81"/>
    <n v="0"/>
    <x v="0"/>
    <x v="0"/>
    <x v="0"/>
    <x v="1"/>
  </r>
  <r>
    <n v="109"/>
    <n v="40548"/>
    <x v="0"/>
    <x v="0"/>
    <x v="17"/>
    <b v="0"/>
    <n v="3"/>
    <x v="0"/>
    <x v="0"/>
    <n v="0"/>
    <n v="0.28789999999999999"/>
    <n v="0.81"/>
    <n v="0"/>
    <x v="0"/>
    <x v="0"/>
    <x v="0"/>
    <x v="1"/>
  </r>
  <r>
    <n v="110"/>
    <n v="40548"/>
    <x v="0"/>
    <x v="0"/>
    <x v="18"/>
    <b v="0"/>
    <n v="3"/>
    <x v="0"/>
    <x v="0"/>
    <n v="0"/>
    <n v="0.28789999999999999"/>
    <n v="0.81"/>
    <n v="0"/>
    <x v="0"/>
    <x v="0"/>
    <x v="0"/>
    <x v="1"/>
  </r>
  <r>
    <n v="111"/>
    <n v="40548"/>
    <x v="0"/>
    <x v="0"/>
    <x v="19"/>
    <b v="0"/>
    <n v="3"/>
    <x v="0"/>
    <x v="0"/>
    <n v="0"/>
    <n v="0.28789999999999999"/>
    <n v="0.81"/>
    <n v="0"/>
    <x v="0"/>
    <x v="0"/>
    <x v="0"/>
    <x v="1"/>
  </r>
  <r>
    <n v="112"/>
    <n v="40548"/>
    <x v="0"/>
    <x v="0"/>
    <x v="20"/>
    <b v="0"/>
    <n v="3"/>
    <x v="0"/>
    <x v="1"/>
    <n v="0"/>
    <n v="0.28789999999999999"/>
    <n v="0.81"/>
    <n v="0"/>
    <x v="0"/>
    <x v="0"/>
    <x v="0"/>
    <x v="1"/>
  </r>
  <r>
    <n v="113"/>
    <n v="40548"/>
    <x v="0"/>
    <x v="0"/>
    <x v="21"/>
    <b v="0"/>
    <n v="3"/>
    <x v="0"/>
    <x v="2"/>
    <n v="0"/>
    <n v="0.28789999999999999"/>
    <n v="0.81"/>
    <n v="0"/>
    <x v="0"/>
    <x v="0"/>
    <x v="0"/>
    <x v="1"/>
  </r>
  <r>
    <n v="114"/>
    <n v="40548"/>
    <x v="0"/>
    <x v="0"/>
    <x v="22"/>
    <b v="0"/>
    <n v="3"/>
    <x v="0"/>
    <x v="15"/>
    <n v="0"/>
    <n v="0.28789999999999999"/>
    <n v="0.81"/>
    <n v="0"/>
    <x v="0"/>
    <x v="0"/>
    <x v="0"/>
    <x v="1"/>
  </r>
  <r>
    <n v="115"/>
    <n v="40548"/>
    <x v="0"/>
    <x v="0"/>
    <x v="23"/>
    <b v="0"/>
    <n v="3"/>
    <x v="0"/>
    <x v="2"/>
    <n v="0"/>
    <n v="0.28789999999999999"/>
    <n v="0.81"/>
    <n v="0"/>
    <x v="0"/>
    <x v="0"/>
    <x v="0"/>
    <x v="1"/>
  </r>
  <r>
    <n v="116"/>
    <n v="40549"/>
    <x v="0"/>
    <x v="0"/>
    <x v="0"/>
    <b v="0"/>
    <n v="4"/>
    <x v="0"/>
    <x v="15"/>
    <n v="0"/>
    <n v="0.28789999999999999"/>
    <n v="0.81"/>
    <n v="0"/>
    <x v="0"/>
    <x v="0"/>
    <x v="0"/>
    <x v="1"/>
  </r>
  <r>
    <n v="117"/>
    <n v="40549"/>
    <x v="0"/>
    <x v="0"/>
    <x v="1"/>
    <b v="0"/>
    <n v="4"/>
    <x v="0"/>
    <x v="13"/>
    <n v="0"/>
    <n v="0.28789999999999999"/>
    <n v="0.81"/>
    <n v="0"/>
    <x v="0"/>
    <x v="0"/>
    <x v="0"/>
    <x v="1"/>
  </r>
  <r>
    <n v="118"/>
    <n v="40549"/>
    <x v="0"/>
    <x v="0"/>
    <x v="2"/>
    <b v="0"/>
    <n v="4"/>
    <x v="0"/>
    <x v="13"/>
    <n v="0"/>
    <n v="0.28789999999999999"/>
    <n v="0.81"/>
    <n v="0"/>
    <x v="0"/>
    <x v="0"/>
    <x v="0"/>
    <x v="1"/>
  </r>
  <r>
    <n v="119"/>
    <n v="40549"/>
    <x v="0"/>
    <x v="0"/>
    <x v="4"/>
    <b v="0"/>
    <n v="4"/>
    <x v="1"/>
    <x v="13"/>
    <n v="0"/>
    <n v="0.28789999999999999"/>
    <n v="0.81"/>
    <n v="0"/>
    <x v="0"/>
    <x v="0"/>
    <x v="0"/>
    <x v="1"/>
  </r>
  <r>
    <n v="120"/>
    <n v="40549"/>
    <x v="0"/>
    <x v="0"/>
    <x v="5"/>
    <b v="0"/>
    <n v="4"/>
    <x v="1"/>
    <x v="14"/>
    <n v="0"/>
    <n v="0.28789999999999999"/>
    <n v="0.81"/>
    <n v="0"/>
    <x v="0"/>
    <x v="0"/>
    <x v="0"/>
    <x v="1"/>
  </r>
  <r>
    <n v="121"/>
    <n v="40549"/>
    <x v="0"/>
    <x v="0"/>
    <x v="6"/>
    <b v="0"/>
    <n v="4"/>
    <x v="1"/>
    <x v="14"/>
    <n v="0"/>
    <n v="0.28789999999999999"/>
    <n v="0.81"/>
    <n v="0"/>
    <x v="0"/>
    <x v="0"/>
    <x v="0"/>
    <x v="1"/>
  </r>
  <r>
    <n v="122"/>
    <n v="40549"/>
    <x v="0"/>
    <x v="0"/>
    <x v="7"/>
    <b v="0"/>
    <n v="4"/>
    <x v="1"/>
    <x v="13"/>
    <n v="0"/>
    <n v="0.28789999999999999"/>
    <n v="0.81"/>
    <n v="0"/>
    <x v="0"/>
    <x v="0"/>
    <x v="0"/>
    <x v="1"/>
  </r>
  <r>
    <n v="123"/>
    <n v="40549"/>
    <x v="0"/>
    <x v="0"/>
    <x v="8"/>
    <b v="0"/>
    <n v="4"/>
    <x v="0"/>
    <x v="13"/>
    <n v="0"/>
    <n v="0.28789999999999999"/>
    <n v="0.81"/>
    <n v="0"/>
    <x v="0"/>
    <x v="0"/>
    <x v="0"/>
    <x v="1"/>
  </r>
  <r>
    <n v="124"/>
    <n v="40549"/>
    <x v="0"/>
    <x v="0"/>
    <x v="9"/>
    <b v="0"/>
    <n v="4"/>
    <x v="1"/>
    <x v="15"/>
    <n v="0"/>
    <n v="0.28789999999999999"/>
    <n v="0.81"/>
    <n v="0"/>
    <x v="0"/>
    <x v="0"/>
    <x v="0"/>
    <x v="1"/>
  </r>
  <r>
    <n v="125"/>
    <n v="40549"/>
    <x v="0"/>
    <x v="0"/>
    <x v="10"/>
    <b v="0"/>
    <n v="4"/>
    <x v="0"/>
    <x v="2"/>
    <n v="0"/>
    <n v="0.28789999999999999"/>
    <n v="0.81"/>
    <n v="0"/>
    <x v="0"/>
    <x v="0"/>
    <x v="0"/>
    <x v="1"/>
  </r>
  <r>
    <n v="126"/>
    <n v="40549"/>
    <x v="0"/>
    <x v="0"/>
    <x v="11"/>
    <b v="0"/>
    <n v="4"/>
    <x v="0"/>
    <x v="1"/>
    <n v="0"/>
    <n v="0.28789999999999999"/>
    <n v="0.81"/>
    <n v="0"/>
    <x v="0"/>
    <x v="0"/>
    <x v="0"/>
    <x v="1"/>
  </r>
  <r>
    <n v="127"/>
    <n v="40549"/>
    <x v="0"/>
    <x v="0"/>
    <x v="12"/>
    <b v="0"/>
    <n v="4"/>
    <x v="0"/>
    <x v="12"/>
    <n v="0"/>
    <n v="0.28789999999999999"/>
    <n v="0.81"/>
    <n v="0"/>
    <x v="0"/>
    <x v="0"/>
    <x v="0"/>
    <x v="1"/>
  </r>
  <r>
    <n v="128"/>
    <n v="40549"/>
    <x v="0"/>
    <x v="0"/>
    <x v="13"/>
    <b v="0"/>
    <n v="4"/>
    <x v="0"/>
    <x v="12"/>
    <n v="0"/>
    <n v="0.28789999999999999"/>
    <n v="0.81"/>
    <n v="0"/>
    <x v="0"/>
    <x v="0"/>
    <x v="0"/>
    <x v="1"/>
  </r>
  <r>
    <n v="129"/>
    <n v="40549"/>
    <x v="0"/>
    <x v="0"/>
    <x v="14"/>
    <b v="0"/>
    <n v="4"/>
    <x v="0"/>
    <x v="17"/>
    <n v="0"/>
    <n v="0.28789999999999999"/>
    <n v="0.81"/>
    <n v="0"/>
    <x v="0"/>
    <x v="0"/>
    <x v="0"/>
    <x v="1"/>
  </r>
  <r>
    <n v="130"/>
    <n v="40549"/>
    <x v="0"/>
    <x v="0"/>
    <x v="15"/>
    <b v="0"/>
    <n v="4"/>
    <x v="0"/>
    <x v="17"/>
    <n v="0"/>
    <n v="0.28789999999999999"/>
    <n v="0.81"/>
    <n v="0"/>
    <x v="0"/>
    <x v="0"/>
    <x v="0"/>
    <x v="1"/>
  </r>
  <r>
    <n v="131"/>
    <n v="40549"/>
    <x v="0"/>
    <x v="0"/>
    <x v="16"/>
    <b v="0"/>
    <n v="4"/>
    <x v="0"/>
    <x v="12"/>
    <n v="0"/>
    <n v="0.28789999999999999"/>
    <n v="0.81"/>
    <n v="0"/>
    <x v="0"/>
    <x v="0"/>
    <x v="0"/>
    <x v="1"/>
  </r>
  <r>
    <n v="132"/>
    <n v="40549"/>
    <x v="0"/>
    <x v="0"/>
    <x v="17"/>
    <b v="0"/>
    <n v="4"/>
    <x v="0"/>
    <x v="1"/>
    <n v="0"/>
    <n v="0.28789999999999999"/>
    <n v="0.81"/>
    <n v="0"/>
    <x v="0"/>
    <x v="0"/>
    <x v="0"/>
    <x v="1"/>
  </r>
  <r>
    <n v="133"/>
    <n v="40549"/>
    <x v="0"/>
    <x v="0"/>
    <x v="18"/>
    <b v="0"/>
    <n v="4"/>
    <x v="0"/>
    <x v="1"/>
    <n v="0"/>
    <n v="0.28789999999999999"/>
    <n v="0.81"/>
    <n v="0"/>
    <x v="0"/>
    <x v="0"/>
    <x v="0"/>
    <x v="1"/>
  </r>
  <r>
    <n v="134"/>
    <n v="40549"/>
    <x v="0"/>
    <x v="0"/>
    <x v="19"/>
    <b v="0"/>
    <n v="4"/>
    <x v="0"/>
    <x v="1"/>
    <n v="0"/>
    <n v="0.28789999999999999"/>
    <n v="0.81"/>
    <n v="0"/>
    <x v="0"/>
    <x v="0"/>
    <x v="0"/>
    <x v="1"/>
  </r>
  <r>
    <n v="135"/>
    <n v="40549"/>
    <x v="0"/>
    <x v="0"/>
    <x v="20"/>
    <b v="0"/>
    <n v="4"/>
    <x v="0"/>
    <x v="2"/>
    <n v="0"/>
    <n v="0.28789999999999999"/>
    <n v="0.81"/>
    <n v="0"/>
    <x v="0"/>
    <x v="0"/>
    <x v="0"/>
    <x v="1"/>
  </r>
  <r>
    <n v="136"/>
    <n v="40549"/>
    <x v="0"/>
    <x v="0"/>
    <x v="21"/>
    <b v="0"/>
    <n v="4"/>
    <x v="1"/>
    <x v="1"/>
    <n v="0"/>
    <n v="0.28789999999999999"/>
    <n v="0.81"/>
    <n v="0"/>
    <x v="0"/>
    <x v="0"/>
    <x v="0"/>
    <x v="1"/>
  </r>
  <r>
    <n v="137"/>
    <n v="40549"/>
    <x v="0"/>
    <x v="0"/>
    <x v="22"/>
    <b v="0"/>
    <n v="4"/>
    <x v="1"/>
    <x v="1"/>
    <n v="0"/>
    <n v="0.28789999999999999"/>
    <n v="0.81"/>
    <n v="0"/>
    <x v="0"/>
    <x v="0"/>
    <x v="0"/>
    <x v="1"/>
  </r>
  <r>
    <n v="138"/>
    <n v="40549"/>
    <x v="0"/>
    <x v="0"/>
    <x v="23"/>
    <b v="0"/>
    <n v="4"/>
    <x v="1"/>
    <x v="2"/>
    <n v="0"/>
    <n v="0.28789999999999999"/>
    <n v="0.81"/>
    <n v="0"/>
    <x v="0"/>
    <x v="0"/>
    <x v="0"/>
    <x v="1"/>
  </r>
  <r>
    <n v="139"/>
    <n v="40550"/>
    <x v="0"/>
    <x v="0"/>
    <x v="0"/>
    <b v="0"/>
    <n v="5"/>
    <x v="1"/>
    <x v="2"/>
    <n v="0"/>
    <n v="0.28789999999999999"/>
    <n v="0.81"/>
    <n v="0"/>
    <x v="0"/>
    <x v="0"/>
    <x v="0"/>
    <x v="0"/>
  </r>
  <r>
    <n v="140"/>
    <n v="40550"/>
    <x v="0"/>
    <x v="0"/>
    <x v="1"/>
    <b v="0"/>
    <n v="5"/>
    <x v="1"/>
    <x v="2"/>
    <n v="0"/>
    <n v="0.28789999999999999"/>
    <n v="0.81"/>
    <n v="0"/>
    <x v="0"/>
    <x v="0"/>
    <x v="0"/>
    <x v="0"/>
  </r>
  <r>
    <n v="141"/>
    <n v="40550"/>
    <x v="0"/>
    <x v="0"/>
    <x v="2"/>
    <b v="0"/>
    <n v="5"/>
    <x v="1"/>
    <x v="2"/>
    <n v="0"/>
    <n v="0.28789999999999999"/>
    <n v="0.81"/>
    <n v="0"/>
    <x v="0"/>
    <x v="0"/>
    <x v="0"/>
    <x v="0"/>
  </r>
  <r>
    <n v="142"/>
    <n v="40550"/>
    <x v="0"/>
    <x v="0"/>
    <x v="4"/>
    <b v="0"/>
    <n v="5"/>
    <x v="1"/>
    <x v="2"/>
    <n v="0"/>
    <n v="0.28789999999999999"/>
    <n v="0.81"/>
    <n v="0"/>
    <x v="0"/>
    <x v="0"/>
    <x v="0"/>
    <x v="0"/>
  </r>
  <r>
    <n v="143"/>
    <n v="40550"/>
    <x v="0"/>
    <x v="0"/>
    <x v="5"/>
    <b v="0"/>
    <n v="5"/>
    <x v="2"/>
    <x v="1"/>
    <n v="0"/>
    <n v="0.28789999999999999"/>
    <n v="0.81"/>
    <n v="0"/>
    <x v="0"/>
    <x v="0"/>
    <x v="0"/>
    <x v="0"/>
  </r>
  <r>
    <n v="144"/>
    <n v="40550"/>
    <x v="0"/>
    <x v="0"/>
    <x v="6"/>
    <b v="0"/>
    <n v="5"/>
    <x v="1"/>
    <x v="2"/>
    <n v="0"/>
    <n v="0.28789999999999999"/>
    <n v="0.81"/>
    <n v="0"/>
    <x v="0"/>
    <x v="0"/>
    <x v="0"/>
    <x v="0"/>
  </r>
  <r>
    <n v="145"/>
    <n v="40550"/>
    <x v="0"/>
    <x v="0"/>
    <x v="7"/>
    <b v="0"/>
    <n v="5"/>
    <x v="0"/>
    <x v="2"/>
    <n v="0"/>
    <n v="0.28789999999999999"/>
    <n v="0.81"/>
    <n v="0"/>
    <x v="0"/>
    <x v="0"/>
    <x v="0"/>
    <x v="0"/>
  </r>
  <r>
    <n v="146"/>
    <n v="40550"/>
    <x v="0"/>
    <x v="0"/>
    <x v="8"/>
    <b v="0"/>
    <n v="5"/>
    <x v="0"/>
    <x v="2"/>
    <n v="0"/>
    <n v="0.28789999999999999"/>
    <n v="0.81"/>
    <n v="0"/>
    <x v="0"/>
    <x v="0"/>
    <x v="0"/>
    <x v="0"/>
  </r>
  <r>
    <n v="147"/>
    <n v="40550"/>
    <x v="0"/>
    <x v="0"/>
    <x v="9"/>
    <b v="0"/>
    <n v="5"/>
    <x v="0"/>
    <x v="2"/>
    <n v="0"/>
    <n v="0.28789999999999999"/>
    <n v="0.81"/>
    <n v="0"/>
    <x v="0"/>
    <x v="0"/>
    <x v="0"/>
    <x v="0"/>
  </r>
  <r>
    <n v="148"/>
    <n v="40550"/>
    <x v="0"/>
    <x v="0"/>
    <x v="10"/>
    <b v="0"/>
    <n v="5"/>
    <x v="0"/>
    <x v="1"/>
    <n v="0"/>
    <n v="0.28789999999999999"/>
    <n v="0.81"/>
    <n v="0"/>
    <x v="0"/>
    <x v="0"/>
    <x v="0"/>
    <x v="0"/>
  </r>
  <r>
    <n v="149"/>
    <n v="40550"/>
    <x v="0"/>
    <x v="0"/>
    <x v="11"/>
    <b v="0"/>
    <n v="5"/>
    <x v="1"/>
    <x v="2"/>
    <n v="0"/>
    <n v="0.28789999999999999"/>
    <n v="0.81"/>
    <n v="0"/>
    <x v="0"/>
    <x v="0"/>
    <x v="0"/>
    <x v="0"/>
  </r>
  <r>
    <n v="150"/>
    <n v="40550"/>
    <x v="0"/>
    <x v="0"/>
    <x v="12"/>
    <b v="0"/>
    <n v="5"/>
    <x v="1"/>
    <x v="2"/>
    <n v="0"/>
    <n v="0.28789999999999999"/>
    <n v="0.81"/>
    <n v="0"/>
    <x v="0"/>
    <x v="0"/>
    <x v="0"/>
    <x v="0"/>
  </r>
  <r>
    <n v="151"/>
    <n v="40550"/>
    <x v="0"/>
    <x v="0"/>
    <x v="13"/>
    <b v="0"/>
    <n v="5"/>
    <x v="1"/>
    <x v="2"/>
    <n v="0"/>
    <n v="0.28789999999999999"/>
    <n v="0.81"/>
    <n v="0"/>
    <x v="0"/>
    <x v="0"/>
    <x v="0"/>
    <x v="0"/>
  </r>
  <r>
    <n v="152"/>
    <n v="40550"/>
    <x v="0"/>
    <x v="0"/>
    <x v="14"/>
    <b v="0"/>
    <n v="5"/>
    <x v="1"/>
    <x v="2"/>
    <n v="0"/>
    <n v="0.28789999999999999"/>
    <n v="0.81"/>
    <n v="0"/>
    <x v="0"/>
    <x v="0"/>
    <x v="0"/>
    <x v="0"/>
  </r>
  <r>
    <n v="153"/>
    <n v="40550"/>
    <x v="0"/>
    <x v="0"/>
    <x v="15"/>
    <b v="0"/>
    <n v="5"/>
    <x v="1"/>
    <x v="2"/>
    <n v="0"/>
    <n v="0.28789999999999999"/>
    <n v="0.81"/>
    <n v="0"/>
    <x v="0"/>
    <x v="0"/>
    <x v="0"/>
    <x v="0"/>
  </r>
  <r>
    <n v="154"/>
    <n v="40550"/>
    <x v="0"/>
    <x v="0"/>
    <x v="16"/>
    <b v="0"/>
    <n v="5"/>
    <x v="1"/>
    <x v="2"/>
    <n v="0"/>
    <n v="0.28789999999999999"/>
    <n v="0.81"/>
    <n v="0"/>
    <x v="0"/>
    <x v="0"/>
    <x v="0"/>
    <x v="0"/>
  </r>
  <r>
    <n v="155"/>
    <n v="40550"/>
    <x v="0"/>
    <x v="0"/>
    <x v="17"/>
    <b v="0"/>
    <n v="5"/>
    <x v="1"/>
    <x v="2"/>
    <n v="0"/>
    <n v="0.28789999999999999"/>
    <n v="0.81"/>
    <n v="0"/>
    <x v="0"/>
    <x v="0"/>
    <x v="0"/>
    <x v="0"/>
  </r>
  <r>
    <n v="156"/>
    <n v="40550"/>
    <x v="0"/>
    <x v="0"/>
    <x v="18"/>
    <b v="0"/>
    <n v="5"/>
    <x v="0"/>
    <x v="2"/>
    <n v="0"/>
    <n v="0.28789999999999999"/>
    <n v="0.81"/>
    <n v="0"/>
    <x v="0"/>
    <x v="0"/>
    <x v="0"/>
    <x v="0"/>
  </r>
  <r>
    <n v="157"/>
    <n v="40550"/>
    <x v="0"/>
    <x v="0"/>
    <x v="19"/>
    <b v="0"/>
    <n v="5"/>
    <x v="0"/>
    <x v="13"/>
    <n v="0"/>
    <n v="0.28789999999999999"/>
    <n v="0.81"/>
    <n v="0"/>
    <x v="0"/>
    <x v="0"/>
    <x v="0"/>
    <x v="0"/>
  </r>
  <r>
    <n v="158"/>
    <n v="40550"/>
    <x v="0"/>
    <x v="0"/>
    <x v="20"/>
    <b v="0"/>
    <n v="5"/>
    <x v="0"/>
    <x v="15"/>
    <n v="0"/>
    <n v="0.28789999999999999"/>
    <n v="0.81"/>
    <n v="0"/>
    <x v="0"/>
    <x v="0"/>
    <x v="0"/>
    <x v="0"/>
  </r>
  <r>
    <n v="159"/>
    <n v="40550"/>
    <x v="0"/>
    <x v="0"/>
    <x v="21"/>
    <b v="0"/>
    <n v="5"/>
    <x v="0"/>
    <x v="15"/>
    <n v="0"/>
    <n v="0.28789999999999999"/>
    <n v="0.81"/>
    <n v="0"/>
    <x v="0"/>
    <x v="0"/>
    <x v="0"/>
    <x v="0"/>
  </r>
  <r>
    <n v="160"/>
    <n v="40550"/>
    <x v="0"/>
    <x v="0"/>
    <x v="22"/>
    <b v="0"/>
    <n v="5"/>
    <x v="1"/>
    <x v="15"/>
    <n v="0"/>
    <n v="0.28789999999999999"/>
    <n v="0.81"/>
    <n v="0"/>
    <x v="0"/>
    <x v="0"/>
    <x v="0"/>
    <x v="0"/>
  </r>
  <r>
    <n v="161"/>
    <n v="40550"/>
    <x v="0"/>
    <x v="0"/>
    <x v="23"/>
    <b v="0"/>
    <n v="5"/>
    <x v="1"/>
    <x v="15"/>
    <n v="0"/>
    <n v="0.28789999999999999"/>
    <n v="0.81"/>
    <n v="0"/>
    <x v="0"/>
    <x v="0"/>
    <x v="0"/>
    <x v="0"/>
  </r>
  <r>
    <n v="162"/>
    <n v="40551"/>
    <x v="0"/>
    <x v="0"/>
    <x v="0"/>
    <b v="0"/>
    <n v="6"/>
    <x v="1"/>
    <x v="15"/>
    <n v="0"/>
    <n v="0.28789999999999999"/>
    <n v="0.81"/>
    <n v="0"/>
    <x v="0"/>
    <x v="0"/>
    <x v="0"/>
    <x v="0"/>
  </r>
  <r>
    <n v="163"/>
    <n v="40551"/>
    <x v="0"/>
    <x v="0"/>
    <x v="1"/>
    <b v="0"/>
    <n v="6"/>
    <x v="1"/>
    <x v="15"/>
    <n v="0"/>
    <n v="0.28789999999999999"/>
    <n v="0.81"/>
    <n v="0"/>
    <x v="0"/>
    <x v="0"/>
    <x v="0"/>
    <x v="0"/>
  </r>
  <r>
    <n v="164"/>
    <n v="40551"/>
    <x v="0"/>
    <x v="0"/>
    <x v="2"/>
    <b v="0"/>
    <n v="6"/>
    <x v="1"/>
    <x v="15"/>
    <n v="0"/>
    <n v="0.28789999999999999"/>
    <n v="0.81"/>
    <n v="0"/>
    <x v="0"/>
    <x v="0"/>
    <x v="0"/>
    <x v="0"/>
  </r>
  <r>
    <n v="165"/>
    <n v="40551"/>
    <x v="0"/>
    <x v="0"/>
    <x v="3"/>
    <b v="0"/>
    <n v="6"/>
    <x v="2"/>
    <x v="15"/>
    <n v="0"/>
    <n v="0.28789999999999999"/>
    <n v="0.81"/>
    <n v="0"/>
    <x v="0"/>
    <x v="0"/>
    <x v="0"/>
    <x v="0"/>
  </r>
  <r>
    <n v="166"/>
    <n v="40551"/>
    <x v="0"/>
    <x v="0"/>
    <x v="4"/>
    <b v="0"/>
    <n v="6"/>
    <x v="2"/>
    <x v="15"/>
    <n v="0"/>
    <n v="0.28789999999999999"/>
    <n v="0.81"/>
    <n v="0"/>
    <x v="0"/>
    <x v="0"/>
    <x v="0"/>
    <x v="0"/>
  </r>
  <r>
    <n v="167"/>
    <n v="40551"/>
    <x v="0"/>
    <x v="0"/>
    <x v="5"/>
    <b v="0"/>
    <n v="6"/>
    <x v="1"/>
    <x v="13"/>
    <n v="0"/>
    <n v="0.28789999999999999"/>
    <n v="0.81"/>
    <n v="0"/>
    <x v="0"/>
    <x v="0"/>
    <x v="0"/>
    <x v="0"/>
  </r>
  <r>
    <n v="168"/>
    <n v="40551"/>
    <x v="0"/>
    <x v="0"/>
    <x v="6"/>
    <b v="0"/>
    <n v="6"/>
    <x v="1"/>
    <x v="13"/>
    <n v="0"/>
    <n v="0.28789999999999999"/>
    <n v="0.81"/>
    <n v="0"/>
    <x v="0"/>
    <x v="0"/>
    <x v="0"/>
    <x v="0"/>
  </r>
  <r>
    <n v="169"/>
    <n v="40551"/>
    <x v="0"/>
    <x v="0"/>
    <x v="7"/>
    <b v="0"/>
    <n v="6"/>
    <x v="1"/>
    <x v="13"/>
    <n v="0"/>
    <n v="0.28789999999999999"/>
    <n v="0.81"/>
    <n v="0"/>
    <x v="0"/>
    <x v="0"/>
    <x v="0"/>
    <x v="0"/>
  </r>
  <r>
    <n v="170"/>
    <n v="40551"/>
    <x v="0"/>
    <x v="0"/>
    <x v="8"/>
    <b v="0"/>
    <n v="6"/>
    <x v="2"/>
    <x v="13"/>
    <n v="0"/>
    <n v="0.28789999999999999"/>
    <n v="0.81"/>
    <n v="0"/>
    <x v="0"/>
    <x v="0"/>
    <x v="0"/>
    <x v="0"/>
  </r>
  <r>
    <n v="171"/>
    <n v="40551"/>
    <x v="0"/>
    <x v="0"/>
    <x v="9"/>
    <b v="0"/>
    <n v="6"/>
    <x v="2"/>
    <x v="13"/>
    <n v="0"/>
    <n v="0.28789999999999999"/>
    <n v="0.81"/>
    <n v="0"/>
    <x v="0"/>
    <x v="0"/>
    <x v="0"/>
    <x v="0"/>
  </r>
  <r>
    <n v="172"/>
    <n v="40551"/>
    <x v="0"/>
    <x v="0"/>
    <x v="10"/>
    <b v="0"/>
    <n v="6"/>
    <x v="1"/>
    <x v="15"/>
    <n v="0"/>
    <n v="0.28789999999999999"/>
    <n v="0.81"/>
    <n v="0"/>
    <x v="0"/>
    <x v="0"/>
    <x v="0"/>
    <x v="0"/>
  </r>
  <r>
    <n v="173"/>
    <n v="40551"/>
    <x v="0"/>
    <x v="0"/>
    <x v="11"/>
    <b v="0"/>
    <n v="6"/>
    <x v="1"/>
    <x v="2"/>
    <n v="0"/>
    <n v="0.28789999999999999"/>
    <n v="0.81"/>
    <n v="0"/>
    <x v="0"/>
    <x v="0"/>
    <x v="0"/>
    <x v="0"/>
  </r>
  <r>
    <n v="174"/>
    <n v="40551"/>
    <x v="0"/>
    <x v="0"/>
    <x v="12"/>
    <b v="0"/>
    <n v="6"/>
    <x v="1"/>
    <x v="2"/>
    <n v="0"/>
    <n v="0.28789999999999999"/>
    <n v="0.81"/>
    <n v="0"/>
    <x v="0"/>
    <x v="0"/>
    <x v="0"/>
    <x v="0"/>
  </r>
  <r>
    <n v="175"/>
    <n v="40551"/>
    <x v="0"/>
    <x v="0"/>
    <x v="13"/>
    <b v="0"/>
    <n v="6"/>
    <x v="0"/>
    <x v="2"/>
    <n v="0"/>
    <n v="0.28789999999999999"/>
    <n v="0.81"/>
    <n v="0"/>
    <x v="0"/>
    <x v="0"/>
    <x v="0"/>
    <x v="0"/>
  </r>
  <r>
    <n v="176"/>
    <n v="40551"/>
    <x v="0"/>
    <x v="0"/>
    <x v="14"/>
    <b v="0"/>
    <n v="6"/>
    <x v="0"/>
    <x v="2"/>
    <n v="0"/>
    <n v="0.28789999999999999"/>
    <n v="0.81"/>
    <n v="0"/>
    <x v="0"/>
    <x v="0"/>
    <x v="0"/>
    <x v="0"/>
  </r>
  <r>
    <n v="177"/>
    <n v="40551"/>
    <x v="0"/>
    <x v="0"/>
    <x v="15"/>
    <b v="0"/>
    <n v="6"/>
    <x v="0"/>
    <x v="2"/>
    <n v="0"/>
    <n v="0.28789999999999999"/>
    <n v="0.81"/>
    <n v="0"/>
    <x v="0"/>
    <x v="0"/>
    <x v="0"/>
    <x v="0"/>
  </r>
  <r>
    <n v="178"/>
    <n v="40551"/>
    <x v="0"/>
    <x v="0"/>
    <x v="16"/>
    <b v="0"/>
    <n v="6"/>
    <x v="0"/>
    <x v="15"/>
    <n v="0"/>
    <n v="0.28789999999999999"/>
    <n v="0.81"/>
    <n v="0"/>
    <x v="0"/>
    <x v="0"/>
    <x v="0"/>
    <x v="0"/>
  </r>
  <r>
    <n v="179"/>
    <n v="40551"/>
    <x v="0"/>
    <x v="0"/>
    <x v="17"/>
    <b v="0"/>
    <n v="6"/>
    <x v="0"/>
    <x v="13"/>
    <n v="0"/>
    <n v="0.28789999999999999"/>
    <n v="0.81"/>
    <n v="0"/>
    <x v="0"/>
    <x v="0"/>
    <x v="0"/>
    <x v="0"/>
  </r>
  <r>
    <n v="180"/>
    <n v="40551"/>
    <x v="0"/>
    <x v="0"/>
    <x v="18"/>
    <b v="0"/>
    <n v="6"/>
    <x v="0"/>
    <x v="14"/>
    <n v="0"/>
    <n v="0.28789999999999999"/>
    <n v="0.81"/>
    <n v="0"/>
    <x v="0"/>
    <x v="0"/>
    <x v="0"/>
    <x v="0"/>
  </r>
  <r>
    <n v="181"/>
    <n v="40551"/>
    <x v="0"/>
    <x v="0"/>
    <x v="19"/>
    <b v="0"/>
    <n v="6"/>
    <x v="0"/>
    <x v="14"/>
    <n v="0"/>
    <n v="0.28789999999999999"/>
    <n v="0.81"/>
    <n v="0"/>
    <x v="0"/>
    <x v="0"/>
    <x v="0"/>
    <x v="0"/>
  </r>
  <r>
    <n v="182"/>
    <n v="40551"/>
    <x v="0"/>
    <x v="0"/>
    <x v="20"/>
    <b v="0"/>
    <n v="6"/>
    <x v="0"/>
    <x v="16"/>
    <n v="0"/>
    <n v="0.28789999999999999"/>
    <n v="0.81"/>
    <n v="0"/>
    <x v="0"/>
    <x v="0"/>
    <x v="0"/>
    <x v="0"/>
  </r>
  <r>
    <n v="183"/>
    <n v="40551"/>
    <x v="0"/>
    <x v="0"/>
    <x v="21"/>
    <b v="0"/>
    <n v="6"/>
    <x v="0"/>
    <x v="16"/>
    <n v="0"/>
    <n v="0.28789999999999999"/>
    <n v="0.81"/>
    <n v="0"/>
    <x v="0"/>
    <x v="0"/>
    <x v="0"/>
    <x v="0"/>
  </r>
  <r>
    <n v="184"/>
    <n v="40551"/>
    <x v="0"/>
    <x v="0"/>
    <x v="22"/>
    <b v="0"/>
    <n v="6"/>
    <x v="0"/>
    <x v="16"/>
    <n v="0"/>
    <n v="0.28789999999999999"/>
    <n v="0.81"/>
    <n v="0"/>
    <x v="0"/>
    <x v="0"/>
    <x v="0"/>
    <x v="0"/>
  </r>
  <r>
    <n v="185"/>
    <n v="40551"/>
    <x v="0"/>
    <x v="0"/>
    <x v="23"/>
    <b v="0"/>
    <n v="6"/>
    <x v="0"/>
    <x v="18"/>
    <n v="0"/>
    <n v="0.28789999999999999"/>
    <n v="0.81"/>
    <n v="0"/>
    <x v="0"/>
    <x v="0"/>
    <x v="0"/>
    <x v="0"/>
  </r>
  <r>
    <n v="186"/>
    <n v="40552"/>
    <x v="0"/>
    <x v="0"/>
    <x v="0"/>
    <b v="0"/>
    <n v="0"/>
    <x v="0"/>
    <x v="18"/>
    <n v="0"/>
    <n v="0.28789999999999999"/>
    <n v="0.81"/>
    <n v="0"/>
    <x v="0"/>
    <x v="0"/>
    <x v="0"/>
    <x v="1"/>
  </r>
  <r>
    <n v="187"/>
    <n v="40552"/>
    <x v="0"/>
    <x v="0"/>
    <x v="1"/>
    <b v="0"/>
    <n v="0"/>
    <x v="0"/>
    <x v="18"/>
    <n v="0"/>
    <n v="0.28789999999999999"/>
    <n v="0.81"/>
    <n v="0"/>
    <x v="0"/>
    <x v="0"/>
    <x v="0"/>
    <x v="1"/>
  </r>
  <r>
    <n v="188"/>
    <n v="40552"/>
    <x v="0"/>
    <x v="0"/>
    <x v="2"/>
    <b v="0"/>
    <n v="0"/>
    <x v="0"/>
    <x v="18"/>
    <n v="0"/>
    <n v="0.28789999999999999"/>
    <n v="0.81"/>
    <n v="0"/>
    <x v="0"/>
    <x v="0"/>
    <x v="0"/>
    <x v="1"/>
  </r>
  <r>
    <n v="189"/>
    <n v="40552"/>
    <x v="0"/>
    <x v="0"/>
    <x v="3"/>
    <b v="0"/>
    <n v="0"/>
    <x v="0"/>
    <x v="18"/>
    <n v="0"/>
    <n v="0.28789999999999999"/>
    <n v="0.81"/>
    <n v="0"/>
    <x v="0"/>
    <x v="0"/>
    <x v="0"/>
    <x v="1"/>
  </r>
  <r>
    <n v="190"/>
    <n v="40552"/>
    <x v="0"/>
    <x v="0"/>
    <x v="4"/>
    <b v="0"/>
    <n v="0"/>
    <x v="0"/>
    <x v="19"/>
    <n v="0"/>
    <n v="0.28789999999999999"/>
    <n v="0.81"/>
    <n v="0"/>
    <x v="0"/>
    <x v="0"/>
    <x v="0"/>
    <x v="1"/>
  </r>
  <r>
    <n v="191"/>
    <n v="40552"/>
    <x v="0"/>
    <x v="0"/>
    <x v="5"/>
    <b v="0"/>
    <n v="0"/>
    <x v="0"/>
    <x v="19"/>
    <n v="0"/>
    <n v="0.28789999999999999"/>
    <n v="0.81"/>
    <n v="0"/>
    <x v="0"/>
    <x v="0"/>
    <x v="0"/>
    <x v="1"/>
  </r>
  <r>
    <n v="192"/>
    <n v="40552"/>
    <x v="0"/>
    <x v="0"/>
    <x v="6"/>
    <b v="0"/>
    <n v="0"/>
    <x v="0"/>
    <x v="18"/>
    <n v="0"/>
    <n v="0.28789999999999999"/>
    <n v="0.81"/>
    <n v="0"/>
    <x v="0"/>
    <x v="0"/>
    <x v="0"/>
    <x v="1"/>
  </r>
  <r>
    <n v="193"/>
    <n v="40552"/>
    <x v="0"/>
    <x v="0"/>
    <x v="7"/>
    <b v="0"/>
    <n v="0"/>
    <x v="0"/>
    <x v="19"/>
    <n v="0"/>
    <n v="0.28789999999999999"/>
    <n v="0.81"/>
    <n v="0"/>
    <x v="0"/>
    <x v="0"/>
    <x v="0"/>
    <x v="1"/>
  </r>
  <r>
    <n v="194"/>
    <n v="40552"/>
    <x v="0"/>
    <x v="0"/>
    <x v="8"/>
    <b v="0"/>
    <n v="0"/>
    <x v="0"/>
    <x v="18"/>
    <n v="0"/>
    <n v="0.28789999999999999"/>
    <n v="0.81"/>
    <n v="0"/>
    <x v="0"/>
    <x v="0"/>
    <x v="0"/>
    <x v="1"/>
  </r>
  <r>
    <n v="195"/>
    <n v="40552"/>
    <x v="0"/>
    <x v="0"/>
    <x v="9"/>
    <b v="0"/>
    <n v="0"/>
    <x v="0"/>
    <x v="16"/>
    <n v="0"/>
    <n v="0.28789999999999999"/>
    <n v="0.81"/>
    <n v="0"/>
    <x v="0"/>
    <x v="0"/>
    <x v="0"/>
    <x v="1"/>
  </r>
  <r>
    <n v="196"/>
    <n v="40552"/>
    <x v="0"/>
    <x v="0"/>
    <x v="10"/>
    <b v="0"/>
    <n v="0"/>
    <x v="0"/>
    <x v="14"/>
    <n v="0"/>
    <n v="0.28789999999999999"/>
    <n v="0.81"/>
    <n v="0"/>
    <x v="0"/>
    <x v="0"/>
    <x v="0"/>
    <x v="1"/>
  </r>
  <r>
    <n v="197"/>
    <n v="40552"/>
    <x v="0"/>
    <x v="0"/>
    <x v="11"/>
    <b v="0"/>
    <n v="0"/>
    <x v="0"/>
    <x v="13"/>
    <n v="0"/>
    <n v="0.28789999999999999"/>
    <n v="0.81"/>
    <n v="0"/>
    <x v="0"/>
    <x v="0"/>
    <x v="0"/>
    <x v="1"/>
  </r>
  <r>
    <n v="198"/>
    <n v="40552"/>
    <x v="0"/>
    <x v="0"/>
    <x v="12"/>
    <b v="0"/>
    <n v="0"/>
    <x v="0"/>
    <x v="15"/>
    <n v="0"/>
    <n v="0.28789999999999999"/>
    <n v="0.81"/>
    <n v="0"/>
    <x v="0"/>
    <x v="0"/>
    <x v="0"/>
    <x v="1"/>
  </r>
  <r>
    <n v="199"/>
    <n v="40552"/>
    <x v="0"/>
    <x v="0"/>
    <x v="13"/>
    <b v="0"/>
    <n v="0"/>
    <x v="0"/>
    <x v="2"/>
    <n v="0"/>
    <n v="0.28789999999999999"/>
    <n v="0.81"/>
    <n v="0"/>
    <x v="0"/>
    <x v="0"/>
    <x v="0"/>
    <x v="1"/>
  </r>
  <r>
    <n v="200"/>
    <n v="40552"/>
    <x v="0"/>
    <x v="0"/>
    <x v="14"/>
    <b v="0"/>
    <n v="0"/>
    <x v="0"/>
    <x v="1"/>
    <n v="0"/>
    <n v="0.28789999999999999"/>
    <n v="0.81"/>
    <n v="0"/>
    <x v="0"/>
    <x v="0"/>
    <x v="0"/>
    <x v="1"/>
  </r>
  <r>
    <n v="201"/>
    <n v="40552"/>
    <x v="0"/>
    <x v="0"/>
    <x v="15"/>
    <b v="0"/>
    <n v="0"/>
    <x v="0"/>
    <x v="1"/>
    <n v="0"/>
    <n v="0.28789999999999999"/>
    <n v="0.81"/>
    <n v="0"/>
    <x v="0"/>
    <x v="0"/>
    <x v="0"/>
    <x v="1"/>
  </r>
  <r>
    <n v="202"/>
    <n v="40552"/>
    <x v="0"/>
    <x v="0"/>
    <x v="16"/>
    <b v="0"/>
    <n v="0"/>
    <x v="0"/>
    <x v="2"/>
    <n v="0"/>
    <n v="0.28789999999999999"/>
    <n v="0.81"/>
    <n v="0"/>
    <x v="0"/>
    <x v="0"/>
    <x v="0"/>
    <x v="1"/>
  </r>
  <r>
    <n v="203"/>
    <n v="40552"/>
    <x v="0"/>
    <x v="0"/>
    <x v="17"/>
    <b v="0"/>
    <n v="0"/>
    <x v="0"/>
    <x v="15"/>
    <n v="0"/>
    <n v="0.28789999999999999"/>
    <n v="0.81"/>
    <n v="0"/>
    <x v="0"/>
    <x v="0"/>
    <x v="0"/>
    <x v="1"/>
  </r>
  <r>
    <n v="204"/>
    <n v="40552"/>
    <x v="0"/>
    <x v="0"/>
    <x v="18"/>
    <b v="0"/>
    <n v="0"/>
    <x v="0"/>
    <x v="13"/>
    <n v="0"/>
    <n v="0.28789999999999999"/>
    <n v="0.81"/>
    <n v="0"/>
    <x v="0"/>
    <x v="0"/>
    <x v="0"/>
    <x v="1"/>
  </r>
  <r>
    <n v="205"/>
    <n v="40552"/>
    <x v="0"/>
    <x v="0"/>
    <x v="19"/>
    <b v="0"/>
    <n v="0"/>
    <x v="0"/>
    <x v="13"/>
    <n v="0"/>
    <n v="0.28789999999999999"/>
    <n v="0.81"/>
    <n v="0"/>
    <x v="0"/>
    <x v="0"/>
    <x v="0"/>
    <x v="1"/>
  </r>
  <r>
    <n v="206"/>
    <n v="40552"/>
    <x v="0"/>
    <x v="0"/>
    <x v="20"/>
    <b v="0"/>
    <n v="0"/>
    <x v="0"/>
    <x v="14"/>
    <n v="0"/>
    <n v="0.28789999999999999"/>
    <n v="0.81"/>
    <n v="0"/>
    <x v="0"/>
    <x v="0"/>
    <x v="0"/>
    <x v="1"/>
  </r>
  <r>
    <n v="207"/>
    <n v="40552"/>
    <x v="0"/>
    <x v="0"/>
    <x v="21"/>
    <b v="0"/>
    <n v="0"/>
    <x v="0"/>
    <x v="14"/>
    <n v="0"/>
    <n v="0.28789999999999999"/>
    <n v="0.81"/>
    <n v="0"/>
    <x v="0"/>
    <x v="0"/>
    <x v="0"/>
    <x v="1"/>
  </r>
  <r>
    <n v="208"/>
    <n v="40552"/>
    <x v="0"/>
    <x v="0"/>
    <x v="22"/>
    <b v="0"/>
    <n v="0"/>
    <x v="0"/>
    <x v="14"/>
    <n v="0"/>
    <n v="0.28789999999999999"/>
    <n v="0.81"/>
    <n v="0"/>
    <x v="0"/>
    <x v="0"/>
    <x v="0"/>
    <x v="1"/>
  </r>
  <r>
    <n v="209"/>
    <n v="40552"/>
    <x v="0"/>
    <x v="0"/>
    <x v="23"/>
    <b v="0"/>
    <n v="0"/>
    <x v="0"/>
    <x v="16"/>
    <n v="0"/>
    <n v="0.28789999999999999"/>
    <n v="0.81"/>
    <n v="0"/>
    <x v="0"/>
    <x v="0"/>
    <x v="0"/>
    <x v="1"/>
  </r>
  <r>
    <n v="210"/>
    <n v="40553"/>
    <x v="0"/>
    <x v="0"/>
    <x v="0"/>
    <b v="0"/>
    <n v="1"/>
    <x v="0"/>
    <x v="16"/>
    <n v="0"/>
    <n v="0.28789999999999999"/>
    <n v="0.81"/>
    <n v="0"/>
    <x v="0"/>
    <x v="0"/>
    <x v="0"/>
    <x v="1"/>
  </r>
  <r>
    <n v="211"/>
    <n v="40553"/>
    <x v="0"/>
    <x v="0"/>
    <x v="1"/>
    <b v="0"/>
    <n v="1"/>
    <x v="0"/>
    <x v="16"/>
    <n v="0"/>
    <n v="0.28789999999999999"/>
    <n v="0.81"/>
    <n v="0"/>
    <x v="0"/>
    <x v="0"/>
    <x v="0"/>
    <x v="1"/>
  </r>
  <r>
    <n v="212"/>
    <n v="40553"/>
    <x v="0"/>
    <x v="0"/>
    <x v="2"/>
    <b v="0"/>
    <n v="1"/>
    <x v="0"/>
    <x v="16"/>
    <n v="0"/>
    <n v="0.28789999999999999"/>
    <n v="0.81"/>
    <n v="0"/>
    <x v="0"/>
    <x v="0"/>
    <x v="0"/>
    <x v="1"/>
  </r>
  <r>
    <n v="213"/>
    <n v="40553"/>
    <x v="0"/>
    <x v="0"/>
    <x v="3"/>
    <b v="0"/>
    <n v="1"/>
    <x v="0"/>
    <x v="16"/>
    <n v="0"/>
    <n v="0.28789999999999999"/>
    <n v="0.81"/>
    <n v="0"/>
    <x v="0"/>
    <x v="0"/>
    <x v="0"/>
    <x v="1"/>
  </r>
  <r>
    <n v="214"/>
    <n v="40553"/>
    <x v="0"/>
    <x v="0"/>
    <x v="4"/>
    <b v="0"/>
    <n v="1"/>
    <x v="0"/>
    <x v="18"/>
    <n v="0"/>
    <n v="0.28789999999999999"/>
    <n v="0.81"/>
    <n v="0"/>
    <x v="0"/>
    <x v="0"/>
    <x v="0"/>
    <x v="1"/>
  </r>
  <r>
    <n v="215"/>
    <n v="40553"/>
    <x v="0"/>
    <x v="0"/>
    <x v="5"/>
    <b v="0"/>
    <n v="1"/>
    <x v="0"/>
    <x v="18"/>
    <n v="0"/>
    <n v="0.28789999999999999"/>
    <n v="0.81"/>
    <n v="0"/>
    <x v="0"/>
    <x v="0"/>
    <x v="0"/>
    <x v="1"/>
  </r>
  <r>
    <n v="216"/>
    <n v="40553"/>
    <x v="0"/>
    <x v="0"/>
    <x v="6"/>
    <b v="0"/>
    <n v="1"/>
    <x v="0"/>
    <x v="16"/>
    <n v="0"/>
    <n v="0.28789999999999999"/>
    <n v="0.81"/>
    <n v="0"/>
    <x v="0"/>
    <x v="0"/>
    <x v="0"/>
    <x v="1"/>
  </r>
  <r>
    <n v="217"/>
    <n v="40553"/>
    <x v="0"/>
    <x v="0"/>
    <x v="7"/>
    <b v="0"/>
    <n v="1"/>
    <x v="0"/>
    <x v="16"/>
    <n v="0"/>
    <n v="0.28789999999999999"/>
    <n v="0.81"/>
    <n v="0"/>
    <x v="0"/>
    <x v="0"/>
    <x v="0"/>
    <x v="1"/>
  </r>
  <r>
    <n v="218"/>
    <n v="40553"/>
    <x v="0"/>
    <x v="0"/>
    <x v="8"/>
    <b v="0"/>
    <n v="1"/>
    <x v="1"/>
    <x v="16"/>
    <n v="0"/>
    <n v="0.28789999999999999"/>
    <n v="0.81"/>
    <n v="0"/>
    <x v="0"/>
    <x v="0"/>
    <x v="0"/>
    <x v="1"/>
  </r>
  <r>
    <n v="219"/>
    <n v="40553"/>
    <x v="0"/>
    <x v="0"/>
    <x v="9"/>
    <b v="0"/>
    <n v="1"/>
    <x v="1"/>
    <x v="14"/>
    <n v="0"/>
    <n v="0.28789999999999999"/>
    <n v="0.81"/>
    <n v="0"/>
    <x v="0"/>
    <x v="0"/>
    <x v="0"/>
    <x v="1"/>
  </r>
  <r>
    <n v="220"/>
    <n v="40553"/>
    <x v="0"/>
    <x v="0"/>
    <x v="10"/>
    <b v="0"/>
    <n v="1"/>
    <x v="1"/>
    <x v="14"/>
    <n v="0"/>
    <n v="0.28789999999999999"/>
    <n v="0.81"/>
    <n v="0"/>
    <x v="0"/>
    <x v="0"/>
    <x v="0"/>
    <x v="1"/>
  </r>
  <r>
    <n v="221"/>
    <n v="40553"/>
    <x v="0"/>
    <x v="0"/>
    <x v="11"/>
    <b v="0"/>
    <n v="1"/>
    <x v="1"/>
    <x v="13"/>
    <n v="0"/>
    <n v="0.28789999999999999"/>
    <n v="0.81"/>
    <n v="0"/>
    <x v="0"/>
    <x v="0"/>
    <x v="0"/>
    <x v="1"/>
  </r>
  <r>
    <n v="222"/>
    <n v="40553"/>
    <x v="0"/>
    <x v="0"/>
    <x v="12"/>
    <b v="0"/>
    <n v="1"/>
    <x v="1"/>
    <x v="2"/>
    <n v="0"/>
    <n v="0.28789999999999999"/>
    <n v="0.81"/>
    <n v="0"/>
    <x v="0"/>
    <x v="0"/>
    <x v="0"/>
    <x v="1"/>
  </r>
  <r>
    <n v="223"/>
    <n v="40553"/>
    <x v="0"/>
    <x v="0"/>
    <x v="13"/>
    <b v="0"/>
    <n v="1"/>
    <x v="1"/>
    <x v="2"/>
    <n v="0"/>
    <n v="0.28789999999999999"/>
    <n v="0.81"/>
    <n v="0"/>
    <x v="0"/>
    <x v="0"/>
    <x v="0"/>
    <x v="1"/>
  </r>
  <r>
    <n v="224"/>
    <n v="40553"/>
    <x v="0"/>
    <x v="0"/>
    <x v="14"/>
    <b v="0"/>
    <n v="1"/>
    <x v="1"/>
    <x v="2"/>
    <n v="0"/>
    <n v="0.28789999999999999"/>
    <n v="0.81"/>
    <n v="0"/>
    <x v="0"/>
    <x v="0"/>
    <x v="0"/>
    <x v="1"/>
  </r>
  <r>
    <n v="225"/>
    <n v="40553"/>
    <x v="0"/>
    <x v="0"/>
    <x v="15"/>
    <b v="0"/>
    <n v="1"/>
    <x v="1"/>
    <x v="2"/>
    <n v="0"/>
    <n v="0.28789999999999999"/>
    <n v="0.81"/>
    <n v="0"/>
    <x v="0"/>
    <x v="0"/>
    <x v="0"/>
    <x v="1"/>
  </r>
  <r>
    <n v="226"/>
    <n v="40553"/>
    <x v="0"/>
    <x v="0"/>
    <x v="16"/>
    <b v="0"/>
    <n v="1"/>
    <x v="0"/>
    <x v="2"/>
    <n v="0"/>
    <n v="0.28789999999999999"/>
    <n v="0.81"/>
    <n v="0"/>
    <x v="0"/>
    <x v="0"/>
    <x v="0"/>
    <x v="1"/>
  </r>
  <r>
    <n v="227"/>
    <n v="40553"/>
    <x v="0"/>
    <x v="0"/>
    <x v="17"/>
    <b v="0"/>
    <n v="1"/>
    <x v="0"/>
    <x v="2"/>
    <n v="0"/>
    <n v="0.28789999999999999"/>
    <n v="0.81"/>
    <n v="0"/>
    <x v="0"/>
    <x v="0"/>
    <x v="0"/>
    <x v="1"/>
  </r>
  <r>
    <n v="228"/>
    <n v="40553"/>
    <x v="0"/>
    <x v="0"/>
    <x v="18"/>
    <b v="0"/>
    <n v="1"/>
    <x v="0"/>
    <x v="2"/>
    <n v="0"/>
    <n v="0.28789999999999999"/>
    <n v="0.81"/>
    <n v="0"/>
    <x v="0"/>
    <x v="0"/>
    <x v="0"/>
    <x v="1"/>
  </r>
  <r>
    <n v="229"/>
    <n v="40553"/>
    <x v="0"/>
    <x v="0"/>
    <x v="19"/>
    <b v="0"/>
    <n v="1"/>
    <x v="0"/>
    <x v="13"/>
    <n v="0"/>
    <n v="0.28789999999999999"/>
    <n v="0.81"/>
    <n v="0"/>
    <x v="0"/>
    <x v="0"/>
    <x v="0"/>
    <x v="1"/>
  </r>
  <r>
    <n v="230"/>
    <n v="40553"/>
    <x v="0"/>
    <x v="0"/>
    <x v="20"/>
    <b v="0"/>
    <n v="1"/>
    <x v="0"/>
    <x v="13"/>
    <n v="0"/>
    <n v="0.28789999999999999"/>
    <n v="0.81"/>
    <n v="0"/>
    <x v="0"/>
    <x v="0"/>
    <x v="0"/>
    <x v="1"/>
  </r>
  <r>
    <n v="231"/>
    <n v="40553"/>
    <x v="0"/>
    <x v="0"/>
    <x v="21"/>
    <b v="0"/>
    <n v="1"/>
    <x v="0"/>
    <x v="14"/>
    <n v="0"/>
    <n v="0.28789999999999999"/>
    <n v="0.81"/>
    <n v="0"/>
    <x v="0"/>
    <x v="0"/>
    <x v="0"/>
    <x v="1"/>
  </r>
  <r>
    <n v="232"/>
    <n v="40553"/>
    <x v="0"/>
    <x v="0"/>
    <x v="22"/>
    <b v="0"/>
    <n v="1"/>
    <x v="0"/>
    <x v="14"/>
    <n v="0"/>
    <n v="0.28789999999999999"/>
    <n v="0.81"/>
    <n v="0"/>
    <x v="0"/>
    <x v="0"/>
    <x v="0"/>
    <x v="1"/>
  </r>
  <r>
    <n v="233"/>
    <n v="40553"/>
    <x v="0"/>
    <x v="0"/>
    <x v="23"/>
    <b v="0"/>
    <n v="1"/>
    <x v="0"/>
    <x v="14"/>
    <n v="0"/>
    <n v="0.28789999999999999"/>
    <n v="0.81"/>
    <n v="0"/>
    <x v="0"/>
    <x v="0"/>
    <x v="0"/>
    <x v="1"/>
  </r>
  <r>
    <n v="234"/>
    <n v="40554"/>
    <x v="0"/>
    <x v="0"/>
    <x v="0"/>
    <b v="0"/>
    <n v="2"/>
    <x v="0"/>
    <x v="14"/>
    <n v="0"/>
    <n v="0.28789999999999999"/>
    <n v="0.81"/>
    <n v="0"/>
    <x v="0"/>
    <x v="0"/>
    <x v="0"/>
    <x v="1"/>
  </r>
  <r>
    <n v="235"/>
    <n v="40554"/>
    <x v="0"/>
    <x v="0"/>
    <x v="1"/>
    <b v="0"/>
    <n v="2"/>
    <x v="0"/>
    <x v="14"/>
    <n v="0"/>
    <n v="0.28789999999999999"/>
    <n v="0.81"/>
    <n v="0"/>
    <x v="0"/>
    <x v="0"/>
    <x v="0"/>
    <x v="1"/>
  </r>
  <r>
    <n v="236"/>
    <n v="40554"/>
    <x v="0"/>
    <x v="0"/>
    <x v="2"/>
    <b v="0"/>
    <n v="2"/>
    <x v="1"/>
    <x v="13"/>
    <n v="0"/>
    <n v="0.28789999999999999"/>
    <n v="0.81"/>
    <n v="0"/>
    <x v="0"/>
    <x v="0"/>
    <x v="0"/>
    <x v="1"/>
  </r>
  <r>
    <n v="237"/>
    <n v="40554"/>
    <x v="0"/>
    <x v="0"/>
    <x v="5"/>
    <b v="0"/>
    <n v="2"/>
    <x v="1"/>
    <x v="13"/>
    <n v="0"/>
    <n v="0.28789999999999999"/>
    <n v="0.81"/>
    <n v="0"/>
    <x v="0"/>
    <x v="0"/>
    <x v="0"/>
    <x v="1"/>
  </r>
  <r>
    <n v="238"/>
    <n v="40554"/>
    <x v="0"/>
    <x v="0"/>
    <x v="6"/>
    <b v="0"/>
    <n v="2"/>
    <x v="1"/>
    <x v="13"/>
    <n v="0"/>
    <n v="0.28789999999999999"/>
    <n v="0.81"/>
    <n v="0"/>
    <x v="0"/>
    <x v="0"/>
    <x v="0"/>
    <x v="1"/>
  </r>
  <r>
    <n v="239"/>
    <n v="40554"/>
    <x v="0"/>
    <x v="0"/>
    <x v="7"/>
    <b v="0"/>
    <n v="2"/>
    <x v="1"/>
    <x v="13"/>
    <n v="0"/>
    <n v="0.28789999999999999"/>
    <n v="0.81"/>
    <n v="0"/>
    <x v="0"/>
    <x v="0"/>
    <x v="0"/>
    <x v="1"/>
  </r>
  <r>
    <n v="240"/>
    <n v="40554"/>
    <x v="0"/>
    <x v="0"/>
    <x v="8"/>
    <b v="0"/>
    <n v="2"/>
    <x v="1"/>
    <x v="15"/>
    <n v="0"/>
    <n v="0.28789999999999999"/>
    <n v="0.81"/>
    <n v="0"/>
    <x v="0"/>
    <x v="0"/>
    <x v="0"/>
    <x v="1"/>
  </r>
  <r>
    <n v="241"/>
    <n v="40554"/>
    <x v="0"/>
    <x v="0"/>
    <x v="9"/>
    <b v="0"/>
    <n v="2"/>
    <x v="1"/>
    <x v="15"/>
    <n v="0"/>
    <n v="0.28789999999999999"/>
    <n v="0.81"/>
    <n v="0"/>
    <x v="0"/>
    <x v="0"/>
    <x v="0"/>
    <x v="1"/>
  </r>
  <r>
    <n v="242"/>
    <n v="40554"/>
    <x v="0"/>
    <x v="0"/>
    <x v="10"/>
    <b v="0"/>
    <n v="2"/>
    <x v="1"/>
    <x v="2"/>
    <n v="0"/>
    <n v="0.28789999999999999"/>
    <n v="0.81"/>
    <n v="0"/>
    <x v="0"/>
    <x v="0"/>
    <x v="0"/>
    <x v="1"/>
  </r>
  <r>
    <n v="243"/>
    <n v="40554"/>
    <x v="0"/>
    <x v="0"/>
    <x v="11"/>
    <b v="0"/>
    <n v="2"/>
    <x v="1"/>
    <x v="2"/>
    <n v="0"/>
    <n v="0.28789999999999999"/>
    <n v="0.81"/>
    <n v="0"/>
    <x v="0"/>
    <x v="0"/>
    <x v="0"/>
    <x v="1"/>
  </r>
  <r>
    <n v="244"/>
    <n v="40554"/>
    <x v="0"/>
    <x v="0"/>
    <x v="12"/>
    <b v="0"/>
    <n v="2"/>
    <x v="1"/>
    <x v="2"/>
    <n v="0"/>
    <n v="0.28789999999999999"/>
    <n v="0.81"/>
    <n v="0"/>
    <x v="0"/>
    <x v="0"/>
    <x v="0"/>
    <x v="1"/>
  </r>
  <r>
    <n v="245"/>
    <n v="40554"/>
    <x v="0"/>
    <x v="0"/>
    <x v="13"/>
    <b v="0"/>
    <n v="2"/>
    <x v="1"/>
    <x v="2"/>
    <n v="0"/>
    <n v="0.28789999999999999"/>
    <n v="0.81"/>
    <n v="0"/>
    <x v="0"/>
    <x v="0"/>
    <x v="0"/>
    <x v="1"/>
  </r>
  <r>
    <n v="246"/>
    <n v="40554"/>
    <x v="0"/>
    <x v="0"/>
    <x v="14"/>
    <b v="0"/>
    <n v="2"/>
    <x v="1"/>
    <x v="2"/>
    <n v="0"/>
    <n v="0.28789999999999999"/>
    <n v="0.81"/>
    <n v="0"/>
    <x v="0"/>
    <x v="0"/>
    <x v="0"/>
    <x v="1"/>
  </r>
  <r>
    <n v="247"/>
    <n v="40554"/>
    <x v="0"/>
    <x v="0"/>
    <x v="15"/>
    <b v="0"/>
    <n v="2"/>
    <x v="1"/>
    <x v="13"/>
    <n v="0"/>
    <n v="0.28789999999999999"/>
    <n v="0.81"/>
    <n v="0"/>
    <x v="0"/>
    <x v="0"/>
    <x v="0"/>
    <x v="1"/>
  </r>
  <r>
    <n v="248"/>
    <n v="40554"/>
    <x v="0"/>
    <x v="0"/>
    <x v="16"/>
    <b v="0"/>
    <n v="2"/>
    <x v="1"/>
    <x v="13"/>
    <n v="0"/>
    <n v="0.28789999999999999"/>
    <n v="0.81"/>
    <n v="0"/>
    <x v="0"/>
    <x v="0"/>
    <x v="0"/>
    <x v="1"/>
  </r>
  <r>
    <n v="249"/>
    <n v="40554"/>
    <x v="0"/>
    <x v="0"/>
    <x v="17"/>
    <b v="0"/>
    <n v="2"/>
    <x v="1"/>
    <x v="13"/>
    <n v="0"/>
    <n v="0.28789999999999999"/>
    <n v="0.81"/>
    <n v="0"/>
    <x v="0"/>
    <x v="0"/>
    <x v="0"/>
    <x v="1"/>
  </r>
  <r>
    <n v="250"/>
    <n v="40554"/>
    <x v="0"/>
    <x v="0"/>
    <x v="18"/>
    <b v="0"/>
    <n v="2"/>
    <x v="2"/>
    <x v="13"/>
    <n v="0"/>
    <n v="0.28789999999999999"/>
    <n v="0.81"/>
    <n v="0"/>
    <x v="0"/>
    <x v="0"/>
    <x v="0"/>
    <x v="1"/>
  </r>
  <r>
    <n v="251"/>
    <n v="40554"/>
    <x v="0"/>
    <x v="0"/>
    <x v="19"/>
    <b v="0"/>
    <n v="2"/>
    <x v="2"/>
    <x v="13"/>
    <n v="0"/>
    <n v="0.28789999999999999"/>
    <n v="0.81"/>
    <n v="0"/>
    <x v="0"/>
    <x v="0"/>
    <x v="0"/>
    <x v="1"/>
  </r>
  <r>
    <n v="252"/>
    <n v="40554"/>
    <x v="0"/>
    <x v="0"/>
    <x v="20"/>
    <b v="0"/>
    <n v="2"/>
    <x v="2"/>
    <x v="13"/>
    <n v="0"/>
    <n v="0.28789999999999999"/>
    <n v="0.81"/>
    <n v="0"/>
    <x v="0"/>
    <x v="0"/>
    <x v="0"/>
    <x v="1"/>
  </r>
  <r>
    <n v="253"/>
    <n v="40554"/>
    <x v="0"/>
    <x v="0"/>
    <x v="21"/>
    <b v="0"/>
    <n v="2"/>
    <x v="2"/>
    <x v="13"/>
    <n v="0"/>
    <n v="0.28789999999999999"/>
    <n v="0.81"/>
    <n v="0"/>
    <x v="0"/>
    <x v="0"/>
    <x v="0"/>
    <x v="1"/>
  </r>
  <r>
    <n v="254"/>
    <n v="40554"/>
    <x v="0"/>
    <x v="0"/>
    <x v="22"/>
    <b v="0"/>
    <n v="2"/>
    <x v="2"/>
    <x v="13"/>
    <n v="0"/>
    <n v="0.28789999999999999"/>
    <n v="0.81"/>
    <n v="0"/>
    <x v="0"/>
    <x v="0"/>
    <x v="0"/>
    <x v="1"/>
  </r>
  <r>
    <n v="255"/>
    <n v="40554"/>
    <x v="0"/>
    <x v="0"/>
    <x v="23"/>
    <b v="0"/>
    <n v="2"/>
    <x v="2"/>
    <x v="13"/>
    <n v="0"/>
    <n v="0.28789999999999999"/>
    <n v="0.81"/>
    <n v="0"/>
    <x v="0"/>
    <x v="0"/>
    <x v="0"/>
    <x v="1"/>
  </r>
  <r>
    <n v="256"/>
    <n v="40555"/>
    <x v="0"/>
    <x v="0"/>
    <x v="0"/>
    <b v="0"/>
    <n v="3"/>
    <x v="1"/>
    <x v="13"/>
    <n v="0"/>
    <n v="0.28789999999999999"/>
    <n v="0.81"/>
    <n v="0"/>
    <x v="0"/>
    <x v="0"/>
    <x v="0"/>
    <x v="1"/>
  </r>
  <r>
    <n v="257"/>
    <n v="40555"/>
    <x v="0"/>
    <x v="0"/>
    <x v="1"/>
    <b v="0"/>
    <n v="3"/>
    <x v="1"/>
    <x v="13"/>
    <n v="0"/>
    <n v="0.28789999999999999"/>
    <n v="0.81"/>
    <n v="0"/>
    <x v="0"/>
    <x v="0"/>
    <x v="0"/>
    <x v="1"/>
  </r>
  <r>
    <n v="258"/>
    <n v="40555"/>
    <x v="0"/>
    <x v="0"/>
    <x v="2"/>
    <b v="0"/>
    <n v="3"/>
    <x v="0"/>
    <x v="14"/>
    <n v="0"/>
    <n v="0.28789999999999999"/>
    <n v="0.81"/>
    <n v="0"/>
    <x v="0"/>
    <x v="0"/>
    <x v="0"/>
    <x v="1"/>
  </r>
  <r>
    <n v="259"/>
    <n v="40555"/>
    <x v="0"/>
    <x v="0"/>
    <x v="5"/>
    <b v="0"/>
    <n v="3"/>
    <x v="0"/>
    <x v="14"/>
    <n v="0"/>
    <n v="0.28789999999999999"/>
    <n v="0.81"/>
    <n v="0"/>
    <x v="0"/>
    <x v="0"/>
    <x v="0"/>
    <x v="1"/>
  </r>
  <r>
    <n v="260"/>
    <n v="40555"/>
    <x v="0"/>
    <x v="0"/>
    <x v="6"/>
    <b v="0"/>
    <n v="3"/>
    <x v="0"/>
    <x v="16"/>
    <n v="0"/>
    <n v="0.28789999999999999"/>
    <n v="0.81"/>
    <n v="0"/>
    <x v="0"/>
    <x v="0"/>
    <x v="0"/>
    <x v="1"/>
  </r>
  <r>
    <n v="261"/>
    <n v="40555"/>
    <x v="0"/>
    <x v="0"/>
    <x v="7"/>
    <b v="0"/>
    <n v="3"/>
    <x v="0"/>
    <x v="14"/>
    <n v="0"/>
    <n v="0.28789999999999999"/>
    <n v="0.81"/>
    <n v="0"/>
    <x v="0"/>
    <x v="0"/>
    <x v="0"/>
    <x v="1"/>
  </r>
  <r>
    <n v="262"/>
    <n v="40555"/>
    <x v="0"/>
    <x v="0"/>
    <x v="8"/>
    <b v="0"/>
    <n v="3"/>
    <x v="0"/>
    <x v="13"/>
    <n v="0"/>
    <n v="0.28789999999999999"/>
    <n v="0.81"/>
    <n v="0"/>
    <x v="0"/>
    <x v="0"/>
    <x v="0"/>
    <x v="1"/>
  </r>
  <r>
    <n v="263"/>
    <n v="40555"/>
    <x v="0"/>
    <x v="0"/>
    <x v="9"/>
    <b v="0"/>
    <n v="3"/>
    <x v="0"/>
    <x v="13"/>
    <n v="0"/>
    <n v="0.28789999999999999"/>
    <n v="0.81"/>
    <n v="0"/>
    <x v="0"/>
    <x v="0"/>
    <x v="0"/>
    <x v="1"/>
  </r>
  <r>
    <n v="264"/>
    <n v="40555"/>
    <x v="0"/>
    <x v="0"/>
    <x v="10"/>
    <b v="0"/>
    <n v="3"/>
    <x v="0"/>
    <x v="15"/>
    <n v="0"/>
    <n v="0.28789999999999999"/>
    <n v="0.81"/>
    <n v="0"/>
    <x v="0"/>
    <x v="0"/>
    <x v="0"/>
    <x v="1"/>
  </r>
  <r>
    <n v="265"/>
    <n v="40555"/>
    <x v="0"/>
    <x v="0"/>
    <x v="11"/>
    <b v="0"/>
    <n v="3"/>
    <x v="0"/>
    <x v="2"/>
    <n v="0"/>
    <n v="0.28789999999999999"/>
    <n v="0.81"/>
    <n v="0"/>
    <x v="0"/>
    <x v="0"/>
    <x v="0"/>
    <x v="1"/>
  </r>
  <r>
    <n v="266"/>
    <n v="40555"/>
    <x v="0"/>
    <x v="0"/>
    <x v="12"/>
    <b v="0"/>
    <n v="3"/>
    <x v="0"/>
    <x v="2"/>
    <n v="0"/>
    <n v="0.28789999999999999"/>
    <n v="0.81"/>
    <n v="0"/>
    <x v="0"/>
    <x v="0"/>
    <x v="0"/>
    <x v="1"/>
  </r>
  <r>
    <n v="267"/>
    <n v="40555"/>
    <x v="0"/>
    <x v="0"/>
    <x v="13"/>
    <b v="0"/>
    <n v="3"/>
    <x v="0"/>
    <x v="1"/>
    <n v="0"/>
    <n v="0.28789999999999999"/>
    <n v="0.81"/>
    <n v="0"/>
    <x v="0"/>
    <x v="0"/>
    <x v="0"/>
    <x v="1"/>
  </r>
  <r>
    <n v="268"/>
    <n v="40555"/>
    <x v="0"/>
    <x v="0"/>
    <x v="14"/>
    <b v="0"/>
    <n v="3"/>
    <x v="0"/>
    <x v="2"/>
    <n v="0"/>
    <n v="0.28789999999999999"/>
    <n v="0.81"/>
    <n v="0"/>
    <x v="0"/>
    <x v="0"/>
    <x v="0"/>
    <x v="1"/>
  </r>
  <r>
    <n v="269"/>
    <n v="40555"/>
    <x v="0"/>
    <x v="0"/>
    <x v="15"/>
    <b v="0"/>
    <n v="3"/>
    <x v="0"/>
    <x v="2"/>
    <n v="0"/>
    <n v="0.28789999999999999"/>
    <n v="0.81"/>
    <n v="0"/>
    <x v="0"/>
    <x v="0"/>
    <x v="0"/>
    <x v="1"/>
  </r>
  <r>
    <n v="270"/>
    <n v="40555"/>
    <x v="0"/>
    <x v="0"/>
    <x v="16"/>
    <b v="0"/>
    <n v="3"/>
    <x v="0"/>
    <x v="1"/>
    <n v="0"/>
    <n v="0.28789999999999999"/>
    <n v="0.81"/>
    <n v="0"/>
    <x v="0"/>
    <x v="0"/>
    <x v="0"/>
    <x v="1"/>
  </r>
  <r>
    <n v="271"/>
    <n v="40555"/>
    <x v="0"/>
    <x v="0"/>
    <x v="17"/>
    <b v="0"/>
    <n v="3"/>
    <x v="0"/>
    <x v="2"/>
    <n v="0"/>
    <n v="0.28789999999999999"/>
    <n v="0.81"/>
    <n v="0"/>
    <x v="0"/>
    <x v="0"/>
    <x v="0"/>
    <x v="1"/>
  </r>
  <r>
    <n v="272"/>
    <n v="40555"/>
    <x v="0"/>
    <x v="0"/>
    <x v="18"/>
    <b v="0"/>
    <n v="3"/>
    <x v="0"/>
    <x v="2"/>
    <n v="0"/>
    <n v="0.28789999999999999"/>
    <n v="0.81"/>
    <n v="0"/>
    <x v="0"/>
    <x v="0"/>
    <x v="0"/>
    <x v="1"/>
  </r>
  <r>
    <n v="273"/>
    <n v="40555"/>
    <x v="0"/>
    <x v="0"/>
    <x v="19"/>
    <b v="0"/>
    <n v="3"/>
    <x v="0"/>
    <x v="15"/>
    <n v="0"/>
    <n v="0.28789999999999999"/>
    <n v="0.81"/>
    <n v="0"/>
    <x v="0"/>
    <x v="0"/>
    <x v="0"/>
    <x v="1"/>
  </r>
  <r>
    <n v="274"/>
    <n v="40555"/>
    <x v="0"/>
    <x v="0"/>
    <x v="20"/>
    <b v="0"/>
    <n v="3"/>
    <x v="0"/>
    <x v="13"/>
    <n v="0"/>
    <n v="0.28789999999999999"/>
    <n v="0.81"/>
    <n v="0"/>
    <x v="0"/>
    <x v="0"/>
    <x v="0"/>
    <x v="1"/>
  </r>
  <r>
    <n v="275"/>
    <n v="40555"/>
    <x v="0"/>
    <x v="0"/>
    <x v="21"/>
    <b v="0"/>
    <n v="3"/>
    <x v="0"/>
    <x v="13"/>
    <n v="0"/>
    <n v="0.28789999999999999"/>
    <n v="0.81"/>
    <n v="0"/>
    <x v="0"/>
    <x v="0"/>
    <x v="0"/>
    <x v="1"/>
  </r>
  <r>
    <n v="276"/>
    <n v="40555"/>
    <x v="0"/>
    <x v="0"/>
    <x v="22"/>
    <b v="0"/>
    <n v="3"/>
    <x v="0"/>
    <x v="13"/>
    <n v="0"/>
    <n v="0.28789999999999999"/>
    <n v="0.81"/>
    <n v="0"/>
    <x v="0"/>
    <x v="0"/>
    <x v="0"/>
    <x v="1"/>
  </r>
  <r>
    <n v="277"/>
    <n v="40555"/>
    <x v="0"/>
    <x v="0"/>
    <x v="23"/>
    <b v="0"/>
    <n v="3"/>
    <x v="0"/>
    <x v="14"/>
    <n v="0"/>
    <n v="0.28789999999999999"/>
    <n v="0.81"/>
    <n v="0"/>
    <x v="0"/>
    <x v="0"/>
    <x v="0"/>
    <x v="1"/>
  </r>
  <r>
    <n v="278"/>
    <n v="40556"/>
    <x v="0"/>
    <x v="0"/>
    <x v="0"/>
    <b v="0"/>
    <n v="4"/>
    <x v="0"/>
    <x v="14"/>
    <n v="0"/>
    <n v="0.28789999999999999"/>
    <n v="0.81"/>
    <n v="0"/>
    <x v="0"/>
    <x v="0"/>
    <x v="0"/>
    <x v="1"/>
  </r>
  <r>
    <n v="279"/>
    <n v="40556"/>
    <x v="0"/>
    <x v="0"/>
    <x v="1"/>
    <b v="0"/>
    <n v="4"/>
    <x v="0"/>
    <x v="14"/>
    <n v="0"/>
    <n v="0.28789999999999999"/>
    <n v="0.81"/>
    <n v="0"/>
    <x v="0"/>
    <x v="0"/>
    <x v="0"/>
    <x v="1"/>
  </r>
  <r>
    <n v="280"/>
    <n v="40556"/>
    <x v="0"/>
    <x v="0"/>
    <x v="2"/>
    <b v="0"/>
    <n v="4"/>
    <x v="0"/>
    <x v="14"/>
    <n v="0"/>
    <n v="0.28789999999999999"/>
    <n v="0.81"/>
    <n v="0"/>
    <x v="0"/>
    <x v="0"/>
    <x v="0"/>
    <x v="1"/>
  </r>
  <r>
    <n v="281"/>
    <n v="40556"/>
    <x v="0"/>
    <x v="0"/>
    <x v="3"/>
    <b v="0"/>
    <n v="4"/>
    <x v="0"/>
    <x v="14"/>
    <n v="0"/>
    <n v="0.28789999999999999"/>
    <n v="0.81"/>
    <n v="0"/>
    <x v="0"/>
    <x v="0"/>
    <x v="0"/>
    <x v="1"/>
  </r>
  <r>
    <n v="282"/>
    <n v="40556"/>
    <x v="0"/>
    <x v="0"/>
    <x v="4"/>
    <b v="0"/>
    <n v="4"/>
    <x v="0"/>
    <x v="14"/>
    <n v="0"/>
    <n v="0.28789999999999999"/>
    <n v="0.81"/>
    <n v="0"/>
    <x v="0"/>
    <x v="0"/>
    <x v="0"/>
    <x v="1"/>
  </r>
  <r>
    <n v="283"/>
    <n v="40556"/>
    <x v="0"/>
    <x v="0"/>
    <x v="5"/>
    <b v="0"/>
    <n v="4"/>
    <x v="0"/>
    <x v="14"/>
    <n v="0"/>
    <n v="0.28789999999999999"/>
    <n v="0.81"/>
    <n v="0"/>
    <x v="0"/>
    <x v="0"/>
    <x v="0"/>
    <x v="1"/>
  </r>
  <r>
    <n v="284"/>
    <n v="40556"/>
    <x v="0"/>
    <x v="0"/>
    <x v="6"/>
    <b v="0"/>
    <n v="4"/>
    <x v="0"/>
    <x v="16"/>
    <n v="0"/>
    <n v="0.28789999999999999"/>
    <n v="0.81"/>
    <n v="0"/>
    <x v="0"/>
    <x v="0"/>
    <x v="0"/>
    <x v="1"/>
  </r>
  <r>
    <n v="285"/>
    <n v="40556"/>
    <x v="0"/>
    <x v="0"/>
    <x v="7"/>
    <b v="0"/>
    <n v="4"/>
    <x v="0"/>
    <x v="16"/>
    <n v="0"/>
    <n v="0.28789999999999999"/>
    <n v="0.81"/>
    <n v="0"/>
    <x v="0"/>
    <x v="0"/>
    <x v="0"/>
    <x v="1"/>
  </r>
  <r>
    <n v="286"/>
    <n v="40556"/>
    <x v="0"/>
    <x v="0"/>
    <x v="8"/>
    <b v="0"/>
    <n v="4"/>
    <x v="0"/>
    <x v="14"/>
    <n v="0"/>
    <n v="0.28789999999999999"/>
    <n v="0.81"/>
    <n v="0"/>
    <x v="0"/>
    <x v="0"/>
    <x v="0"/>
    <x v="1"/>
  </r>
  <r>
    <n v="287"/>
    <n v="40556"/>
    <x v="0"/>
    <x v="0"/>
    <x v="9"/>
    <b v="0"/>
    <n v="4"/>
    <x v="0"/>
    <x v="14"/>
    <n v="0"/>
    <n v="0.28789999999999999"/>
    <n v="0.81"/>
    <n v="0"/>
    <x v="0"/>
    <x v="0"/>
    <x v="0"/>
    <x v="1"/>
  </r>
  <r>
    <n v="288"/>
    <n v="40556"/>
    <x v="0"/>
    <x v="0"/>
    <x v="10"/>
    <b v="0"/>
    <n v="4"/>
    <x v="1"/>
    <x v="13"/>
    <n v="0"/>
    <n v="0.28789999999999999"/>
    <n v="0.81"/>
    <n v="0"/>
    <x v="0"/>
    <x v="0"/>
    <x v="0"/>
    <x v="1"/>
  </r>
  <r>
    <n v="289"/>
    <n v="40556"/>
    <x v="0"/>
    <x v="0"/>
    <x v="11"/>
    <b v="0"/>
    <n v="4"/>
    <x v="1"/>
    <x v="2"/>
    <n v="0"/>
    <n v="0.28789999999999999"/>
    <n v="0.81"/>
    <n v="0"/>
    <x v="0"/>
    <x v="0"/>
    <x v="0"/>
    <x v="1"/>
  </r>
  <r>
    <n v="290"/>
    <n v="40556"/>
    <x v="0"/>
    <x v="0"/>
    <x v="12"/>
    <b v="0"/>
    <n v="4"/>
    <x v="0"/>
    <x v="2"/>
    <n v="0"/>
    <n v="0.28789999999999999"/>
    <n v="0.81"/>
    <n v="0"/>
    <x v="0"/>
    <x v="0"/>
    <x v="0"/>
    <x v="1"/>
  </r>
  <r>
    <n v="291"/>
    <n v="40556"/>
    <x v="0"/>
    <x v="0"/>
    <x v="13"/>
    <b v="0"/>
    <n v="4"/>
    <x v="0"/>
    <x v="1"/>
    <n v="0"/>
    <n v="0.28789999999999999"/>
    <n v="0.81"/>
    <n v="0"/>
    <x v="0"/>
    <x v="0"/>
    <x v="0"/>
    <x v="1"/>
  </r>
  <r>
    <n v="292"/>
    <n v="40556"/>
    <x v="0"/>
    <x v="0"/>
    <x v="14"/>
    <b v="0"/>
    <n v="4"/>
    <x v="0"/>
    <x v="1"/>
    <n v="0"/>
    <n v="0.28789999999999999"/>
    <n v="0.81"/>
    <n v="0"/>
    <x v="0"/>
    <x v="0"/>
    <x v="0"/>
    <x v="1"/>
  </r>
  <r>
    <n v="293"/>
    <n v="40556"/>
    <x v="0"/>
    <x v="0"/>
    <x v="15"/>
    <b v="0"/>
    <n v="4"/>
    <x v="0"/>
    <x v="0"/>
    <n v="0"/>
    <n v="0.28789999999999999"/>
    <n v="0.81"/>
    <n v="0"/>
    <x v="0"/>
    <x v="0"/>
    <x v="0"/>
    <x v="1"/>
  </r>
  <r>
    <n v="294"/>
    <n v="40556"/>
    <x v="0"/>
    <x v="0"/>
    <x v="16"/>
    <b v="0"/>
    <n v="4"/>
    <x v="0"/>
    <x v="0"/>
    <n v="0"/>
    <n v="0.28789999999999999"/>
    <n v="0.81"/>
    <n v="0"/>
    <x v="0"/>
    <x v="0"/>
    <x v="0"/>
    <x v="1"/>
  </r>
  <r>
    <n v="295"/>
    <n v="40556"/>
    <x v="0"/>
    <x v="0"/>
    <x v="17"/>
    <b v="0"/>
    <n v="4"/>
    <x v="0"/>
    <x v="2"/>
    <n v="0"/>
    <n v="0.28789999999999999"/>
    <n v="0.81"/>
    <n v="0"/>
    <x v="0"/>
    <x v="0"/>
    <x v="0"/>
    <x v="1"/>
  </r>
  <r>
    <n v="296"/>
    <n v="40556"/>
    <x v="0"/>
    <x v="0"/>
    <x v="18"/>
    <b v="0"/>
    <n v="4"/>
    <x v="0"/>
    <x v="2"/>
    <n v="0"/>
    <n v="0.28789999999999999"/>
    <n v="0.81"/>
    <n v="0"/>
    <x v="0"/>
    <x v="0"/>
    <x v="0"/>
    <x v="1"/>
  </r>
  <r>
    <n v="297"/>
    <n v="40556"/>
    <x v="0"/>
    <x v="0"/>
    <x v="19"/>
    <b v="0"/>
    <n v="4"/>
    <x v="0"/>
    <x v="13"/>
    <n v="0"/>
    <n v="0.28789999999999999"/>
    <n v="0.81"/>
    <n v="0"/>
    <x v="0"/>
    <x v="0"/>
    <x v="0"/>
    <x v="1"/>
  </r>
  <r>
    <n v="298"/>
    <n v="40556"/>
    <x v="0"/>
    <x v="0"/>
    <x v="20"/>
    <b v="0"/>
    <n v="4"/>
    <x v="0"/>
    <x v="13"/>
    <n v="0"/>
    <n v="0.28789999999999999"/>
    <n v="0.81"/>
    <n v="0"/>
    <x v="0"/>
    <x v="0"/>
    <x v="0"/>
    <x v="1"/>
  </r>
  <r>
    <n v="299"/>
    <n v="40556"/>
    <x v="0"/>
    <x v="0"/>
    <x v="21"/>
    <b v="0"/>
    <n v="4"/>
    <x v="0"/>
    <x v="14"/>
    <n v="0"/>
    <n v="0.28789999999999999"/>
    <n v="0.81"/>
    <n v="0"/>
    <x v="0"/>
    <x v="0"/>
    <x v="0"/>
    <x v="1"/>
  </r>
  <r>
    <n v="300"/>
    <n v="40556"/>
    <x v="0"/>
    <x v="0"/>
    <x v="22"/>
    <b v="0"/>
    <n v="4"/>
    <x v="0"/>
    <x v="14"/>
    <n v="0"/>
    <n v="0.28789999999999999"/>
    <n v="0.81"/>
    <n v="0"/>
    <x v="0"/>
    <x v="0"/>
    <x v="0"/>
    <x v="1"/>
  </r>
  <r>
    <n v="301"/>
    <n v="40556"/>
    <x v="0"/>
    <x v="0"/>
    <x v="23"/>
    <b v="0"/>
    <n v="4"/>
    <x v="0"/>
    <x v="16"/>
    <n v="0"/>
    <n v="0.28789999999999999"/>
    <n v="0.81"/>
    <n v="0"/>
    <x v="0"/>
    <x v="0"/>
    <x v="0"/>
    <x v="1"/>
  </r>
  <r>
    <n v="302"/>
    <n v="40557"/>
    <x v="0"/>
    <x v="0"/>
    <x v="0"/>
    <b v="0"/>
    <n v="5"/>
    <x v="0"/>
    <x v="16"/>
    <n v="0"/>
    <n v="0.28789999999999999"/>
    <n v="0.81"/>
    <n v="0"/>
    <x v="0"/>
    <x v="0"/>
    <x v="0"/>
    <x v="0"/>
  </r>
  <r>
    <n v="303"/>
    <n v="40557"/>
    <x v="0"/>
    <x v="0"/>
    <x v="1"/>
    <b v="0"/>
    <n v="5"/>
    <x v="0"/>
    <x v="18"/>
    <n v="0"/>
    <n v="0.28789999999999999"/>
    <n v="0.81"/>
    <n v="0"/>
    <x v="0"/>
    <x v="0"/>
    <x v="0"/>
    <x v="0"/>
  </r>
  <r>
    <n v="304"/>
    <n v="40557"/>
    <x v="0"/>
    <x v="0"/>
    <x v="2"/>
    <b v="0"/>
    <n v="5"/>
    <x v="0"/>
    <x v="18"/>
    <n v="0"/>
    <n v="0.28789999999999999"/>
    <n v="0.81"/>
    <n v="0"/>
    <x v="0"/>
    <x v="0"/>
    <x v="0"/>
    <x v="0"/>
  </r>
  <r>
    <n v="305"/>
    <n v="40557"/>
    <x v="0"/>
    <x v="0"/>
    <x v="3"/>
    <b v="0"/>
    <n v="5"/>
    <x v="0"/>
    <x v="18"/>
    <n v="0"/>
    <n v="0.28789999999999999"/>
    <n v="0.81"/>
    <n v="0"/>
    <x v="0"/>
    <x v="0"/>
    <x v="0"/>
    <x v="0"/>
  </r>
  <r>
    <n v="306"/>
    <n v="40557"/>
    <x v="0"/>
    <x v="0"/>
    <x v="5"/>
    <b v="0"/>
    <n v="5"/>
    <x v="0"/>
    <x v="18"/>
    <n v="0"/>
    <n v="0.28789999999999999"/>
    <n v="0.81"/>
    <n v="0"/>
    <x v="0"/>
    <x v="0"/>
    <x v="0"/>
    <x v="0"/>
  </r>
  <r>
    <n v="307"/>
    <n v="40557"/>
    <x v="0"/>
    <x v="0"/>
    <x v="6"/>
    <b v="0"/>
    <n v="5"/>
    <x v="0"/>
    <x v="18"/>
    <n v="0"/>
    <n v="0.28789999999999999"/>
    <n v="0.81"/>
    <n v="0"/>
    <x v="0"/>
    <x v="0"/>
    <x v="0"/>
    <x v="0"/>
  </r>
  <r>
    <n v="308"/>
    <n v="40557"/>
    <x v="0"/>
    <x v="0"/>
    <x v="7"/>
    <b v="0"/>
    <n v="5"/>
    <x v="0"/>
    <x v="18"/>
    <n v="0"/>
    <n v="0.28789999999999999"/>
    <n v="0.81"/>
    <n v="0"/>
    <x v="0"/>
    <x v="0"/>
    <x v="0"/>
    <x v="0"/>
  </r>
  <r>
    <n v="309"/>
    <n v="40557"/>
    <x v="0"/>
    <x v="0"/>
    <x v="8"/>
    <b v="0"/>
    <n v="5"/>
    <x v="0"/>
    <x v="16"/>
    <n v="0"/>
    <n v="0.28789999999999999"/>
    <n v="0.81"/>
    <n v="0"/>
    <x v="0"/>
    <x v="0"/>
    <x v="0"/>
    <x v="0"/>
  </r>
  <r>
    <n v="310"/>
    <n v="40557"/>
    <x v="0"/>
    <x v="0"/>
    <x v="9"/>
    <b v="0"/>
    <n v="5"/>
    <x v="0"/>
    <x v="14"/>
    <n v="0"/>
    <n v="0.28789999999999999"/>
    <n v="0.81"/>
    <n v="0"/>
    <x v="0"/>
    <x v="0"/>
    <x v="0"/>
    <x v="0"/>
  </r>
  <r>
    <n v="311"/>
    <n v="40557"/>
    <x v="0"/>
    <x v="0"/>
    <x v="10"/>
    <b v="0"/>
    <n v="5"/>
    <x v="0"/>
    <x v="15"/>
    <n v="0"/>
    <n v="0.28789999999999999"/>
    <n v="0.81"/>
    <n v="0"/>
    <x v="0"/>
    <x v="0"/>
    <x v="0"/>
    <x v="0"/>
  </r>
  <r>
    <n v="312"/>
    <n v="40557"/>
    <x v="0"/>
    <x v="0"/>
    <x v="11"/>
    <b v="0"/>
    <n v="5"/>
    <x v="0"/>
    <x v="15"/>
    <n v="0"/>
    <n v="0.28789999999999999"/>
    <n v="0.81"/>
    <n v="0"/>
    <x v="0"/>
    <x v="0"/>
    <x v="0"/>
    <x v="0"/>
  </r>
  <r>
    <n v="313"/>
    <n v="40557"/>
    <x v="0"/>
    <x v="0"/>
    <x v="12"/>
    <b v="0"/>
    <n v="5"/>
    <x v="0"/>
    <x v="2"/>
    <n v="0"/>
    <n v="0.28789999999999999"/>
    <n v="0.81"/>
    <n v="0"/>
    <x v="0"/>
    <x v="0"/>
    <x v="0"/>
    <x v="0"/>
  </r>
  <r>
    <n v="314"/>
    <n v="40557"/>
    <x v="0"/>
    <x v="0"/>
    <x v="13"/>
    <b v="0"/>
    <n v="5"/>
    <x v="0"/>
    <x v="1"/>
    <n v="0"/>
    <n v="0.28789999999999999"/>
    <n v="0.81"/>
    <n v="0"/>
    <x v="0"/>
    <x v="0"/>
    <x v="0"/>
    <x v="0"/>
  </r>
  <r>
    <n v="315"/>
    <n v="40557"/>
    <x v="0"/>
    <x v="0"/>
    <x v="14"/>
    <b v="0"/>
    <n v="5"/>
    <x v="0"/>
    <x v="1"/>
    <n v="0"/>
    <n v="0.28789999999999999"/>
    <n v="0.81"/>
    <n v="0"/>
    <x v="0"/>
    <x v="0"/>
    <x v="0"/>
    <x v="0"/>
  </r>
  <r>
    <n v="316"/>
    <n v="40557"/>
    <x v="0"/>
    <x v="0"/>
    <x v="15"/>
    <b v="0"/>
    <n v="5"/>
    <x v="0"/>
    <x v="0"/>
    <n v="0"/>
    <n v="0.28789999999999999"/>
    <n v="0.81"/>
    <n v="0"/>
    <x v="0"/>
    <x v="0"/>
    <x v="0"/>
    <x v="0"/>
  </r>
  <r>
    <n v="317"/>
    <n v="40557"/>
    <x v="0"/>
    <x v="0"/>
    <x v="16"/>
    <b v="0"/>
    <n v="5"/>
    <x v="0"/>
    <x v="1"/>
    <n v="0"/>
    <n v="0.28789999999999999"/>
    <n v="0.81"/>
    <n v="0"/>
    <x v="0"/>
    <x v="0"/>
    <x v="0"/>
    <x v="0"/>
  </r>
  <r>
    <n v="318"/>
    <n v="40557"/>
    <x v="0"/>
    <x v="0"/>
    <x v="17"/>
    <b v="0"/>
    <n v="5"/>
    <x v="0"/>
    <x v="1"/>
    <n v="0"/>
    <n v="0.28789999999999999"/>
    <n v="0.81"/>
    <n v="0"/>
    <x v="0"/>
    <x v="0"/>
    <x v="0"/>
    <x v="0"/>
  </r>
  <r>
    <n v="319"/>
    <n v="40557"/>
    <x v="0"/>
    <x v="0"/>
    <x v="18"/>
    <b v="0"/>
    <n v="5"/>
    <x v="0"/>
    <x v="2"/>
    <n v="0"/>
    <n v="0.28789999999999999"/>
    <n v="0.81"/>
    <n v="0"/>
    <x v="0"/>
    <x v="0"/>
    <x v="0"/>
    <x v="0"/>
  </r>
  <r>
    <n v="320"/>
    <n v="40557"/>
    <x v="0"/>
    <x v="0"/>
    <x v="19"/>
    <b v="0"/>
    <n v="5"/>
    <x v="0"/>
    <x v="13"/>
    <n v="0"/>
    <n v="0.28789999999999999"/>
    <n v="0.81"/>
    <n v="0"/>
    <x v="0"/>
    <x v="0"/>
    <x v="0"/>
    <x v="0"/>
  </r>
  <r>
    <n v="321"/>
    <n v="40557"/>
    <x v="0"/>
    <x v="0"/>
    <x v="20"/>
    <b v="0"/>
    <n v="5"/>
    <x v="0"/>
    <x v="15"/>
    <n v="0"/>
    <n v="0.28789999999999999"/>
    <n v="0.81"/>
    <n v="0"/>
    <x v="0"/>
    <x v="0"/>
    <x v="0"/>
    <x v="0"/>
  </r>
  <r>
    <n v="322"/>
    <n v="40557"/>
    <x v="0"/>
    <x v="0"/>
    <x v="21"/>
    <b v="0"/>
    <n v="5"/>
    <x v="0"/>
    <x v="13"/>
    <n v="0"/>
    <n v="0.28789999999999999"/>
    <n v="0.81"/>
    <n v="0"/>
    <x v="0"/>
    <x v="0"/>
    <x v="0"/>
    <x v="0"/>
  </r>
  <r>
    <n v="323"/>
    <n v="40557"/>
    <x v="0"/>
    <x v="0"/>
    <x v="22"/>
    <b v="0"/>
    <n v="5"/>
    <x v="1"/>
    <x v="13"/>
    <n v="0"/>
    <n v="0.28789999999999999"/>
    <n v="0.81"/>
    <n v="0"/>
    <x v="0"/>
    <x v="0"/>
    <x v="0"/>
    <x v="0"/>
  </r>
  <r>
    <n v="324"/>
    <n v="40557"/>
    <x v="0"/>
    <x v="0"/>
    <x v="23"/>
    <b v="0"/>
    <n v="5"/>
    <x v="1"/>
    <x v="15"/>
    <n v="0"/>
    <n v="0.28789999999999999"/>
    <n v="0.81"/>
    <n v="0"/>
    <x v="0"/>
    <x v="0"/>
    <x v="0"/>
    <x v="0"/>
  </r>
  <r>
    <n v="325"/>
    <n v="40558"/>
    <x v="0"/>
    <x v="0"/>
    <x v="0"/>
    <b v="0"/>
    <n v="6"/>
    <x v="0"/>
    <x v="15"/>
    <n v="0"/>
    <n v="0.28789999999999999"/>
    <n v="0.81"/>
    <n v="0"/>
    <x v="0"/>
    <x v="0"/>
    <x v="0"/>
    <x v="0"/>
  </r>
  <r>
    <n v="326"/>
    <n v="40558"/>
    <x v="0"/>
    <x v="0"/>
    <x v="1"/>
    <b v="0"/>
    <n v="6"/>
    <x v="1"/>
    <x v="13"/>
    <n v="0"/>
    <n v="0.28789999999999999"/>
    <n v="0.81"/>
    <n v="0"/>
    <x v="0"/>
    <x v="0"/>
    <x v="0"/>
    <x v="0"/>
  </r>
  <r>
    <n v="327"/>
    <n v="40558"/>
    <x v="0"/>
    <x v="0"/>
    <x v="2"/>
    <b v="0"/>
    <n v="6"/>
    <x v="1"/>
    <x v="13"/>
    <n v="0"/>
    <n v="0.28789999999999999"/>
    <n v="0.81"/>
    <n v="0"/>
    <x v="0"/>
    <x v="0"/>
    <x v="0"/>
    <x v="0"/>
  </r>
  <r>
    <n v="328"/>
    <n v="40558"/>
    <x v="0"/>
    <x v="0"/>
    <x v="3"/>
    <b v="0"/>
    <n v="6"/>
    <x v="1"/>
    <x v="13"/>
    <n v="0"/>
    <n v="0.28789999999999999"/>
    <n v="0.81"/>
    <n v="0"/>
    <x v="0"/>
    <x v="0"/>
    <x v="0"/>
    <x v="0"/>
  </r>
  <r>
    <n v="329"/>
    <n v="40558"/>
    <x v="0"/>
    <x v="0"/>
    <x v="4"/>
    <b v="0"/>
    <n v="6"/>
    <x v="1"/>
    <x v="13"/>
    <n v="0"/>
    <n v="0.28789999999999999"/>
    <n v="0.81"/>
    <n v="0"/>
    <x v="0"/>
    <x v="0"/>
    <x v="0"/>
    <x v="0"/>
  </r>
  <r>
    <n v="330"/>
    <n v="40558"/>
    <x v="0"/>
    <x v="0"/>
    <x v="5"/>
    <b v="0"/>
    <n v="6"/>
    <x v="0"/>
    <x v="13"/>
    <n v="0"/>
    <n v="0.28789999999999999"/>
    <n v="0.81"/>
    <n v="0"/>
    <x v="0"/>
    <x v="0"/>
    <x v="0"/>
    <x v="0"/>
  </r>
  <r>
    <n v="331"/>
    <n v="40558"/>
    <x v="0"/>
    <x v="0"/>
    <x v="6"/>
    <b v="0"/>
    <n v="6"/>
    <x v="0"/>
    <x v="14"/>
    <n v="0"/>
    <n v="0.28789999999999999"/>
    <n v="0.81"/>
    <n v="0"/>
    <x v="0"/>
    <x v="0"/>
    <x v="0"/>
    <x v="0"/>
  </r>
  <r>
    <n v="332"/>
    <n v="40558"/>
    <x v="0"/>
    <x v="0"/>
    <x v="7"/>
    <b v="0"/>
    <n v="6"/>
    <x v="0"/>
    <x v="14"/>
    <n v="0"/>
    <n v="0.28789999999999999"/>
    <n v="0.81"/>
    <n v="0"/>
    <x v="0"/>
    <x v="0"/>
    <x v="0"/>
    <x v="0"/>
  </r>
  <r>
    <n v="333"/>
    <n v="40558"/>
    <x v="0"/>
    <x v="0"/>
    <x v="8"/>
    <b v="0"/>
    <n v="6"/>
    <x v="0"/>
    <x v="14"/>
    <n v="0"/>
    <n v="0.28789999999999999"/>
    <n v="0.81"/>
    <n v="0"/>
    <x v="0"/>
    <x v="0"/>
    <x v="0"/>
    <x v="0"/>
  </r>
  <r>
    <n v="334"/>
    <n v="40558"/>
    <x v="0"/>
    <x v="0"/>
    <x v="9"/>
    <b v="0"/>
    <n v="6"/>
    <x v="0"/>
    <x v="13"/>
    <n v="0"/>
    <n v="0.28789999999999999"/>
    <n v="0.81"/>
    <n v="0"/>
    <x v="0"/>
    <x v="0"/>
    <x v="0"/>
    <x v="0"/>
  </r>
  <r>
    <n v="335"/>
    <n v="40558"/>
    <x v="0"/>
    <x v="0"/>
    <x v="10"/>
    <b v="0"/>
    <n v="6"/>
    <x v="0"/>
    <x v="15"/>
    <n v="0"/>
    <n v="0.28789999999999999"/>
    <n v="0.81"/>
    <n v="0"/>
    <x v="0"/>
    <x v="0"/>
    <x v="0"/>
    <x v="0"/>
  </r>
  <r>
    <n v="336"/>
    <n v="40558"/>
    <x v="0"/>
    <x v="0"/>
    <x v="11"/>
    <b v="0"/>
    <n v="6"/>
    <x v="0"/>
    <x v="2"/>
    <n v="0"/>
    <n v="0.28789999999999999"/>
    <n v="0.81"/>
    <n v="0"/>
    <x v="0"/>
    <x v="0"/>
    <x v="0"/>
    <x v="0"/>
  </r>
  <r>
    <n v="337"/>
    <n v="40558"/>
    <x v="0"/>
    <x v="0"/>
    <x v="12"/>
    <b v="0"/>
    <n v="6"/>
    <x v="0"/>
    <x v="0"/>
    <n v="0"/>
    <n v="0.28789999999999999"/>
    <n v="0.81"/>
    <n v="0"/>
    <x v="0"/>
    <x v="0"/>
    <x v="0"/>
    <x v="0"/>
  </r>
  <r>
    <n v="338"/>
    <n v="40558"/>
    <x v="0"/>
    <x v="0"/>
    <x v="13"/>
    <b v="0"/>
    <n v="6"/>
    <x v="0"/>
    <x v="17"/>
    <n v="0"/>
    <n v="0.28789999999999999"/>
    <n v="0.81"/>
    <n v="0"/>
    <x v="0"/>
    <x v="0"/>
    <x v="0"/>
    <x v="0"/>
  </r>
  <r>
    <n v="339"/>
    <n v="40558"/>
    <x v="0"/>
    <x v="0"/>
    <x v="14"/>
    <b v="0"/>
    <n v="6"/>
    <x v="0"/>
    <x v="11"/>
    <n v="0"/>
    <n v="0.28789999999999999"/>
    <n v="0.81"/>
    <n v="0"/>
    <x v="0"/>
    <x v="0"/>
    <x v="0"/>
    <x v="0"/>
  </r>
  <r>
    <n v="340"/>
    <n v="40558"/>
    <x v="0"/>
    <x v="0"/>
    <x v="15"/>
    <b v="0"/>
    <n v="6"/>
    <x v="1"/>
    <x v="3"/>
    <n v="0"/>
    <n v="0.28789999999999999"/>
    <n v="0.81"/>
    <n v="0"/>
    <x v="0"/>
    <x v="0"/>
    <x v="0"/>
    <x v="0"/>
  </r>
  <r>
    <n v="341"/>
    <n v="40558"/>
    <x v="0"/>
    <x v="0"/>
    <x v="16"/>
    <b v="0"/>
    <n v="6"/>
    <x v="1"/>
    <x v="10"/>
    <n v="0"/>
    <n v="0.28789999999999999"/>
    <n v="0.81"/>
    <n v="0"/>
    <x v="0"/>
    <x v="0"/>
    <x v="0"/>
    <x v="0"/>
  </r>
  <r>
    <n v="342"/>
    <n v="40558"/>
    <x v="0"/>
    <x v="0"/>
    <x v="17"/>
    <b v="0"/>
    <n v="6"/>
    <x v="1"/>
    <x v="3"/>
    <n v="0"/>
    <n v="0.28789999999999999"/>
    <n v="0.81"/>
    <n v="0"/>
    <x v="0"/>
    <x v="0"/>
    <x v="0"/>
    <x v="0"/>
  </r>
  <r>
    <n v="343"/>
    <n v="40558"/>
    <x v="0"/>
    <x v="0"/>
    <x v="18"/>
    <b v="0"/>
    <n v="6"/>
    <x v="1"/>
    <x v="11"/>
    <n v="0"/>
    <n v="0.28789999999999999"/>
    <n v="0.81"/>
    <n v="0"/>
    <x v="0"/>
    <x v="0"/>
    <x v="0"/>
    <x v="0"/>
  </r>
  <r>
    <n v="344"/>
    <n v="40558"/>
    <x v="0"/>
    <x v="0"/>
    <x v="19"/>
    <b v="0"/>
    <n v="6"/>
    <x v="1"/>
    <x v="3"/>
    <n v="0"/>
    <n v="0.28789999999999999"/>
    <n v="0.81"/>
    <n v="0"/>
    <x v="0"/>
    <x v="0"/>
    <x v="0"/>
    <x v="0"/>
  </r>
  <r>
    <n v="345"/>
    <n v="40558"/>
    <x v="0"/>
    <x v="0"/>
    <x v="20"/>
    <b v="0"/>
    <n v="6"/>
    <x v="1"/>
    <x v="3"/>
    <n v="0"/>
    <n v="0.28789999999999999"/>
    <n v="0.81"/>
    <n v="0"/>
    <x v="0"/>
    <x v="0"/>
    <x v="0"/>
    <x v="0"/>
  </r>
  <r>
    <n v="346"/>
    <n v="40558"/>
    <x v="0"/>
    <x v="0"/>
    <x v="21"/>
    <b v="0"/>
    <n v="6"/>
    <x v="1"/>
    <x v="3"/>
    <n v="0"/>
    <n v="0.28789999999999999"/>
    <n v="0.81"/>
    <n v="0"/>
    <x v="0"/>
    <x v="0"/>
    <x v="0"/>
    <x v="0"/>
  </r>
  <r>
    <n v="347"/>
    <n v="40558"/>
    <x v="0"/>
    <x v="0"/>
    <x v="22"/>
    <b v="0"/>
    <n v="6"/>
    <x v="1"/>
    <x v="11"/>
    <n v="0"/>
    <n v="0.28789999999999999"/>
    <n v="0.81"/>
    <n v="0"/>
    <x v="0"/>
    <x v="0"/>
    <x v="0"/>
    <x v="0"/>
  </r>
  <r>
    <n v="348"/>
    <n v="40558"/>
    <x v="0"/>
    <x v="0"/>
    <x v="23"/>
    <b v="0"/>
    <n v="6"/>
    <x v="0"/>
    <x v="11"/>
    <n v="0"/>
    <n v="0.28789999999999999"/>
    <n v="0.81"/>
    <n v="0"/>
    <x v="0"/>
    <x v="0"/>
    <x v="0"/>
    <x v="0"/>
  </r>
  <r>
    <n v="349"/>
    <n v="40559"/>
    <x v="0"/>
    <x v="0"/>
    <x v="0"/>
    <b v="0"/>
    <n v="0"/>
    <x v="0"/>
    <x v="12"/>
    <n v="0"/>
    <n v="0.28789999999999999"/>
    <n v="0.81"/>
    <n v="0"/>
    <x v="0"/>
    <x v="0"/>
    <x v="0"/>
    <x v="1"/>
  </r>
  <r>
    <n v="350"/>
    <n v="40559"/>
    <x v="0"/>
    <x v="0"/>
    <x v="1"/>
    <b v="0"/>
    <n v="0"/>
    <x v="0"/>
    <x v="12"/>
    <n v="0"/>
    <n v="0.28789999999999999"/>
    <n v="0.81"/>
    <n v="0"/>
    <x v="0"/>
    <x v="0"/>
    <x v="0"/>
    <x v="1"/>
  </r>
  <r>
    <n v="351"/>
    <n v="40559"/>
    <x v="0"/>
    <x v="0"/>
    <x v="2"/>
    <b v="0"/>
    <n v="0"/>
    <x v="0"/>
    <x v="12"/>
    <n v="0"/>
    <n v="0.28789999999999999"/>
    <n v="0.81"/>
    <n v="0"/>
    <x v="0"/>
    <x v="0"/>
    <x v="0"/>
    <x v="1"/>
  </r>
  <r>
    <n v="352"/>
    <n v="40559"/>
    <x v="0"/>
    <x v="0"/>
    <x v="3"/>
    <b v="0"/>
    <n v="0"/>
    <x v="0"/>
    <x v="1"/>
    <n v="0"/>
    <n v="0.28789999999999999"/>
    <n v="0.81"/>
    <n v="0"/>
    <x v="0"/>
    <x v="0"/>
    <x v="0"/>
    <x v="1"/>
  </r>
  <r>
    <n v="353"/>
    <n v="40559"/>
    <x v="0"/>
    <x v="0"/>
    <x v="4"/>
    <b v="0"/>
    <n v="0"/>
    <x v="0"/>
    <x v="12"/>
    <n v="0"/>
    <n v="0.28789999999999999"/>
    <n v="0.81"/>
    <n v="0"/>
    <x v="0"/>
    <x v="0"/>
    <x v="0"/>
    <x v="1"/>
  </r>
  <r>
    <n v="354"/>
    <n v="40559"/>
    <x v="0"/>
    <x v="0"/>
    <x v="5"/>
    <b v="0"/>
    <n v="0"/>
    <x v="1"/>
    <x v="12"/>
    <n v="0"/>
    <n v="0.28789999999999999"/>
    <n v="0.81"/>
    <n v="0"/>
    <x v="0"/>
    <x v="0"/>
    <x v="0"/>
    <x v="1"/>
  </r>
  <r>
    <n v="355"/>
    <n v="40559"/>
    <x v="0"/>
    <x v="0"/>
    <x v="6"/>
    <b v="0"/>
    <n v="0"/>
    <x v="1"/>
    <x v="12"/>
    <n v="0"/>
    <n v="0.28789999999999999"/>
    <n v="0.81"/>
    <n v="0"/>
    <x v="0"/>
    <x v="0"/>
    <x v="0"/>
    <x v="1"/>
  </r>
  <r>
    <n v="356"/>
    <n v="40559"/>
    <x v="0"/>
    <x v="0"/>
    <x v="7"/>
    <b v="0"/>
    <n v="0"/>
    <x v="1"/>
    <x v="0"/>
    <n v="0"/>
    <n v="0.28789999999999999"/>
    <n v="0.81"/>
    <n v="0"/>
    <x v="0"/>
    <x v="0"/>
    <x v="0"/>
    <x v="1"/>
  </r>
  <r>
    <n v="357"/>
    <n v="40559"/>
    <x v="0"/>
    <x v="0"/>
    <x v="8"/>
    <b v="0"/>
    <n v="0"/>
    <x v="0"/>
    <x v="1"/>
    <n v="0"/>
    <n v="0.28789999999999999"/>
    <n v="0.81"/>
    <n v="0"/>
    <x v="0"/>
    <x v="0"/>
    <x v="0"/>
    <x v="1"/>
  </r>
  <r>
    <n v="358"/>
    <n v="40559"/>
    <x v="0"/>
    <x v="0"/>
    <x v="9"/>
    <b v="0"/>
    <n v="0"/>
    <x v="0"/>
    <x v="1"/>
    <n v="0"/>
    <n v="0.28789999999999999"/>
    <n v="0.81"/>
    <n v="0"/>
    <x v="0"/>
    <x v="0"/>
    <x v="0"/>
    <x v="1"/>
  </r>
  <r>
    <n v="359"/>
    <n v="40559"/>
    <x v="0"/>
    <x v="0"/>
    <x v="10"/>
    <b v="0"/>
    <n v="0"/>
    <x v="0"/>
    <x v="1"/>
    <n v="0"/>
    <n v="0.28789999999999999"/>
    <n v="0.81"/>
    <n v="0"/>
    <x v="0"/>
    <x v="0"/>
    <x v="0"/>
    <x v="1"/>
  </r>
  <r>
    <n v="360"/>
    <n v="40559"/>
    <x v="0"/>
    <x v="0"/>
    <x v="11"/>
    <b v="0"/>
    <n v="0"/>
    <x v="0"/>
    <x v="0"/>
    <n v="0"/>
    <n v="0.28789999999999999"/>
    <n v="0.81"/>
    <n v="0"/>
    <x v="0"/>
    <x v="0"/>
    <x v="0"/>
    <x v="1"/>
  </r>
  <r>
    <n v="361"/>
    <n v="40559"/>
    <x v="0"/>
    <x v="0"/>
    <x v="12"/>
    <b v="0"/>
    <n v="0"/>
    <x v="0"/>
    <x v="0"/>
    <n v="0"/>
    <n v="0.28789999999999999"/>
    <n v="0.81"/>
    <n v="0"/>
    <x v="0"/>
    <x v="0"/>
    <x v="0"/>
    <x v="1"/>
  </r>
  <r>
    <n v="362"/>
    <n v="40559"/>
    <x v="0"/>
    <x v="0"/>
    <x v="13"/>
    <b v="0"/>
    <n v="0"/>
    <x v="0"/>
    <x v="12"/>
    <n v="0"/>
    <n v="0.28789999999999999"/>
    <n v="0.81"/>
    <n v="0"/>
    <x v="0"/>
    <x v="0"/>
    <x v="0"/>
    <x v="1"/>
  </r>
  <r>
    <n v="363"/>
    <n v="40559"/>
    <x v="0"/>
    <x v="0"/>
    <x v="14"/>
    <b v="0"/>
    <n v="0"/>
    <x v="0"/>
    <x v="17"/>
    <n v="0"/>
    <n v="0.28789999999999999"/>
    <n v="0.81"/>
    <n v="0"/>
    <x v="0"/>
    <x v="0"/>
    <x v="0"/>
    <x v="1"/>
  </r>
  <r>
    <n v="364"/>
    <n v="40559"/>
    <x v="0"/>
    <x v="0"/>
    <x v="15"/>
    <b v="0"/>
    <n v="0"/>
    <x v="0"/>
    <x v="12"/>
    <n v="0"/>
    <n v="0.28789999999999999"/>
    <n v="0.81"/>
    <n v="0"/>
    <x v="0"/>
    <x v="0"/>
    <x v="0"/>
    <x v="1"/>
  </r>
  <r>
    <n v="365"/>
    <n v="40559"/>
    <x v="0"/>
    <x v="0"/>
    <x v="16"/>
    <b v="0"/>
    <n v="0"/>
    <x v="0"/>
    <x v="0"/>
    <n v="0"/>
    <n v="0.28789999999999999"/>
    <n v="0.81"/>
    <n v="0"/>
    <x v="0"/>
    <x v="0"/>
    <x v="0"/>
    <x v="1"/>
  </r>
  <r>
    <n v="366"/>
    <n v="40559"/>
    <x v="0"/>
    <x v="0"/>
    <x v="17"/>
    <b v="0"/>
    <n v="0"/>
    <x v="0"/>
    <x v="1"/>
    <n v="0"/>
    <n v="0.28789999999999999"/>
    <n v="0.81"/>
    <n v="0"/>
    <x v="0"/>
    <x v="0"/>
    <x v="0"/>
    <x v="1"/>
  </r>
  <r>
    <n v="367"/>
    <n v="40559"/>
    <x v="0"/>
    <x v="0"/>
    <x v="18"/>
    <b v="0"/>
    <n v="0"/>
    <x v="0"/>
    <x v="2"/>
    <n v="0"/>
    <n v="0.28789999999999999"/>
    <n v="0.81"/>
    <n v="0"/>
    <x v="0"/>
    <x v="0"/>
    <x v="0"/>
    <x v="1"/>
  </r>
  <r>
    <n v="368"/>
    <n v="40559"/>
    <x v="0"/>
    <x v="0"/>
    <x v="19"/>
    <b v="0"/>
    <n v="0"/>
    <x v="0"/>
    <x v="15"/>
    <n v="0"/>
    <n v="0.28789999999999999"/>
    <n v="0.81"/>
    <n v="0"/>
    <x v="0"/>
    <x v="0"/>
    <x v="0"/>
    <x v="1"/>
  </r>
  <r>
    <n v="369"/>
    <n v="40559"/>
    <x v="0"/>
    <x v="0"/>
    <x v="20"/>
    <b v="0"/>
    <n v="0"/>
    <x v="0"/>
    <x v="15"/>
    <n v="0"/>
    <n v="0.28789999999999999"/>
    <n v="0.81"/>
    <n v="0"/>
    <x v="0"/>
    <x v="0"/>
    <x v="0"/>
    <x v="1"/>
  </r>
  <r>
    <n v="370"/>
    <n v="40559"/>
    <x v="0"/>
    <x v="0"/>
    <x v="21"/>
    <b v="0"/>
    <n v="0"/>
    <x v="0"/>
    <x v="15"/>
    <n v="0"/>
    <n v="0.28789999999999999"/>
    <n v="0.81"/>
    <n v="0"/>
    <x v="0"/>
    <x v="0"/>
    <x v="0"/>
    <x v="1"/>
  </r>
  <r>
    <n v="371"/>
    <n v="40559"/>
    <x v="0"/>
    <x v="0"/>
    <x v="22"/>
    <b v="0"/>
    <n v="0"/>
    <x v="1"/>
    <x v="2"/>
    <n v="0"/>
    <n v="0.28789999999999999"/>
    <n v="0.81"/>
    <n v="0"/>
    <x v="0"/>
    <x v="0"/>
    <x v="0"/>
    <x v="1"/>
  </r>
  <r>
    <n v="372"/>
    <n v="40559"/>
    <x v="0"/>
    <x v="0"/>
    <x v="23"/>
    <b v="0"/>
    <n v="0"/>
    <x v="1"/>
    <x v="2"/>
    <n v="0"/>
    <n v="0.28789999999999999"/>
    <n v="0.81"/>
    <n v="0"/>
    <x v="0"/>
    <x v="0"/>
    <x v="0"/>
    <x v="1"/>
  </r>
  <r>
    <n v="373"/>
    <n v="40560"/>
    <x v="0"/>
    <x v="0"/>
    <x v="0"/>
    <b v="1"/>
    <n v="1"/>
    <x v="1"/>
    <x v="2"/>
    <n v="0"/>
    <n v="0.28789999999999999"/>
    <n v="0.81"/>
    <n v="0"/>
    <x v="0"/>
    <x v="0"/>
    <x v="0"/>
    <x v="1"/>
  </r>
  <r>
    <n v="374"/>
    <n v="40560"/>
    <x v="0"/>
    <x v="0"/>
    <x v="1"/>
    <b v="1"/>
    <n v="1"/>
    <x v="1"/>
    <x v="2"/>
    <n v="0"/>
    <n v="0.28789999999999999"/>
    <n v="0.81"/>
    <n v="0"/>
    <x v="0"/>
    <x v="0"/>
    <x v="0"/>
    <x v="1"/>
  </r>
  <r>
    <n v="375"/>
    <n v="40560"/>
    <x v="0"/>
    <x v="0"/>
    <x v="2"/>
    <b v="1"/>
    <n v="1"/>
    <x v="1"/>
    <x v="15"/>
    <n v="0"/>
    <n v="0.28789999999999999"/>
    <n v="0.81"/>
    <n v="0"/>
    <x v="0"/>
    <x v="0"/>
    <x v="0"/>
    <x v="1"/>
  </r>
  <r>
    <n v="376"/>
    <n v="40560"/>
    <x v="0"/>
    <x v="0"/>
    <x v="3"/>
    <b v="1"/>
    <n v="1"/>
    <x v="1"/>
    <x v="15"/>
    <n v="0"/>
    <n v="0.28789999999999999"/>
    <n v="0.81"/>
    <n v="0"/>
    <x v="0"/>
    <x v="0"/>
    <x v="0"/>
    <x v="1"/>
  </r>
  <r>
    <n v="377"/>
    <n v="40560"/>
    <x v="0"/>
    <x v="0"/>
    <x v="4"/>
    <b v="1"/>
    <n v="1"/>
    <x v="1"/>
    <x v="15"/>
    <n v="0"/>
    <n v="0.28789999999999999"/>
    <n v="0.81"/>
    <n v="0"/>
    <x v="0"/>
    <x v="0"/>
    <x v="0"/>
    <x v="1"/>
  </r>
  <r>
    <n v="378"/>
    <n v="40560"/>
    <x v="0"/>
    <x v="0"/>
    <x v="5"/>
    <b v="1"/>
    <n v="1"/>
    <x v="1"/>
    <x v="15"/>
    <n v="0"/>
    <n v="0.28789999999999999"/>
    <n v="0.81"/>
    <n v="0"/>
    <x v="0"/>
    <x v="0"/>
    <x v="0"/>
    <x v="1"/>
  </r>
  <r>
    <n v="379"/>
    <n v="40560"/>
    <x v="0"/>
    <x v="0"/>
    <x v="6"/>
    <b v="1"/>
    <n v="1"/>
    <x v="1"/>
    <x v="15"/>
    <n v="0"/>
    <n v="0.28789999999999999"/>
    <n v="0.81"/>
    <n v="0"/>
    <x v="0"/>
    <x v="0"/>
    <x v="0"/>
    <x v="1"/>
  </r>
  <r>
    <n v="380"/>
    <n v="40560"/>
    <x v="0"/>
    <x v="0"/>
    <x v="7"/>
    <b v="1"/>
    <n v="1"/>
    <x v="1"/>
    <x v="13"/>
    <n v="0"/>
    <n v="0.28789999999999999"/>
    <n v="0.81"/>
    <n v="0"/>
    <x v="0"/>
    <x v="0"/>
    <x v="0"/>
    <x v="1"/>
  </r>
  <r>
    <n v="381"/>
    <n v="40560"/>
    <x v="0"/>
    <x v="0"/>
    <x v="8"/>
    <b v="1"/>
    <n v="1"/>
    <x v="1"/>
    <x v="13"/>
    <n v="0"/>
    <n v="0.28789999999999999"/>
    <n v="0.81"/>
    <n v="0"/>
    <x v="0"/>
    <x v="0"/>
    <x v="0"/>
    <x v="1"/>
  </r>
  <r>
    <n v="382"/>
    <n v="40560"/>
    <x v="0"/>
    <x v="0"/>
    <x v="9"/>
    <b v="1"/>
    <n v="1"/>
    <x v="1"/>
    <x v="13"/>
    <n v="0"/>
    <n v="0.28789999999999999"/>
    <n v="0.81"/>
    <n v="0"/>
    <x v="0"/>
    <x v="0"/>
    <x v="0"/>
    <x v="1"/>
  </r>
  <r>
    <n v="383"/>
    <n v="40560"/>
    <x v="0"/>
    <x v="0"/>
    <x v="10"/>
    <b v="1"/>
    <n v="1"/>
    <x v="1"/>
    <x v="13"/>
    <n v="0"/>
    <n v="0.28789999999999999"/>
    <n v="0.81"/>
    <n v="0"/>
    <x v="0"/>
    <x v="0"/>
    <x v="0"/>
    <x v="1"/>
  </r>
  <r>
    <n v="384"/>
    <n v="40560"/>
    <x v="0"/>
    <x v="0"/>
    <x v="11"/>
    <b v="1"/>
    <n v="1"/>
    <x v="1"/>
    <x v="13"/>
    <n v="0"/>
    <n v="0.28789999999999999"/>
    <n v="0.81"/>
    <n v="0"/>
    <x v="0"/>
    <x v="0"/>
    <x v="0"/>
    <x v="1"/>
  </r>
  <r>
    <n v="385"/>
    <n v="40560"/>
    <x v="0"/>
    <x v="0"/>
    <x v="12"/>
    <b v="1"/>
    <n v="1"/>
    <x v="1"/>
    <x v="15"/>
    <n v="0"/>
    <n v="0.28789999999999999"/>
    <n v="0.81"/>
    <n v="0"/>
    <x v="0"/>
    <x v="0"/>
    <x v="0"/>
    <x v="1"/>
  </r>
  <r>
    <n v="386"/>
    <n v="40560"/>
    <x v="0"/>
    <x v="0"/>
    <x v="13"/>
    <b v="1"/>
    <n v="1"/>
    <x v="1"/>
    <x v="15"/>
    <n v="0"/>
    <n v="0.28789999999999999"/>
    <n v="0.81"/>
    <n v="0"/>
    <x v="0"/>
    <x v="0"/>
    <x v="0"/>
    <x v="1"/>
  </r>
  <r>
    <n v="387"/>
    <n v="40560"/>
    <x v="0"/>
    <x v="0"/>
    <x v="14"/>
    <b v="1"/>
    <n v="1"/>
    <x v="1"/>
    <x v="15"/>
    <n v="0"/>
    <n v="0.28789999999999999"/>
    <n v="0.81"/>
    <n v="0"/>
    <x v="0"/>
    <x v="0"/>
    <x v="0"/>
    <x v="1"/>
  </r>
  <r>
    <n v="388"/>
    <n v="40560"/>
    <x v="0"/>
    <x v="0"/>
    <x v="15"/>
    <b v="1"/>
    <n v="1"/>
    <x v="1"/>
    <x v="2"/>
    <n v="0"/>
    <n v="0.28789999999999999"/>
    <n v="0.81"/>
    <n v="0"/>
    <x v="0"/>
    <x v="0"/>
    <x v="0"/>
    <x v="1"/>
  </r>
  <r>
    <n v="389"/>
    <n v="40560"/>
    <x v="0"/>
    <x v="0"/>
    <x v="16"/>
    <b v="1"/>
    <n v="1"/>
    <x v="1"/>
    <x v="2"/>
    <n v="0"/>
    <n v="0.28789999999999999"/>
    <n v="0.81"/>
    <n v="0"/>
    <x v="0"/>
    <x v="0"/>
    <x v="0"/>
    <x v="1"/>
  </r>
  <r>
    <n v="390"/>
    <n v="40560"/>
    <x v="0"/>
    <x v="0"/>
    <x v="17"/>
    <b v="1"/>
    <n v="1"/>
    <x v="0"/>
    <x v="2"/>
    <n v="0"/>
    <n v="0.28789999999999999"/>
    <n v="0.81"/>
    <n v="0"/>
    <x v="0"/>
    <x v="0"/>
    <x v="0"/>
    <x v="1"/>
  </r>
  <r>
    <n v="391"/>
    <n v="40560"/>
    <x v="0"/>
    <x v="0"/>
    <x v="18"/>
    <b v="1"/>
    <n v="1"/>
    <x v="1"/>
    <x v="15"/>
    <n v="0"/>
    <n v="0.28789999999999999"/>
    <n v="0.81"/>
    <n v="0"/>
    <x v="0"/>
    <x v="0"/>
    <x v="0"/>
    <x v="1"/>
  </r>
  <r>
    <n v="392"/>
    <n v="40560"/>
    <x v="0"/>
    <x v="0"/>
    <x v="19"/>
    <b v="1"/>
    <n v="1"/>
    <x v="2"/>
    <x v="15"/>
    <n v="0"/>
    <n v="0.28789999999999999"/>
    <n v="0.81"/>
    <n v="0"/>
    <x v="0"/>
    <x v="0"/>
    <x v="0"/>
    <x v="1"/>
  </r>
  <r>
    <n v="393"/>
    <n v="40560"/>
    <x v="0"/>
    <x v="0"/>
    <x v="20"/>
    <b v="1"/>
    <n v="1"/>
    <x v="2"/>
    <x v="13"/>
    <n v="0"/>
    <n v="0.28789999999999999"/>
    <n v="0.81"/>
    <n v="0"/>
    <x v="0"/>
    <x v="0"/>
    <x v="0"/>
    <x v="1"/>
  </r>
  <r>
    <n v="394"/>
    <n v="40560"/>
    <x v="0"/>
    <x v="0"/>
    <x v="21"/>
    <b v="1"/>
    <n v="1"/>
    <x v="2"/>
    <x v="13"/>
    <n v="0"/>
    <n v="0.28789999999999999"/>
    <n v="0.81"/>
    <n v="0"/>
    <x v="0"/>
    <x v="0"/>
    <x v="0"/>
    <x v="1"/>
  </r>
  <r>
    <n v="395"/>
    <n v="40560"/>
    <x v="0"/>
    <x v="0"/>
    <x v="22"/>
    <b v="1"/>
    <n v="1"/>
    <x v="2"/>
    <x v="14"/>
    <n v="0"/>
    <n v="0.28789999999999999"/>
    <n v="0.81"/>
    <n v="0"/>
    <x v="0"/>
    <x v="0"/>
    <x v="0"/>
    <x v="1"/>
  </r>
  <r>
    <n v="396"/>
    <n v="40560"/>
    <x v="0"/>
    <x v="0"/>
    <x v="23"/>
    <b v="1"/>
    <n v="1"/>
    <x v="2"/>
    <x v="13"/>
    <n v="0"/>
    <n v="0.28789999999999999"/>
    <n v="0.81"/>
    <n v="0"/>
    <x v="0"/>
    <x v="0"/>
    <x v="0"/>
    <x v="1"/>
  </r>
  <r>
    <n v="397"/>
    <n v="40561"/>
    <x v="0"/>
    <x v="0"/>
    <x v="12"/>
    <b v="0"/>
    <n v="2"/>
    <x v="1"/>
    <x v="2"/>
    <n v="0"/>
    <n v="0.28789999999999999"/>
    <n v="0.81"/>
    <n v="0"/>
    <x v="0"/>
    <x v="0"/>
    <x v="0"/>
    <x v="1"/>
  </r>
  <r>
    <n v="398"/>
    <n v="40561"/>
    <x v="0"/>
    <x v="0"/>
    <x v="13"/>
    <b v="0"/>
    <n v="2"/>
    <x v="1"/>
    <x v="2"/>
    <n v="0"/>
    <n v="0.28789999999999999"/>
    <n v="0.81"/>
    <n v="0"/>
    <x v="0"/>
    <x v="0"/>
    <x v="0"/>
    <x v="1"/>
  </r>
  <r>
    <n v="399"/>
    <n v="40561"/>
    <x v="0"/>
    <x v="0"/>
    <x v="14"/>
    <b v="0"/>
    <n v="2"/>
    <x v="1"/>
    <x v="1"/>
    <n v="0"/>
    <n v="0.28789999999999999"/>
    <n v="0.81"/>
    <n v="0"/>
    <x v="0"/>
    <x v="0"/>
    <x v="0"/>
    <x v="1"/>
  </r>
  <r>
    <n v="400"/>
    <n v="40561"/>
    <x v="0"/>
    <x v="0"/>
    <x v="15"/>
    <b v="0"/>
    <n v="2"/>
    <x v="1"/>
    <x v="1"/>
    <n v="0"/>
    <n v="0.28789999999999999"/>
    <n v="0.81"/>
    <n v="0"/>
    <x v="0"/>
    <x v="0"/>
    <x v="0"/>
    <x v="1"/>
  </r>
  <r>
    <n v="401"/>
    <n v="40561"/>
    <x v="0"/>
    <x v="0"/>
    <x v="16"/>
    <b v="0"/>
    <n v="2"/>
    <x v="1"/>
    <x v="1"/>
    <n v="0"/>
    <n v="0.28789999999999999"/>
    <n v="0.81"/>
    <n v="0"/>
    <x v="0"/>
    <x v="0"/>
    <x v="0"/>
    <x v="1"/>
  </r>
  <r>
    <n v="402"/>
    <n v="40561"/>
    <x v="0"/>
    <x v="0"/>
    <x v="17"/>
    <b v="0"/>
    <n v="2"/>
    <x v="1"/>
    <x v="1"/>
    <n v="0"/>
    <n v="0.28789999999999999"/>
    <n v="0.81"/>
    <n v="0"/>
    <x v="0"/>
    <x v="0"/>
    <x v="0"/>
    <x v="1"/>
  </r>
  <r>
    <n v="403"/>
    <n v="40561"/>
    <x v="0"/>
    <x v="0"/>
    <x v="18"/>
    <b v="0"/>
    <n v="2"/>
    <x v="1"/>
    <x v="1"/>
    <n v="0"/>
    <n v="0.28789999999999999"/>
    <n v="0.81"/>
    <n v="0"/>
    <x v="0"/>
    <x v="0"/>
    <x v="0"/>
    <x v="1"/>
  </r>
  <r>
    <n v="404"/>
    <n v="40561"/>
    <x v="0"/>
    <x v="0"/>
    <x v="19"/>
    <b v="0"/>
    <n v="2"/>
    <x v="1"/>
    <x v="1"/>
    <n v="0"/>
    <n v="0.28789999999999999"/>
    <n v="0.81"/>
    <n v="0"/>
    <x v="0"/>
    <x v="0"/>
    <x v="0"/>
    <x v="1"/>
  </r>
  <r>
    <n v="405"/>
    <n v="40561"/>
    <x v="0"/>
    <x v="0"/>
    <x v="20"/>
    <b v="0"/>
    <n v="2"/>
    <x v="1"/>
    <x v="1"/>
    <n v="0"/>
    <n v="0.28789999999999999"/>
    <n v="0.81"/>
    <n v="0"/>
    <x v="0"/>
    <x v="0"/>
    <x v="0"/>
    <x v="1"/>
  </r>
  <r>
    <n v="406"/>
    <n v="40561"/>
    <x v="0"/>
    <x v="0"/>
    <x v="21"/>
    <b v="0"/>
    <n v="2"/>
    <x v="1"/>
    <x v="1"/>
    <n v="0"/>
    <n v="0.28789999999999999"/>
    <n v="0.81"/>
    <n v="0"/>
    <x v="0"/>
    <x v="0"/>
    <x v="0"/>
    <x v="1"/>
  </r>
  <r>
    <n v="407"/>
    <n v="40561"/>
    <x v="0"/>
    <x v="0"/>
    <x v="22"/>
    <b v="0"/>
    <n v="2"/>
    <x v="1"/>
    <x v="1"/>
    <n v="0"/>
    <n v="0.28789999999999999"/>
    <n v="0.81"/>
    <n v="0"/>
    <x v="0"/>
    <x v="0"/>
    <x v="0"/>
    <x v="1"/>
  </r>
  <r>
    <n v="408"/>
    <n v="40561"/>
    <x v="0"/>
    <x v="0"/>
    <x v="23"/>
    <b v="0"/>
    <n v="2"/>
    <x v="1"/>
    <x v="1"/>
    <n v="0"/>
    <n v="0.28789999999999999"/>
    <n v="0.81"/>
    <n v="0"/>
    <x v="0"/>
    <x v="0"/>
    <x v="0"/>
    <x v="1"/>
  </r>
  <r>
    <n v="409"/>
    <n v="40562"/>
    <x v="0"/>
    <x v="0"/>
    <x v="0"/>
    <b v="0"/>
    <n v="3"/>
    <x v="1"/>
    <x v="1"/>
    <n v="0"/>
    <n v="0.28789999999999999"/>
    <n v="0.81"/>
    <n v="0"/>
    <x v="0"/>
    <x v="0"/>
    <x v="0"/>
    <x v="1"/>
  </r>
  <r>
    <n v="410"/>
    <n v="40562"/>
    <x v="0"/>
    <x v="0"/>
    <x v="1"/>
    <b v="0"/>
    <n v="3"/>
    <x v="2"/>
    <x v="1"/>
    <n v="0"/>
    <n v="0.28789999999999999"/>
    <n v="0.81"/>
    <n v="0"/>
    <x v="0"/>
    <x v="0"/>
    <x v="0"/>
    <x v="1"/>
  </r>
  <r>
    <n v="411"/>
    <n v="40562"/>
    <x v="0"/>
    <x v="0"/>
    <x v="2"/>
    <b v="0"/>
    <n v="3"/>
    <x v="2"/>
    <x v="1"/>
    <n v="0"/>
    <n v="0.28789999999999999"/>
    <n v="0.81"/>
    <n v="0"/>
    <x v="0"/>
    <x v="0"/>
    <x v="0"/>
    <x v="1"/>
  </r>
  <r>
    <n v="412"/>
    <n v="40562"/>
    <x v="0"/>
    <x v="0"/>
    <x v="4"/>
    <b v="0"/>
    <n v="3"/>
    <x v="2"/>
    <x v="1"/>
    <n v="0"/>
    <n v="0.28789999999999999"/>
    <n v="0.81"/>
    <n v="0"/>
    <x v="0"/>
    <x v="0"/>
    <x v="0"/>
    <x v="1"/>
  </r>
  <r>
    <n v="413"/>
    <n v="40562"/>
    <x v="0"/>
    <x v="0"/>
    <x v="5"/>
    <b v="0"/>
    <n v="3"/>
    <x v="1"/>
    <x v="1"/>
    <n v="0"/>
    <n v="0.28789999999999999"/>
    <n v="0.81"/>
    <n v="0"/>
    <x v="0"/>
    <x v="0"/>
    <x v="0"/>
    <x v="1"/>
  </r>
  <r>
    <n v="414"/>
    <n v="40562"/>
    <x v="0"/>
    <x v="0"/>
    <x v="6"/>
    <b v="0"/>
    <n v="3"/>
    <x v="1"/>
    <x v="1"/>
    <n v="0"/>
    <n v="0.28789999999999999"/>
    <n v="0.81"/>
    <n v="0"/>
    <x v="0"/>
    <x v="0"/>
    <x v="0"/>
    <x v="1"/>
  </r>
  <r>
    <n v="415"/>
    <n v="40562"/>
    <x v="0"/>
    <x v="0"/>
    <x v="7"/>
    <b v="0"/>
    <n v="3"/>
    <x v="1"/>
    <x v="0"/>
    <n v="0"/>
    <n v="0.28789999999999999"/>
    <n v="0.81"/>
    <n v="0"/>
    <x v="0"/>
    <x v="0"/>
    <x v="0"/>
    <x v="1"/>
  </r>
  <r>
    <n v="416"/>
    <n v="40562"/>
    <x v="0"/>
    <x v="0"/>
    <x v="8"/>
    <b v="0"/>
    <n v="3"/>
    <x v="1"/>
    <x v="0"/>
    <n v="0"/>
    <n v="0.28789999999999999"/>
    <n v="0.81"/>
    <n v="0"/>
    <x v="0"/>
    <x v="0"/>
    <x v="0"/>
    <x v="1"/>
  </r>
  <r>
    <n v="417"/>
    <n v="40562"/>
    <x v="0"/>
    <x v="0"/>
    <x v="9"/>
    <b v="0"/>
    <n v="3"/>
    <x v="1"/>
    <x v="0"/>
    <n v="0"/>
    <n v="0.28789999999999999"/>
    <n v="0.81"/>
    <n v="0"/>
    <x v="0"/>
    <x v="0"/>
    <x v="0"/>
    <x v="1"/>
  </r>
  <r>
    <n v="418"/>
    <n v="40562"/>
    <x v="0"/>
    <x v="0"/>
    <x v="10"/>
    <b v="0"/>
    <n v="3"/>
    <x v="1"/>
    <x v="12"/>
    <n v="0"/>
    <n v="0.28789999999999999"/>
    <n v="0.81"/>
    <n v="0"/>
    <x v="0"/>
    <x v="0"/>
    <x v="0"/>
    <x v="1"/>
  </r>
  <r>
    <n v="419"/>
    <n v="40562"/>
    <x v="0"/>
    <x v="0"/>
    <x v="11"/>
    <b v="0"/>
    <n v="3"/>
    <x v="1"/>
    <x v="17"/>
    <n v="0"/>
    <n v="0.28789999999999999"/>
    <n v="0.81"/>
    <n v="0"/>
    <x v="0"/>
    <x v="0"/>
    <x v="0"/>
    <x v="1"/>
  </r>
  <r>
    <n v="420"/>
    <n v="40562"/>
    <x v="0"/>
    <x v="0"/>
    <x v="12"/>
    <b v="0"/>
    <n v="3"/>
    <x v="1"/>
    <x v="11"/>
    <n v="0"/>
    <n v="0.28789999999999999"/>
    <n v="0.81"/>
    <n v="0"/>
    <x v="0"/>
    <x v="0"/>
    <x v="0"/>
    <x v="1"/>
  </r>
  <r>
    <n v="421"/>
    <n v="40562"/>
    <x v="0"/>
    <x v="0"/>
    <x v="13"/>
    <b v="0"/>
    <n v="3"/>
    <x v="0"/>
    <x v="9"/>
    <n v="0"/>
    <n v="0.28789999999999999"/>
    <n v="0.81"/>
    <n v="0"/>
    <x v="0"/>
    <x v="0"/>
    <x v="0"/>
    <x v="1"/>
  </r>
  <r>
    <n v="422"/>
    <n v="40562"/>
    <x v="0"/>
    <x v="0"/>
    <x v="14"/>
    <b v="0"/>
    <n v="3"/>
    <x v="0"/>
    <x v="9"/>
    <n v="0"/>
    <n v="0.28789999999999999"/>
    <n v="0.81"/>
    <n v="0"/>
    <x v="0"/>
    <x v="0"/>
    <x v="0"/>
    <x v="1"/>
  </r>
  <r>
    <n v="423"/>
    <n v="40562"/>
    <x v="0"/>
    <x v="0"/>
    <x v="15"/>
    <b v="0"/>
    <n v="3"/>
    <x v="0"/>
    <x v="9"/>
    <n v="0"/>
    <n v="0.28789999999999999"/>
    <n v="0.81"/>
    <n v="0"/>
    <x v="0"/>
    <x v="0"/>
    <x v="0"/>
    <x v="1"/>
  </r>
  <r>
    <n v="424"/>
    <n v="40562"/>
    <x v="0"/>
    <x v="0"/>
    <x v="16"/>
    <b v="0"/>
    <n v="3"/>
    <x v="0"/>
    <x v="4"/>
    <n v="0"/>
    <n v="0.28789999999999999"/>
    <n v="0.81"/>
    <n v="0"/>
    <x v="0"/>
    <x v="0"/>
    <x v="0"/>
    <x v="1"/>
  </r>
  <r>
    <n v="425"/>
    <n v="40562"/>
    <x v="0"/>
    <x v="0"/>
    <x v="17"/>
    <b v="0"/>
    <n v="3"/>
    <x v="0"/>
    <x v="5"/>
    <n v="0"/>
    <n v="0.28789999999999999"/>
    <n v="0.81"/>
    <n v="0"/>
    <x v="0"/>
    <x v="0"/>
    <x v="0"/>
    <x v="1"/>
  </r>
  <r>
    <n v="426"/>
    <n v="40562"/>
    <x v="0"/>
    <x v="0"/>
    <x v="18"/>
    <b v="0"/>
    <n v="3"/>
    <x v="0"/>
    <x v="10"/>
    <n v="0"/>
    <n v="0.28789999999999999"/>
    <n v="0.81"/>
    <n v="0"/>
    <x v="0"/>
    <x v="0"/>
    <x v="0"/>
    <x v="1"/>
  </r>
  <r>
    <n v="427"/>
    <n v="40562"/>
    <x v="0"/>
    <x v="0"/>
    <x v="19"/>
    <b v="0"/>
    <n v="3"/>
    <x v="0"/>
    <x v="3"/>
    <n v="0"/>
    <n v="0.28789999999999999"/>
    <n v="0.81"/>
    <n v="0"/>
    <x v="0"/>
    <x v="0"/>
    <x v="0"/>
    <x v="1"/>
  </r>
  <r>
    <n v="428"/>
    <n v="40562"/>
    <x v="0"/>
    <x v="0"/>
    <x v="20"/>
    <b v="0"/>
    <n v="3"/>
    <x v="0"/>
    <x v="3"/>
    <n v="0"/>
    <n v="0.28789999999999999"/>
    <n v="0.81"/>
    <n v="0"/>
    <x v="0"/>
    <x v="0"/>
    <x v="0"/>
    <x v="1"/>
  </r>
  <r>
    <n v="429"/>
    <n v="40562"/>
    <x v="0"/>
    <x v="0"/>
    <x v="21"/>
    <b v="0"/>
    <n v="3"/>
    <x v="0"/>
    <x v="3"/>
    <n v="0"/>
    <n v="0.28789999999999999"/>
    <n v="0.81"/>
    <n v="0"/>
    <x v="0"/>
    <x v="0"/>
    <x v="0"/>
    <x v="1"/>
  </r>
  <r>
    <n v="430"/>
    <n v="40562"/>
    <x v="0"/>
    <x v="0"/>
    <x v="22"/>
    <b v="0"/>
    <n v="3"/>
    <x v="0"/>
    <x v="11"/>
    <n v="0"/>
    <n v="0.28789999999999999"/>
    <n v="0.81"/>
    <n v="0"/>
    <x v="0"/>
    <x v="0"/>
    <x v="0"/>
    <x v="1"/>
  </r>
  <r>
    <n v="431"/>
    <n v="40562"/>
    <x v="0"/>
    <x v="0"/>
    <x v="23"/>
    <b v="0"/>
    <n v="3"/>
    <x v="0"/>
    <x v="11"/>
    <n v="0"/>
    <n v="0.28789999999999999"/>
    <n v="0.81"/>
    <n v="0"/>
    <x v="0"/>
    <x v="0"/>
    <x v="0"/>
    <x v="1"/>
  </r>
  <r>
    <n v="432"/>
    <n v="40563"/>
    <x v="0"/>
    <x v="0"/>
    <x v="0"/>
    <b v="0"/>
    <n v="4"/>
    <x v="0"/>
    <x v="12"/>
    <n v="0"/>
    <n v="0.28789999999999999"/>
    <n v="0.81"/>
    <n v="0"/>
    <x v="0"/>
    <x v="0"/>
    <x v="0"/>
    <x v="1"/>
  </r>
  <r>
    <n v="433"/>
    <n v="40563"/>
    <x v="0"/>
    <x v="0"/>
    <x v="1"/>
    <b v="0"/>
    <n v="4"/>
    <x v="0"/>
    <x v="12"/>
    <n v="0"/>
    <n v="0.28789999999999999"/>
    <n v="0.81"/>
    <n v="0"/>
    <x v="0"/>
    <x v="0"/>
    <x v="0"/>
    <x v="1"/>
  </r>
  <r>
    <n v="434"/>
    <n v="40563"/>
    <x v="0"/>
    <x v="0"/>
    <x v="2"/>
    <b v="0"/>
    <n v="4"/>
    <x v="0"/>
    <x v="12"/>
    <n v="0"/>
    <n v="0.28789999999999999"/>
    <n v="0.81"/>
    <n v="0"/>
    <x v="0"/>
    <x v="0"/>
    <x v="0"/>
    <x v="1"/>
  </r>
  <r>
    <n v="435"/>
    <n v="40563"/>
    <x v="0"/>
    <x v="0"/>
    <x v="3"/>
    <b v="0"/>
    <n v="4"/>
    <x v="0"/>
    <x v="12"/>
    <n v="0"/>
    <n v="0.28789999999999999"/>
    <n v="0.81"/>
    <n v="0"/>
    <x v="0"/>
    <x v="0"/>
    <x v="0"/>
    <x v="1"/>
  </r>
  <r>
    <n v="436"/>
    <n v="40563"/>
    <x v="0"/>
    <x v="0"/>
    <x v="4"/>
    <b v="0"/>
    <n v="4"/>
    <x v="0"/>
    <x v="12"/>
    <n v="0"/>
    <n v="0.28789999999999999"/>
    <n v="0.81"/>
    <n v="0"/>
    <x v="0"/>
    <x v="0"/>
    <x v="0"/>
    <x v="1"/>
  </r>
  <r>
    <n v="437"/>
    <n v="40563"/>
    <x v="0"/>
    <x v="0"/>
    <x v="5"/>
    <b v="0"/>
    <n v="4"/>
    <x v="0"/>
    <x v="0"/>
    <n v="0"/>
    <n v="0.28789999999999999"/>
    <n v="0.81"/>
    <n v="0"/>
    <x v="0"/>
    <x v="0"/>
    <x v="0"/>
    <x v="1"/>
  </r>
  <r>
    <n v="438"/>
    <n v="40563"/>
    <x v="0"/>
    <x v="0"/>
    <x v="6"/>
    <b v="0"/>
    <n v="4"/>
    <x v="0"/>
    <x v="1"/>
    <n v="0"/>
    <n v="0.28789999999999999"/>
    <n v="0.81"/>
    <n v="0"/>
    <x v="0"/>
    <x v="0"/>
    <x v="0"/>
    <x v="1"/>
  </r>
  <r>
    <n v="439"/>
    <n v="40563"/>
    <x v="0"/>
    <x v="0"/>
    <x v="7"/>
    <b v="0"/>
    <n v="4"/>
    <x v="0"/>
    <x v="1"/>
    <n v="0"/>
    <n v="0.28789999999999999"/>
    <n v="0.81"/>
    <n v="0"/>
    <x v="0"/>
    <x v="0"/>
    <x v="0"/>
    <x v="1"/>
  </r>
  <r>
    <n v="440"/>
    <n v="40563"/>
    <x v="0"/>
    <x v="0"/>
    <x v="8"/>
    <b v="0"/>
    <n v="4"/>
    <x v="0"/>
    <x v="1"/>
    <n v="0"/>
    <n v="0.28789999999999999"/>
    <n v="0.81"/>
    <n v="0"/>
    <x v="0"/>
    <x v="0"/>
    <x v="0"/>
    <x v="1"/>
  </r>
  <r>
    <n v="441"/>
    <n v="40563"/>
    <x v="0"/>
    <x v="0"/>
    <x v="9"/>
    <b v="0"/>
    <n v="4"/>
    <x v="1"/>
    <x v="0"/>
    <n v="0"/>
    <n v="0.28789999999999999"/>
    <n v="0.81"/>
    <n v="0"/>
    <x v="0"/>
    <x v="0"/>
    <x v="0"/>
    <x v="1"/>
  </r>
  <r>
    <n v="442"/>
    <n v="40563"/>
    <x v="0"/>
    <x v="0"/>
    <x v="10"/>
    <b v="0"/>
    <n v="4"/>
    <x v="0"/>
    <x v="12"/>
    <n v="0"/>
    <n v="0.28789999999999999"/>
    <n v="0.81"/>
    <n v="0"/>
    <x v="0"/>
    <x v="0"/>
    <x v="0"/>
    <x v="1"/>
  </r>
  <r>
    <n v="443"/>
    <n v="40563"/>
    <x v="0"/>
    <x v="0"/>
    <x v="11"/>
    <b v="0"/>
    <n v="4"/>
    <x v="1"/>
    <x v="17"/>
    <n v="0"/>
    <n v="0.28789999999999999"/>
    <n v="0.81"/>
    <n v="0"/>
    <x v="0"/>
    <x v="0"/>
    <x v="0"/>
    <x v="1"/>
  </r>
  <r>
    <n v="444"/>
    <n v="40563"/>
    <x v="0"/>
    <x v="0"/>
    <x v="12"/>
    <b v="0"/>
    <n v="4"/>
    <x v="1"/>
    <x v="11"/>
    <n v="0"/>
    <n v="0.28789999999999999"/>
    <n v="0.81"/>
    <n v="0"/>
    <x v="0"/>
    <x v="0"/>
    <x v="0"/>
    <x v="1"/>
  </r>
  <r>
    <n v="445"/>
    <n v="40563"/>
    <x v="0"/>
    <x v="0"/>
    <x v="13"/>
    <b v="0"/>
    <n v="4"/>
    <x v="1"/>
    <x v="17"/>
    <n v="0"/>
    <n v="0.28789999999999999"/>
    <n v="0.81"/>
    <n v="0"/>
    <x v="0"/>
    <x v="0"/>
    <x v="0"/>
    <x v="1"/>
  </r>
  <r>
    <n v="446"/>
    <n v="40563"/>
    <x v="0"/>
    <x v="0"/>
    <x v="14"/>
    <b v="0"/>
    <n v="4"/>
    <x v="1"/>
    <x v="11"/>
    <n v="0"/>
    <n v="0.28789999999999999"/>
    <n v="0.81"/>
    <n v="0"/>
    <x v="0"/>
    <x v="0"/>
    <x v="0"/>
    <x v="1"/>
  </r>
  <r>
    <n v="447"/>
    <n v="40563"/>
    <x v="0"/>
    <x v="0"/>
    <x v="15"/>
    <b v="0"/>
    <n v="4"/>
    <x v="1"/>
    <x v="3"/>
    <n v="0"/>
    <n v="0.28789999999999999"/>
    <n v="0.81"/>
    <n v="0"/>
    <x v="0"/>
    <x v="0"/>
    <x v="0"/>
    <x v="1"/>
  </r>
  <r>
    <n v="448"/>
    <n v="40563"/>
    <x v="0"/>
    <x v="0"/>
    <x v="16"/>
    <b v="0"/>
    <n v="4"/>
    <x v="1"/>
    <x v="11"/>
    <n v="0"/>
    <n v="0.28789999999999999"/>
    <n v="0.81"/>
    <n v="0"/>
    <x v="0"/>
    <x v="0"/>
    <x v="0"/>
    <x v="1"/>
  </r>
  <r>
    <n v="449"/>
    <n v="40563"/>
    <x v="0"/>
    <x v="0"/>
    <x v="17"/>
    <b v="0"/>
    <n v="4"/>
    <x v="1"/>
    <x v="11"/>
    <n v="0"/>
    <n v="0.28789999999999999"/>
    <n v="0.81"/>
    <n v="0"/>
    <x v="0"/>
    <x v="0"/>
    <x v="0"/>
    <x v="1"/>
  </r>
  <r>
    <n v="450"/>
    <n v="40563"/>
    <x v="0"/>
    <x v="0"/>
    <x v="18"/>
    <b v="0"/>
    <n v="4"/>
    <x v="1"/>
    <x v="12"/>
    <n v="0"/>
    <n v="0.28789999999999999"/>
    <n v="0.81"/>
    <n v="0"/>
    <x v="0"/>
    <x v="0"/>
    <x v="0"/>
    <x v="1"/>
  </r>
  <r>
    <n v="451"/>
    <n v="40563"/>
    <x v="0"/>
    <x v="0"/>
    <x v="19"/>
    <b v="0"/>
    <n v="4"/>
    <x v="0"/>
    <x v="12"/>
    <n v="0"/>
    <n v="0.28789999999999999"/>
    <n v="0.81"/>
    <n v="0"/>
    <x v="0"/>
    <x v="0"/>
    <x v="0"/>
    <x v="1"/>
  </r>
  <r>
    <n v="452"/>
    <n v="40563"/>
    <x v="0"/>
    <x v="0"/>
    <x v="20"/>
    <b v="0"/>
    <n v="4"/>
    <x v="1"/>
    <x v="12"/>
    <n v="0"/>
    <n v="0.28789999999999999"/>
    <n v="0.81"/>
    <n v="0"/>
    <x v="0"/>
    <x v="0"/>
    <x v="0"/>
    <x v="1"/>
  </r>
  <r>
    <n v="453"/>
    <n v="40563"/>
    <x v="0"/>
    <x v="0"/>
    <x v="21"/>
    <b v="0"/>
    <n v="4"/>
    <x v="1"/>
    <x v="0"/>
    <n v="0"/>
    <n v="0.28789999999999999"/>
    <n v="0.81"/>
    <n v="0"/>
    <x v="0"/>
    <x v="0"/>
    <x v="0"/>
    <x v="1"/>
  </r>
  <r>
    <n v="454"/>
    <n v="40563"/>
    <x v="0"/>
    <x v="0"/>
    <x v="22"/>
    <b v="0"/>
    <n v="4"/>
    <x v="1"/>
    <x v="0"/>
    <n v="0"/>
    <n v="0.28789999999999999"/>
    <n v="0.81"/>
    <n v="0"/>
    <x v="0"/>
    <x v="0"/>
    <x v="0"/>
    <x v="1"/>
  </r>
  <r>
    <n v="455"/>
    <n v="40563"/>
    <x v="0"/>
    <x v="0"/>
    <x v="23"/>
    <b v="0"/>
    <n v="4"/>
    <x v="1"/>
    <x v="0"/>
    <n v="0"/>
    <n v="0.28789999999999999"/>
    <n v="0.81"/>
    <n v="0"/>
    <x v="0"/>
    <x v="0"/>
    <x v="0"/>
    <x v="1"/>
  </r>
  <r>
    <n v="456"/>
    <n v="40564"/>
    <x v="0"/>
    <x v="0"/>
    <x v="0"/>
    <b v="0"/>
    <n v="5"/>
    <x v="1"/>
    <x v="0"/>
    <n v="0"/>
    <n v="0.28789999999999999"/>
    <n v="0.81"/>
    <n v="0"/>
    <x v="0"/>
    <x v="0"/>
    <x v="0"/>
    <x v="0"/>
  </r>
  <r>
    <n v="457"/>
    <n v="40564"/>
    <x v="0"/>
    <x v="0"/>
    <x v="1"/>
    <b v="0"/>
    <n v="5"/>
    <x v="1"/>
    <x v="0"/>
    <n v="0"/>
    <n v="0.28789999999999999"/>
    <n v="0.81"/>
    <n v="0"/>
    <x v="0"/>
    <x v="0"/>
    <x v="0"/>
    <x v="0"/>
  </r>
  <r>
    <n v="458"/>
    <n v="40564"/>
    <x v="0"/>
    <x v="0"/>
    <x v="2"/>
    <b v="0"/>
    <n v="5"/>
    <x v="2"/>
    <x v="0"/>
    <n v="0"/>
    <n v="0.28789999999999999"/>
    <n v="0.81"/>
    <n v="0"/>
    <x v="0"/>
    <x v="0"/>
    <x v="0"/>
    <x v="0"/>
  </r>
  <r>
    <n v="459"/>
    <n v="40564"/>
    <x v="0"/>
    <x v="0"/>
    <x v="3"/>
    <b v="0"/>
    <n v="5"/>
    <x v="2"/>
    <x v="1"/>
    <n v="0"/>
    <n v="0.28789999999999999"/>
    <n v="0.81"/>
    <n v="0"/>
    <x v="0"/>
    <x v="0"/>
    <x v="0"/>
    <x v="0"/>
  </r>
  <r>
    <n v="460"/>
    <n v="40564"/>
    <x v="0"/>
    <x v="0"/>
    <x v="4"/>
    <b v="0"/>
    <n v="5"/>
    <x v="1"/>
    <x v="1"/>
    <n v="0"/>
    <n v="0.28789999999999999"/>
    <n v="0.81"/>
    <n v="0"/>
    <x v="0"/>
    <x v="0"/>
    <x v="0"/>
    <x v="0"/>
  </r>
  <r>
    <n v="461"/>
    <n v="40564"/>
    <x v="0"/>
    <x v="0"/>
    <x v="5"/>
    <b v="0"/>
    <n v="5"/>
    <x v="0"/>
    <x v="0"/>
    <n v="0"/>
    <n v="0.28789999999999999"/>
    <n v="0.81"/>
    <n v="0"/>
    <x v="0"/>
    <x v="0"/>
    <x v="0"/>
    <x v="0"/>
  </r>
  <r>
    <n v="462"/>
    <n v="40564"/>
    <x v="0"/>
    <x v="0"/>
    <x v="6"/>
    <b v="0"/>
    <n v="5"/>
    <x v="0"/>
    <x v="1"/>
    <n v="0"/>
    <n v="0.28789999999999999"/>
    <n v="0.81"/>
    <n v="0"/>
    <x v="0"/>
    <x v="0"/>
    <x v="0"/>
    <x v="0"/>
  </r>
  <r>
    <n v="463"/>
    <n v="40564"/>
    <x v="0"/>
    <x v="0"/>
    <x v="7"/>
    <b v="0"/>
    <n v="5"/>
    <x v="0"/>
    <x v="2"/>
    <n v="0"/>
    <n v="0.28789999999999999"/>
    <n v="0.81"/>
    <n v="0"/>
    <x v="0"/>
    <x v="0"/>
    <x v="0"/>
    <x v="0"/>
  </r>
  <r>
    <n v="464"/>
    <n v="40564"/>
    <x v="0"/>
    <x v="0"/>
    <x v="8"/>
    <b v="0"/>
    <n v="5"/>
    <x v="0"/>
    <x v="2"/>
    <n v="0"/>
    <n v="0.28789999999999999"/>
    <n v="0.81"/>
    <n v="0"/>
    <x v="0"/>
    <x v="0"/>
    <x v="0"/>
    <x v="0"/>
  </r>
  <r>
    <n v="465"/>
    <n v="40564"/>
    <x v="0"/>
    <x v="0"/>
    <x v="9"/>
    <b v="0"/>
    <n v="5"/>
    <x v="0"/>
    <x v="2"/>
    <n v="0"/>
    <n v="0.28789999999999999"/>
    <n v="0.81"/>
    <n v="0"/>
    <x v="0"/>
    <x v="0"/>
    <x v="0"/>
    <x v="0"/>
  </r>
  <r>
    <n v="466"/>
    <n v="40564"/>
    <x v="0"/>
    <x v="0"/>
    <x v="10"/>
    <b v="0"/>
    <n v="5"/>
    <x v="0"/>
    <x v="2"/>
    <n v="0"/>
    <n v="0.28789999999999999"/>
    <n v="0.81"/>
    <n v="0"/>
    <x v="0"/>
    <x v="0"/>
    <x v="0"/>
    <x v="0"/>
  </r>
  <r>
    <n v="467"/>
    <n v="40564"/>
    <x v="0"/>
    <x v="0"/>
    <x v="11"/>
    <b v="0"/>
    <n v="5"/>
    <x v="0"/>
    <x v="1"/>
    <n v="0"/>
    <n v="0.28789999999999999"/>
    <n v="0.81"/>
    <n v="0"/>
    <x v="0"/>
    <x v="0"/>
    <x v="0"/>
    <x v="0"/>
  </r>
  <r>
    <n v="468"/>
    <n v="40564"/>
    <x v="0"/>
    <x v="0"/>
    <x v="12"/>
    <b v="0"/>
    <n v="5"/>
    <x v="0"/>
    <x v="1"/>
    <n v="0"/>
    <n v="0.28789999999999999"/>
    <n v="0.81"/>
    <n v="0"/>
    <x v="0"/>
    <x v="0"/>
    <x v="0"/>
    <x v="0"/>
  </r>
  <r>
    <n v="469"/>
    <n v="40564"/>
    <x v="0"/>
    <x v="0"/>
    <x v="13"/>
    <b v="0"/>
    <n v="5"/>
    <x v="0"/>
    <x v="2"/>
    <n v="0"/>
    <n v="0.28789999999999999"/>
    <n v="0.81"/>
    <n v="0"/>
    <x v="0"/>
    <x v="0"/>
    <x v="0"/>
    <x v="0"/>
  </r>
  <r>
    <n v="470"/>
    <n v="40564"/>
    <x v="0"/>
    <x v="0"/>
    <x v="14"/>
    <b v="0"/>
    <n v="5"/>
    <x v="0"/>
    <x v="2"/>
    <n v="0"/>
    <n v="0.28789999999999999"/>
    <n v="0.81"/>
    <n v="0"/>
    <x v="0"/>
    <x v="0"/>
    <x v="0"/>
    <x v="0"/>
  </r>
  <r>
    <n v="471"/>
    <n v="40564"/>
    <x v="0"/>
    <x v="0"/>
    <x v="15"/>
    <b v="0"/>
    <n v="5"/>
    <x v="0"/>
    <x v="13"/>
    <n v="0"/>
    <n v="0.28789999999999999"/>
    <n v="0.81"/>
    <n v="0"/>
    <x v="0"/>
    <x v="0"/>
    <x v="0"/>
    <x v="0"/>
  </r>
  <r>
    <n v="472"/>
    <n v="40564"/>
    <x v="0"/>
    <x v="0"/>
    <x v="16"/>
    <b v="0"/>
    <n v="5"/>
    <x v="0"/>
    <x v="13"/>
    <n v="0"/>
    <n v="0.28789999999999999"/>
    <n v="0.81"/>
    <n v="0"/>
    <x v="0"/>
    <x v="0"/>
    <x v="0"/>
    <x v="0"/>
  </r>
  <r>
    <n v="473"/>
    <n v="40564"/>
    <x v="0"/>
    <x v="0"/>
    <x v="17"/>
    <b v="0"/>
    <n v="5"/>
    <x v="0"/>
    <x v="14"/>
    <n v="0"/>
    <n v="0.28789999999999999"/>
    <n v="0.81"/>
    <n v="0"/>
    <x v="0"/>
    <x v="0"/>
    <x v="0"/>
    <x v="0"/>
  </r>
  <r>
    <n v="474"/>
    <n v="40564"/>
    <x v="0"/>
    <x v="0"/>
    <x v="18"/>
    <b v="0"/>
    <n v="5"/>
    <x v="0"/>
    <x v="16"/>
    <n v="0"/>
    <n v="0.28789999999999999"/>
    <n v="0.81"/>
    <n v="0"/>
    <x v="0"/>
    <x v="0"/>
    <x v="0"/>
    <x v="0"/>
  </r>
  <r>
    <n v="475"/>
    <n v="40564"/>
    <x v="0"/>
    <x v="0"/>
    <x v="19"/>
    <b v="0"/>
    <n v="5"/>
    <x v="0"/>
    <x v="16"/>
    <n v="0"/>
    <n v="0.28789999999999999"/>
    <n v="0.81"/>
    <n v="0"/>
    <x v="0"/>
    <x v="0"/>
    <x v="0"/>
    <x v="0"/>
  </r>
  <r>
    <n v="476"/>
    <n v="40564"/>
    <x v="0"/>
    <x v="0"/>
    <x v="20"/>
    <b v="0"/>
    <n v="5"/>
    <x v="0"/>
    <x v="18"/>
    <n v="0"/>
    <n v="0.28789999999999999"/>
    <n v="0.81"/>
    <n v="0"/>
    <x v="0"/>
    <x v="0"/>
    <x v="0"/>
    <x v="0"/>
  </r>
  <r>
    <n v="477"/>
    <n v="40564"/>
    <x v="0"/>
    <x v="0"/>
    <x v="21"/>
    <b v="0"/>
    <n v="5"/>
    <x v="0"/>
    <x v="19"/>
    <n v="0"/>
    <n v="0.28789999999999999"/>
    <n v="0.81"/>
    <n v="0"/>
    <x v="0"/>
    <x v="0"/>
    <x v="0"/>
    <x v="0"/>
  </r>
  <r>
    <n v="478"/>
    <n v="40564"/>
    <x v="0"/>
    <x v="0"/>
    <x v="22"/>
    <b v="0"/>
    <n v="5"/>
    <x v="0"/>
    <x v="20"/>
    <n v="0"/>
    <n v="0.28789999999999999"/>
    <n v="0.81"/>
    <n v="0"/>
    <x v="0"/>
    <x v="0"/>
    <x v="0"/>
    <x v="0"/>
  </r>
  <r>
    <n v="479"/>
    <n v="40564"/>
    <x v="0"/>
    <x v="0"/>
    <x v="23"/>
    <b v="0"/>
    <n v="5"/>
    <x v="0"/>
    <x v="20"/>
    <n v="0"/>
    <n v="0.28789999999999999"/>
    <n v="0.81"/>
    <n v="0"/>
    <x v="0"/>
    <x v="0"/>
    <x v="0"/>
    <x v="0"/>
  </r>
  <r>
    <n v="480"/>
    <n v="40565"/>
    <x v="0"/>
    <x v="0"/>
    <x v="0"/>
    <b v="0"/>
    <n v="6"/>
    <x v="0"/>
    <x v="21"/>
    <n v="0"/>
    <n v="0.28789999999999999"/>
    <n v="0.81"/>
    <n v="0"/>
    <x v="0"/>
    <x v="0"/>
    <x v="0"/>
    <x v="0"/>
  </r>
  <r>
    <n v="481"/>
    <n v="40565"/>
    <x v="0"/>
    <x v="0"/>
    <x v="1"/>
    <b v="0"/>
    <n v="6"/>
    <x v="1"/>
    <x v="21"/>
    <n v="0"/>
    <n v="0.28789999999999999"/>
    <n v="0.81"/>
    <n v="0"/>
    <x v="0"/>
    <x v="0"/>
    <x v="0"/>
    <x v="0"/>
  </r>
  <r>
    <n v="482"/>
    <n v="40565"/>
    <x v="0"/>
    <x v="0"/>
    <x v="2"/>
    <b v="0"/>
    <n v="6"/>
    <x v="1"/>
    <x v="21"/>
    <n v="0"/>
    <n v="0.28789999999999999"/>
    <n v="0.81"/>
    <n v="0"/>
    <x v="0"/>
    <x v="0"/>
    <x v="0"/>
    <x v="0"/>
  </r>
  <r>
    <n v="483"/>
    <n v="40565"/>
    <x v="0"/>
    <x v="0"/>
    <x v="3"/>
    <b v="0"/>
    <n v="6"/>
    <x v="1"/>
    <x v="21"/>
    <n v="0"/>
    <n v="0.28789999999999999"/>
    <n v="0.81"/>
    <n v="0"/>
    <x v="0"/>
    <x v="0"/>
    <x v="0"/>
    <x v="0"/>
  </r>
  <r>
    <n v="484"/>
    <n v="40565"/>
    <x v="0"/>
    <x v="0"/>
    <x v="4"/>
    <b v="0"/>
    <n v="6"/>
    <x v="1"/>
    <x v="22"/>
    <n v="0"/>
    <n v="0.28789999999999999"/>
    <n v="0.81"/>
    <n v="0"/>
    <x v="0"/>
    <x v="0"/>
    <x v="0"/>
    <x v="0"/>
  </r>
  <r>
    <n v="485"/>
    <n v="40565"/>
    <x v="0"/>
    <x v="0"/>
    <x v="6"/>
    <b v="0"/>
    <n v="6"/>
    <x v="1"/>
    <x v="22"/>
    <n v="0"/>
    <n v="0.28789999999999999"/>
    <n v="0.81"/>
    <n v="0"/>
    <x v="0"/>
    <x v="0"/>
    <x v="0"/>
    <x v="0"/>
  </r>
  <r>
    <n v="486"/>
    <n v="40565"/>
    <x v="0"/>
    <x v="0"/>
    <x v="7"/>
    <b v="0"/>
    <n v="6"/>
    <x v="0"/>
    <x v="22"/>
    <n v="0"/>
    <n v="0.28789999999999999"/>
    <n v="0.81"/>
    <n v="0"/>
    <x v="0"/>
    <x v="0"/>
    <x v="0"/>
    <x v="0"/>
  </r>
  <r>
    <n v="487"/>
    <n v="40565"/>
    <x v="0"/>
    <x v="0"/>
    <x v="8"/>
    <b v="0"/>
    <n v="6"/>
    <x v="0"/>
    <x v="22"/>
    <n v="0"/>
    <n v="0.28789999999999999"/>
    <n v="0.81"/>
    <n v="0"/>
    <x v="0"/>
    <x v="0"/>
    <x v="0"/>
    <x v="0"/>
  </r>
  <r>
    <n v="488"/>
    <n v="40565"/>
    <x v="0"/>
    <x v="0"/>
    <x v="9"/>
    <b v="0"/>
    <n v="6"/>
    <x v="0"/>
    <x v="21"/>
    <n v="0"/>
    <n v="0.28789999999999999"/>
    <n v="0.81"/>
    <n v="0"/>
    <x v="0"/>
    <x v="0"/>
    <x v="0"/>
    <x v="0"/>
  </r>
  <r>
    <n v="489"/>
    <n v="40565"/>
    <x v="0"/>
    <x v="0"/>
    <x v="10"/>
    <b v="0"/>
    <n v="6"/>
    <x v="1"/>
    <x v="21"/>
    <n v="0"/>
    <n v="0.28789999999999999"/>
    <n v="0.81"/>
    <n v="0"/>
    <x v="0"/>
    <x v="0"/>
    <x v="0"/>
    <x v="0"/>
  </r>
  <r>
    <n v="490"/>
    <n v="40565"/>
    <x v="0"/>
    <x v="0"/>
    <x v="11"/>
    <b v="0"/>
    <n v="6"/>
    <x v="1"/>
    <x v="20"/>
    <n v="0"/>
    <n v="0.28789999999999999"/>
    <n v="0.81"/>
    <n v="0"/>
    <x v="0"/>
    <x v="0"/>
    <x v="0"/>
    <x v="0"/>
  </r>
  <r>
    <n v="491"/>
    <n v="40565"/>
    <x v="0"/>
    <x v="0"/>
    <x v="12"/>
    <b v="0"/>
    <n v="6"/>
    <x v="1"/>
    <x v="20"/>
    <n v="0"/>
    <n v="0.28789999999999999"/>
    <n v="0.81"/>
    <n v="0"/>
    <x v="0"/>
    <x v="0"/>
    <x v="0"/>
    <x v="0"/>
  </r>
  <r>
    <n v="492"/>
    <n v="40565"/>
    <x v="0"/>
    <x v="0"/>
    <x v="13"/>
    <b v="0"/>
    <n v="6"/>
    <x v="0"/>
    <x v="19"/>
    <n v="0"/>
    <n v="0.28789999999999999"/>
    <n v="0.81"/>
    <n v="0"/>
    <x v="0"/>
    <x v="0"/>
    <x v="0"/>
    <x v="0"/>
  </r>
  <r>
    <n v="493"/>
    <n v="40565"/>
    <x v="0"/>
    <x v="0"/>
    <x v="14"/>
    <b v="0"/>
    <n v="6"/>
    <x v="0"/>
    <x v="18"/>
    <n v="0"/>
    <n v="0.28789999999999999"/>
    <n v="0.81"/>
    <n v="0"/>
    <x v="0"/>
    <x v="0"/>
    <x v="0"/>
    <x v="0"/>
  </r>
  <r>
    <n v="494"/>
    <n v="40565"/>
    <x v="0"/>
    <x v="0"/>
    <x v="15"/>
    <b v="0"/>
    <n v="6"/>
    <x v="0"/>
    <x v="16"/>
    <n v="0"/>
    <n v="0.28789999999999999"/>
    <n v="0.81"/>
    <n v="0"/>
    <x v="0"/>
    <x v="0"/>
    <x v="0"/>
    <x v="0"/>
  </r>
  <r>
    <n v="495"/>
    <n v="40565"/>
    <x v="0"/>
    <x v="0"/>
    <x v="16"/>
    <b v="0"/>
    <n v="6"/>
    <x v="0"/>
    <x v="16"/>
    <n v="0"/>
    <n v="0.28789999999999999"/>
    <n v="0.81"/>
    <n v="0"/>
    <x v="0"/>
    <x v="0"/>
    <x v="0"/>
    <x v="0"/>
  </r>
  <r>
    <n v="496"/>
    <n v="40565"/>
    <x v="0"/>
    <x v="0"/>
    <x v="17"/>
    <b v="0"/>
    <n v="6"/>
    <x v="0"/>
    <x v="16"/>
    <n v="0"/>
    <n v="0.28789999999999999"/>
    <n v="0.81"/>
    <n v="0"/>
    <x v="0"/>
    <x v="0"/>
    <x v="0"/>
    <x v="0"/>
  </r>
  <r>
    <n v="497"/>
    <n v="40565"/>
    <x v="0"/>
    <x v="0"/>
    <x v="18"/>
    <b v="0"/>
    <n v="6"/>
    <x v="0"/>
    <x v="19"/>
    <n v="0"/>
    <n v="0.28789999999999999"/>
    <n v="0.81"/>
    <n v="0"/>
    <x v="0"/>
    <x v="0"/>
    <x v="0"/>
    <x v="0"/>
  </r>
  <r>
    <n v="498"/>
    <n v="40565"/>
    <x v="0"/>
    <x v="0"/>
    <x v="19"/>
    <b v="0"/>
    <n v="6"/>
    <x v="0"/>
    <x v="19"/>
    <n v="0"/>
    <n v="0.28789999999999999"/>
    <n v="0.81"/>
    <n v="0"/>
    <x v="0"/>
    <x v="0"/>
    <x v="0"/>
    <x v="0"/>
  </r>
  <r>
    <n v="499"/>
    <n v="40565"/>
    <x v="0"/>
    <x v="0"/>
    <x v="20"/>
    <b v="0"/>
    <n v="6"/>
    <x v="0"/>
    <x v="20"/>
    <n v="0"/>
    <n v="0.28789999999999999"/>
    <n v="0.81"/>
    <n v="0"/>
    <x v="0"/>
    <x v="0"/>
    <x v="0"/>
    <x v="0"/>
  </r>
  <r>
    <n v="500"/>
    <n v="40565"/>
    <x v="0"/>
    <x v="0"/>
    <x v="21"/>
    <b v="0"/>
    <n v="6"/>
    <x v="0"/>
    <x v="20"/>
    <n v="0"/>
    <n v="0.28789999999999999"/>
    <n v="0.81"/>
    <n v="0"/>
    <x v="0"/>
    <x v="0"/>
    <x v="0"/>
    <x v="0"/>
  </r>
  <r>
    <n v="501"/>
    <n v="40565"/>
    <x v="0"/>
    <x v="0"/>
    <x v="22"/>
    <b v="0"/>
    <n v="6"/>
    <x v="0"/>
    <x v="20"/>
    <n v="0"/>
    <n v="0.28789999999999999"/>
    <n v="0.81"/>
    <n v="0"/>
    <x v="0"/>
    <x v="0"/>
    <x v="0"/>
    <x v="0"/>
  </r>
  <r>
    <n v="502"/>
    <n v="40565"/>
    <x v="0"/>
    <x v="0"/>
    <x v="23"/>
    <b v="0"/>
    <n v="6"/>
    <x v="0"/>
    <x v="21"/>
    <n v="0"/>
    <n v="0.28789999999999999"/>
    <n v="0.81"/>
    <n v="0"/>
    <x v="0"/>
    <x v="0"/>
    <x v="0"/>
    <x v="0"/>
  </r>
  <r>
    <n v="503"/>
    <n v="40566"/>
    <x v="0"/>
    <x v="0"/>
    <x v="0"/>
    <b v="0"/>
    <n v="0"/>
    <x v="0"/>
    <x v="21"/>
    <n v="0"/>
    <n v="0.28789999999999999"/>
    <n v="0.81"/>
    <n v="0"/>
    <x v="0"/>
    <x v="0"/>
    <x v="0"/>
    <x v="1"/>
  </r>
  <r>
    <n v="504"/>
    <n v="40566"/>
    <x v="0"/>
    <x v="0"/>
    <x v="1"/>
    <b v="0"/>
    <n v="0"/>
    <x v="0"/>
    <x v="21"/>
    <n v="0"/>
    <n v="0.28789999999999999"/>
    <n v="0.81"/>
    <n v="0"/>
    <x v="0"/>
    <x v="0"/>
    <x v="0"/>
    <x v="1"/>
  </r>
  <r>
    <n v="505"/>
    <n v="40566"/>
    <x v="0"/>
    <x v="0"/>
    <x v="2"/>
    <b v="0"/>
    <n v="0"/>
    <x v="0"/>
    <x v="22"/>
    <n v="0"/>
    <n v="0.28789999999999999"/>
    <n v="0.81"/>
    <n v="0"/>
    <x v="0"/>
    <x v="0"/>
    <x v="0"/>
    <x v="1"/>
  </r>
  <r>
    <n v="506"/>
    <n v="40566"/>
    <x v="0"/>
    <x v="0"/>
    <x v="3"/>
    <b v="0"/>
    <n v="0"/>
    <x v="0"/>
    <x v="22"/>
    <n v="0"/>
    <n v="0.28789999999999999"/>
    <n v="0.81"/>
    <n v="0"/>
    <x v="0"/>
    <x v="0"/>
    <x v="0"/>
    <x v="1"/>
  </r>
  <r>
    <n v="507"/>
    <n v="40566"/>
    <x v="0"/>
    <x v="0"/>
    <x v="5"/>
    <b v="0"/>
    <n v="0"/>
    <x v="1"/>
    <x v="21"/>
    <n v="0"/>
    <n v="0.28789999999999999"/>
    <n v="0.81"/>
    <n v="0"/>
    <x v="0"/>
    <x v="0"/>
    <x v="0"/>
    <x v="1"/>
  </r>
  <r>
    <n v="508"/>
    <n v="40566"/>
    <x v="0"/>
    <x v="0"/>
    <x v="6"/>
    <b v="0"/>
    <n v="0"/>
    <x v="1"/>
    <x v="21"/>
    <n v="0"/>
    <n v="0.28789999999999999"/>
    <n v="0.81"/>
    <n v="0"/>
    <x v="0"/>
    <x v="0"/>
    <x v="0"/>
    <x v="1"/>
  </r>
  <r>
    <n v="509"/>
    <n v="40566"/>
    <x v="0"/>
    <x v="0"/>
    <x v="7"/>
    <b v="0"/>
    <n v="0"/>
    <x v="0"/>
    <x v="19"/>
    <n v="0"/>
    <n v="0.28789999999999999"/>
    <n v="0.81"/>
    <n v="0"/>
    <x v="0"/>
    <x v="0"/>
    <x v="0"/>
    <x v="1"/>
  </r>
  <r>
    <n v="510"/>
    <n v="40566"/>
    <x v="0"/>
    <x v="0"/>
    <x v="8"/>
    <b v="0"/>
    <n v="0"/>
    <x v="0"/>
    <x v="20"/>
    <n v="0"/>
    <n v="0.28789999999999999"/>
    <n v="0.81"/>
    <n v="0"/>
    <x v="0"/>
    <x v="0"/>
    <x v="0"/>
    <x v="1"/>
  </r>
  <r>
    <n v="511"/>
    <n v="40566"/>
    <x v="0"/>
    <x v="0"/>
    <x v="9"/>
    <b v="0"/>
    <n v="0"/>
    <x v="0"/>
    <x v="18"/>
    <n v="0"/>
    <n v="0.28789999999999999"/>
    <n v="0.81"/>
    <n v="0"/>
    <x v="0"/>
    <x v="0"/>
    <x v="0"/>
    <x v="1"/>
  </r>
  <r>
    <n v="512"/>
    <n v="40566"/>
    <x v="0"/>
    <x v="0"/>
    <x v="10"/>
    <b v="0"/>
    <n v="0"/>
    <x v="0"/>
    <x v="14"/>
    <n v="0"/>
    <n v="0.28789999999999999"/>
    <n v="0.81"/>
    <n v="0"/>
    <x v="0"/>
    <x v="0"/>
    <x v="0"/>
    <x v="1"/>
  </r>
  <r>
    <n v="513"/>
    <n v="40566"/>
    <x v="0"/>
    <x v="0"/>
    <x v="11"/>
    <b v="0"/>
    <n v="0"/>
    <x v="0"/>
    <x v="14"/>
    <n v="0"/>
    <n v="0.28789999999999999"/>
    <n v="0.81"/>
    <n v="0"/>
    <x v="0"/>
    <x v="0"/>
    <x v="0"/>
    <x v="1"/>
  </r>
  <r>
    <n v="514"/>
    <n v="40566"/>
    <x v="0"/>
    <x v="0"/>
    <x v="12"/>
    <b v="0"/>
    <n v="0"/>
    <x v="0"/>
    <x v="13"/>
    <n v="0"/>
    <n v="0.28789999999999999"/>
    <n v="0.81"/>
    <n v="0"/>
    <x v="0"/>
    <x v="0"/>
    <x v="0"/>
    <x v="1"/>
  </r>
  <r>
    <n v="515"/>
    <n v="40566"/>
    <x v="0"/>
    <x v="0"/>
    <x v="13"/>
    <b v="0"/>
    <n v="0"/>
    <x v="0"/>
    <x v="14"/>
    <n v="0"/>
    <n v="0.28789999999999999"/>
    <n v="0.81"/>
    <n v="0"/>
    <x v="0"/>
    <x v="0"/>
    <x v="0"/>
    <x v="1"/>
  </r>
  <r>
    <n v="516"/>
    <n v="40566"/>
    <x v="0"/>
    <x v="0"/>
    <x v="14"/>
    <b v="0"/>
    <n v="0"/>
    <x v="0"/>
    <x v="13"/>
    <n v="0"/>
    <n v="0.28789999999999999"/>
    <n v="0.81"/>
    <n v="0"/>
    <x v="0"/>
    <x v="0"/>
    <x v="0"/>
    <x v="1"/>
  </r>
  <r>
    <n v="517"/>
    <n v="40566"/>
    <x v="0"/>
    <x v="0"/>
    <x v="15"/>
    <b v="0"/>
    <n v="0"/>
    <x v="0"/>
    <x v="13"/>
    <n v="0"/>
    <n v="0.28789999999999999"/>
    <n v="0.81"/>
    <n v="0"/>
    <x v="0"/>
    <x v="0"/>
    <x v="0"/>
    <x v="1"/>
  </r>
  <r>
    <n v="518"/>
    <n v="40566"/>
    <x v="0"/>
    <x v="0"/>
    <x v="16"/>
    <b v="0"/>
    <n v="0"/>
    <x v="0"/>
    <x v="13"/>
    <n v="0"/>
    <n v="0.28789999999999999"/>
    <n v="0.81"/>
    <n v="0"/>
    <x v="0"/>
    <x v="0"/>
    <x v="0"/>
    <x v="1"/>
  </r>
  <r>
    <n v="519"/>
    <n v="40566"/>
    <x v="0"/>
    <x v="0"/>
    <x v="17"/>
    <b v="0"/>
    <n v="0"/>
    <x v="0"/>
    <x v="14"/>
    <n v="0"/>
    <n v="0.28789999999999999"/>
    <n v="0.81"/>
    <n v="0"/>
    <x v="0"/>
    <x v="0"/>
    <x v="0"/>
    <x v="1"/>
  </r>
  <r>
    <n v="520"/>
    <n v="40566"/>
    <x v="0"/>
    <x v="0"/>
    <x v="18"/>
    <b v="0"/>
    <n v="0"/>
    <x v="0"/>
    <x v="16"/>
    <n v="0"/>
    <n v="0.28789999999999999"/>
    <n v="0.81"/>
    <n v="0"/>
    <x v="0"/>
    <x v="0"/>
    <x v="0"/>
    <x v="1"/>
  </r>
  <r>
    <n v="521"/>
    <n v="40566"/>
    <x v="0"/>
    <x v="0"/>
    <x v="19"/>
    <b v="0"/>
    <n v="0"/>
    <x v="0"/>
    <x v="16"/>
    <n v="0"/>
    <n v="0.28789999999999999"/>
    <n v="0.81"/>
    <n v="0"/>
    <x v="0"/>
    <x v="0"/>
    <x v="0"/>
    <x v="1"/>
  </r>
  <r>
    <n v="522"/>
    <n v="40566"/>
    <x v="0"/>
    <x v="0"/>
    <x v="20"/>
    <b v="0"/>
    <n v="0"/>
    <x v="0"/>
    <x v="18"/>
    <n v="0"/>
    <n v="0.28789999999999999"/>
    <n v="0.81"/>
    <n v="0"/>
    <x v="0"/>
    <x v="0"/>
    <x v="0"/>
    <x v="1"/>
  </r>
  <r>
    <n v="523"/>
    <n v="40566"/>
    <x v="0"/>
    <x v="0"/>
    <x v="21"/>
    <b v="0"/>
    <n v="0"/>
    <x v="0"/>
    <x v="18"/>
    <n v="0"/>
    <n v="0.28789999999999999"/>
    <n v="0.81"/>
    <n v="0"/>
    <x v="0"/>
    <x v="0"/>
    <x v="0"/>
    <x v="1"/>
  </r>
  <r>
    <n v="524"/>
    <n v="40566"/>
    <x v="0"/>
    <x v="0"/>
    <x v="22"/>
    <b v="0"/>
    <n v="0"/>
    <x v="0"/>
    <x v="19"/>
    <n v="0"/>
    <n v="0.28789999999999999"/>
    <n v="0.81"/>
    <n v="0"/>
    <x v="0"/>
    <x v="0"/>
    <x v="0"/>
    <x v="1"/>
  </r>
  <r>
    <n v="525"/>
    <n v="40566"/>
    <x v="0"/>
    <x v="0"/>
    <x v="23"/>
    <b v="0"/>
    <n v="0"/>
    <x v="0"/>
    <x v="20"/>
    <n v="0"/>
    <n v="0.28789999999999999"/>
    <n v="0.81"/>
    <n v="0"/>
    <x v="0"/>
    <x v="0"/>
    <x v="0"/>
    <x v="1"/>
  </r>
  <r>
    <n v="526"/>
    <n v="40567"/>
    <x v="0"/>
    <x v="0"/>
    <x v="0"/>
    <b v="0"/>
    <n v="1"/>
    <x v="0"/>
    <x v="20"/>
    <n v="0"/>
    <n v="0.28789999999999999"/>
    <n v="0.81"/>
    <n v="0"/>
    <x v="0"/>
    <x v="0"/>
    <x v="0"/>
    <x v="1"/>
  </r>
  <r>
    <n v="527"/>
    <n v="40567"/>
    <x v="0"/>
    <x v="0"/>
    <x v="1"/>
    <b v="0"/>
    <n v="1"/>
    <x v="0"/>
    <x v="21"/>
    <n v="0"/>
    <n v="0.28789999999999999"/>
    <n v="0.81"/>
    <n v="0"/>
    <x v="0"/>
    <x v="0"/>
    <x v="0"/>
    <x v="1"/>
  </r>
  <r>
    <n v="528"/>
    <n v="40567"/>
    <x v="0"/>
    <x v="0"/>
    <x v="3"/>
    <b v="0"/>
    <n v="1"/>
    <x v="0"/>
    <x v="21"/>
    <n v="0"/>
    <n v="0.28789999999999999"/>
    <n v="0.81"/>
    <n v="0"/>
    <x v="0"/>
    <x v="0"/>
    <x v="0"/>
    <x v="1"/>
  </r>
  <r>
    <n v="529"/>
    <n v="40567"/>
    <x v="0"/>
    <x v="0"/>
    <x v="4"/>
    <b v="0"/>
    <n v="1"/>
    <x v="0"/>
    <x v="22"/>
    <n v="0"/>
    <n v="0.28789999999999999"/>
    <n v="0.81"/>
    <n v="0"/>
    <x v="0"/>
    <x v="0"/>
    <x v="0"/>
    <x v="1"/>
  </r>
  <r>
    <n v="530"/>
    <n v="40567"/>
    <x v="0"/>
    <x v="0"/>
    <x v="5"/>
    <b v="0"/>
    <n v="1"/>
    <x v="0"/>
    <x v="22"/>
    <n v="0"/>
    <n v="0.28789999999999999"/>
    <n v="0.81"/>
    <n v="0"/>
    <x v="0"/>
    <x v="0"/>
    <x v="0"/>
    <x v="1"/>
  </r>
  <r>
    <n v="531"/>
    <n v="40567"/>
    <x v="0"/>
    <x v="0"/>
    <x v="6"/>
    <b v="0"/>
    <n v="1"/>
    <x v="0"/>
    <x v="22"/>
    <n v="0"/>
    <n v="0.28789999999999999"/>
    <n v="0.81"/>
    <n v="0"/>
    <x v="0"/>
    <x v="0"/>
    <x v="0"/>
    <x v="1"/>
  </r>
  <r>
    <n v="532"/>
    <n v="40567"/>
    <x v="0"/>
    <x v="0"/>
    <x v="7"/>
    <b v="0"/>
    <n v="1"/>
    <x v="0"/>
    <x v="22"/>
    <n v="0"/>
    <n v="0.28789999999999999"/>
    <n v="0.81"/>
    <n v="0"/>
    <x v="0"/>
    <x v="0"/>
    <x v="0"/>
    <x v="1"/>
  </r>
  <r>
    <n v="533"/>
    <n v="40567"/>
    <x v="0"/>
    <x v="0"/>
    <x v="8"/>
    <b v="0"/>
    <n v="1"/>
    <x v="0"/>
    <x v="21"/>
    <n v="0"/>
    <n v="0.28789999999999999"/>
    <n v="0.81"/>
    <n v="0"/>
    <x v="0"/>
    <x v="0"/>
    <x v="0"/>
    <x v="1"/>
  </r>
  <r>
    <n v="534"/>
    <n v="40567"/>
    <x v="0"/>
    <x v="0"/>
    <x v="9"/>
    <b v="0"/>
    <n v="1"/>
    <x v="0"/>
    <x v="20"/>
    <n v="0"/>
    <n v="0.28789999999999999"/>
    <n v="0.81"/>
    <n v="0"/>
    <x v="0"/>
    <x v="0"/>
    <x v="0"/>
    <x v="1"/>
  </r>
  <r>
    <n v="535"/>
    <n v="40567"/>
    <x v="0"/>
    <x v="0"/>
    <x v="10"/>
    <b v="0"/>
    <n v="1"/>
    <x v="0"/>
    <x v="18"/>
    <n v="0"/>
    <n v="0.28789999999999999"/>
    <n v="0.81"/>
    <n v="0"/>
    <x v="0"/>
    <x v="0"/>
    <x v="0"/>
    <x v="1"/>
  </r>
  <r>
    <n v="536"/>
    <n v="40567"/>
    <x v="0"/>
    <x v="0"/>
    <x v="11"/>
    <b v="0"/>
    <n v="1"/>
    <x v="0"/>
    <x v="18"/>
    <n v="0"/>
    <n v="0.28789999999999999"/>
    <n v="0.81"/>
    <n v="0"/>
    <x v="0"/>
    <x v="0"/>
    <x v="0"/>
    <x v="1"/>
  </r>
  <r>
    <n v="537"/>
    <n v="40567"/>
    <x v="0"/>
    <x v="0"/>
    <x v="12"/>
    <b v="0"/>
    <n v="1"/>
    <x v="1"/>
    <x v="16"/>
    <n v="0"/>
    <n v="0.28789999999999999"/>
    <n v="0.81"/>
    <n v="0"/>
    <x v="0"/>
    <x v="0"/>
    <x v="0"/>
    <x v="1"/>
  </r>
  <r>
    <n v="538"/>
    <n v="40567"/>
    <x v="0"/>
    <x v="0"/>
    <x v="13"/>
    <b v="0"/>
    <n v="1"/>
    <x v="1"/>
    <x v="14"/>
    <n v="0"/>
    <n v="0.28789999999999999"/>
    <n v="0.81"/>
    <n v="0"/>
    <x v="0"/>
    <x v="0"/>
    <x v="0"/>
    <x v="1"/>
  </r>
  <r>
    <n v="539"/>
    <n v="40567"/>
    <x v="0"/>
    <x v="0"/>
    <x v="14"/>
    <b v="0"/>
    <n v="1"/>
    <x v="1"/>
    <x v="14"/>
    <n v="0"/>
    <n v="0.28789999999999999"/>
    <n v="0.81"/>
    <n v="0"/>
    <x v="0"/>
    <x v="0"/>
    <x v="0"/>
    <x v="1"/>
  </r>
  <r>
    <n v="540"/>
    <n v="40567"/>
    <x v="0"/>
    <x v="0"/>
    <x v="15"/>
    <b v="0"/>
    <n v="1"/>
    <x v="0"/>
    <x v="13"/>
    <n v="0"/>
    <n v="0.28789999999999999"/>
    <n v="0.81"/>
    <n v="0"/>
    <x v="0"/>
    <x v="0"/>
    <x v="0"/>
    <x v="1"/>
  </r>
  <r>
    <n v="541"/>
    <n v="40567"/>
    <x v="0"/>
    <x v="0"/>
    <x v="16"/>
    <b v="0"/>
    <n v="1"/>
    <x v="0"/>
    <x v="13"/>
    <n v="0"/>
    <n v="0.28789999999999999"/>
    <n v="0.81"/>
    <n v="0"/>
    <x v="0"/>
    <x v="0"/>
    <x v="0"/>
    <x v="1"/>
  </r>
  <r>
    <n v="542"/>
    <n v="40567"/>
    <x v="0"/>
    <x v="0"/>
    <x v="17"/>
    <b v="0"/>
    <n v="1"/>
    <x v="0"/>
    <x v="14"/>
    <n v="0"/>
    <n v="0.28789999999999999"/>
    <n v="0.81"/>
    <n v="0"/>
    <x v="0"/>
    <x v="0"/>
    <x v="0"/>
    <x v="1"/>
  </r>
  <r>
    <n v="543"/>
    <n v="40567"/>
    <x v="0"/>
    <x v="0"/>
    <x v="18"/>
    <b v="0"/>
    <n v="1"/>
    <x v="0"/>
    <x v="14"/>
    <n v="0"/>
    <n v="0.28789999999999999"/>
    <n v="0.81"/>
    <n v="0"/>
    <x v="0"/>
    <x v="0"/>
    <x v="0"/>
    <x v="1"/>
  </r>
  <r>
    <n v="544"/>
    <n v="40567"/>
    <x v="0"/>
    <x v="0"/>
    <x v="19"/>
    <b v="0"/>
    <n v="1"/>
    <x v="0"/>
    <x v="14"/>
    <n v="0"/>
    <n v="0.28789999999999999"/>
    <n v="0.81"/>
    <n v="0"/>
    <x v="0"/>
    <x v="0"/>
    <x v="0"/>
    <x v="1"/>
  </r>
  <r>
    <n v="545"/>
    <n v="40567"/>
    <x v="0"/>
    <x v="0"/>
    <x v="20"/>
    <b v="0"/>
    <n v="1"/>
    <x v="0"/>
    <x v="14"/>
    <n v="0"/>
    <n v="0.28789999999999999"/>
    <n v="0.81"/>
    <n v="0"/>
    <x v="0"/>
    <x v="0"/>
    <x v="0"/>
    <x v="1"/>
  </r>
  <r>
    <n v="546"/>
    <n v="40567"/>
    <x v="0"/>
    <x v="0"/>
    <x v="21"/>
    <b v="0"/>
    <n v="1"/>
    <x v="0"/>
    <x v="14"/>
    <n v="0"/>
    <n v="0.28789999999999999"/>
    <n v="0.81"/>
    <n v="0"/>
    <x v="0"/>
    <x v="0"/>
    <x v="0"/>
    <x v="1"/>
  </r>
  <r>
    <n v="547"/>
    <n v="40567"/>
    <x v="0"/>
    <x v="0"/>
    <x v="22"/>
    <b v="0"/>
    <n v="1"/>
    <x v="1"/>
    <x v="14"/>
    <n v="0"/>
    <n v="0.28789999999999999"/>
    <n v="0.81"/>
    <n v="0"/>
    <x v="0"/>
    <x v="0"/>
    <x v="0"/>
    <x v="1"/>
  </r>
  <r>
    <n v="548"/>
    <n v="40567"/>
    <x v="0"/>
    <x v="0"/>
    <x v="23"/>
    <b v="0"/>
    <n v="1"/>
    <x v="1"/>
    <x v="13"/>
    <n v="0"/>
    <n v="0.28789999999999999"/>
    <n v="0.81"/>
    <n v="0"/>
    <x v="0"/>
    <x v="0"/>
    <x v="0"/>
    <x v="1"/>
  </r>
  <r>
    <n v="549"/>
    <n v="40568"/>
    <x v="0"/>
    <x v="0"/>
    <x v="0"/>
    <b v="0"/>
    <n v="2"/>
    <x v="1"/>
    <x v="13"/>
    <n v="0"/>
    <n v="0.28789999999999999"/>
    <n v="0.81"/>
    <n v="0"/>
    <x v="0"/>
    <x v="0"/>
    <x v="0"/>
    <x v="1"/>
  </r>
  <r>
    <n v="550"/>
    <n v="40568"/>
    <x v="0"/>
    <x v="0"/>
    <x v="1"/>
    <b v="0"/>
    <n v="2"/>
    <x v="1"/>
    <x v="13"/>
    <n v="0"/>
    <n v="0.28789999999999999"/>
    <n v="0.81"/>
    <n v="0"/>
    <x v="0"/>
    <x v="0"/>
    <x v="0"/>
    <x v="1"/>
  </r>
  <r>
    <n v="551"/>
    <n v="40568"/>
    <x v="0"/>
    <x v="0"/>
    <x v="2"/>
    <b v="0"/>
    <n v="2"/>
    <x v="0"/>
    <x v="13"/>
    <n v="0"/>
    <n v="0.28789999999999999"/>
    <n v="0.81"/>
    <n v="0"/>
    <x v="0"/>
    <x v="0"/>
    <x v="0"/>
    <x v="1"/>
  </r>
  <r>
    <n v="552"/>
    <n v="40568"/>
    <x v="0"/>
    <x v="0"/>
    <x v="4"/>
    <b v="0"/>
    <n v="2"/>
    <x v="0"/>
    <x v="14"/>
    <n v="0"/>
    <n v="0.28789999999999999"/>
    <n v="0.81"/>
    <n v="0"/>
    <x v="0"/>
    <x v="0"/>
    <x v="0"/>
    <x v="1"/>
  </r>
  <r>
    <n v="553"/>
    <n v="40568"/>
    <x v="0"/>
    <x v="0"/>
    <x v="5"/>
    <b v="0"/>
    <n v="2"/>
    <x v="0"/>
    <x v="14"/>
    <n v="0"/>
    <n v="0.28789999999999999"/>
    <n v="0.81"/>
    <n v="0"/>
    <x v="0"/>
    <x v="0"/>
    <x v="0"/>
    <x v="1"/>
  </r>
  <r>
    <n v="554"/>
    <n v="40568"/>
    <x v="0"/>
    <x v="0"/>
    <x v="6"/>
    <b v="0"/>
    <n v="2"/>
    <x v="0"/>
    <x v="13"/>
    <n v="0"/>
    <n v="0.28789999999999999"/>
    <n v="0.81"/>
    <n v="0"/>
    <x v="0"/>
    <x v="0"/>
    <x v="0"/>
    <x v="1"/>
  </r>
  <r>
    <n v="555"/>
    <n v="40568"/>
    <x v="0"/>
    <x v="0"/>
    <x v="7"/>
    <b v="0"/>
    <n v="2"/>
    <x v="0"/>
    <x v="13"/>
    <n v="0"/>
    <n v="0.28789999999999999"/>
    <n v="0.81"/>
    <n v="0"/>
    <x v="0"/>
    <x v="0"/>
    <x v="0"/>
    <x v="1"/>
  </r>
  <r>
    <n v="556"/>
    <n v="40568"/>
    <x v="0"/>
    <x v="0"/>
    <x v="8"/>
    <b v="0"/>
    <n v="2"/>
    <x v="1"/>
    <x v="13"/>
    <n v="0"/>
    <n v="0.28789999999999999"/>
    <n v="0.81"/>
    <n v="0"/>
    <x v="0"/>
    <x v="0"/>
    <x v="0"/>
    <x v="1"/>
  </r>
  <r>
    <n v="557"/>
    <n v="40568"/>
    <x v="0"/>
    <x v="0"/>
    <x v="9"/>
    <b v="0"/>
    <n v="2"/>
    <x v="1"/>
    <x v="2"/>
    <n v="0"/>
    <n v="0.28789999999999999"/>
    <n v="0.81"/>
    <n v="0"/>
    <x v="0"/>
    <x v="0"/>
    <x v="0"/>
    <x v="1"/>
  </r>
  <r>
    <n v="558"/>
    <n v="40568"/>
    <x v="0"/>
    <x v="0"/>
    <x v="10"/>
    <b v="0"/>
    <n v="2"/>
    <x v="1"/>
    <x v="1"/>
    <n v="0"/>
    <n v="0.28789999999999999"/>
    <n v="0.81"/>
    <n v="0"/>
    <x v="0"/>
    <x v="0"/>
    <x v="0"/>
    <x v="1"/>
  </r>
  <r>
    <n v="559"/>
    <n v="40568"/>
    <x v="0"/>
    <x v="0"/>
    <x v="11"/>
    <b v="0"/>
    <n v="2"/>
    <x v="1"/>
    <x v="0"/>
    <n v="0"/>
    <n v="0.28789999999999999"/>
    <n v="0.81"/>
    <n v="0"/>
    <x v="0"/>
    <x v="0"/>
    <x v="0"/>
    <x v="1"/>
  </r>
  <r>
    <n v="560"/>
    <n v="40568"/>
    <x v="0"/>
    <x v="0"/>
    <x v="12"/>
    <b v="0"/>
    <n v="2"/>
    <x v="1"/>
    <x v="12"/>
    <n v="0"/>
    <n v="0.28789999999999999"/>
    <n v="0.81"/>
    <n v="0"/>
    <x v="0"/>
    <x v="0"/>
    <x v="0"/>
    <x v="1"/>
  </r>
  <r>
    <n v="561"/>
    <n v="40568"/>
    <x v="0"/>
    <x v="0"/>
    <x v="13"/>
    <b v="0"/>
    <n v="2"/>
    <x v="1"/>
    <x v="12"/>
    <n v="0"/>
    <n v="0.28789999999999999"/>
    <n v="0.81"/>
    <n v="0"/>
    <x v="0"/>
    <x v="0"/>
    <x v="0"/>
    <x v="1"/>
  </r>
  <r>
    <n v="562"/>
    <n v="40568"/>
    <x v="0"/>
    <x v="0"/>
    <x v="14"/>
    <b v="0"/>
    <n v="2"/>
    <x v="1"/>
    <x v="11"/>
    <n v="0"/>
    <n v="0.28789999999999999"/>
    <n v="0.81"/>
    <n v="0"/>
    <x v="0"/>
    <x v="0"/>
    <x v="0"/>
    <x v="1"/>
  </r>
  <r>
    <n v="563"/>
    <n v="40568"/>
    <x v="0"/>
    <x v="0"/>
    <x v="15"/>
    <b v="0"/>
    <n v="2"/>
    <x v="1"/>
    <x v="3"/>
    <n v="0"/>
    <n v="0.28789999999999999"/>
    <n v="0.81"/>
    <n v="0"/>
    <x v="0"/>
    <x v="0"/>
    <x v="0"/>
    <x v="1"/>
  </r>
  <r>
    <n v="564"/>
    <n v="40568"/>
    <x v="0"/>
    <x v="0"/>
    <x v="16"/>
    <b v="0"/>
    <n v="2"/>
    <x v="1"/>
    <x v="3"/>
    <n v="0"/>
    <n v="0.28789999999999999"/>
    <n v="0.81"/>
    <n v="0"/>
    <x v="0"/>
    <x v="0"/>
    <x v="0"/>
    <x v="1"/>
  </r>
  <r>
    <n v="565"/>
    <n v="40568"/>
    <x v="0"/>
    <x v="0"/>
    <x v="17"/>
    <b v="0"/>
    <n v="2"/>
    <x v="0"/>
    <x v="11"/>
    <n v="0"/>
    <n v="0.28789999999999999"/>
    <n v="0.81"/>
    <n v="0"/>
    <x v="0"/>
    <x v="0"/>
    <x v="0"/>
    <x v="1"/>
  </r>
  <r>
    <n v="566"/>
    <n v="40568"/>
    <x v="0"/>
    <x v="0"/>
    <x v="18"/>
    <b v="0"/>
    <n v="2"/>
    <x v="1"/>
    <x v="11"/>
    <n v="0"/>
    <n v="0.28789999999999999"/>
    <n v="0.81"/>
    <n v="0"/>
    <x v="0"/>
    <x v="0"/>
    <x v="0"/>
    <x v="1"/>
  </r>
  <r>
    <n v="567"/>
    <n v="40568"/>
    <x v="0"/>
    <x v="0"/>
    <x v="19"/>
    <b v="0"/>
    <n v="2"/>
    <x v="1"/>
    <x v="12"/>
    <n v="0"/>
    <n v="0.28789999999999999"/>
    <n v="0.81"/>
    <n v="0"/>
    <x v="0"/>
    <x v="0"/>
    <x v="0"/>
    <x v="1"/>
  </r>
  <r>
    <n v="568"/>
    <n v="40568"/>
    <x v="0"/>
    <x v="0"/>
    <x v="20"/>
    <b v="0"/>
    <n v="2"/>
    <x v="0"/>
    <x v="0"/>
    <n v="0"/>
    <n v="0.28789999999999999"/>
    <n v="0.81"/>
    <n v="0"/>
    <x v="0"/>
    <x v="0"/>
    <x v="0"/>
    <x v="1"/>
  </r>
  <r>
    <n v="569"/>
    <n v="40568"/>
    <x v="0"/>
    <x v="0"/>
    <x v="21"/>
    <b v="0"/>
    <n v="2"/>
    <x v="0"/>
    <x v="0"/>
    <n v="0"/>
    <n v="0.28789999999999999"/>
    <n v="0.81"/>
    <n v="0"/>
    <x v="0"/>
    <x v="0"/>
    <x v="0"/>
    <x v="1"/>
  </r>
  <r>
    <n v="570"/>
    <n v="40568"/>
    <x v="0"/>
    <x v="0"/>
    <x v="22"/>
    <b v="0"/>
    <n v="2"/>
    <x v="0"/>
    <x v="1"/>
    <n v="0"/>
    <n v="0.28789999999999999"/>
    <n v="0.81"/>
    <n v="0"/>
    <x v="0"/>
    <x v="0"/>
    <x v="0"/>
    <x v="1"/>
  </r>
  <r>
    <n v="571"/>
    <n v="40568"/>
    <x v="0"/>
    <x v="0"/>
    <x v="23"/>
    <b v="0"/>
    <n v="2"/>
    <x v="1"/>
    <x v="1"/>
    <n v="0"/>
    <n v="0.28789999999999999"/>
    <n v="0.81"/>
    <n v="0"/>
    <x v="0"/>
    <x v="0"/>
    <x v="0"/>
    <x v="1"/>
  </r>
  <r>
    <n v="572"/>
    <n v="40569"/>
    <x v="0"/>
    <x v="0"/>
    <x v="0"/>
    <b v="0"/>
    <n v="3"/>
    <x v="1"/>
    <x v="1"/>
    <n v="0"/>
    <n v="0.28789999999999999"/>
    <n v="0.81"/>
    <n v="0"/>
    <x v="0"/>
    <x v="0"/>
    <x v="0"/>
    <x v="1"/>
  </r>
  <r>
    <n v="573"/>
    <n v="40569"/>
    <x v="0"/>
    <x v="0"/>
    <x v="1"/>
    <b v="0"/>
    <n v="3"/>
    <x v="1"/>
    <x v="0"/>
    <n v="0"/>
    <n v="0.28789999999999999"/>
    <n v="0.81"/>
    <n v="0"/>
    <x v="0"/>
    <x v="0"/>
    <x v="0"/>
    <x v="1"/>
  </r>
  <r>
    <n v="574"/>
    <n v="40569"/>
    <x v="0"/>
    <x v="0"/>
    <x v="2"/>
    <b v="0"/>
    <n v="3"/>
    <x v="2"/>
    <x v="1"/>
    <n v="0"/>
    <n v="0.28789999999999999"/>
    <n v="0.81"/>
    <n v="0"/>
    <x v="0"/>
    <x v="0"/>
    <x v="0"/>
    <x v="1"/>
  </r>
  <r>
    <n v="575"/>
    <n v="40569"/>
    <x v="0"/>
    <x v="0"/>
    <x v="5"/>
    <b v="0"/>
    <n v="3"/>
    <x v="2"/>
    <x v="2"/>
    <n v="0"/>
    <n v="0.28789999999999999"/>
    <n v="0.81"/>
    <n v="0"/>
    <x v="0"/>
    <x v="0"/>
    <x v="0"/>
    <x v="1"/>
  </r>
  <r>
    <n v="576"/>
    <n v="40569"/>
    <x v="0"/>
    <x v="0"/>
    <x v="6"/>
    <b v="0"/>
    <n v="3"/>
    <x v="2"/>
    <x v="2"/>
    <n v="0"/>
    <n v="0.28789999999999999"/>
    <n v="0.81"/>
    <n v="0"/>
    <x v="0"/>
    <x v="0"/>
    <x v="0"/>
    <x v="1"/>
  </r>
  <r>
    <n v="577"/>
    <n v="40569"/>
    <x v="0"/>
    <x v="0"/>
    <x v="7"/>
    <b v="0"/>
    <n v="3"/>
    <x v="2"/>
    <x v="1"/>
    <n v="0"/>
    <n v="0.28789999999999999"/>
    <n v="0.81"/>
    <n v="0"/>
    <x v="0"/>
    <x v="0"/>
    <x v="0"/>
    <x v="1"/>
  </r>
  <r>
    <n v="578"/>
    <n v="40569"/>
    <x v="0"/>
    <x v="0"/>
    <x v="8"/>
    <b v="0"/>
    <n v="3"/>
    <x v="2"/>
    <x v="1"/>
    <n v="0"/>
    <n v="0.28789999999999999"/>
    <n v="0.81"/>
    <n v="0"/>
    <x v="0"/>
    <x v="0"/>
    <x v="0"/>
    <x v="1"/>
  </r>
  <r>
    <n v="579"/>
    <n v="40569"/>
    <x v="0"/>
    <x v="0"/>
    <x v="9"/>
    <b v="0"/>
    <n v="3"/>
    <x v="2"/>
    <x v="1"/>
    <n v="0"/>
    <n v="0.28789999999999999"/>
    <n v="0.81"/>
    <n v="0"/>
    <x v="0"/>
    <x v="0"/>
    <x v="0"/>
    <x v="1"/>
  </r>
  <r>
    <n v="580"/>
    <n v="40569"/>
    <x v="0"/>
    <x v="0"/>
    <x v="10"/>
    <b v="0"/>
    <n v="3"/>
    <x v="2"/>
    <x v="1"/>
    <n v="0"/>
    <n v="0.28789999999999999"/>
    <n v="0.81"/>
    <n v="0"/>
    <x v="0"/>
    <x v="0"/>
    <x v="0"/>
    <x v="1"/>
  </r>
  <r>
    <n v="581"/>
    <n v="40569"/>
    <x v="0"/>
    <x v="0"/>
    <x v="11"/>
    <b v="0"/>
    <n v="3"/>
    <x v="2"/>
    <x v="1"/>
    <n v="0"/>
    <n v="0.28789999999999999"/>
    <n v="0.81"/>
    <n v="0"/>
    <x v="0"/>
    <x v="0"/>
    <x v="0"/>
    <x v="1"/>
  </r>
  <r>
    <n v="582"/>
    <n v="40569"/>
    <x v="0"/>
    <x v="0"/>
    <x v="12"/>
    <b v="0"/>
    <n v="3"/>
    <x v="2"/>
    <x v="1"/>
    <n v="0"/>
    <n v="0.28789999999999999"/>
    <n v="0.81"/>
    <n v="0"/>
    <x v="0"/>
    <x v="0"/>
    <x v="0"/>
    <x v="1"/>
  </r>
  <r>
    <n v="583"/>
    <n v="40569"/>
    <x v="0"/>
    <x v="0"/>
    <x v="13"/>
    <b v="0"/>
    <n v="3"/>
    <x v="2"/>
    <x v="1"/>
    <n v="0"/>
    <n v="0.28789999999999999"/>
    <n v="0.81"/>
    <n v="0"/>
    <x v="0"/>
    <x v="0"/>
    <x v="0"/>
    <x v="1"/>
  </r>
  <r>
    <n v="584"/>
    <n v="40569"/>
    <x v="0"/>
    <x v="0"/>
    <x v="14"/>
    <b v="0"/>
    <n v="3"/>
    <x v="2"/>
    <x v="1"/>
    <n v="0"/>
    <n v="0.28789999999999999"/>
    <n v="0.81"/>
    <n v="0"/>
    <x v="0"/>
    <x v="0"/>
    <x v="0"/>
    <x v="1"/>
  </r>
  <r>
    <n v="585"/>
    <n v="40569"/>
    <x v="0"/>
    <x v="0"/>
    <x v="15"/>
    <b v="0"/>
    <n v="3"/>
    <x v="2"/>
    <x v="1"/>
    <n v="0"/>
    <n v="0.28789999999999999"/>
    <n v="0.81"/>
    <n v="0"/>
    <x v="0"/>
    <x v="0"/>
    <x v="0"/>
    <x v="1"/>
  </r>
  <r>
    <n v="586"/>
    <n v="40569"/>
    <x v="0"/>
    <x v="0"/>
    <x v="16"/>
    <b v="0"/>
    <n v="3"/>
    <x v="3"/>
    <x v="1"/>
    <n v="0"/>
    <n v="0.28789999999999999"/>
    <n v="0.81"/>
    <n v="0"/>
    <x v="0"/>
    <x v="0"/>
    <x v="0"/>
    <x v="1"/>
  </r>
  <r>
    <n v="587"/>
    <n v="40569"/>
    <x v="0"/>
    <x v="0"/>
    <x v="17"/>
    <b v="0"/>
    <n v="3"/>
    <x v="2"/>
    <x v="2"/>
    <n v="0"/>
    <n v="0.28789999999999999"/>
    <n v="0.81"/>
    <n v="0"/>
    <x v="0"/>
    <x v="0"/>
    <x v="0"/>
    <x v="1"/>
  </r>
  <r>
    <n v="588"/>
    <n v="40570"/>
    <x v="0"/>
    <x v="0"/>
    <x v="16"/>
    <b v="0"/>
    <n v="4"/>
    <x v="0"/>
    <x v="1"/>
    <n v="0"/>
    <n v="0.28789999999999999"/>
    <n v="0.81"/>
    <n v="0"/>
    <x v="0"/>
    <x v="0"/>
    <x v="0"/>
    <x v="1"/>
  </r>
  <r>
    <n v="589"/>
    <n v="40570"/>
    <x v="0"/>
    <x v="0"/>
    <x v="17"/>
    <b v="0"/>
    <n v="4"/>
    <x v="0"/>
    <x v="1"/>
    <n v="0"/>
    <n v="0.28789999999999999"/>
    <n v="0.81"/>
    <n v="0"/>
    <x v="0"/>
    <x v="0"/>
    <x v="0"/>
    <x v="1"/>
  </r>
  <r>
    <n v="590"/>
    <n v="40570"/>
    <x v="0"/>
    <x v="0"/>
    <x v="18"/>
    <b v="0"/>
    <n v="4"/>
    <x v="0"/>
    <x v="2"/>
    <n v="0"/>
    <n v="0.28789999999999999"/>
    <n v="0.81"/>
    <n v="0"/>
    <x v="0"/>
    <x v="0"/>
    <x v="0"/>
    <x v="1"/>
  </r>
  <r>
    <n v="591"/>
    <n v="40570"/>
    <x v="0"/>
    <x v="0"/>
    <x v="19"/>
    <b v="0"/>
    <n v="4"/>
    <x v="0"/>
    <x v="2"/>
    <n v="0"/>
    <n v="0.28789999999999999"/>
    <n v="0.81"/>
    <n v="0"/>
    <x v="0"/>
    <x v="0"/>
    <x v="0"/>
    <x v="1"/>
  </r>
  <r>
    <n v="592"/>
    <n v="40570"/>
    <x v="0"/>
    <x v="0"/>
    <x v="20"/>
    <b v="0"/>
    <n v="4"/>
    <x v="0"/>
    <x v="15"/>
    <n v="0"/>
    <n v="0.28789999999999999"/>
    <n v="0.81"/>
    <n v="0"/>
    <x v="0"/>
    <x v="0"/>
    <x v="0"/>
    <x v="1"/>
  </r>
  <r>
    <n v="593"/>
    <n v="40570"/>
    <x v="0"/>
    <x v="0"/>
    <x v="21"/>
    <b v="0"/>
    <n v="4"/>
    <x v="0"/>
    <x v="15"/>
    <n v="0"/>
    <n v="0.28789999999999999"/>
    <n v="0.81"/>
    <n v="0"/>
    <x v="0"/>
    <x v="0"/>
    <x v="0"/>
    <x v="1"/>
  </r>
  <r>
    <n v="594"/>
    <n v="40570"/>
    <x v="0"/>
    <x v="0"/>
    <x v="22"/>
    <b v="0"/>
    <n v="4"/>
    <x v="0"/>
    <x v="15"/>
    <n v="0"/>
    <n v="0.28789999999999999"/>
    <n v="0.81"/>
    <n v="0"/>
    <x v="0"/>
    <x v="0"/>
    <x v="0"/>
    <x v="1"/>
  </r>
  <r>
    <n v="595"/>
    <n v="40570"/>
    <x v="0"/>
    <x v="0"/>
    <x v="23"/>
    <b v="0"/>
    <n v="4"/>
    <x v="0"/>
    <x v="15"/>
    <n v="0"/>
    <n v="0.28789999999999999"/>
    <n v="0.81"/>
    <n v="0"/>
    <x v="0"/>
    <x v="0"/>
    <x v="0"/>
    <x v="1"/>
  </r>
  <r>
    <n v="596"/>
    <n v="40571"/>
    <x v="0"/>
    <x v="0"/>
    <x v="0"/>
    <b v="0"/>
    <n v="5"/>
    <x v="1"/>
    <x v="2"/>
    <n v="0"/>
    <n v="0.28789999999999999"/>
    <n v="0.81"/>
    <n v="0"/>
    <x v="0"/>
    <x v="0"/>
    <x v="0"/>
    <x v="0"/>
  </r>
  <r>
    <n v="597"/>
    <n v="40571"/>
    <x v="0"/>
    <x v="0"/>
    <x v="1"/>
    <b v="0"/>
    <n v="5"/>
    <x v="1"/>
    <x v="2"/>
    <n v="0"/>
    <n v="0.28789999999999999"/>
    <n v="0.81"/>
    <n v="0"/>
    <x v="0"/>
    <x v="0"/>
    <x v="0"/>
    <x v="0"/>
  </r>
  <r>
    <n v="598"/>
    <n v="40571"/>
    <x v="0"/>
    <x v="0"/>
    <x v="2"/>
    <b v="0"/>
    <n v="5"/>
    <x v="1"/>
    <x v="2"/>
    <n v="0"/>
    <n v="0.28789999999999999"/>
    <n v="0.81"/>
    <n v="0"/>
    <x v="0"/>
    <x v="0"/>
    <x v="0"/>
    <x v="0"/>
  </r>
  <r>
    <n v="599"/>
    <n v="40571"/>
    <x v="0"/>
    <x v="0"/>
    <x v="3"/>
    <b v="0"/>
    <n v="5"/>
    <x v="1"/>
    <x v="2"/>
    <n v="0"/>
    <n v="0.28789999999999999"/>
    <n v="0.81"/>
    <n v="0"/>
    <x v="0"/>
    <x v="0"/>
    <x v="0"/>
    <x v="0"/>
  </r>
  <r>
    <n v="600"/>
    <n v="40571"/>
    <x v="0"/>
    <x v="0"/>
    <x v="5"/>
    <b v="0"/>
    <n v="5"/>
    <x v="1"/>
    <x v="15"/>
    <n v="0"/>
    <n v="0.28789999999999999"/>
    <n v="0.81"/>
    <n v="0"/>
    <x v="0"/>
    <x v="0"/>
    <x v="0"/>
    <x v="0"/>
  </r>
  <r>
    <n v="601"/>
    <n v="40571"/>
    <x v="0"/>
    <x v="0"/>
    <x v="6"/>
    <b v="0"/>
    <n v="5"/>
    <x v="1"/>
    <x v="15"/>
    <n v="0"/>
    <n v="0.28789999999999999"/>
    <n v="0.81"/>
    <n v="0"/>
    <x v="0"/>
    <x v="0"/>
    <x v="0"/>
    <x v="0"/>
  </r>
  <r>
    <n v="602"/>
    <n v="40571"/>
    <x v="0"/>
    <x v="0"/>
    <x v="7"/>
    <b v="0"/>
    <n v="5"/>
    <x v="1"/>
    <x v="13"/>
    <n v="0"/>
    <n v="0.28789999999999999"/>
    <n v="0.81"/>
    <n v="0"/>
    <x v="0"/>
    <x v="0"/>
    <x v="0"/>
    <x v="0"/>
  </r>
  <r>
    <n v="603"/>
    <n v="40571"/>
    <x v="0"/>
    <x v="0"/>
    <x v="8"/>
    <b v="0"/>
    <n v="5"/>
    <x v="1"/>
    <x v="13"/>
    <n v="0"/>
    <n v="0.28789999999999999"/>
    <n v="0.81"/>
    <n v="0"/>
    <x v="0"/>
    <x v="0"/>
    <x v="0"/>
    <x v="0"/>
  </r>
  <r>
    <n v="604"/>
    <n v="40571"/>
    <x v="0"/>
    <x v="0"/>
    <x v="9"/>
    <b v="0"/>
    <n v="5"/>
    <x v="2"/>
    <x v="15"/>
    <n v="0"/>
    <n v="0.28789999999999999"/>
    <n v="0.81"/>
    <n v="0"/>
    <x v="0"/>
    <x v="0"/>
    <x v="0"/>
    <x v="0"/>
  </r>
  <r>
    <n v="605"/>
    <n v="40571"/>
    <x v="0"/>
    <x v="0"/>
    <x v="10"/>
    <b v="0"/>
    <n v="5"/>
    <x v="2"/>
    <x v="15"/>
    <n v="0"/>
    <n v="0.28789999999999999"/>
    <n v="0.81"/>
    <n v="0"/>
    <x v="0"/>
    <x v="0"/>
    <x v="0"/>
    <x v="0"/>
  </r>
  <r>
    <n v="606"/>
    <n v="40571"/>
    <x v="0"/>
    <x v="0"/>
    <x v="11"/>
    <b v="0"/>
    <n v="5"/>
    <x v="2"/>
    <x v="15"/>
    <n v="0"/>
    <n v="0.28789999999999999"/>
    <n v="0.81"/>
    <n v="0"/>
    <x v="0"/>
    <x v="0"/>
    <x v="0"/>
    <x v="0"/>
  </r>
  <r>
    <n v="607"/>
    <n v="40571"/>
    <x v="0"/>
    <x v="0"/>
    <x v="12"/>
    <b v="0"/>
    <n v="5"/>
    <x v="2"/>
    <x v="15"/>
    <n v="0"/>
    <n v="0.28789999999999999"/>
    <n v="0.81"/>
    <n v="0"/>
    <x v="0"/>
    <x v="0"/>
    <x v="0"/>
    <x v="0"/>
  </r>
  <r>
    <n v="608"/>
    <n v="40571"/>
    <x v="0"/>
    <x v="0"/>
    <x v="13"/>
    <b v="0"/>
    <n v="5"/>
    <x v="2"/>
    <x v="15"/>
    <n v="0"/>
    <n v="0.28789999999999999"/>
    <n v="0.81"/>
    <n v="0"/>
    <x v="0"/>
    <x v="0"/>
    <x v="0"/>
    <x v="0"/>
  </r>
  <r>
    <n v="609"/>
    <n v="40571"/>
    <x v="0"/>
    <x v="0"/>
    <x v="14"/>
    <b v="0"/>
    <n v="5"/>
    <x v="2"/>
    <x v="1"/>
    <n v="0"/>
    <n v="0.28789999999999999"/>
    <n v="0.81"/>
    <n v="0"/>
    <x v="0"/>
    <x v="0"/>
    <x v="0"/>
    <x v="0"/>
  </r>
  <r>
    <n v="610"/>
    <n v="40571"/>
    <x v="0"/>
    <x v="0"/>
    <x v="15"/>
    <b v="0"/>
    <n v="5"/>
    <x v="1"/>
    <x v="2"/>
    <n v="0"/>
    <n v="0.28789999999999999"/>
    <n v="0.81"/>
    <n v="0"/>
    <x v="0"/>
    <x v="0"/>
    <x v="0"/>
    <x v="0"/>
  </r>
  <r>
    <n v="1"/>
    <n v="40571"/>
    <x v="0"/>
    <x v="0"/>
    <x v="15"/>
    <b v="0"/>
    <n v="5"/>
    <x v="1"/>
    <x v="2"/>
    <n v="0"/>
    <n v="0.28789999999999999"/>
    <n v="0.81"/>
    <n v="0"/>
    <x v="0"/>
    <x v="0"/>
    <x v="0"/>
    <x v="0"/>
  </r>
  <r>
    <n v="2"/>
    <n v="40571"/>
    <x v="0"/>
    <x v="0"/>
    <x v="15"/>
    <b v="0"/>
    <n v="5"/>
    <x v="1"/>
    <x v="2"/>
    <n v="1"/>
    <n v="0.2727"/>
    <n v="0.8"/>
    <n v="0"/>
    <x v="1"/>
    <x v="1"/>
    <x v="1"/>
    <x v="0"/>
  </r>
  <r>
    <n v="3"/>
    <n v="40571"/>
    <x v="0"/>
    <x v="0"/>
    <x v="15"/>
    <b v="0"/>
    <n v="5"/>
    <x v="1"/>
    <x v="2"/>
    <n v="2"/>
    <n v="0.2727"/>
    <n v="0.8"/>
    <n v="0"/>
    <x v="2"/>
    <x v="2"/>
    <x v="2"/>
    <x v="0"/>
  </r>
  <r>
    <n v="4"/>
    <n v="40571"/>
    <x v="0"/>
    <x v="0"/>
    <x v="15"/>
    <b v="0"/>
    <n v="5"/>
    <x v="1"/>
    <x v="2"/>
    <n v="3"/>
    <n v="0.28789999999999999"/>
    <n v="0.75"/>
    <n v="0"/>
    <x v="0"/>
    <x v="3"/>
    <x v="3"/>
    <x v="0"/>
  </r>
  <r>
    <n v="5"/>
    <n v="40571"/>
    <x v="0"/>
    <x v="0"/>
    <x v="15"/>
    <b v="0"/>
    <n v="5"/>
    <x v="1"/>
    <x v="2"/>
    <n v="4"/>
    <n v="0.28789999999999999"/>
    <n v="0.75"/>
    <n v="0"/>
    <x v="3"/>
    <x v="4"/>
    <x v="4"/>
    <x v="0"/>
  </r>
  <r>
    <n v="6"/>
    <n v="40571"/>
    <x v="0"/>
    <x v="0"/>
    <x v="15"/>
    <b v="0"/>
    <n v="5"/>
    <x v="1"/>
    <x v="2"/>
    <n v="5"/>
    <n v="0.2576"/>
    <n v="0.75"/>
    <n v="8.9599999999999999E-2"/>
    <x v="3"/>
    <x v="4"/>
    <x v="4"/>
    <x v="0"/>
  </r>
  <r>
    <n v="7"/>
    <n v="40571"/>
    <x v="0"/>
    <x v="0"/>
    <x v="15"/>
    <b v="0"/>
    <n v="5"/>
    <x v="1"/>
    <x v="2"/>
    <n v="6"/>
    <n v="0.2727"/>
    <n v="0.8"/>
    <n v="0"/>
    <x v="4"/>
    <x v="5"/>
    <x v="5"/>
    <x v="0"/>
  </r>
  <r>
    <n v="8"/>
    <n v="40571"/>
    <x v="0"/>
    <x v="0"/>
    <x v="15"/>
    <b v="0"/>
    <n v="5"/>
    <x v="1"/>
    <x v="2"/>
    <n v="7"/>
    <n v="0.2576"/>
    <n v="0.86"/>
    <n v="0"/>
    <x v="5"/>
    <x v="6"/>
    <x v="6"/>
    <x v="0"/>
  </r>
  <r>
    <n v="9"/>
    <n v="40571"/>
    <x v="0"/>
    <x v="0"/>
    <x v="15"/>
    <b v="0"/>
    <n v="5"/>
    <x v="1"/>
    <x v="2"/>
    <n v="8"/>
    <n v="0"/>
    <n v="0.75"/>
    <n v="0"/>
    <x v="5"/>
    <x v="7"/>
    <x v="7"/>
    <x v="0"/>
  </r>
  <r>
    <n v="10"/>
    <n v="40571"/>
    <x v="0"/>
    <x v="0"/>
    <x v="15"/>
    <b v="0"/>
    <n v="5"/>
    <x v="1"/>
    <x v="2"/>
    <n v="9"/>
    <n v="0.34849999999999998"/>
    <n v="0.76"/>
    <n v="0"/>
    <x v="1"/>
    <x v="8"/>
    <x v="8"/>
    <x v="0"/>
  </r>
  <r>
    <n v="11"/>
    <n v="40571"/>
    <x v="0"/>
    <x v="0"/>
    <x v="15"/>
    <b v="0"/>
    <n v="5"/>
    <x v="1"/>
    <x v="2"/>
    <n v="10"/>
    <n v="0.39389999999999997"/>
    <n v="0.76"/>
    <n v="0.25369999999999998"/>
    <x v="6"/>
    <x v="9"/>
    <x v="9"/>
    <x v="0"/>
  </r>
  <r>
    <n v="12"/>
    <n v="40571"/>
    <x v="0"/>
    <x v="0"/>
    <x v="15"/>
    <b v="0"/>
    <n v="5"/>
    <x v="1"/>
    <x v="2"/>
    <n v="11"/>
    <n v="0.33329999999999999"/>
    <n v="0.81"/>
    <n v="0.28360000000000002"/>
    <x v="7"/>
    <x v="10"/>
    <x v="10"/>
    <x v="0"/>
  </r>
  <r>
    <n v="13"/>
    <n v="40571"/>
    <x v="0"/>
    <x v="0"/>
    <x v="15"/>
    <b v="0"/>
    <n v="5"/>
    <x v="1"/>
    <x v="2"/>
    <n v="12"/>
    <n v="0.42420000000000002"/>
    <n v="0.77"/>
    <n v="0.28360000000000002"/>
    <x v="8"/>
    <x v="11"/>
    <x v="11"/>
    <x v="0"/>
  </r>
  <r>
    <n v="14"/>
    <n v="40571"/>
    <x v="0"/>
    <x v="0"/>
    <x v="15"/>
    <b v="0"/>
    <n v="5"/>
    <x v="1"/>
    <x v="2"/>
    <n v="13"/>
    <n v="0.45450000000000002"/>
    <n v="0.72"/>
    <n v="0.29849999999999999"/>
    <x v="9"/>
    <x v="12"/>
    <x v="12"/>
    <x v="0"/>
  </r>
  <r>
    <n v="15"/>
    <n v="40571"/>
    <x v="0"/>
    <x v="0"/>
    <x v="15"/>
    <b v="0"/>
    <n v="5"/>
    <x v="1"/>
    <x v="2"/>
    <n v="14"/>
    <n v="0.45450000000000002"/>
    <n v="0.72"/>
    <n v="0.28360000000000002"/>
    <x v="10"/>
    <x v="13"/>
    <x v="13"/>
    <x v="0"/>
  </r>
  <r>
    <n v="16"/>
    <n v="40571"/>
    <x v="0"/>
    <x v="0"/>
    <x v="15"/>
    <b v="0"/>
    <n v="5"/>
    <x v="1"/>
    <x v="2"/>
    <n v="15"/>
    <n v="0.43940000000000001"/>
    <n v="0.77"/>
    <n v="0.29849999999999999"/>
    <x v="11"/>
    <x v="14"/>
    <x v="14"/>
    <x v="0"/>
  </r>
  <r>
    <n v="17"/>
    <n v="40571"/>
    <x v="0"/>
    <x v="0"/>
    <x v="15"/>
    <b v="0"/>
    <n v="5"/>
    <x v="1"/>
    <x v="2"/>
    <n v="16"/>
    <n v="0.42420000000000002"/>
    <n v="0.82"/>
    <n v="0.29849999999999999"/>
    <x v="12"/>
    <x v="15"/>
    <x v="15"/>
    <x v="0"/>
  </r>
  <r>
    <n v="18"/>
    <n v="40571"/>
    <x v="0"/>
    <x v="0"/>
    <x v="15"/>
    <b v="0"/>
    <n v="5"/>
    <x v="1"/>
    <x v="2"/>
    <n v="17"/>
    <n v="0"/>
    <n v="0.82"/>
    <n v="0.28360000000000002"/>
    <x v="13"/>
    <x v="15"/>
    <x v="16"/>
    <x v="0"/>
  </r>
  <r>
    <n v="19"/>
    <n v="40571"/>
    <x v="0"/>
    <x v="0"/>
    <x v="15"/>
    <b v="0"/>
    <n v="5"/>
    <x v="1"/>
    <x v="2"/>
    <n v="18"/>
    <n v="0.42420000000000002"/>
    <n v="0.88"/>
    <n v="0.25369999999999998"/>
    <x v="14"/>
    <x v="16"/>
    <x v="17"/>
    <x v="0"/>
  </r>
  <r>
    <n v="20"/>
    <n v="40571"/>
    <x v="0"/>
    <x v="0"/>
    <x v="15"/>
    <b v="0"/>
    <n v="5"/>
    <x v="1"/>
    <x v="2"/>
    <n v="19"/>
    <n v="0.42420000000000002"/>
    <n v="0.88"/>
    <n v="0.25369999999999998"/>
    <x v="15"/>
    <x v="17"/>
    <x v="18"/>
    <x v="0"/>
  </r>
  <r>
    <n v="21"/>
    <n v="40571"/>
    <x v="0"/>
    <x v="0"/>
    <x v="15"/>
    <b v="0"/>
    <n v="5"/>
    <x v="1"/>
    <x v="2"/>
    <n v="20"/>
    <n v="0.40910000000000002"/>
    <n v="0.87"/>
    <n v="0.25369999999999998"/>
    <x v="16"/>
    <x v="18"/>
    <x v="9"/>
    <x v="0"/>
  </r>
  <r>
    <n v="22"/>
    <n v="40571"/>
    <x v="0"/>
    <x v="0"/>
    <x v="15"/>
    <b v="0"/>
    <n v="5"/>
    <x v="1"/>
    <x v="2"/>
    <n v="21"/>
    <n v="0.40910000000000002"/>
    <n v="0.87"/>
    <n v="0.19400000000000001"/>
    <x v="0"/>
    <x v="17"/>
    <x v="19"/>
    <x v="0"/>
  </r>
  <r>
    <n v="23"/>
    <n v="40571"/>
    <x v="0"/>
    <x v="0"/>
    <x v="15"/>
    <b v="0"/>
    <n v="5"/>
    <x v="1"/>
    <x v="2"/>
    <n v="22"/>
    <n v="0.40910000000000002"/>
    <n v="0.94"/>
    <n v="0.22389999999999999"/>
    <x v="16"/>
    <x v="19"/>
    <x v="20"/>
    <x v="0"/>
  </r>
  <r>
    <n v="24"/>
    <n v="40571"/>
    <x v="0"/>
    <x v="0"/>
    <x v="15"/>
    <b v="0"/>
    <n v="5"/>
    <x v="1"/>
    <x v="2"/>
    <n v="23"/>
    <n v="0"/>
    <n v="0.88"/>
    <n v="0.29849999999999999"/>
    <x v="13"/>
    <x v="9"/>
    <x v="21"/>
    <x v="0"/>
  </r>
  <r>
    <n v="25"/>
    <n v="40571"/>
    <x v="0"/>
    <x v="0"/>
    <x v="15"/>
    <b v="0"/>
    <n v="5"/>
    <x v="1"/>
    <x v="2"/>
    <n v="24"/>
    <n v="0.45450000000000002"/>
    <n v="0.88"/>
    <n v="0.29849999999999999"/>
    <x v="17"/>
    <x v="0"/>
    <x v="22"/>
    <x v="0"/>
  </r>
  <r>
    <n v="26"/>
    <n v="40571"/>
    <x v="0"/>
    <x v="0"/>
    <x v="15"/>
    <b v="0"/>
    <n v="5"/>
    <x v="1"/>
    <x v="2"/>
    <n v="25"/>
    <n v="0.43940000000000001"/>
    <n v="0.94"/>
    <n v="0.25369999999999998"/>
    <x v="5"/>
    <x v="20"/>
    <x v="22"/>
    <x v="0"/>
  </r>
  <r>
    <n v="27"/>
    <n v="40571"/>
    <x v="0"/>
    <x v="0"/>
    <x v="15"/>
    <b v="0"/>
    <n v="5"/>
    <x v="1"/>
    <x v="2"/>
    <n v="26"/>
    <n v="0.42420000000000002"/>
    <n v="1"/>
    <n v="0.28360000000000002"/>
    <x v="5"/>
    <x v="21"/>
    <x v="23"/>
    <x v="0"/>
  </r>
  <r>
    <n v="28"/>
    <n v="40571"/>
    <x v="0"/>
    <x v="0"/>
    <x v="15"/>
    <b v="0"/>
    <n v="5"/>
    <x v="1"/>
    <x v="2"/>
    <n v="27"/>
    <n v="0.45450000000000002"/>
    <n v="0.94"/>
    <n v="0.19400000000000001"/>
    <x v="4"/>
    <x v="22"/>
    <x v="24"/>
    <x v="0"/>
  </r>
  <r>
    <n v="29"/>
    <n v="40571"/>
    <x v="0"/>
    <x v="0"/>
    <x v="15"/>
    <b v="0"/>
    <n v="5"/>
    <x v="1"/>
    <x v="2"/>
    <n v="28"/>
    <n v="0"/>
    <n v="0.94"/>
    <n v="0.19400000000000001"/>
    <x v="4"/>
    <x v="4"/>
    <x v="6"/>
    <x v="0"/>
  </r>
  <r>
    <n v="30"/>
    <n v="40571"/>
    <x v="0"/>
    <x v="0"/>
    <x v="15"/>
    <b v="0"/>
    <n v="5"/>
    <x v="1"/>
    <x v="2"/>
    <n v="29"/>
    <n v="0.42420000000000002"/>
    <n v="0.77"/>
    <n v="0.29849999999999999"/>
    <x v="3"/>
    <x v="6"/>
    <x v="5"/>
    <x v="0"/>
  </r>
  <r>
    <n v="31"/>
    <n v="40571"/>
    <x v="0"/>
    <x v="0"/>
    <x v="15"/>
    <b v="0"/>
    <n v="5"/>
    <x v="1"/>
    <x v="2"/>
    <n v="30"/>
    <n v="0.40910000000000002"/>
    <n v="0.76"/>
    <n v="0.19400000000000001"/>
    <x v="3"/>
    <x v="4"/>
    <x v="4"/>
    <x v="0"/>
  </r>
  <r>
    <n v="32"/>
    <n v="40571"/>
    <x v="0"/>
    <x v="0"/>
    <x v="15"/>
    <b v="0"/>
    <n v="5"/>
    <x v="1"/>
    <x v="2"/>
    <n v="31"/>
    <n v="0.40910000000000002"/>
    <n v="0.71"/>
    <n v="0.22389999999999999"/>
    <x v="3"/>
    <x v="21"/>
    <x v="7"/>
    <x v="0"/>
  </r>
  <r>
    <n v="33"/>
    <n v="40571"/>
    <x v="0"/>
    <x v="0"/>
    <x v="15"/>
    <b v="0"/>
    <n v="5"/>
    <x v="1"/>
    <x v="2"/>
    <n v="32"/>
    <n v="0"/>
    <n v="0.76"/>
    <n v="0.22389999999999999"/>
    <x v="5"/>
    <x v="23"/>
    <x v="25"/>
    <x v="0"/>
  </r>
  <r>
    <n v="34"/>
    <n v="40571"/>
    <x v="0"/>
    <x v="0"/>
    <x v="15"/>
    <b v="0"/>
    <n v="5"/>
    <x v="1"/>
    <x v="2"/>
    <n v="33"/>
    <n v="0.34849999999999998"/>
    <n v="0.81"/>
    <n v="0.22389999999999999"/>
    <x v="18"/>
    <x v="24"/>
    <x v="26"/>
    <x v="0"/>
  </r>
  <r>
    <n v="35"/>
    <n v="40571"/>
    <x v="0"/>
    <x v="0"/>
    <x v="15"/>
    <b v="0"/>
    <n v="5"/>
    <x v="1"/>
    <x v="2"/>
    <n v="34"/>
    <n v="0.33329999999999999"/>
    <n v="0.71"/>
    <n v="0.25369999999999998"/>
    <x v="19"/>
    <x v="25"/>
    <x v="27"/>
    <x v="0"/>
  </r>
  <r>
    <n v="36"/>
    <n v="40571"/>
    <x v="0"/>
    <x v="0"/>
    <x v="15"/>
    <b v="0"/>
    <n v="5"/>
    <x v="1"/>
    <x v="2"/>
    <n v="35"/>
    <n v="0.33329999999999999"/>
    <n v="0.66"/>
    <n v="0.29849999999999999"/>
    <x v="20"/>
    <x v="26"/>
    <x v="15"/>
    <x v="0"/>
  </r>
  <r>
    <n v="37"/>
    <n v="40571"/>
    <x v="0"/>
    <x v="0"/>
    <x v="15"/>
    <b v="0"/>
    <n v="5"/>
    <x v="1"/>
    <x v="2"/>
    <n v="36"/>
    <n v="0.34849999999999998"/>
    <n v="0.66"/>
    <n v="0.1343"/>
    <x v="16"/>
    <x v="27"/>
    <x v="28"/>
    <x v="0"/>
  </r>
  <r>
    <n v="38"/>
    <n v="40571"/>
    <x v="0"/>
    <x v="0"/>
    <x v="15"/>
    <b v="0"/>
    <n v="5"/>
    <x v="1"/>
    <x v="2"/>
    <n v="37"/>
    <n v="0"/>
    <n v="0.76"/>
    <n v="0.19400000000000001"/>
    <x v="17"/>
    <x v="11"/>
    <x v="29"/>
    <x v="0"/>
  </r>
  <r>
    <n v="39"/>
    <n v="40571"/>
    <x v="0"/>
    <x v="0"/>
    <x v="15"/>
    <b v="0"/>
    <n v="5"/>
    <x v="1"/>
    <x v="2"/>
    <n v="38"/>
    <n v="0.33329999999999999"/>
    <n v="0.81"/>
    <n v="0.16420000000000001"/>
    <x v="21"/>
    <x v="11"/>
    <x v="30"/>
    <x v="0"/>
  </r>
  <r>
    <n v="40"/>
    <n v="40571"/>
    <x v="0"/>
    <x v="0"/>
    <x v="15"/>
    <b v="0"/>
    <n v="5"/>
    <x v="1"/>
    <x v="2"/>
    <n v="39"/>
    <n v="0.33329999999999999"/>
    <n v="0.71"/>
    <n v="0.16420000000000001"/>
    <x v="14"/>
    <x v="28"/>
    <x v="31"/>
    <x v="0"/>
  </r>
  <r>
    <n v="41"/>
    <n v="40571"/>
    <x v="0"/>
    <x v="0"/>
    <x v="15"/>
    <b v="0"/>
    <n v="5"/>
    <x v="1"/>
    <x v="2"/>
    <n v="40"/>
    <n v="0.33329999999999999"/>
    <n v="0.56999999999999995"/>
    <n v="0.19400000000000001"/>
    <x v="18"/>
    <x v="29"/>
    <x v="32"/>
    <x v="0"/>
  </r>
  <r>
    <n v="42"/>
    <n v="40571"/>
    <x v="0"/>
    <x v="0"/>
    <x v="15"/>
    <b v="0"/>
    <n v="5"/>
    <x v="1"/>
    <x v="2"/>
    <n v="41"/>
    <n v="0.33329999999999999"/>
    <n v="0.46"/>
    <n v="0.32840000000000003"/>
    <x v="22"/>
    <x v="30"/>
    <x v="26"/>
    <x v="0"/>
  </r>
  <r>
    <n v="43"/>
    <n v="40571"/>
    <x v="0"/>
    <x v="0"/>
    <x v="15"/>
    <b v="0"/>
    <n v="5"/>
    <x v="1"/>
    <x v="2"/>
    <n v="42"/>
    <n v="0.28789999999999999"/>
    <n v="0.42"/>
    <n v="0.44779999999999998"/>
    <x v="5"/>
    <x v="31"/>
    <x v="33"/>
    <x v="0"/>
  </r>
  <r>
    <n v="44"/>
    <n v="40571"/>
    <x v="0"/>
    <x v="0"/>
    <x v="15"/>
    <b v="0"/>
    <n v="5"/>
    <x v="1"/>
    <x v="2"/>
    <n v="43"/>
    <n v="0"/>
    <n v="0.39"/>
    <n v="0.35820000000000002"/>
    <x v="2"/>
    <x v="19"/>
    <x v="34"/>
    <x v="0"/>
  </r>
  <r>
    <n v="45"/>
    <n v="40571"/>
    <x v="0"/>
    <x v="0"/>
    <x v="15"/>
    <b v="0"/>
    <n v="5"/>
    <x v="1"/>
    <x v="2"/>
    <n v="44"/>
    <n v="0.2273"/>
    <n v="0.44"/>
    <n v="0.32840000000000003"/>
    <x v="16"/>
    <x v="32"/>
    <x v="35"/>
    <x v="0"/>
  </r>
  <r>
    <n v="46"/>
    <n v="40571"/>
    <x v="0"/>
    <x v="0"/>
    <x v="15"/>
    <b v="0"/>
    <n v="5"/>
    <x v="1"/>
    <x v="2"/>
    <n v="45"/>
    <n v="0.21210000000000001"/>
    <n v="0.44"/>
    <n v="0.29849999999999999"/>
    <x v="3"/>
    <x v="33"/>
    <x v="23"/>
    <x v="0"/>
  </r>
  <r>
    <n v="47"/>
    <n v="40571"/>
    <x v="0"/>
    <x v="0"/>
    <x v="15"/>
    <b v="0"/>
    <n v="5"/>
    <x v="1"/>
    <x v="2"/>
    <n v="46"/>
    <n v="0.2273"/>
    <n v="0.47"/>
    <n v="0.16420000000000001"/>
    <x v="3"/>
    <x v="21"/>
    <x v="7"/>
    <x v="0"/>
  </r>
  <r>
    <n v="48"/>
    <n v="40571"/>
    <x v="0"/>
    <x v="0"/>
    <x v="15"/>
    <b v="0"/>
    <n v="5"/>
    <x v="1"/>
    <x v="2"/>
    <n v="47"/>
    <n v="0.19700000000000001"/>
    <n v="0.44"/>
    <n v="0.35820000000000002"/>
    <x v="3"/>
    <x v="34"/>
    <x v="36"/>
    <x v="0"/>
  </r>
  <r>
    <n v="49"/>
    <n v="40571"/>
    <x v="0"/>
    <x v="0"/>
    <x v="15"/>
    <b v="0"/>
    <n v="5"/>
    <x v="1"/>
    <x v="2"/>
    <n v="48"/>
    <n v="0"/>
    <n v="0.44"/>
    <n v="0.41789999999999999"/>
    <x v="3"/>
    <x v="6"/>
    <x v="5"/>
    <x v="0"/>
  </r>
  <r>
    <n v="50"/>
    <n v="40571"/>
    <x v="0"/>
    <x v="0"/>
    <x v="15"/>
    <b v="0"/>
    <n v="5"/>
    <x v="1"/>
    <x v="2"/>
    <n v="49"/>
    <n v="0.13639999999999999"/>
    <n v="0.47"/>
    <n v="0.3881"/>
    <x v="3"/>
    <x v="4"/>
    <x v="4"/>
    <x v="0"/>
  </r>
  <r>
    <n v="51"/>
    <n v="40571"/>
    <x v="0"/>
    <x v="0"/>
    <x v="15"/>
    <b v="0"/>
    <n v="5"/>
    <x v="1"/>
    <x v="2"/>
    <n v="50"/>
    <n v="0.13639999999999999"/>
    <n v="0.47"/>
    <n v="0.28360000000000002"/>
    <x v="3"/>
    <x v="35"/>
    <x v="6"/>
    <x v="0"/>
  </r>
  <r>
    <n v="52"/>
    <n v="40571"/>
    <x v="0"/>
    <x v="0"/>
    <x v="15"/>
    <b v="0"/>
    <n v="5"/>
    <x v="1"/>
    <x v="2"/>
    <n v="51"/>
    <n v="0.1061"/>
    <n v="0.5"/>
    <n v="0.3881"/>
    <x v="3"/>
    <x v="10"/>
    <x v="33"/>
    <x v="0"/>
  </r>
  <r>
    <n v="53"/>
    <n v="40571"/>
    <x v="0"/>
    <x v="0"/>
    <x v="15"/>
    <b v="0"/>
    <n v="5"/>
    <x v="1"/>
    <x v="2"/>
    <n v="52"/>
    <n v="0.13639999999999999"/>
    <n v="0.5"/>
    <n v="0.19400000000000001"/>
    <x v="5"/>
    <x v="36"/>
    <x v="37"/>
    <x v="0"/>
  </r>
  <r>
    <n v="54"/>
    <n v="40571"/>
    <x v="0"/>
    <x v="0"/>
    <x v="15"/>
    <b v="0"/>
    <n v="5"/>
    <x v="1"/>
    <x v="2"/>
    <n v="53"/>
    <n v="0.1212"/>
    <n v="0.5"/>
    <n v="0.28360000000000002"/>
    <x v="5"/>
    <x v="37"/>
    <x v="38"/>
    <x v="0"/>
  </r>
  <r>
    <n v="55"/>
    <n v="40571"/>
    <x v="0"/>
    <x v="0"/>
    <x v="15"/>
    <b v="0"/>
    <n v="5"/>
    <x v="1"/>
    <x v="2"/>
    <n v="54"/>
    <n v="0.13639999999999999"/>
    <n v="0.43"/>
    <n v="0.3881"/>
    <x v="18"/>
    <x v="38"/>
    <x v="39"/>
    <x v="0"/>
  </r>
  <r>
    <n v="56"/>
    <n v="40571"/>
    <x v="0"/>
    <x v="0"/>
    <x v="15"/>
    <b v="0"/>
    <n v="5"/>
    <x v="1"/>
    <x v="2"/>
    <n v="55"/>
    <n v="0.16669999999999999"/>
    <n v="0.43"/>
    <n v="0.25369999999999998"/>
    <x v="16"/>
    <x v="39"/>
    <x v="40"/>
    <x v="0"/>
  </r>
  <r>
    <n v="57"/>
    <n v="40571"/>
    <x v="0"/>
    <x v="0"/>
    <x v="15"/>
    <b v="0"/>
    <n v="5"/>
    <x v="1"/>
    <x v="2"/>
    <n v="56"/>
    <n v="0.18179999999999999"/>
    <n v="0.4"/>
    <n v="0.32840000000000003"/>
    <x v="22"/>
    <x v="40"/>
    <x v="41"/>
    <x v="0"/>
  </r>
  <r>
    <n v="58"/>
    <n v="40571"/>
    <x v="0"/>
    <x v="0"/>
    <x v="15"/>
    <b v="0"/>
    <n v="5"/>
    <x v="1"/>
    <x v="2"/>
    <n v="57"/>
    <n v="0.21210000000000001"/>
    <n v="0.35"/>
    <n v="0.29849999999999999"/>
    <x v="23"/>
    <x v="41"/>
    <x v="42"/>
    <x v="0"/>
  </r>
  <r>
    <n v="59"/>
    <n v="40571"/>
    <x v="0"/>
    <x v="0"/>
    <x v="15"/>
    <b v="0"/>
    <n v="5"/>
    <x v="1"/>
    <x v="2"/>
    <n v="58"/>
    <n v="0"/>
    <n v="0.35"/>
    <n v="0.28360000000000002"/>
    <x v="1"/>
    <x v="42"/>
    <x v="42"/>
    <x v="0"/>
  </r>
  <r>
    <n v="60"/>
    <n v="40571"/>
    <x v="0"/>
    <x v="0"/>
    <x v="15"/>
    <b v="0"/>
    <n v="5"/>
    <x v="1"/>
    <x v="2"/>
    <n v="59"/>
    <n v="0.2424"/>
    <n v="0.3"/>
    <n v="0.28360000000000002"/>
    <x v="16"/>
    <x v="43"/>
    <x v="43"/>
    <x v="0"/>
  </r>
  <r>
    <n v="61"/>
    <n v="40571"/>
    <x v="0"/>
    <x v="0"/>
    <x v="15"/>
    <b v="0"/>
    <n v="5"/>
    <x v="1"/>
    <x v="2"/>
    <n v="60"/>
    <n v="0.2424"/>
    <n v="0.3"/>
    <n v="0.25369999999999998"/>
    <x v="24"/>
    <x v="29"/>
    <x v="44"/>
    <x v="0"/>
  </r>
  <r>
    <n v="62"/>
    <n v="40571"/>
    <x v="0"/>
    <x v="0"/>
    <x v="15"/>
    <b v="0"/>
    <n v="5"/>
    <x v="1"/>
    <x v="2"/>
    <n v="61"/>
    <n v="0.2424"/>
    <n v="0.3"/>
    <n v="0.25369999999999998"/>
    <x v="14"/>
    <x v="28"/>
    <x v="31"/>
    <x v="0"/>
  </r>
  <r>
    <n v="63"/>
    <n v="40571"/>
    <x v="0"/>
    <x v="0"/>
    <x v="15"/>
    <b v="0"/>
    <n v="5"/>
    <x v="1"/>
    <x v="2"/>
    <n v="62"/>
    <n v="0.2273"/>
    <n v="0.3"/>
    <n v="0.22389999999999999"/>
    <x v="16"/>
    <x v="44"/>
    <x v="45"/>
    <x v="0"/>
  </r>
  <r>
    <n v="64"/>
    <n v="40571"/>
    <x v="0"/>
    <x v="0"/>
    <x v="15"/>
    <b v="0"/>
    <n v="5"/>
    <x v="1"/>
    <x v="2"/>
    <n v="63"/>
    <n v="0.2576"/>
    <n v="0.32"/>
    <n v="0.1045"/>
    <x v="14"/>
    <x v="45"/>
    <x v="45"/>
    <x v="0"/>
  </r>
  <r>
    <n v="65"/>
    <n v="40571"/>
    <x v="0"/>
    <x v="0"/>
    <x v="15"/>
    <b v="0"/>
    <n v="5"/>
    <x v="1"/>
    <x v="2"/>
    <n v="64"/>
    <n v="0.2576"/>
    <n v="0.47"/>
    <n v="0"/>
    <x v="1"/>
    <x v="46"/>
    <x v="14"/>
    <x v="0"/>
  </r>
  <r>
    <n v="66"/>
    <n v="40571"/>
    <x v="0"/>
    <x v="0"/>
    <x v="15"/>
    <b v="0"/>
    <n v="5"/>
    <x v="1"/>
    <x v="2"/>
    <n v="65"/>
    <n v="0"/>
    <n v="0.47"/>
    <n v="0.1045"/>
    <x v="0"/>
    <x v="47"/>
    <x v="46"/>
    <x v="0"/>
  </r>
  <r>
    <n v="67"/>
    <n v="40571"/>
    <x v="0"/>
    <x v="0"/>
    <x v="15"/>
    <b v="0"/>
    <n v="5"/>
    <x v="1"/>
    <x v="2"/>
    <n v="66"/>
    <n v="0.19700000000000001"/>
    <n v="0.64"/>
    <n v="0.1343"/>
    <x v="0"/>
    <x v="47"/>
    <x v="46"/>
    <x v="0"/>
  </r>
  <r>
    <n v="68"/>
    <n v="40571"/>
    <x v="0"/>
    <x v="0"/>
    <x v="15"/>
    <b v="0"/>
    <n v="5"/>
    <x v="1"/>
    <x v="2"/>
    <n v="67"/>
    <n v="0.1515"/>
    <n v="0.69"/>
    <n v="0.1343"/>
    <x v="3"/>
    <x v="32"/>
    <x v="25"/>
    <x v="0"/>
  </r>
  <r>
    <n v="69"/>
    <n v="40571"/>
    <x v="0"/>
    <x v="0"/>
    <x v="15"/>
    <b v="0"/>
    <n v="5"/>
    <x v="1"/>
    <x v="2"/>
    <n v="68"/>
    <n v="0.21210000000000001"/>
    <n v="0.55000000000000004"/>
    <n v="0.1045"/>
    <x v="5"/>
    <x v="48"/>
    <x v="47"/>
    <x v="0"/>
  </r>
  <r>
    <n v="70"/>
    <n v="40571"/>
    <x v="0"/>
    <x v="0"/>
    <x v="15"/>
    <b v="0"/>
    <n v="5"/>
    <x v="1"/>
    <x v="2"/>
    <n v="69"/>
    <n v="0"/>
    <n v="0.55000000000000004"/>
    <n v="0.1045"/>
    <x v="3"/>
    <x v="34"/>
    <x v="36"/>
    <x v="0"/>
  </r>
  <r>
    <n v="71"/>
    <n v="40571"/>
    <x v="0"/>
    <x v="0"/>
    <x v="15"/>
    <b v="0"/>
    <n v="5"/>
    <x v="1"/>
    <x v="2"/>
    <n v="70"/>
    <n v="0.18179999999999999"/>
    <n v="0.59"/>
    <n v="0.1045"/>
    <x v="3"/>
    <x v="6"/>
    <x v="5"/>
    <x v="0"/>
  </r>
  <r>
    <n v="72"/>
    <n v="40571"/>
    <x v="0"/>
    <x v="0"/>
    <x v="15"/>
    <b v="0"/>
    <n v="5"/>
    <x v="1"/>
    <x v="2"/>
    <n v="71"/>
    <n v="0.1515"/>
    <n v="0.63"/>
    <n v="0.1343"/>
    <x v="3"/>
    <x v="4"/>
    <x v="4"/>
    <x v="0"/>
  </r>
  <r>
    <n v="73"/>
    <n v="40571"/>
    <x v="0"/>
    <x v="0"/>
    <x v="15"/>
    <b v="0"/>
    <n v="5"/>
    <x v="1"/>
    <x v="2"/>
    <n v="72"/>
    <n v="0.18179999999999999"/>
    <n v="0.63"/>
    <n v="8.9599999999999999E-2"/>
    <x v="3"/>
    <x v="6"/>
    <x v="5"/>
    <x v="0"/>
  </r>
  <r>
    <n v="74"/>
    <n v="40571"/>
    <x v="0"/>
    <x v="0"/>
    <x v="15"/>
    <b v="0"/>
    <n v="5"/>
    <x v="1"/>
    <x v="2"/>
    <n v="73"/>
    <n v="0.1515"/>
    <n v="0.68"/>
    <n v="0.1045"/>
    <x v="3"/>
    <x v="22"/>
    <x v="48"/>
    <x v="0"/>
  </r>
  <r>
    <n v="75"/>
    <n v="40571"/>
    <x v="0"/>
    <x v="0"/>
    <x v="15"/>
    <b v="0"/>
    <n v="5"/>
    <x v="1"/>
    <x v="2"/>
    <n v="74"/>
    <n v="0.1515"/>
    <n v="0.74"/>
    <n v="0.1045"/>
    <x v="3"/>
    <x v="49"/>
    <x v="9"/>
    <x v="0"/>
  </r>
  <r>
    <n v="76"/>
    <n v="40571"/>
    <x v="0"/>
    <x v="0"/>
    <x v="15"/>
    <b v="0"/>
    <n v="5"/>
    <x v="1"/>
    <x v="2"/>
    <n v="75"/>
    <n v="0.1515"/>
    <n v="0.74"/>
    <n v="0.1343"/>
    <x v="4"/>
    <x v="50"/>
    <x v="12"/>
    <x v="0"/>
  </r>
  <r>
    <n v="77"/>
    <n v="40571"/>
    <x v="0"/>
    <x v="0"/>
    <x v="15"/>
    <b v="0"/>
    <n v="5"/>
    <x v="1"/>
    <x v="2"/>
    <n v="76"/>
    <n v="0.1515"/>
    <n v="0.69"/>
    <n v="0.16420000000000001"/>
    <x v="4"/>
    <x v="51"/>
    <x v="49"/>
    <x v="0"/>
  </r>
  <r>
    <n v="78"/>
    <n v="40571"/>
    <x v="0"/>
    <x v="0"/>
    <x v="15"/>
    <b v="0"/>
    <n v="5"/>
    <x v="1"/>
    <x v="2"/>
    <n v="77"/>
    <n v="0.1515"/>
    <n v="0.64"/>
    <n v="0.22389999999999999"/>
    <x v="4"/>
    <x v="52"/>
    <x v="50"/>
    <x v="0"/>
  </r>
  <r>
    <n v="79"/>
    <n v="40571"/>
    <x v="0"/>
    <x v="0"/>
    <x v="15"/>
    <b v="0"/>
    <n v="5"/>
    <x v="1"/>
    <x v="2"/>
    <n v="78"/>
    <n v="0.13639999999999999"/>
    <n v="0.69"/>
    <n v="0.32840000000000003"/>
    <x v="2"/>
    <x v="53"/>
    <x v="51"/>
    <x v="0"/>
  </r>
  <r>
    <n v="80"/>
    <n v="40571"/>
    <x v="0"/>
    <x v="0"/>
    <x v="15"/>
    <b v="0"/>
    <n v="5"/>
    <x v="1"/>
    <x v="2"/>
    <n v="79"/>
    <n v="0.21210000000000001"/>
    <n v="0.51"/>
    <n v="0.29849999999999999"/>
    <x v="18"/>
    <x v="54"/>
    <x v="52"/>
    <x v="0"/>
  </r>
  <r>
    <n v="81"/>
    <n v="40571"/>
    <x v="0"/>
    <x v="0"/>
    <x v="15"/>
    <b v="0"/>
    <n v="5"/>
    <x v="1"/>
    <x v="2"/>
    <n v="80"/>
    <n v="0.2273"/>
    <n v="0.51"/>
    <n v="0.16420000000000001"/>
    <x v="6"/>
    <x v="43"/>
    <x v="53"/>
    <x v="0"/>
  </r>
  <r>
    <n v="82"/>
    <n v="40571"/>
    <x v="0"/>
    <x v="0"/>
    <x v="15"/>
    <b v="0"/>
    <n v="5"/>
    <x v="1"/>
    <x v="2"/>
    <n v="81"/>
    <n v="0.2273"/>
    <n v="0.56000000000000005"/>
    <n v="0.19400000000000001"/>
    <x v="25"/>
    <x v="55"/>
    <x v="54"/>
    <x v="0"/>
  </r>
  <r>
    <n v="83"/>
    <n v="40571"/>
    <x v="0"/>
    <x v="0"/>
    <x v="15"/>
    <b v="0"/>
    <n v="5"/>
    <x v="1"/>
    <x v="2"/>
    <n v="82"/>
    <n v="0.2576"/>
    <n v="0.52"/>
    <n v="0.22389999999999999"/>
    <x v="14"/>
    <x v="25"/>
    <x v="55"/>
    <x v="0"/>
  </r>
  <r>
    <n v="84"/>
    <n v="40571"/>
    <x v="0"/>
    <x v="0"/>
    <x v="15"/>
    <b v="0"/>
    <n v="5"/>
    <x v="1"/>
    <x v="2"/>
    <n v="83"/>
    <n v="0.2727"/>
    <n v="0.52"/>
    <n v="0.25369999999999998"/>
    <x v="26"/>
    <x v="41"/>
    <x v="32"/>
    <x v="0"/>
  </r>
  <r>
    <n v="85"/>
    <n v="40571"/>
    <x v="0"/>
    <x v="0"/>
    <x v="15"/>
    <b v="0"/>
    <n v="5"/>
    <x v="1"/>
    <x v="2"/>
    <n v="84"/>
    <n v="0.28789999999999999"/>
    <n v="0.49"/>
    <n v="0.25369999999999998"/>
    <x v="13"/>
    <x v="56"/>
    <x v="56"/>
    <x v="0"/>
  </r>
  <r>
    <n v="86"/>
    <n v="40571"/>
    <x v="0"/>
    <x v="0"/>
    <x v="15"/>
    <b v="0"/>
    <n v="5"/>
    <x v="1"/>
    <x v="2"/>
    <n v="85"/>
    <n v="0.2727"/>
    <n v="0.48"/>
    <n v="0.22389999999999999"/>
    <x v="22"/>
    <x v="57"/>
    <x v="57"/>
    <x v="0"/>
  </r>
  <r>
    <n v="87"/>
    <n v="40571"/>
    <x v="0"/>
    <x v="0"/>
    <x v="15"/>
    <b v="0"/>
    <n v="5"/>
    <x v="1"/>
    <x v="2"/>
    <n v="86"/>
    <n v="0.2576"/>
    <n v="0.48"/>
    <n v="0.19400000000000001"/>
    <x v="0"/>
    <x v="58"/>
    <x v="58"/>
    <x v="0"/>
  </r>
  <r>
    <n v="88"/>
    <n v="40571"/>
    <x v="0"/>
    <x v="0"/>
    <x v="15"/>
    <b v="0"/>
    <n v="5"/>
    <x v="1"/>
    <x v="2"/>
    <n v="87"/>
    <n v="0.2576"/>
    <n v="0.48"/>
    <n v="0.1045"/>
    <x v="4"/>
    <x v="59"/>
    <x v="59"/>
    <x v="0"/>
  </r>
  <r>
    <n v="89"/>
    <n v="40571"/>
    <x v="0"/>
    <x v="0"/>
    <x v="15"/>
    <b v="0"/>
    <n v="5"/>
    <x v="1"/>
    <x v="2"/>
    <n v="88"/>
    <n v="0.2576"/>
    <n v="0.48"/>
    <n v="0.1045"/>
    <x v="5"/>
    <x v="42"/>
    <x v="60"/>
    <x v="0"/>
  </r>
  <r>
    <n v="90"/>
    <n v="40571"/>
    <x v="0"/>
    <x v="0"/>
    <x v="15"/>
    <b v="0"/>
    <n v="5"/>
    <x v="1"/>
    <x v="2"/>
    <n v="89"/>
    <n v="0.2727"/>
    <n v="0.64"/>
    <n v="0"/>
    <x v="3"/>
    <x v="41"/>
    <x v="61"/>
    <x v="0"/>
  </r>
  <r>
    <n v="91"/>
    <n v="40571"/>
    <x v="0"/>
    <x v="0"/>
    <x v="15"/>
    <b v="0"/>
    <n v="5"/>
    <x v="1"/>
    <x v="2"/>
    <n v="90"/>
    <n v="0.2576"/>
    <n v="0.64"/>
    <n v="8.9599999999999999E-2"/>
    <x v="5"/>
    <x v="60"/>
    <x v="17"/>
    <x v="0"/>
  </r>
  <r>
    <n v="92"/>
    <n v="40571"/>
    <x v="0"/>
    <x v="0"/>
    <x v="15"/>
    <b v="0"/>
    <n v="5"/>
    <x v="1"/>
    <x v="2"/>
    <n v="91"/>
    <n v="0.2273"/>
    <n v="0.69"/>
    <n v="8.9599999999999999E-2"/>
    <x v="4"/>
    <x v="33"/>
    <x v="62"/>
    <x v="0"/>
  </r>
  <r>
    <n v="93"/>
    <n v="40571"/>
    <x v="0"/>
    <x v="0"/>
    <x v="15"/>
    <b v="0"/>
    <n v="5"/>
    <x v="1"/>
    <x v="2"/>
    <n v="92"/>
    <n v="0.2576"/>
    <n v="0.64"/>
    <n v="0"/>
    <x v="3"/>
    <x v="8"/>
    <x v="24"/>
    <x v="0"/>
  </r>
  <r>
    <n v="94"/>
    <n v="40571"/>
    <x v="0"/>
    <x v="0"/>
    <x v="15"/>
    <b v="0"/>
    <n v="5"/>
    <x v="1"/>
    <x v="2"/>
    <n v="93"/>
    <n v="0.19700000000000001"/>
    <n v="0.74"/>
    <n v="8.9599999999999999E-2"/>
    <x v="3"/>
    <x v="8"/>
    <x v="24"/>
    <x v="0"/>
  </r>
  <r>
    <n v="95"/>
    <n v="40571"/>
    <x v="0"/>
    <x v="0"/>
    <x v="15"/>
    <b v="0"/>
    <n v="5"/>
    <x v="1"/>
    <x v="2"/>
    <n v="94"/>
    <n v="0.19700000000000001"/>
    <n v="0.74"/>
    <n v="8.9599999999999999E-2"/>
    <x v="3"/>
    <x v="6"/>
    <x v="5"/>
    <x v="0"/>
  </r>
  <r>
    <n v="96"/>
    <n v="40571"/>
    <x v="0"/>
    <x v="0"/>
    <x v="15"/>
    <b v="0"/>
    <n v="5"/>
    <x v="1"/>
    <x v="2"/>
    <n v="95"/>
    <n v="0.2273"/>
    <n v="0.48"/>
    <n v="0.22389999999999999"/>
    <x v="3"/>
    <x v="6"/>
    <x v="5"/>
    <x v="0"/>
  </r>
  <r>
    <n v="97"/>
    <n v="40571"/>
    <x v="0"/>
    <x v="0"/>
    <x v="15"/>
    <b v="0"/>
    <n v="5"/>
    <x v="1"/>
    <x v="2"/>
    <n v="96"/>
    <n v="0.2273"/>
    <n v="0.47"/>
    <n v="0.16420000000000001"/>
    <x v="3"/>
    <x v="35"/>
    <x v="6"/>
    <x v="0"/>
  </r>
  <r>
    <n v="98"/>
    <n v="40571"/>
    <x v="0"/>
    <x v="0"/>
    <x v="15"/>
    <b v="0"/>
    <n v="5"/>
    <x v="1"/>
    <x v="2"/>
    <n v="97"/>
    <n v="0.19700000000000001"/>
    <n v="0.47"/>
    <n v="0.22389999999999999"/>
    <x v="3"/>
    <x v="39"/>
    <x v="63"/>
    <x v="0"/>
  </r>
  <r>
    <n v="99"/>
    <n v="40571"/>
    <x v="0"/>
    <x v="0"/>
    <x v="15"/>
    <b v="0"/>
    <n v="5"/>
    <x v="1"/>
    <x v="2"/>
    <n v="98"/>
    <n v="0.18179999999999999"/>
    <n v="0.43"/>
    <n v="0.19400000000000001"/>
    <x v="5"/>
    <x v="61"/>
    <x v="39"/>
    <x v="0"/>
  </r>
  <r>
    <n v="100"/>
    <n v="40571"/>
    <x v="0"/>
    <x v="0"/>
    <x v="15"/>
    <b v="0"/>
    <n v="5"/>
    <x v="1"/>
    <x v="2"/>
    <n v="99"/>
    <n v="0.18179999999999999"/>
    <n v="0.4"/>
    <n v="0.29849999999999999"/>
    <x v="0"/>
    <x v="62"/>
    <x v="64"/>
    <x v="0"/>
  </r>
  <r>
    <n v="101"/>
    <n v="40571"/>
    <x v="0"/>
    <x v="0"/>
    <x v="15"/>
    <b v="0"/>
    <n v="5"/>
    <x v="1"/>
    <x v="2"/>
    <n v="100"/>
    <n v="0.19700000000000001"/>
    <n v="0.37"/>
    <n v="0.32840000000000003"/>
    <x v="15"/>
    <x v="63"/>
    <x v="65"/>
    <x v="0"/>
  </r>
  <r>
    <n v="102"/>
    <n v="40571"/>
    <x v="0"/>
    <x v="0"/>
    <x v="15"/>
    <b v="0"/>
    <n v="5"/>
    <x v="1"/>
    <x v="2"/>
    <n v="101"/>
    <n v="0.19700000000000001"/>
    <n v="0.37"/>
    <n v="0.32840000000000003"/>
    <x v="17"/>
    <x v="42"/>
    <x v="52"/>
    <x v="0"/>
  </r>
  <r>
    <n v="103"/>
    <n v="40571"/>
    <x v="0"/>
    <x v="0"/>
    <x v="15"/>
    <b v="0"/>
    <n v="5"/>
    <x v="1"/>
    <x v="2"/>
    <n v="102"/>
    <n v="0.2273"/>
    <n v="0.33"/>
    <n v="0.32840000000000003"/>
    <x v="6"/>
    <x v="60"/>
    <x v="66"/>
    <x v="0"/>
  </r>
  <r>
    <n v="104"/>
    <n v="40571"/>
    <x v="0"/>
    <x v="0"/>
    <x v="15"/>
    <b v="0"/>
    <n v="5"/>
    <x v="1"/>
    <x v="2"/>
    <n v="103"/>
    <n v="0.2273"/>
    <n v="0.33"/>
    <n v="0.32840000000000003"/>
    <x v="2"/>
    <x v="64"/>
    <x v="67"/>
    <x v="0"/>
  </r>
  <r>
    <n v="105"/>
    <n v="40571"/>
    <x v="0"/>
    <x v="0"/>
    <x v="15"/>
    <b v="0"/>
    <n v="5"/>
    <x v="1"/>
    <x v="2"/>
    <n v="104"/>
    <n v="0.2576"/>
    <n v="0.3"/>
    <n v="0.29849999999999999"/>
    <x v="15"/>
    <x v="65"/>
    <x v="68"/>
    <x v="0"/>
  </r>
  <r>
    <n v="106"/>
    <n v="40571"/>
    <x v="0"/>
    <x v="0"/>
    <x v="15"/>
    <b v="0"/>
    <n v="5"/>
    <x v="1"/>
    <x v="2"/>
    <n v="105"/>
    <n v="0.28789999999999999"/>
    <n v="0.28000000000000003"/>
    <n v="0.19400000000000001"/>
    <x v="22"/>
    <x v="15"/>
    <x v="69"/>
    <x v="0"/>
  </r>
  <r>
    <n v="107"/>
    <n v="40571"/>
    <x v="0"/>
    <x v="0"/>
    <x v="15"/>
    <b v="0"/>
    <n v="5"/>
    <x v="1"/>
    <x v="2"/>
    <n v="106"/>
    <n v="0.28789999999999999"/>
    <n v="0.28000000000000003"/>
    <n v="0.19400000000000001"/>
    <x v="18"/>
    <x v="11"/>
    <x v="69"/>
    <x v="0"/>
  </r>
  <r>
    <n v="108"/>
    <n v="40571"/>
    <x v="0"/>
    <x v="0"/>
    <x v="15"/>
    <b v="0"/>
    <n v="5"/>
    <x v="1"/>
    <x v="2"/>
    <n v="107"/>
    <n v="0.31819999999999998"/>
    <n v="0.28000000000000003"/>
    <n v="8.9599999999999999E-2"/>
    <x v="17"/>
    <x v="66"/>
    <x v="70"/>
    <x v="0"/>
  </r>
  <r>
    <n v="109"/>
    <n v="40571"/>
    <x v="0"/>
    <x v="0"/>
    <x v="15"/>
    <b v="0"/>
    <n v="5"/>
    <x v="1"/>
    <x v="2"/>
    <n v="108"/>
    <n v="0.2273"/>
    <n v="0.38"/>
    <n v="0.19400000000000001"/>
    <x v="17"/>
    <x v="67"/>
    <x v="71"/>
    <x v="0"/>
  </r>
  <r>
    <n v="110"/>
    <n v="40571"/>
    <x v="0"/>
    <x v="0"/>
    <x v="15"/>
    <b v="0"/>
    <n v="5"/>
    <x v="1"/>
    <x v="2"/>
    <n v="109"/>
    <n v="0.2424"/>
    <n v="0.38"/>
    <n v="0.1343"/>
    <x v="0"/>
    <x v="68"/>
    <x v="72"/>
    <x v="0"/>
  </r>
  <r>
    <n v="111"/>
    <n v="40571"/>
    <x v="0"/>
    <x v="0"/>
    <x v="15"/>
    <b v="0"/>
    <n v="5"/>
    <x v="1"/>
    <x v="2"/>
    <n v="110"/>
    <n v="0.2576"/>
    <n v="0.38"/>
    <n v="0.1045"/>
    <x v="2"/>
    <x v="69"/>
    <x v="73"/>
    <x v="0"/>
  </r>
  <r>
    <n v="112"/>
    <n v="40571"/>
    <x v="0"/>
    <x v="0"/>
    <x v="15"/>
    <b v="0"/>
    <n v="5"/>
    <x v="1"/>
    <x v="2"/>
    <n v="111"/>
    <n v="0.2273"/>
    <n v="0.47"/>
    <n v="0.16420000000000001"/>
    <x v="18"/>
    <x v="70"/>
    <x v="70"/>
    <x v="0"/>
  </r>
  <r>
    <n v="113"/>
    <n v="40571"/>
    <x v="0"/>
    <x v="0"/>
    <x v="15"/>
    <b v="0"/>
    <n v="5"/>
    <x v="1"/>
    <x v="2"/>
    <n v="112"/>
    <n v="0.19700000000000001"/>
    <n v="0.51"/>
    <n v="0.19400000000000001"/>
    <x v="0"/>
    <x v="71"/>
    <x v="74"/>
    <x v="0"/>
  </r>
  <r>
    <n v="114"/>
    <n v="40571"/>
    <x v="0"/>
    <x v="0"/>
    <x v="15"/>
    <b v="0"/>
    <n v="5"/>
    <x v="1"/>
    <x v="2"/>
    <n v="113"/>
    <n v="0.19700000000000001"/>
    <n v="0.55000000000000004"/>
    <n v="0.1343"/>
    <x v="5"/>
    <x v="40"/>
    <x v="51"/>
    <x v="0"/>
  </r>
  <r>
    <n v="115"/>
    <n v="40571"/>
    <x v="0"/>
    <x v="0"/>
    <x v="15"/>
    <b v="0"/>
    <n v="5"/>
    <x v="1"/>
    <x v="2"/>
    <n v="114"/>
    <n v="0.2576"/>
    <n v="0.47"/>
    <n v="0"/>
    <x v="5"/>
    <x v="72"/>
    <x v="75"/>
    <x v="0"/>
  </r>
  <r>
    <n v="116"/>
    <n v="40571"/>
    <x v="0"/>
    <x v="0"/>
    <x v="15"/>
    <b v="0"/>
    <n v="5"/>
    <x v="1"/>
    <x v="2"/>
    <n v="115"/>
    <n v="0.2424"/>
    <n v="0.55000000000000004"/>
    <n v="0"/>
    <x v="3"/>
    <x v="48"/>
    <x v="62"/>
    <x v="0"/>
  </r>
  <r>
    <n v="117"/>
    <n v="40571"/>
    <x v="0"/>
    <x v="0"/>
    <x v="15"/>
    <b v="0"/>
    <n v="5"/>
    <x v="1"/>
    <x v="2"/>
    <n v="116"/>
    <n v="0.2273"/>
    <n v="0.64"/>
    <n v="0"/>
    <x v="3"/>
    <x v="22"/>
    <x v="48"/>
    <x v="0"/>
  </r>
  <r>
    <n v="118"/>
    <n v="40571"/>
    <x v="0"/>
    <x v="0"/>
    <x v="15"/>
    <b v="0"/>
    <n v="5"/>
    <x v="1"/>
    <x v="2"/>
    <n v="117"/>
    <n v="0.2273"/>
    <n v="0.64"/>
    <n v="0"/>
    <x v="3"/>
    <x v="6"/>
    <x v="5"/>
    <x v="0"/>
  </r>
  <r>
    <n v="119"/>
    <n v="40571"/>
    <x v="0"/>
    <x v="0"/>
    <x v="15"/>
    <b v="0"/>
    <n v="5"/>
    <x v="1"/>
    <x v="2"/>
    <n v="118"/>
    <n v="0.19700000000000001"/>
    <n v="0.64"/>
    <n v="8.9599999999999999E-2"/>
    <x v="3"/>
    <x v="4"/>
    <x v="4"/>
    <x v="0"/>
  </r>
  <r>
    <n v="120"/>
    <n v="40571"/>
    <x v="0"/>
    <x v="0"/>
    <x v="15"/>
    <b v="0"/>
    <n v="5"/>
    <x v="1"/>
    <x v="2"/>
    <n v="119"/>
    <n v="0.18179999999999999"/>
    <n v="0.69"/>
    <n v="8.9599999999999999E-2"/>
    <x v="3"/>
    <x v="22"/>
    <x v="48"/>
    <x v="0"/>
  </r>
  <r>
    <n v="121"/>
    <n v="40571"/>
    <x v="0"/>
    <x v="0"/>
    <x v="15"/>
    <b v="0"/>
    <n v="5"/>
    <x v="1"/>
    <x v="2"/>
    <n v="120"/>
    <n v="0.16669999999999999"/>
    <n v="0.63"/>
    <n v="0.1045"/>
    <x v="3"/>
    <x v="49"/>
    <x v="9"/>
    <x v="0"/>
  </r>
  <r>
    <n v="122"/>
    <n v="40571"/>
    <x v="0"/>
    <x v="0"/>
    <x v="15"/>
    <b v="0"/>
    <n v="5"/>
    <x v="1"/>
    <x v="2"/>
    <n v="121"/>
    <n v="0.2273"/>
    <n v="0.59"/>
    <n v="0"/>
    <x v="3"/>
    <x v="73"/>
    <x v="76"/>
    <x v="0"/>
  </r>
  <r>
    <n v="123"/>
    <n v="40571"/>
    <x v="0"/>
    <x v="0"/>
    <x v="15"/>
    <b v="0"/>
    <n v="5"/>
    <x v="1"/>
    <x v="2"/>
    <n v="122"/>
    <n v="0.2273"/>
    <n v="0.59"/>
    <n v="0"/>
    <x v="0"/>
    <x v="74"/>
    <x v="77"/>
    <x v="0"/>
  </r>
  <r>
    <n v="124"/>
    <n v="40571"/>
    <x v="0"/>
    <x v="0"/>
    <x v="15"/>
    <b v="0"/>
    <n v="5"/>
    <x v="1"/>
    <x v="2"/>
    <n v="123"/>
    <n v="0.2424"/>
    <n v="0.51"/>
    <n v="0"/>
    <x v="15"/>
    <x v="75"/>
    <x v="78"/>
    <x v="0"/>
  </r>
  <r>
    <n v="125"/>
    <n v="40571"/>
    <x v="0"/>
    <x v="0"/>
    <x v="15"/>
    <b v="0"/>
    <n v="5"/>
    <x v="1"/>
    <x v="2"/>
    <n v="124"/>
    <n v="0.2576"/>
    <n v="0.47"/>
    <n v="0"/>
    <x v="0"/>
    <x v="76"/>
    <x v="79"/>
    <x v="0"/>
  </r>
  <r>
    <n v="126"/>
    <n v="40571"/>
    <x v="0"/>
    <x v="0"/>
    <x v="15"/>
    <b v="0"/>
    <n v="5"/>
    <x v="1"/>
    <x v="2"/>
    <n v="125"/>
    <n v="0.2576"/>
    <n v="0.44"/>
    <n v="8.9599999999999999E-2"/>
    <x v="4"/>
    <x v="77"/>
    <x v="29"/>
    <x v="0"/>
  </r>
  <r>
    <n v="127"/>
    <n v="40571"/>
    <x v="0"/>
    <x v="0"/>
    <x v="15"/>
    <b v="0"/>
    <n v="5"/>
    <x v="1"/>
    <x v="2"/>
    <n v="126"/>
    <n v="0.28789999999999999"/>
    <n v="0.35"/>
    <n v="0"/>
    <x v="15"/>
    <x v="78"/>
    <x v="11"/>
    <x v="0"/>
  </r>
  <r>
    <n v="128"/>
    <n v="40571"/>
    <x v="0"/>
    <x v="0"/>
    <x v="15"/>
    <b v="0"/>
    <n v="5"/>
    <x v="1"/>
    <x v="2"/>
    <n v="127"/>
    <n v="0.2727"/>
    <n v="0.35"/>
    <n v="0.1045"/>
    <x v="6"/>
    <x v="11"/>
    <x v="16"/>
    <x v="0"/>
  </r>
  <r>
    <n v="129"/>
    <n v="40571"/>
    <x v="0"/>
    <x v="0"/>
    <x v="15"/>
    <b v="0"/>
    <n v="5"/>
    <x v="1"/>
    <x v="2"/>
    <n v="128"/>
    <n v="0.2727"/>
    <n v="0.36"/>
    <n v="0.16420000000000001"/>
    <x v="16"/>
    <x v="79"/>
    <x v="27"/>
    <x v="0"/>
  </r>
  <r>
    <n v="130"/>
    <n v="40571"/>
    <x v="0"/>
    <x v="0"/>
    <x v="15"/>
    <b v="0"/>
    <n v="5"/>
    <x v="1"/>
    <x v="2"/>
    <n v="129"/>
    <n v="0.2727"/>
    <n v="0.36"/>
    <n v="0"/>
    <x v="1"/>
    <x v="25"/>
    <x v="69"/>
    <x v="0"/>
  </r>
  <r>
    <n v="131"/>
    <n v="40571"/>
    <x v="0"/>
    <x v="0"/>
    <x v="15"/>
    <b v="0"/>
    <n v="5"/>
    <x v="1"/>
    <x v="2"/>
    <n v="130"/>
    <n v="0.2576"/>
    <n v="0.38"/>
    <n v="0.16420000000000001"/>
    <x v="6"/>
    <x v="64"/>
    <x v="80"/>
    <x v="0"/>
  </r>
  <r>
    <n v="132"/>
    <n v="40571"/>
    <x v="0"/>
    <x v="0"/>
    <x v="15"/>
    <b v="0"/>
    <n v="5"/>
    <x v="1"/>
    <x v="2"/>
    <n v="131"/>
    <n v="0.2273"/>
    <n v="0.51"/>
    <n v="0.16420000000000001"/>
    <x v="14"/>
    <x v="80"/>
    <x v="81"/>
    <x v="0"/>
  </r>
  <r>
    <n v="133"/>
    <n v="40571"/>
    <x v="0"/>
    <x v="0"/>
    <x v="15"/>
    <b v="0"/>
    <n v="5"/>
    <x v="1"/>
    <x v="2"/>
    <n v="132"/>
    <n v="0.2273"/>
    <n v="0.51"/>
    <n v="0.1343"/>
    <x v="2"/>
    <x v="81"/>
    <x v="82"/>
    <x v="0"/>
  </r>
  <r>
    <n v="134"/>
    <n v="40571"/>
    <x v="0"/>
    <x v="0"/>
    <x v="15"/>
    <b v="0"/>
    <n v="5"/>
    <x v="1"/>
    <x v="2"/>
    <n v="133"/>
    <n v="0.2576"/>
    <n v="0.55000000000000004"/>
    <n v="8.9599999999999999E-2"/>
    <x v="0"/>
    <x v="63"/>
    <x v="59"/>
    <x v="0"/>
  </r>
  <r>
    <n v="135"/>
    <n v="40571"/>
    <x v="0"/>
    <x v="0"/>
    <x v="15"/>
    <b v="0"/>
    <n v="5"/>
    <x v="1"/>
    <x v="2"/>
    <n v="134"/>
    <n v="0.21210000000000001"/>
    <n v="0.51"/>
    <n v="0.16420000000000001"/>
    <x v="0"/>
    <x v="43"/>
    <x v="83"/>
    <x v="0"/>
  </r>
  <r>
    <n v="136"/>
    <n v="40571"/>
    <x v="0"/>
    <x v="0"/>
    <x v="15"/>
    <b v="0"/>
    <n v="5"/>
    <x v="1"/>
    <x v="2"/>
    <n v="135"/>
    <n v="0.21210000000000001"/>
    <n v="0.55000000000000004"/>
    <n v="0.22389999999999999"/>
    <x v="3"/>
    <x v="41"/>
    <x v="61"/>
    <x v="0"/>
  </r>
  <r>
    <n v="137"/>
    <n v="40571"/>
    <x v="0"/>
    <x v="0"/>
    <x v="15"/>
    <b v="0"/>
    <n v="5"/>
    <x v="1"/>
    <x v="2"/>
    <n v="136"/>
    <n v="0.21210000000000001"/>
    <n v="0.51"/>
    <n v="0.28360000000000002"/>
    <x v="5"/>
    <x v="82"/>
    <x v="46"/>
    <x v="0"/>
  </r>
  <r>
    <n v="138"/>
    <n v="40571"/>
    <x v="0"/>
    <x v="0"/>
    <x v="15"/>
    <b v="0"/>
    <n v="5"/>
    <x v="1"/>
    <x v="2"/>
    <n v="137"/>
    <n v="0.19700000000000001"/>
    <n v="0.59"/>
    <n v="0.19400000000000001"/>
    <x v="17"/>
    <x v="23"/>
    <x v="84"/>
    <x v="0"/>
  </r>
  <r>
    <n v="139"/>
    <n v="40571"/>
    <x v="0"/>
    <x v="0"/>
    <x v="15"/>
    <b v="0"/>
    <n v="5"/>
    <x v="1"/>
    <x v="2"/>
    <n v="138"/>
    <n v="0.19700000000000001"/>
    <n v="0.64"/>
    <n v="0.19400000000000001"/>
    <x v="17"/>
    <x v="0"/>
    <x v="22"/>
    <x v="0"/>
  </r>
  <r>
    <n v="140"/>
    <n v="40571"/>
    <x v="0"/>
    <x v="0"/>
    <x v="15"/>
    <b v="0"/>
    <n v="5"/>
    <x v="1"/>
    <x v="2"/>
    <n v="139"/>
    <n v="0.19700000000000001"/>
    <n v="0.69"/>
    <n v="0.22389999999999999"/>
    <x v="4"/>
    <x v="34"/>
    <x v="85"/>
    <x v="0"/>
  </r>
  <r>
    <n v="141"/>
    <n v="40571"/>
    <x v="0"/>
    <x v="0"/>
    <x v="15"/>
    <b v="0"/>
    <n v="5"/>
    <x v="1"/>
    <x v="2"/>
    <n v="140"/>
    <n v="0.19700000000000001"/>
    <n v="0.69"/>
    <n v="0.22389999999999999"/>
    <x v="3"/>
    <x v="4"/>
    <x v="4"/>
    <x v="0"/>
  </r>
  <r>
    <n v="142"/>
    <n v="40571"/>
    <x v="0"/>
    <x v="0"/>
    <x v="15"/>
    <b v="0"/>
    <n v="5"/>
    <x v="1"/>
    <x v="2"/>
    <n v="141"/>
    <n v="0.21210000000000001"/>
    <n v="0.69"/>
    <n v="0.1343"/>
    <x v="3"/>
    <x v="4"/>
    <x v="4"/>
    <x v="0"/>
  </r>
  <r>
    <n v="143"/>
    <n v="40571"/>
    <x v="0"/>
    <x v="0"/>
    <x v="15"/>
    <b v="0"/>
    <n v="5"/>
    <x v="1"/>
    <x v="2"/>
    <n v="142"/>
    <n v="0.2727"/>
    <n v="0.55000000000000004"/>
    <n v="0"/>
    <x v="3"/>
    <x v="34"/>
    <x v="36"/>
    <x v="0"/>
  </r>
  <r>
    <n v="144"/>
    <n v="40571"/>
    <x v="0"/>
    <x v="0"/>
    <x v="15"/>
    <b v="0"/>
    <n v="5"/>
    <x v="1"/>
    <x v="2"/>
    <n v="143"/>
    <n v="0.2576"/>
    <n v="0.69"/>
    <n v="0"/>
    <x v="1"/>
    <x v="16"/>
    <x v="19"/>
    <x v="0"/>
  </r>
  <r>
    <n v="145"/>
    <n v="40571"/>
    <x v="0"/>
    <x v="0"/>
    <x v="15"/>
    <b v="0"/>
    <n v="5"/>
    <x v="1"/>
    <x v="2"/>
    <n v="144"/>
    <n v="0.21210000000000001"/>
    <n v="0.69"/>
    <n v="0.1343"/>
    <x v="1"/>
    <x v="83"/>
    <x v="11"/>
    <x v="0"/>
  </r>
  <r>
    <n v="146"/>
    <n v="40571"/>
    <x v="0"/>
    <x v="0"/>
    <x v="15"/>
    <b v="0"/>
    <n v="5"/>
    <x v="1"/>
    <x v="2"/>
    <n v="145"/>
    <n v="0.19700000000000001"/>
    <n v="0.51"/>
    <n v="0.25369999999999998"/>
    <x v="20"/>
    <x v="84"/>
    <x v="86"/>
    <x v="0"/>
  </r>
  <r>
    <n v="147"/>
    <n v="40571"/>
    <x v="0"/>
    <x v="0"/>
    <x v="15"/>
    <b v="0"/>
    <n v="5"/>
    <x v="1"/>
    <x v="2"/>
    <n v="146"/>
    <n v="0.18179999999999999"/>
    <n v="0.47"/>
    <n v="0.29849999999999999"/>
    <x v="14"/>
    <x v="85"/>
    <x v="87"/>
    <x v="0"/>
  </r>
  <r>
    <n v="148"/>
    <n v="40571"/>
    <x v="0"/>
    <x v="0"/>
    <x v="15"/>
    <b v="0"/>
    <n v="5"/>
    <x v="1"/>
    <x v="2"/>
    <n v="147"/>
    <n v="0.19700000000000001"/>
    <n v="0.37"/>
    <n v="0.32840000000000003"/>
    <x v="19"/>
    <x v="12"/>
    <x v="55"/>
    <x v="0"/>
  </r>
  <r>
    <n v="149"/>
    <n v="40571"/>
    <x v="0"/>
    <x v="0"/>
    <x v="15"/>
    <b v="0"/>
    <n v="5"/>
    <x v="1"/>
    <x v="2"/>
    <n v="148"/>
    <n v="0.19700000000000001"/>
    <n v="0.4"/>
    <n v="0.22389999999999999"/>
    <x v="21"/>
    <x v="41"/>
    <x v="16"/>
    <x v="0"/>
  </r>
  <r>
    <n v="150"/>
    <n v="40571"/>
    <x v="0"/>
    <x v="0"/>
    <x v="15"/>
    <b v="0"/>
    <n v="5"/>
    <x v="1"/>
    <x v="2"/>
    <n v="149"/>
    <n v="0.19700000000000001"/>
    <n v="0.37"/>
    <n v="0.25369999999999998"/>
    <x v="14"/>
    <x v="54"/>
    <x v="29"/>
    <x v="0"/>
  </r>
  <r>
    <n v="151"/>
    <n v="40571"/>
    <x v="0"/>
    <x v="0"/>
    <x v="15"/>
    <b v="0"/>
    <n v="5"/>
    <x v="1"/>
    <x v="2"/>
    <n v="150"/>
    <n v="0.18179999999999999"/>
    <n v="0.37"/>
    <n v="0.28360000000000002"/>
    <x v="14"/>
    <x v="27"/>
    <x v="88"/>
    <x v="0"/>
  </r>
  <r>
    <n v="152"/>
    <n v="40571"/>
    <x v="0"/>
    <x v="0"/>
    <x v="15"/>
    <b v="0"/>
    <n v="5"/>
    <x v="1"/>
    <x v="2"/>
    <n v="151"/>
    <n v="0.19700000000000001"/>
    <n v="0.4"/>
    <n v="0.25369999999999998"/>
    <x v="18"/>
    <x v="30"/>
    <x v="89"/>
    <x v="0"/>
  </r>
  <r>
    <n v="153"/>
    <n v="40571"/>
    <x v="0"/>
    <x v="0"/>
    <x v="15"/>
    <b v="0"/>
    <n v="5"/>
    <x v="1"/>
    <x v="2"/>
    <n v="152"/>
    <n v="0.21210000000000001"/>
    <n v="0.37"/>
    <n v="0.16420000000000001"/>
    <x v="14"/>
    <x v="36"/>
    <x v="44"/>
    <x v="0"/>
  </r>
  <r>
    <n v="154"/>
    <n v="40571"/>
    <x v="0"/>
    <x v="0"/>
    <x v="15"/>
    <b v="0"/>
    <n v="5"/>
    <x v="1"/>
    <x v="2"/>
    <n v="153"/>
    <n v="0.21210000000000001"/>
    <n v="0.37"/>
    <n v="0.16420000000000001"/>
    <x v="2"/>
    <x v="70"/>
    <x v="90"/>
    <x v="0"/>
  </r>
  <r>
    <n v="155"/>
    <n v="40571"/>
    <x v="0"/>
    <x v="0"/>
    <x v="15"/>
    <b v="0"/>
    <n v="5"/>
    <x v="1"/>
    <x v="2"/>
    <n v="154"/>
    <n v="0.2576"/>
    <n v="0.37"/>
    <n v="0"/>
    <x v="14"/>
    <x v="86"/>
    <x v="91"/>
    <x v="0"/>
  </r>
  <r>
    <n v="156"/>
    <n v="40571"/>
    <x v="0"/>
    <x v="0"/>
    <x v="15"/>
    <b v="0"/>
    <n v="5"/>
    <x v="1"/>
    <x v="2"/>
    <n v="155"/>
    <n v="0.2273"/>
    <n v="0.4"/>
    <n v="8.9599999999999999E-2"/>
    <x v="18"/>
    <x v="75"/>
    <x v="92"/>
    <x v="0"/>
  </r>
  <r>
    <n v="157"/>
    <n v="40571"/>
    <x v="0"/>
    <x v="0"/>
    <x v="15"/>
    <b v="0"/>
    <n v="5"/>
    <x v="1"/>
    <x v="2"/>
    <n v="156"/>
    <n v="0.19700000000000001"/>
    <n v="0.55000000000000004"/>
    <n v="8.9599999999999999E-2"/>
    <x v="0"/>
    <x v="50"/>
    <x v="76"/>
    <x v="0"/>
  </r>
  <r>
    <n v="158"/>
    <n v="40571"/>
    <x v="0"/>
    <x v="0"/>
    <x v="15"/>
    <b v="0"/>
    <n v="5"/>
    <x v="1"/>
    <x v="2"/>
    <n v="157"/>
    <n v="0.21210000000000001"/>
    <n v="0.47"/>
    <n v="0.1045"/>
    <x v="5"/>
    <x v="54"/>
    <x v="41"/>
    <x v="0"/>
  </r>
  <r>
    <n v="159"/>
    <n v="40571"/>
    <x v="0"/>
    <x v="0"/>
    <x v="15"/>
    <b v="0"/>
    <n v="5"/>
    <x v="1"/>
    <x v="2"/>
    <n v="158"/>
    <n v="0.19700000000000001"/>
    <n v="0.47"/>
    <n v="0.1343"/>
    <x v="3"/>
    <x v="87"/>
    <x v="21"/>
    <x v="0"/>
  </r>
  <r>
    <n v="160"/>
    <n v="40571"/>
    <x v="0"/>
    <x v="0"/>
    <x v="15"/>
    <b v="0"/>
    <n v="5"/>
    <x v="1"/>
    <x v="2"/>
    <n v="159"/>
    <n v="0.19700000000000001"/>
    <n v="0.43"/>
    <n v="0.16420000000000001"/>
    <x v="4"/>
    <x v="60"/>
    <x v="9"/>
    <x v="0"/>
  </r>
  <r>
    <n v="161"/>
    <n v="40571"/>
    <x v="0"/>
    <x v="0"/>
    <x v="15"/>
    <b v="0"/>
    <n v="5"/>
    <x v="1"/>
    <x v="2"/>
    <n v="160"/>
    <n v="0.19700000000000001"/>
    <n v="0.51"/>
    <n v="0.16420000000000001"/>
    <x v="5"/>
    <x v="88"/>
    <x v="93"/>
    <x v="0"/>
  </r>
  <r>
    <n v="162"/>
    <n v="40571"/>
    <x v="0"/>
    <x v="0"/>
    <x v="15"/>
    <b v="0"/>
    <n v="5"/>
    <x v="1"/>
    <x v="2"/>
    <n v="161"/>
    <n v="0.19700000000000001"/>
    <n v="0.51"/>
    <n v="0.16420000000000001"/>
    <x v="5"/>
    <x v="9"/>
    <x v="94"/>
    <x v="0"/>
  </r>
  <r>
    <n v="163"/>
    <n v="40571"/>
    <x v="0"/>
    <x v="0"/>
    <x v="15"/>
    <b v="0"/>
    <n v="5"/>
    <x v="1"/>
    <x v="2"/>
    <n v="162"/>
    <n v="0.21210000000000001"/>
    <n v="0.55000000000000004"/>
    <n v="8.9599999999999999E-2"/>
    <x v="5"/>
    <x v="89"/>
    <x v="0"/>
    <x v="0"/>
  </r>
  <r>
    <n v="164"/>
    <n v="40571"/>
    <x v="0"/>
    <x v="0"/>
    <x v="15"/>
    <b v="0"/>
    <n v="5"/>
    <x v="1"/>
    <x v="2"/>
    <n v="163"/>
    <n v="0.2424"/>
    <n v="0.55000000000000004"/>
    <n v="0"/>
    <x v="0"/>
    <x v="0"/>
    <x v="0"/>
    <x v="0"/>
  </r>
  <r>
    <n v="165"/>
    <n v="40571"/>
    <x v="0"/>
    <x v="0"/>
    <x v="15"/>
    <b v="0"/>
    <n v="5"/>
    <x v="1"/>
    <x v="2"/>
    <n v="164"/>
    <n v="0.19700000000000001"/>
    <n v="0.55000000000000004"/>
    <n v="0.16420000000000001"/>
    <x v="3"/>
    <x v="7"/>
    <x v="85"/>
    <x v="0"/>
  </r>
  <r>
    <n v="166"/>
    <n v="40571"/>
    <x v="0"/>
    <x v="0"/>
    <x v="15"/>
    <b v="0"/>
    <n v="5"/>
    <x v="1"/>
    <x v="2"/>
    <n v="165"/>
    <n v="0.19700000000000001"/>
    <n v="0.55000000000000004"/>
    <n v="0.16420000000000001"/>
    <x v="3"/>
    <x v="4"/>
    <x v="4"/>
    <x v="0"/>
  </r>
  <r>
    <n v="167"/>
    <n v="40571"/>
    <x v="0"/>
    <x v="0"/>
    <x v="15"/>
    <b v="0"/>
    <n v="5"/>
    <x v="1"/>
    <x v="2"/>
    <n v="166"/>
    <n v="0.16669999999999999"/>
    <n v="0.74"/>
    <n v="0.16420000000000001"/>
    <x v="3"/>
    <x v="34"/>
    <x v="36"/>
    <x v="0"/>
  </r>
  <r>
    <n v="168"/>
    <n v="40571"/>
    <x v="0"/>
    <x v="0"/>
    <x v="15"/>
    <b v="0"/>
    <n v="5"/>
    <x v="1"/>
    <x v="2"/>
    <n v="167"/>
    <n v="0.16669999999999999"/>
    <n v="0.74"/>
    <n v="0.16420000000000001"/>
    <x v="3"/>
    <x v="6"/>
    <x v="5"/>
    <x v="0"/>
  </r>
  <r>
    <n v="169"/>
    <n v="40571"/>
    <x v="0"/>
    <x v="0"/>
    <x v="15"/>
    <b v="0"/>
    <n v="5"/>
    <x v="1"/>
    <x v="2"/>
    <n v="168"/>
    <n v="0.18179999999999999"/>
    <n v="0.74"/>
    <n v="0.1045"/>
    <x v="5"/>
    <x v="21"/>
    <x v="23"/>
    <x v="0"/>
  </r>
  <r>
    <n v="170"/>
    <n v="40571"/>
    <x v="0"/>
    <x v="0"/>
    <x v="15"/>
    <b v="0"/>
    <n v="5"/>
    <x v="1"/>
    <x v="2"/>
    <n v="169"/>
    <n v="0.18179999999999999"/>
    <n v="0.93"/>
    <n v="0.1045"/>
    <x v="3"/>
    <x v="89"/>
    <x v="93"/>
    <x v="0"/>
  </r>
  <r>
    <n v="171"/>
    <n v="40571"/>
    <x v="0"/>
    <x v="0"/>
    <x v="15"/>
    <b v="0"/>
    <n v="5"/>
    <x v="1"/>
    <x v="2"/>
    <n v="170"/>
    <n v="0.18179999999999999"/>
    <n v="0.93"/>
    <n v="0.1045"/>
    <x v="3"/>
    <x v="32"/>
    <x v="25"/>
    <x v="0"/>
  </r>
  <r>
    <n v="172"/>
    <n v="40571"/>
    <x v="0"/>
    <x v="0"/>
    <x v="15"/>
    <b v="0"/>
    <n v="5"/>
    <x v="1"/>
    <x v="2"/>
    <n v="171"/>
    <n v="0.19700000000000001"/>
    <n v="0.8"/>
    <n v="0.16420000000000001"/>
    <x v="2"/>
    <x v="90"/>
    <x v="42"/>
    <x v="0"/>
  </r>
  <r>
    <n v="173"/>
    <n v="40571"/>
    <x v="0"/>
    <x v="0"/>
    <x v="15"/>
    <b v="0"/>
    <n v="5"/>
    <x v="1"/>
    <x v="2"/>
    <n v="172"/>
    <n v="0.18179999999999999"/>
    <n v="0.69"/>
    <n v="0.3881"/>
    <x v="4"/>
    <x v="91"/>
    <x v="69"/>
    <x v="0"/>
  </r>
  <r>
    <n v="174"/>
    <n v="40571"/>
    <x v="0"/>
    <x v="0"/>
    <x v="15"/>
    <b v="0"/>
    <n v="5"/>
    <x v="1"/>
    <x v="2"/>
    <n v="173"/>
    <n v="0.18179999999999999"/>
    <n v="0.59"/>
    <n v="0.35820000000000002"/>
    <x v="1"/>
    <x v="92"/>
    <x v="95"/>
    <x v="0"/>
  </r>
  <r>
    <n v="175"/>
    <n v="40571"/>
    <x v="0"/>
    <x v="0"/>
    <x v="15"/>
    <b v="0"/>
    <n v="5"/>
    <x v="1"/>
    <x v="2"/>
    <n v="174"/>
    <n v="0.18179999999999999"/>
    <n v="0.44"/>
    <n v="0.32840000000000003"/>
    <x v="18"/>
    <x v="73"/>
    <x v="96"/>
    <x v="0"/>
  </r>
  <r>
    <n v="176"/>
    <n v="40571"/>
    <x v="0"/>
    <x v="0"/>
    <x v="15"/>
    <b v="0"/>
    <n v="5"/>
    <x v="1"/>
    <x v="2"/>
    <n v="175"/>
    <n v="0.16669999999999999"/>
    <n v="0.32"/>
    <n v="0.49249999999999999"/>
    <x v="6"/>
    <x v="93"/>
    <x v="76"/>
    <x v="0"/>
  </r>
  <r>
    <n v="177"/>
    <n v="40571"/>
    <x v="0"/>
    <x v="0"/>
    <x v="15"/>
    <b v="0"/>
    <n v="5"/>
    <x v="1"/>
    <x v="2"/>
    <n v="176"/>
    <n v="0.16669999999999999"/>
    <n v="0.32"/>
    <n v="0.44779999999999998"/>
    <x v="2"/>
    <x v="94"/>
    <x v="30"/>
    <x v="0"/>
  </r>
  <r>
    <n v="178"/>
    <n v="40571"/>
    <x v="0"/>
    <x v="0"/>
    <x v="15"/>
    <b v="0"/>
    <n v="5"/>
    <x v="1"/>
    <x v="2"/>
    <n v="177"/>
    <n v="0.13639999999999999"/>
    <n v="0.28999999999999998"/>
    <n v="0.44779999999999998"/>
    <x v="1"/>
    <x v="56"/>
    <x v="31"/>
    <x v="0"/>
  </r>
  <r>
    <n v="179"/>
    <n v="40571"/>
    <x v="0"/>
    <x v="0"/>
    <x v="15"/>
    <b v="0"/>
    <n v="5"/>
    <x v="1"/>
    <x v="2"/>
    <n v="178"/>
    <n v="0.1212"/>
    <n v="0.37"/>
    <n v="0.55220000000000002"/>
    <x v="2"/>
    <x v="27"/>
    <x v="83"/>
    <x v="0"/>
  </r>
  <r>
    <n v="180"/>
    <n v="40571"/>
    <x v="0"/>
    <x v="0"/>
    <x v="15"/>
    <b v="0"/>
    <n v="5"/>
    <x v="1"/>
    <x v="2"/>
    <n v="179"/>
    <n v="0.1212"/>
    <n v="0.39"/>
    <n v="0.29849999999999999"/>
    <x v="0"/>
    <x v="15"/>
    <x v="97"/>
    <x v="0"/>
  </r>
  <r>
    <n v="181"/>
    <n v="40571"/>
    <x v="0"/>
    <x v="0"/>
    <x v="15"/>
    <b v="0"/>
    <n v="5"/>
    <x v="1"/>
    <x v="2"/>
    <n v="180"/>
    <n v="0.1212"/>
    <n v="0.36"/>
    <n v="0.25369999999999998"/>
    <x v="17"/>
    <x v="16"/>
    <x v="33"/>
    <x v="0"/>
  </r>
  <r>
    <n v="182"/>
    <n v="40571"/>
    <x v="0"/>
    <x v="0"/>
    <x v="15"/>
    <b v="0"/>
    <n v="5"/>
    <x v="1"/>
    <x v="2"/>
    <n v="181"/>
    <n v="0.1212"/>
    <n v="0.36"/>
    <n v="0.25369999999999998"/>
    <x v="3"/>
    <x v="95"/>
    <x v="20"/>
    <x v="0"/>
  </r>
  <r>
    <n v="183"/>
    <n v="40571"/>
    <x v="0"/>
    <x v="0"/>
    <x v="15"/>
    <b v="0"/>
    <n v="5"/>
    <x v="1"/>
    <x v="2"/>
    <n v="182"/>
    <n v="0.1061"/>
    <n v="0.39"/>
    <n v="0.35820000000000002"/>
    <x v="4"/>
    <x v="96"/>
    <x v="18"/>
    <x v="0"/>
  </r>
  <r>
    <n v="184"/>
    <n v="40571"/>
    <x v="0"/>
    <x v="0"/>
    <x v="15"/>
    <b v="0"/>
    <n v="5"/>
    <x v="1"/>
    <x v="2"/>
    <n v="183"/>
    <n v="0.1061"/>
    <n v="0.36"/>
    <n v="0.3881"/>
    <x v="5"/>
    <x v="39"/>
    <x v="19"/>
    <x v="0"/>
  </r>
  <r>
    <n v="185"/>
    <n v="40571"/>
    <x v="0"/>
    <x v="0"/>
    <x v="15"/>
    <b v="0"/>
    <n v="5"/>
    <x v="1"/>
    <x v="2"/>
    <n v="184"/>
    <n v="6.0600000000000001E-2"/>
    <n v="0.39"/>
    <n v="0.44779999999999998"/>
    <x v="3"/>
    <x v="97"/>
    <x v="34"/>
    <x v="0"/>
  </r>
  <r>
    <n v="186"/>
    <n v="40571"/>
    <x v="0"/>
    <x v="0"/>
    <x v="15"/>
    <b v="0"/>
    <n v="5"/>
    <x v="1"/>
    <x v="2"/>
    <n v="185"/>
    <n v="7.5800000000000006E-2"/>
    <n v="0.42"/>
    <n v="0.3881"/>
    <x v="5"/>
    <x v="9"/>
    <x v="94"/>
    <x v="0"/>
  </r>
  <r>
    <n v="187"/>
    <n v="40571"/>
    <x v="0"/>
    <x v="0"/>
    <x v="15"/>
    <b v="0"/>
    <n v="5"/>
    <x v="1"/>
    <x v="2"/>
    <n v="186"/>
    <n v="6.0600000000000001E-2"/>
    <n v="0.42"/>
    <n v="0.4627"/>
    <x v="3"/>
    <x v="98"/>
    <x v="47"/>
    <x v="0"/>
  </r>
  <r>
    <n v="188"/>
    <n v="40571"/>
    <x v="0"/>
    <x v="0"/>
    <x v="15"/>
    <b v="0"/>
    <n v="5"/>
    <x v="1"/>
    <x v="2"/>
    <n v="187"/>
    <n v="6.0600000000000001E-2"/>
    <n v="0.46"/>
    <n v="0.4627"/>
    <x v="3"/>
    <x v="48"/>
    <x v="62"/>
    <x v="0"/>
  </r>
  <r>
    <n v="189"/>
    <n v="40571"/>
    <x v="0"/>
    <x v="0"/>
    <x v="15"/>
    <b v="0"/>
    <n v="5"/>
    <x v="1"/>
    <x v="2"/>
    <n v="188"/>
    <n v="7.5800000000000006E-2"/>
    <n v="0.46"/>
    <n v="0.41789999999999999"/>
    <x v="3"/>
    <x v="22"/>
    <x v="48"/>
    <x v="0"/>
  </r>
  <r>
    <n v="190"/>
    <n v="40571"/>
    <x v="0"/>
    <x v="0"/>
    <x v="15"/>
    <b v="0"/>
    <n v="5"/>
    <x v="1"/>
    <x v="2"/>
    <n v="189"/>
    <n v="9.0899999999999995E-2"/>
    <n v="0.53"/>
    <n v="0.19400000000000001"/>
    <x v="3"/>
    <x v="4"/>
    <x v="4"/>
    <x v="0"/>
  </r>
  <r>
    <n v="191"/>
    <n v="40571"/>
    <x v="0"/>
    <x v="0"/>
    <x v="15"/>
    <b v="0"/>
    <n v="5"/>
    <x v="1"/>
    <x v="2"/>
    <n v="190"/>
    <n v="9.0899999999999995E-2"/>
    <n v="0.53"/>
    <n v="0.19400000000000001"/>
    <x v="3"/>
    <x v="4"/>
    <x v="4"/>
    <x v="0"/>
  </r>
  <r>
    <n v="192"/>
    <n v="40571"/>
    <x v="0"/>
    <x v="0"/>
    <x v="15"/>
    <b v="0"/>
    <n v="5"/>
    <x v="1"/>
    <x v="2"/>
    <n v="191"/>
    <n v="9.0899999999999995E-2"/>
    <n v="0.49"/>
    <n v="0.28360000000000002"/>
    <x v="3"/>
    <x v="4"/>
    <x v="4"/>
    <x v="0"/>
  </r>
  <r>
    <n v="193"/>
    <n v="40571"/>
    <x v="0"/>
    <x v="0"/>
    <x v="15"/>
    <b v="0"/>
    <n v="5"/>
    <x v="1"/>
    <x v="2"/>
    <n v="192"/>
    <n v="9.0899999999999995E-2"/>
    <n v="0.53"/>
    <n v="0.19400000000000001"/>
    <x v="5"/>
    <x v="34"/>
    <x v="24"/>
    <x v="0"/>
  </r>
  <r>
    <n v="194"/>
    <n v="40571"/>
    <x v="0"/>
    <x v="0"/>
    <x v="15"/>
    <b v="0"/>
    <n v="5"/>
    <x v="1"/>
    <x v="2"/>
    <n v="193"/>
    <n v="9.0899999999999995E-2"/>
    <n v="0.49"/>
    <n v="0.28360000000000002"/>
    <x v="3"/>
    <x v="3"/>
    <x v="98"/>
    <x v="0"/>
  </r>
  <r>
    <n v="195"/>
    <n v="40571"/>
    <x v="0"/>
    <x v="0"/>
    <x v="15"/>
    <b v="0"/>
    <n v="5"/>
    <x v="1"/>
    <x v="2"/>
    <n v="194"/>
    <n v="7.5800000000000006E-2"/>
    <n v="0.46"/>
    <n v="0.52239999999999998"/>
    <x v="3"/>
    <x v="23"/>
    <x v="75"/>
    <x v="0"/>
  </r>
  <r>
    <n v="196"/>
    <n v="40571"/>
    <x v="0"/>
    <x v="0"/>
    <x v="15"/>
    <b v="0"/>
    <n v="5"/>
    <x v="1"/>
    <x v="2"/>
    <n v="195"/>
    <n v="0.1061"/>
    <n v="0.43"/>
    <n v="0.3881"/>
    <x v="3"/>
    <x v="47"/>
    <x v="99"/>
    <x v="0"/>
  </r>
  <r>
    <n v="197"/>
    <n v="40571"/>
    <x v="0"/>
    <x v="0"/>
    <x v="15"/>
    <b v="0"/>
    <n v="5"/>
    <x v="1"/>
    <x v="2"/>
    <n v="196"/>
    <n v="0.1212"/>
    <n v="0.4"/>
    <n v="0.52239999999999998"/>
    <x v="4"/>
    <x v="12"/>
    <x v="99"/>
    <x v="0"/>
  </r>
  <r>
    <n v="198"/>
    <n v="40571"/>
    <x v="0"/>
    <x v="0"/>
    <x v="15"/>
    <b v="0"/>
    <n v="5"/>
    <x v="1"/>
    <x v="2"/>
    <n v="197"/>
    <n v="0.13639999999999999"/>
    <n v="0.37"/>
    <n v="0.44779999999999998"/>
    <x v="17"/>
    <x v="55"/>
    <x v="56"/>
    <x v="0"/>
  </r>
  <r>
    <n v="199"/>
    <n v="40571"/>
    <x v="0"/>
    <x v="0"/>
    <x v="15"/>
    <b v="0"/>
    <n v="5"/>
    <x v="1"/>
    <x v="2"/>
    <n v="198"/>
    <n v="0.16669999999999999"/>
    <n v="0.34"/>
    <n v="0.44779999999999998"/>
    <x v="15"/>
    <x v="94"/>
    <x v="28"/>
    <x v="0"/>
  </r>
  <r>
    <n v="200"/>
    <n v="40571"/>
    <x v="0"/>
    <x v="0"/>
    <x v="15"/>
    <b v="0"/>
    <n v="5"/>
    <x v="1"/>
    <x v="2"/>
    <n v="199"/>
    <n v="0.18179999999999999"/>
    <n v="0.32"/>
    <n v="0.4627"/>
    <x v="1"/>
    <x v="27"/>
    <x v="44"/>
    <x v="0"/>
  </r>
  <r>
    <n v="201"/>
    <n v="40571"/>
    <x v="0"/>
    <x v="0"/>
    <x v="15"/>
    <b v="0"/>
    <n v="5"/>
    <x v="1"/>
    <x v="2"/>
    <n v="200"/>
    <n v="0.19700000000000001"/>
    <n v="0.35"/>
    <n v="0.35820000000000002"/>
    <x v="2"/>
    <x v="99"/>
    <x v="100"/>
    <x v="0"/>
  </r>
  <r>
    <n v="202"/>
    <n v="40571"/>
    <x v="0"/>
    <x v="0"/>
    <x v="15"/>
    <b v="0"/>
    <n v="5"/>
    <x v="1"/>
    <x v="2"/>
    <n v="201"/>
    <n v="0.16669999999999999"/>
    <n v="0.34"/>
    <n v="0.44779999999999998"/>
    <x v="23"/>
    <x v="55"/>
    <x v="101"/>
    <x v="0"/>
  </r>
  <r>
    <n v="203"/>
    <n v="40571"/>
    <x v="0"/>
    <x v="0"/>
    <x v="15"/>
    <b v="0"/>
    <n v="5"/>
    <x v="1"/>
    <x v="2"/>
    <n v="202"/>
    <n v="0.1515"/>
    <n v="0.37"/>
    <n v="0.3881"/>
    <x v="0"/>
    <x v="79"/>
    <x v="69"/>
    <x v="0"/>
  </r>
  <r>
    <n v="204"/>
    <n v="40571"/>
    <x v="0"/>
    <x v="0"/>
    <x v="15"/>
    <b v="0"/>
    <n v="5"/>
    <x v="1"/>
    <x v="2"/>
    <n v="203"/>
    <n v="0.13639999999999999"/>
    <n v="0.4"/>
    <n v="0.32840000000000003"/>
    <x v="17"/>
    <x v="100"/>
    <x v="61"/>
    <x v="0"/>
  </r>
  <r>
    <n v="205"/>
    <n v="40571"/>
    <x v="0"/>
    <x v="0"/>
    <x v="15"/>
    <b v="0"/>
    <n v="5"/>
    <x v="1"/>
    <x v="2"/>
    <n v="204"/>
    <n v="0.13639999999999999"/>
    <n v="0.43"/>
    <n v="0.32840000000000003"/>
    <x v="5"/>
    <x v="71"/>
    <x v="102"/>
    <x v="0"/>
  </r>
  <r>
    <n v="206"/>
    <n v="40571"/>
    <x v="0"/>
    <x v="0"/>
    <x v="15"/>
    <b v="0"/>
    <n v="5"/>
    <x v="1"/>
    <x v="2"/>
    <n v="205"/>
    <n v="0.1212"/>
    <n v="0.46"/>
    <n v="0.25369999999999998"/>
    <x v="3"/>
    <x v="101"/>
    <x v="103"/>
    <x v="0"/>
  </r>
  <r>
    <n v="207"/>
    <n v="40571"/>
    <x v="0"/>
    <x v="0"/>
    <x v="15"/>
    <b v="0"/>
    <n v="5"/>
    <x v="1"/>
    <x v="2"/>
    <n v="206"/>
    <n v="0.1061"/>
    <n v="0.46"/>
    <n v="0.41789999999999999"/>
    <x v="5"/>
    <x v="23"/>
    <x v="25"/>
    <x v="0"/>
  </r>
  <r>
    <n v="208"/>
    <n v="40571"/>
    <x v="0"/>
    <x v="0"/>
    <x v="15"/>
    <b v="0"/>
    <n v="5"/>
    <x v="1"/>
    <x v="2"/>
    <n v="207"/>
    <n v="0.1212"/>
    <n v="0.46"/>
    <n v="0.29849999999999999"/>
    <x v="2"/>
    <x v="3"/>
    <x v="93"/>
    <x v="0"/>
  </r>
  <r>
    <n v="209"/>
    <n v="40571"/>
    <x v="0"/>
    <x v="0"/>
    <x v="15"/>
    <b v="0"/>
    <n v="5"/>
    <x v="1"/>
    <x v="2"/>
    <n v="208"/>
    <n v="0.13639999999999999"/>
    <n v="0.5"/>
    <n v="0.19400000000000001"/>
    <x v="3"/>
    <x v="8"/>
    <x v="24"/>
    <x v="0"/>
  </r>
  <r>
    <n v="210"/>
    <n v="40571"/>
    <x v="0"/>
    <x v="0"/>
    <x v="15"/>
    <b v="0"/>
    <n v="5"/>
    <x v="1"/>
    <x v="2"/>
    <n v="209"/>
    <n v="0.1212"/>
    <n v="0.5"/>
    <n v="0.28360000000000002"/>
    <x v="4"/>
    <x v="35"/>
    <x v="36"/>
    <x v="0"/>
  </r>
  <r>
    <n v="211"/>
    <n v="40571"/>
    <x v="0"/>
    <x v="0"/>
    <x v="15"/>
    <b v="0"/>
    <n v="5"/>
    <x v="1"/>
    <x v="2"/>
    <n v="210"/>
    <n v="0.1212"/>
    <n v="0.5"/>
    <n v="0.28360000000000002"/>
    <x v="5"/>
    <x v="5"/>
    <x v="4"/>
    <x v="0"/>
  </r>
  <r>
    <n v="212"/>
    <n v="40571"/>
    <x v="0"/>
    <x v="0"/>
    <x v="15"/>
    <b v="0"/>
    <n v="5"/>
    <x v="1"/>
    <x v="2"/>
    <n v="211"/>
    <n v="0.1212"/>
    <n v="0.5"/>
    <n v="0.22389999999999999"/>
    <x v="3"/>
    <x v="35"/>
    <x v="6"/>
    <x v="0"/>
  </r>
  <r>
    <n v="213"/>
    <n v="40571"/>
    <x v="0"/>
    <x v="0"/>
    <x v="15"/>
    <b v="0"/>
    <n v="5"/>
    <x v="1"/>
    <x v="2"/>
    <n v="212"/>
    <n v="0.1212"/>
    <n v="0.5"/>
    <n v="0.22389999999999999"/>
    <x v="3"/>
    <x v="4"/>
    <x v="4"/>
    <x v="0"/>
  </r>
  <r>
    <n v="214"/>
    <n v="40571"/>
    <x v="0"/>
    <x v="0"/>
    <x v="15"/>
    <b v="0"/>
    <n v="5"/>
    <x v="1"/>
    <x v="2"/>
    <n v="213"/>
    <n v="0.1212"/>
    <n v="0.54"/>
    <n v="0.1343"/>
    <x v="5"/>
    <x v="6"/>
    <x v="6"/>
    <x v="0"/>
  </r>
  <r>
    <n v="215"/>
    <n v="40571"/>
    <x v="0"/>
    <x v="0"/>
    <x v="15"/>
    <b v="0"/>
    <n v="5"/>
    <x v="1"/>
    <x v="2"/>
    <n v="214"/>
    <n v="0.1061"/>
    <n v="0.54"/>
    <n v="0.25369999999999998"/>
    <x v="3"/>
    <x v="35"/>
    <x v="6"/>
    <x v="0"/>
  </r>
  <r>
    <n v="216"/>
    <n v="40571"/>
    <x v="0"/>
    <x v="0"/>
    <x v="15"/>
    <b v="0"/>
    <n v="5"/>
    <x v="1"/>
    <x v="2"/>
    <n v="215"/>
    <n v="0.1212"/>
    <n v="0.5"/>
    <n v="0.28360000000000002"/>
    <x v="3"/>
    <x v="17"/>
    <x v="35"/>
    <x v="0"/>
  </r>
  <r>
    <n v="217"/>
    <n v="40571"/>
    <x v="0"/>
    <x v="0"/>
    <x v="15"/>
    <b v="0"/>
    <n v="5"/>
    <x v="1"/>
    <x v="2"/>
    <n v="216"/>
    <n v="0.1212"/>
    <n v="0.5"/>
    <n v="0.22389999999999999"/>
    <x v="4"/>
    <x v="102"/>
    <x v="43"/>
    <x v="0"/>
  </r>
  <r>
    <n v="218"/>
    <n v="40571"/>
    <x v="0"/>
    <x v="0"/>
    <x v="15"/>
    <b v="0"/>
    <n v="5"/>
    <x v="1"/>
    <x v="2"/>
    <n v="217"/>
    <n v="0.1212"/>
    <n v="0.5"/>
    <n v="0.28360000000000002"/>
    <x v="17"/>
    <x v="103"/>
    <x v="104"/>
    <x v="0"/>
  </r>
  <r>
    <n v="219"/>
    <n v="40571"/>
    <x v="0"/>
    <x v="0"/>
    <x v="15"/>
    <b v="0"/>
    <n v="5"/>
    <x v="1"/>
    <x v="2"/>
    <n v="218"/>
    <n v="0.1212"/>
    <n v="0.5"/>
    <n v="0.25369999999999998"/>
    <x v="4"/>
    <x v="50"/>
    <x v="12"/>
    <x v="0"/>
  </r>
  <r>
    <n v="220"/>
    <n v="40571"/>
    <x v="0"/>
    <x v="0"/>
    <x v="15"/>
    <b v="0"/>
    <n v="5"/>
    <x v="1"/>
    <x v="2"/>
    <n v="219"/>
    <n v="0.1212"/>
    <n v="0.5"/>
    <n v="0.29849999999999999"/>
    <x v="3"/>
    <x v="17"/>
    <x v="35"/>
    <x v="0"/>
  </r>
  <r>
    <n v="221"/>
    <n v="40571"/>
    <x v="0"/>
    <x v="0"/>
    <x v="15"/>
    <b v="0"/>
    <n v="5"/>
    <x v="1"/>
    <x v="2"/>
    <n v="220"/>
    <n v="0.13639999999999999"/>
    <n v="0.47"/>
    <n v="0.28360000000000002"/>
    <x v="4"/>
    <x v="95"/>
    <x v="33"/>
    <x v="0"/>
  </r>
  <r>
    <n v="222"/>
    <n v="40571"/>
    <x v="0"/>
    <x v="0"/>
    <x v="15"/>
    <b v="0"/>
    <n v="5"/>
    <x v="1"/>
    <x v="2"/>
    <n v="221"/>
    <n v="0.18179999999999999"/>
    <n v="0.4"/>
    <n v="0.28360000000000002"/>
    <x v="2"/>
    <x v="12"/>
    <x v="46"/>
    <x v="0"/>
  </r>
  <r>
    <n v="223"/>
    <n v="40571"/>
    <x v="0"/>
    <x v="0"/>
    <x v="15"/>
    <b v="0"/>
    <n v="5"/>
    <x v="1"/>
    <x v="2"/>
    <n v="222"/>
    <n v="0.18179999999999999"/>
    <n v="0.4"/>
    <n v="0.28360000000000002"/>
    <x v="17"/>
    <x v="54"/>
    <x v="60"/>
    <x v="0"/>
  </r>
  <r>
    <n v="224"/>
    <n v="40571"/>
    <x v="0"/>
    <x v="0"/>
    <x v="15"/>
    <b v="0"/>
    <n v="5"/>
    <x v="1"/>
    <x v="2"/>
    <n v="223"/>
    <n v="0.19700000000000001"/>
    <n v="0.4"/>
    <n v="0.22389999999999999"/>
    <x v="3"/>
    <x v="12"/>
    <x v="105"/>
    <x v="0"/>
  </r>
  <r>
    <n v="225"/>
    <n v="40571"/>
    <x v="0"/>
    <x v="0"/>
    <x v="15"/>
    <b v="0"/>
    <n v="5"/>
    <x v="1"/>
    <x v="2"/>
    <n v="224"/>
    <n v="0.19700000000000001"/>
    <n v="0.4"/>
    <n v="0.22389999999999999"/>
    <x v="4"/>
    <x v="30"/>
    <x v="79"/>
    <x v="0"/>
  </r>
  <r>
    <n v="226"/>
    <n v="40571"/>
    <x v="0"/>
    <x v="0"/>
    <x v="15"/>
    <b v="0"/>
    <n v="5"/>
    <x v="1"/>
    <x v="2"/>
    <n v="225"/>
    <n v="0.21210000000000001"/>
    <n v="0.4"/>
    <n v="0.1343"/>
    <x v="17"/>
    <x v="14"/>
    <x v="30"/>
    <x v="0"/>
  </r>
  <r>
    <n v="227"/>
    <n v="40571"/>
    <x v="0"/>
    <x v="0"/>
    <x v="15"/>
    <b v="0"/>
    <n v="5"/>
    <x v="1"/>
    <x v="2"/>
    <n v="226"/>
    <n v="0.2273"/>
    <n v="0.4"/>
    <n v="0.1045"/>
    <x v="17"/>
    <x v="104"/>
    <x v="106"/>
    <x v="0"/>
  </r>
  <r>
    <n v="228"/>
    <n v="40571"/>
    <x v="0"/>
    <x v="0"/>
    <x v="15"/>
    <b v="0"/>
    <n v="5"/>
    <x v="1"/>
    <x v="2"/>
    <n v="227"/>
    <n v="0.19700000000000001"/>
    <n v="0.4"/>
    <n v="0.22389999999999999"/>
    <x v="5"/>
    <x v="105"/>
    <x v="107"/>
    <x v="0"/>
  </r>
  <r>
    <n v="229"/>
    <n v="40571"/>
    <x v="0"/>
    <x v="0"/>
    <x v="15"/>
    <b v="0"/>
    <n v="5"/>
    <x v="1"/>
    <x v="2"/>
    <n v="228"/>
    <n v="0.16669999999999999"/>
    <n v="0.47"/>
    <n v="0.16420000000000001"/>
    <x v="0"/>
    <x v="50"/>
    <x v="76"/>
    <x v="0"/>
  </r>
  <r>
    <n v="230"/>
    <n v="40571"/>
    <x v="0"/>
    <x v="0"/>
    <x v="15"/>
    <b v="0"/>
    <n v="5"/>
    <x v="1"/>
    <x v="2"/>
    <n v="229"/>
    <n v="0.16669999999999999"/>
    <n v="0.5"/>
    <n v="0.16420000000000001"/>
    <x v="5"/>
    <x v="26"/>
    <x v="30"/>
    <x v="0"/>
  </r>
  <r>
    <n v="231"/>
    <n v="40571"/>
    <x v="0"/>
    <x v="0"/>
    <x v="15"/>
    <b v="0"/>
    <n v="5"/>
    <x v="1"/>
    <x v="2"/>
    <n v="230"/>
    <n v="0.13639999999999999"/>
    <n v="0.59"/>
    <n v="0.19400000000000001"/>
    <x v="5"/>
    <x v="53"/>
    <x v="103"/>
    <x v="0"/>
  </r>
  <r>
    <n v="232"/>
    <n v="40571"/>
    <x v="0"/>
    <x v="0"/>
    <x v="15"/>
    <b v="0"/>
    <n v="5"/>
    <x v="1"/>
    <x v="2"/>
    <n v="231"/>
    <n v="0.1515"/>
    <n v="0.59"/>
    <n v="0.16420000000000001"/>
    <x v="4"/>
    <x v="97"/>
    <x v="108"/>
    <x v="0"/>
  </r>
  <r>
    <n v="233"/>
    <n v="40571"/>
    <x v="0"/>
    <x v="0"/>
    <x v="15"/>
    <b v="0"/>
    <n v="5"/>
    <x v="1"/>
    <x v="2"/>
    <n v="232"/>
    <n v="0.1515"/>
    <n v="0.59"/>
    <n v="0.16420000000000001"/>
    <x v="3"/>
    <x v="72"/>
    <x v="109"/>
    <x v="0"/>
  </r>
  <r>
    <n v="234"/>
    <n v="40571"/>
    <x v="0"/>
    <x v="0"/>
    <x v="15"/>
    <b v="0"/>
    <n v="5"/>
    <x v="1"/>
    <x v="2"/>
    <n v="233"/>
    <n v="0.16669999999999999"/>
    <n v="0.59"/>
    <n v="0.1045"/>
    <x v="4"/>
    <x v="3"/>
    <x v="47"/>
    <x v="0"/>
  </r>
  <r>
    <n v="235"/>
    <n v="40571"/>
    <x v="0"/>
    <x v="0"/>
    <x v="15"/>
    <b v="0"/>
    <n v="5"/>
    <x v="1"/>
    <x v="2"/>
    <n v="234"/>
    <n v="0.1515"/>
    <n v="0.59"/>
    <n v="0.16420000000000001"/>
    <x v="3"/>
    <x v="35"/>
    <x v="6"/>
    <x v="0"/>
  </r>
  <r>
    <n v="236"/>
    <n v="40571"/>
    <x v="0"/>
    <x v="0"/>
    <x v="15"/>
    <b v="0"/>
    <n v="5"/>
    <x v="1"/>
    <x v="2"/>
    <n v="235"/>
    <n v="0.1515"/>
    <n v="0.55000000000000004"/>
    <n v="0.19400000000000001"/>
    <x v="3"/>
    <x v="35"/>
    <x v="6"/>
    <x v="0"/>
  </r>
  <r>
    <n v="237"/>
    <n v="40571"/>
    <x v="0"/>
    <x v="0"/>
    <x v="15"/>
    <b v="0"/>
    <n v="5"/>
    <x v="1"/>
    <x v="2"/>
    <n v="236"/>
    <n v="0.18179999999999999"/>
    <n v="0.55000000000000004"/>
    <n v="0.1343"/>
    <x v="3"/>
    <x v="8"/>
    <x v="24"/>
    <x v="0"/>
  </r>
  <r>
    <n v="238"/>
    <n v="40571"/>
    <x v="0"/>
    <x v="0"/>
    <x v="15"/>
    <b v="0"/>
    <n v="5"/>
    <x v="1"/>
    <x v="2"/>
    <n v="237"/>
    <n v="0.18179999999999999"/>
    <n v="0.55000000000000004"/>
    <n v="0.1343"/>
    <x v="3"/>
    <x v="2"/>
    <x v="110"/>
    <x v="0"/>
  </r>
  <r>
    <n v="239"/>
    <n v="40571"/>
    <x v="0"/>
    <x v="0"/>
    <x v="15"/>
    <b v="0"/>
    <n v="5"/>
    <x v="1"/>
    <x v="2"/>
    <n v="238"/>
    <n v="0.2273"/>
    <n v="0.55000000000000004"/>
    <n v="0"/>
    <x v="4"/>
    <x v="106"/>
    <x v="111"/>
    <x v="0"/>
  </r>
  <r>
    <n v="240"/>
    <n v="40571"/>
    <x v="0"/>
    <x v="0"/>
    <x v="15"/>
    <b v="0"/>
    <n v="5"/>
    <x v="1"/>
    <x v="2"/>
    <n v="239"/>
    <n v="0.21210000000000001"/>
    <n v="0.51"/>
    <n v="8.9599999999999999E-2"/>
    <x v="0"/>
    <x v="107"/>
    <x v="112"/>
    <x v="0"/>
  </r>
  <r>
    <n v="241"/>
    <n v="40571"/>
    <x v="0"/>
    <x v="0"/>
    <x v="15"/>
    <b v="0"/>
    <n v="5"/>
    <x v="1"/>
    <x v="2"/>
    <n v="240"/>
    <n v="0.19700000000000001"/>
    <n v="0.51"/>
    <n v="0.16420000000000001"/>
    <x v="0"/>
    <x v="69"/>
    <x v="113"/>
    <x v="0"/>
  </r>
  <r>
    <n v="242"/>
    <n v="40571"/>
    <x v="0"/>
    <x v="0"/>
    <x v="15"/>
    <b v="0"/>
    <n v="5"/>
    <x v="1"/>
    <x v="2"/>
    <n v="241"/>
    <n v="0.21210000000000001"/>
    <n v="0.51"/>
    <n v="0.16420000000000001"/>
    <x v="0"/>
    <x v="82"/>
    <x v="60"/>
    <x v="0"/>
  </r>
  <r>
    <n v="243"/>
    <n v="40571"/>
    <x v="0"/>
    <x v="0"/>
    <x v="15"/>
    <b v="0"/>
    <n v="5"/>
    <x v="1"/>
    <x v="2"/>
    <n v="242"/>
    <n v="0.21210000000000001"/>
    <n v="0.47"/>
    <n v="0.1343"/>
    <x v="17"/>
    <x v="17"/>
    <x v="17"/>
    <x v="0"/>
  </r>
  <r>
    <n v="244"/>
    <n v="40571"/>
    <x v="0"/>
    <x v="0"/>
    <x v="15"/>
    <b v="0"/>
    <n v="5"/>
    <x v="1"/>
    <x v="2"/>
    <n v="243"/>
    <n v="0.2273"/>
    <n v="0.51"/>
    <n v="0.1045"/>
    <x v="4"/>
    <x v="11"/>
    <x v="52"/>
    <x v="0"/>
  </r>
  <r>
    <n v="245"/>
    <n v="40571"/>
    <x v="0"/>
    <x v="0"/>
    <x v="15"/>
    <b v="0"/>
    <n v="5"/>
    <x v="1"/>
    <x v="2"/>
    <n v="244"/>
    <n v="0.2273"/>
    <n v="0.59"/>
    <n v="8.9599999999999999E-2"/>
    <x v="15"/>
    <x v="24"/>
    <x v="46"/>
    <x v="0"/>
  </r>
  <r>
    <n v="246"/>
    <n v="40571"/>
    <x v="0"/>
    <x v="0"/>
    <x v="15"/>
    <b v="0"/>
    <n v="5"/>
    <x v="1"/>
    <x v="2"/>
    <n v="245"/>
    <n v="0.2273"/>
    <n v="0.59"/>
    <n v="8.9599999999999999E-2"/>
    <x v="0"/>
    <x v="91"/>
    <x v="55"/>
    <x v="0"/>
  </r>
  <r>
    <n v="247"/>
    <n v="40571"/>
    <x v="0"/>
    <x v="0"/>
    <x v="15"/>
    <b v="0"/>
    <n v="5"/>
    <x v="1"/>
    <x v="2"/>
    <n v="246"/>
    <n v="0.19700000000000001"/>
    <n v="0.8"/>
    <n v="8.9599999999999999E-2"/>
    <x v="4"/>
    <x v="108"/>
    <x v="105"/>
    <x v="0"/>
  </r>
  <r>
    <n v="248"/>
    <n v="40571"/>
    <x v="0"/>
    <x v="0"/>
    <x v="15"/>
    <b v="0"/>
    <n v="5"/>
    <x v="1"/>
    <x v="2"/>
    <n v="247"/>
    <n v="0.1515"/>
    <n v="0.86"/>
    <n v="0.22389999999999999"/>
    <x v="17"/>
    <x v="109"/>
    <x v="31"/>
    <x v="0"/>
  </r>
  <r>
    <n v="249"/>
    <n v="40571"/>
    <x v="0"/>
    <x v="0"/>
    <x v="15"/>
    <b v="0"/>
    <n v="5"/>
    <x v="1"/>
    <x v="2"/>
    <n v="248"/>
    <n v="0.1515"/>
    <n v="0.86"/>
    <n v="0.22389999999999999"/>
    <x v="15"/>
    <x v="110"/>
    <x v="114"/>
    <x v="0"/>
  </r>
  <r>
    <n v="250"/>
    <n v="40571"/>
    <x v="0"/>
    <x v="0"/>
    <x v="15"/>
    <b v="0"/>
    <n v="5"/>
    <x v="1"/>
    <x v="2"/>
    <n v="249"/>
    <n v="0.18179999999999999"/>
    <n v="0.93"/>
    <n v="0.1045"/>
    <x v="5"/>
    <x v="111"/>
    <x v="76"/>
    <x v="0"/>
  </r>
  <r>
    <n v="251"/>
    <n v="40571"/>
    <x v="0"/>
    <x v="0"/>
    <x v="15"/>
    <b v="0"/>
    <n v="5"/>
    <x v="1"/>
    <x v="2"/>
    <n v="250"/>
    <n v="0.2273"/>
    <n v="0.93"/>
    <n v="0"/>
    <x v="3"/>
    <x v="82"/>
    <x v="41"/>
    <x v="0"/>
  </r>
  <r>
    <n v="252"/>
    <n v="40571"/>
    <x v="0"/>
    <x v="0"/>
    <x v="15"/>
    <b v="0"/>
    <n v="5"/>
    <x v="1"/>
    <x v="2"/>
    <n v="251"/>
    <n v="0.1515"/>
    <n v="0.93"/>
    <n v="0.19400000000000001"/>
    <x v="3"/>
    <x v="1"/>
    <x v="2"/>
    <x v="0"/>
  </r>
  <r>
    <n v="253"/>
    <n v="40571"/>
    <x v="0"/>
    <x v="0"/>
    <x v="15"/>
    <b v="0"/>
    <n v="5"/>
    <x v="1"/>
    <x v="2"/>
    <n v="252"/>
    <n v="0.19700000000000001"/>
    <n v="0.86"/>
    <n v="8.9599999999999999E-2"/>
    <x v="3"/>
    <x v="32"/>
    <x v="25"/>
    <x v="0"/>
  </r>
  <r>
    <n v="254"/>
    <n v="40571"/>
    <x v="0"/>
    <x v="0"/>
    <x v="15"/>
    <b v="0"/>
    <n v="5"/>
    <x v="1"/>
    <x v="2"/>
    <n v="253"/>
    <n v="0.18179999999999999"/>
    <n v="0.93"/>
    <n v="0.1045"/>
    <x v="5"/>
    <x v="95"/>
    <x v="115"/>
    <x v="0"/>
  </r>
  <r>
    <n v="255"/>
    <n v="40571"/>
    <x v="0"/>
    <x v="0"/>
    <x v="15"/>
    <b v="0"/>
    <n v="5"/>
    <x v="1"/>
    <x v="2"/>
    <n v="254"/>
    <n v="0.19700000000000001"/>
    <n v="0.93"/>
    <n v="8.9599999999999999E-2"/>
    <x v="5"/>
    <x v="72"/>
    <x v="75"/>
    <x v="0"/>
  </r>
  <r>
    <n v="256"/>
    <n v="40571"/>
    <x v="0"/>
    <x v="0"/>
    <x v="15"/>
    <b v="0"/>
    <n v="5"/>
    <x v="1"/>
    <x v="2"/>
    <n v="255"/>
    <n v="0.19700000000000001"/>
    <n v="0.86"/>
    <n v="8.9599999999999999E-2"/>
    <x v="3"/>
    <x v="7"/>
    <x v="85"/>
    <x v="0"/>
  </r>
  <r>
    <n v="257"/>
    <n v="40571"/>
    <x v="0"/>
    <x v="0"/>
    <x v="15"/>
    <b v="0"/>
    <n v="5"/>
    <x v="1"/>
    <x v="2"/>
    <n v="256"/>
    <n v="0.18179999999999999"/>
    <n v="0.86"/>
    <n v="0.1045"/>
    <x v="3"/>
    <x v="8"/>
    <x v="24"/>
    <x v="0"/>
  </r>
  <r>
    <n v="258"/>
    <n v="40571"/>
    <x v="0"/>
    <x v="0"/>
    <x v="15"/>
    <b v="0"/>
    <n v="5"/>
    <x v="1"/>
    <x v="2"/>
    <n v="257"/>
    <n v="0.1515"/>
    <n v="0.86"/>
    <n v="0.1343"/>
    <x v="3"/>
    <x v="4"/>
    <x v="4"/>
    <x v="0"/>
  </r>
  <r>
    <n v="259"/>
    <n v="40571"/>
    <x v="0"/>
    <x v="0"/>
    <x v="15"/>
    <b v="0"/>
    <n v="5"/>
    <x v="1"/>
    <x v="2"/>
    <n v="258"/>
    <n v="0.1515"/>
    <n v="0.86"/>
    <n v="0.16420000000000001"/>
    <x v="3"/>
    <x v="34"/>
    <x v="36"/>
    <x v="0"/>
  </r>
  <r>
    <n v="260"/>
    <n v="40571"/>
    <x v="0"/>
    <x v="0"/>
    <x v="15"/>
    <b v="0"/>
    <n v="5"/>
    <x v="1"/>
    <x v="2"/>
    <n v="259"/>
    <n v="0.1515"/>
    <n v="0.93"/>
    <n v="0.1343"/>
    <x v="3"/>
    <x v="20"/>
    <x v="0"/>
    <x v="0"/>
  </r>
  <r>
    <n v="261"/>
    <n v="40571"/>
    <x v="0"/>
    <x v="0"/>
    <x v="15"/>
    <b v="0"/>
    <n v="5"/>
    <x v="1"/>
    <x v="2"/>
    <n v="260"/>
    <n v="0.1515"/>
    <n v="0.69"/>
    <n v="0.1343"/>
    <x v="3"/>
    <x v="25"/>
    <x v="60"/>
    <x v="0"/>
  </r>
  <r>
    <n v="262"/>
    <n v="40571"/>
    <x v="0"/>
    <x v="0"/>
    <x v="15"/>
    <b v="0"/>
    <n v="5"/>
    <x v="1"/>
    <x v="2"/>
    <n v="261"/>
    <n v="0.16669999999999999"/>
    <n v="0.59"/>
    <n v="0.16420000000000001"/>
    <x v="0"/>
    <x v="85"/>
    <x v="116"/>
    <x v="0"/>
  </r>
  <r>
    <n v="263"/>
    <n v="40571"/>
    <x v="0"/>
    <x v="0"/>
    <x v="15"/>
    <b v="0"/>
    <n v="5"/>
    <x v="1"/>
    <x v="2"/>
    <n v="262"/>
    <n v="0.13639999999999999"/>
    <n v="0.59"/>
    <n v="0.32840000000000003"/>
    <x v="0"/>
    <x v="78"/>
    <x v="117"/>
    <x v="0"/>
  </r>
  <r>
    <n v="264"/>
    <n v="40571"/>
    <x v="0"/>
    <x v="0"/>
    <x v="15"/>
    <b v="0"/>
    <n v="5"/>
    <x v="1"/>
    <x v="2"/>
    <n v="263"/>
    <n v="0.18179999999999999"/>
    <n v="0.55000000000000004"/>
    <n v="0.22389999999999999"/>
    <x v="3"/>
    <x v="87"/>
    <x v="21"/>
    <x v="0"/>
  </r>
  <r>
    <n v="265"/>
    <n v="40571"/>
    <x v="0"/>
    <x v="0"/>
    <x v="15"/>
    <b v="0"/>
    <n v="5"/>
    <x v="1"/>
    <x v="2"/>
    <n v="264"/>
    <n v="0.18179999999999999"/>
    <n v="0.51"/>
    <n v="0.3881"/>
    <x v="0"/>
    <x v="1"/>
    <x v="17"/>
    <x v="0"/>
  </r>
  <r>
    <n v="266"/>
    <n v="40571"/>
    <x v="0"/>
    <x v="0"/>
    <x v="15"/>
    <b v="0"/>
    <n v="5"/>
    <x v="1"/>
    <x v="2"/>
    <n v="265"/>
    <n v="0.1515"/>
    <n v="0.47"/>
    <n v="0.58209999999999995"/>
    <x v="0"/>
    <x v="15"/>
    <x v="97"/>
    <x v="0"/>
  </r>
  <r>
    <n v="267"/>
    <n v="40571"/>
    <x v="0"/>
    <x v="0"/>
    <x v="15"/>
    <b v="0"/>
    <n v="5"/>
    <x v="1"/>
    <x v="2"/>
    <n v="266"/>
    <n v="0.19700000000000001"/>
    <n v="0.44"/>
    <n v="0.35820000000000002"/>
    <x v="3"/>
    <x v="47"/>
    <x v="99"/>
    <x v="0"/>
  </r>
  <r>
    <n v="268"/>
    <n v="40571"/>
    <x v="0"/>
    <x v="0"/>
    <x v="15"/>
    <b v="0"/>
    <n v="5"/>
    <x v="1"/>
    <x v="2"/>
    <n v="267"/>
    <n v="0.18179999999999999"/>
    <n v="0.47"/>
    <n v="0.32840000000000003"/>
    <x v="3"/>
    <x v="100"/>
    <x v="40"/>
    <x v="0"/>
  </r>
  <r>
    <n v="269"/>
    <n v="40571"/>
    <x v="0"/>
    <x v="0"/>
    <x v="15"/>
    <b v="0"/>
    <n v="5"/>
    <x v="1"/>
    <x v="2"/>
    <n v="268"/>
    <n v="0.16669999999999999"/>
    <n v="0.47"/>
    <n v="0.41789999999999999"/>
    <x v="5"/>
    <x v="41"/>
    <x v="99"/>
    <x v="0"/>
  </r>
  <r>
    <n v="270"/>
    <n v="40571"/>
    <x v="0"/>
    <x v="0"/>
    <x v="15"/>
    <b v="0"/>
    <n v="5"/>
    <x v="1"/>
    <x v="2"/>
    <n v="269"/>
    <n v="0.19700000000000001"/>
    <n v="0.44"/>
    <n v="0.32840000000000003"/>
    <x v="2"/>
    <x v="36"/>
    <x v="118"/>
    <x v="0"/>
  </r>
  <r>
    <n v="271"/>
    <n v="40571"/>
    <x v="0"/>
    <x v="0"/>
    <x v="15"/>
    <b v="0"/>
    <n v="5"/>
    <x v="1"/>
    <x v="2"/>
    <n v="270"/>
    <n v="0.18179999999999999"/>
    <n v="0.47"/>
    <n v="0.35820000000000002"/>
    <x v="3"/>
    <x v="112"/>
    <x v="119"/>
    <x v="0"/>
  </r>
  <r>
    <n v="272"/>
    <n v="40571"/>
    <x v="0"/>
    <x v="0"/>
    <x v="15"/>
    <b v="0"/>
    <n v="5"/>
    <x v="1"/>
    <x v="2"/>
    <n v="271"/>
    <n v="0.1515"/>
    <n v="0.47"/>
    <n v="0.52239999999999998"/>
    <x v="4"/>
    <x v="113"/>
    <x v="120"/>
    <x v="0"/>
  </r>
  <r>
    <n v="273"/>
    <n v="40571"/>
    <x v="0"/>
    <x v="0"/>
    <x v="15"/>
    <b v="0"/>
    <n v="5"/>
    <x v="1"/>
    <x v="2"/>
    <n v="272"/>
    <n v="0.1515"/>
    <n v="0.47"/>
    <n v="0.41789999999999999"/>
    <x v="5"/>
    <x v="70"/>
    <x v="56"/>
    <x v="0"/>
  </r>
  <r>
    <n v="274"/>
    <n v="40571"/>
    <x v="0"/>
    <x v="0"/>
    <x v="15"/>
    <b v="0"/>
    <n v="5"/>
    <x v="1"/>
    <x v="2"/>
    <n v="273"/>
    <n v="0.13639999999999999"/>
    <n v="0.5"/>
    <n v="0.32840000000000003"/>
    <x v="4"/>
    <x v="25"/>
    <x v="10"/>
    <x v="0"/>
  </r>
  <r>
    <n v="275"/>
    <n v="40571"/>
    <x v="0"/>
    <x v="0"/>
    <x v="15"/>
    <b v="0"/>
    <n v="5"/>
    <x v="1"/>
    <x v="2"/>
    <n v="274"/>
    <n v="0.13639999999999999"/>
    <n v="0.55000000000000004"/>
    <n v="0.32840000000000003"/>
    <x v="3"/>
    <x v="77"/>
    <x v="52"/>
    <x v="0"/>
  </r>
  <r>
    <n v="276"/>
    <n v="40571"/>
    <x v="0"/>
    <x v="0"/>
    <x v="15"/>
    <b v="0"/>
    <n v="5"/>
    <x v="1"/>
    <x v="2"/>
    <n v="275"/>
    <n v="0.1212"/>
    <n v="0.55000000000000004"/>
    <n v="0.44779999999999998"/>
    <x v="5"/>
    <x v="1"/>
    <x v="63"/>
    <x v="0"/>
  </r>
  <r>
    <n v="277"/>
    <n v="40571"/>
    <x v="0"/>
    <x v="0"/>
    <x v="15"/>
    <b v="0"/>
    <n v="5"/>
    <x v="1"/>
    <x v="2"/>
    <n v="276"/>
    <n v="0.1061"/>
    <n v="0.59"/>
    <n v="0.41789999999999999"/>
    <x v="5"/>
    <x v="23"/>
    <x v="25"/>
    <x v="0"/>
  </r>
  <r>
    <n v="278"/>
    <n v="40571"/>
    <x v="0"/>
    <x v="0"/>
    <x v="15"/>
    <b v="0"/>
    <n v="5"/>
    <x v="1"/>
    <x v="2"/>
    <n v="277"/>
    <n v="0.1212"/>
    <n v="0.59"/>
    <n v="0.28360000000000002"/>
    <x v="5"/>
    <x v="8"/>
    <x v="85"/>
    <x v="0"/>
  </r>
  <r>
    <n v="279"/>
    <n v="40571"/>
    <x v="0"/>
    <x v="0"/>
    <x v="15"/>
    <b v="0"/>
    <n v="5"/>
    <x v="1"/>
    <x v="2"/>
    <n v="278"/>
    <n v="0.1212"/>
    <n v="0.5"/>
    <n v="0.28360000000000002"/>
    <x v="3"/>
    <x v="6"/>
    <x v="5"/>
    <x v="0"/>
  </r>
  <r>
    <n v="280"/>
    <n v="40571"/>
    <x v="0"/>
    <x v="0"/>
    <x v="15"/>
    <b v="0"/>
    <n v="5"/>
    <x v="1"/>
    <x v="2"/>
    <n v="279"/>
    <n v="0.1212"/>
    <n v="0.5"/>
    <n v="0.35820000000000002"/>
    <x v="3"/>
    <x v="6"/>
    <x v="5"/>
    <x v="0"/>
  </r>
  <r>
    <n v="281"/>
    <n v="40571"/>
    <x v="0"/>
    <x v="0"/>
    <x v="15"/>
    <b v="0"/>
    <n v="5"/>
    <x v="1"/>
    <x v="2"/>
    <n v="280"/>
    <n v="0.1212"/>
    <n v="0.5"/>
    <n v="0.32840000000000003"/>
    <x v="3"/>
    <x v="35"/>
    <x v="6"/>
    <x v="0"/>
  </r>
  <r>
    <n v="282"/>
    <n v="40571"/>
    <x v="0"/>
    <x v="0"/>
    <x v="15"/>
    <b v="0"/>
    <n v="5"/>
    <x v="1"/>
    <x v="2"/>
    <n v="281"/>
    <n v="0.1212"/>
    <n v="0.5"/>
    <n v="0.25369999999999998"/>
    <x v="3"/>
    <x v="22"/>
    <x v="48"/>
    <x v="0"/>
  </r>
  <r>
    <n v="283"/>
    <n v="40571"/>
    <x v="0"/>
    <x v="0"/>
    <x v="15"/>
    <b v="0"/>
    <n v="5"/>
    <x v="1"/>
    <x v="2"/>
    <n v="282"/>
    <n v="0.1212"/>
    <n v="0.5"/>
    <n v="0.29849999999999999"/>
    <x v="3"/>
    <x v="35"/>
    <x v="6"/>
    <x v="0"/>
  </r>
  <r>
    <n v="284"/>
    <n v="40571"/>
    <x v="0"/>
    <x v="0"/>
    <x v="15"/>
    <b v="0"/>
    <n v="5"/>
    <x v="1"/>
    <x v="2"/>
    <n v="283"/>
    <n v="0.1515"/>
    <n v="0.54"/>
    <n v="0.1343"/>
    <x v="3"/>
    <x v="95"/>
    <x v="20"/>
    <x v="0"/>
  </r>
  <r>
    <n v="285"/>
    <n v="40571"/>
    <x v="0"/>
    <x v="0"/>
    <x v="15"/>
    <b v="0"/>
    <n v="5"/>
    <x v="1"/>
    <x v="2"/>
    <n v="284"/>
    <n v="0.1515"/>
    <n v="0.54"/>
    <n v="0.1343"/>
    <x v="3"/>
    <x v="109"/>
    <x v="44"/>
    <x v="0"/>
  </r>
  <r>
    <n v="286"/>
    <n v="40571"/>
    <x v="0"/>
    <x v="0"/>
    <x v="15"/>
    <b v="0"/>
    <n v="5"/>
    <x v="1"/>
    <x v="2"/>
    <n v="285"/>
    <n v="0.13639999999999999"/>
    <n v="0.5"/>
    <n v="0.19400000000000001"/>
    <x v="2"/>
    <x v="114"/>
    <x v="121"/>
    <x v="0"/>
  </r>
  <r>
    <n v="287"/>
    <n v="40571"/>
    <x v="0"/>
    <x v="0"/>
    <x v="15"/>
    <b v="0"/>
    <n v="5"/>
    <x v="1"/>
    <x v="2"/>
    <n v="286"/>
    <n v="0.1212"/>
    <n v="0.5"/>
    <n v="0.32840000000000003"/>
    <x v="4"/>
    <x v="115"/>
    <x v="119"/>
    <x v="0"/>
  </r>
  <r>
    <n v="288"/>
    <n v="40571"/>
    <x v="0"/>
    <x v="0"/>
    <x v="15"/>
    <b v="0"/>
    <n v="5"/>
    <x v="1"/>
    <x v="2"/>
    <n v="287"/>
    <n v="0.13639999999999999"/>
    <n v="0.5"/>
    <n v="0.35820000000000002"/>
    <x v="4"/>
    <x v="49"/>
    <x v="103"/>
    <x v="0"/>
  </r>
  <r>
    <n v="289"/>
    <n v="40571"/>
    <x v="0"/>
    <x v="0"/>
    <x v="15"/>
    <b v="0"/>
    <n v="5"/>
    <x v="1"/>
    <x v="2"/>
    <n v="288"/>
    <n v="0.16669999999999999"/>
    <n v="0.44"/>
    <n v="0.44779999999999998"/>
    <x v="17"/>
    <x v="39"/>
    <x v="18"/>
    <x v="0"/>
  </r>
  <r>
    <n v="290"/>
    <n v="40571"/>
    <x v="0"/>
    <x v="0"/>
    <x v="15"/>
    <b v="0"/>
    <n v="5"/>
    <x v="1"/>
    <x v="2"/>
    <n v="289"/>
    <n v="0.16669999999999999"/>
    <n v="0.44"/>
    <n v="0.41789999999999999"/>
    <x v="0"/>
    <x v="47"/>
    <x v="46"/>
    <x v="0"/>
  </r>
  <r>
    <n v="291"/>
    <n v="40571"/>
    <x v="0"/>
    <x v="0"/>
    <x v="15"/>
    <b v="0"/>
    <n v="5"/>
    <x v="1"/>
    <x v="2"/>
    <n v="290"/>
    <n v="0.19700000000000001"/>
    <n v="0.41"/>
    <n v="0.44779999999999998"/>
    <x v="4"/>
    <x v="38"/>
    <x v="56"/>
    <x v="0"/>
  </r>
  <r>
    <n v="292"/>
    <n v="40571"/>
    <x v="0"/>
    <x v="0"/>
    <x v="15"/>
    <b v="0"/>
    <n v="5"/>
    <x v="1"/>
    <x v="2"/>
    <n v="291"/>
    <n v="0.19700000000000001"/>
    <n v="0.41"/>
    <n v="0.3881"/>
    <x v="0"/>
    <x v="87"/>
    <x v="51"/>
    <x v="0"/>
  </r>
  <r>
    <n v="293"/>
    <n v="40571"/>
    <x v="0"/>
    <x v="0"/>
    <x v="15"/>
    <b v="0"/>
    <n v="5"/>
    <x v="1"/>
    <x v="2"/>
    <n v="292"/>
    <n v="0.21210000000000001"/>
    <n v="0.38"/>
    <n v="0.29849999999999999"/>
    <x v="2"/>
    <x v="11"/>
    <x v="122"/>
    <x v="0"/>
  </r>
  <r>
    <n v="294"/>
    <n v="40571"/>
    <x v="0"/>
    <x v="0"/>
    <x v="15"/>
    <b v="0"/>
    <n v="5"/>
    <x v="1"/>
    <x v="2"/>
    <n v="293"/>
    <n v="0.21210000000000001"/>
    <n v="0.38"/>
    <n v="0.35820000000000002"/>
    <x v="4"/>
    <x v="83"/>
    <x v="53"/>
    <x v="0"/>
  </r>
  <r>
    <n v="295"/>
    <n v="40571"/>
    <x v="0"/>
    <x v="0"/>
    <x v="15"/>
    <b v="0"/>
    <n v="5"/>
    <x v="1"/>
    <x v="2"/>
    <n v="294"/>
    <n v="0.18179999999999999"/>
    <n v="0.4"/>
    <n v="0.28360000000000002"/>
    <x v="17"/>
    <x v="81"/>
    <x v="123"/>
    <x v="0"/>
  </r>
  <r>
    <n v="296"/>
    <n v="40571"/>
    <x v="0"/>
    <x v="0"/>
    <x v="15"/>
    <b v="0"/>
    <n v="5"/>
    <x v="1"/>
    <x v="2"/>
    <n v="295"/>
    <n v="0.18179999999999999"/>
    <n v="0.4"/>
    <n v="0.32840000000000003"/>
    <x v="0"/>
    <x v="116"/>
    <x v="124"/>
    <x v="0"/>
  </r>
  <r>
    <n v="297"/>
    <n v="40571"/>
    <x v="0"/>
    <x v="0"/>
    <x v="15"/>
    <b v="0"/>
    <n v="5"/>
    <x v="1"/>
    <x v="2"/>
    <n v="296"/>
    <n v="0.1515"/>
    <n v="0.47"/>
    <n v="0.25369999999999998"/>
    <x v="5"/>
    <x v="52"/>
    <x v="111"/>
    <x v="0"/>
  </r>
  <r>
    <n v="298"/>
    <n v="40571"/>
    <x v="0"/>
    <x v="0"/>
    <x v="15"/>
    <b v="0"/>
    <n v="5"/>
    <x v="1"/>
    <x v="2"/>
    <n v="297"/>
    <n v="0.1515"/>
    <n v="0.47"/>
    <n v="0.22389999999999999"/>
    <x v="3"/>
    <x v="27"/>
    <x v="37"/>
    <x v="0"/>
  </r>
  <r>
    <n v="299"/>
    <n v="40571"/>
    <x v="0"/>
    <x v="0"/>
    <x v="15"/>
    <b v="0"/>
    <n v="5"/>
    <x v="1"/>
    <x v="2"/>
    <n v="298"/>
    <n v="0.1212"/>
    <n v="0.46"/>
    <n v="0.29849999999999999"/>
    <x v="3"/>
    <x v="71"/>
    <x v="1"/>
    <x v="0"/>
  </r>
  <r>
    <n v="300"/>
    <n v="40571"/>
    <x v="0"/>
    <x v="0"/>
    <x v="15"/>
    <b v="0"/>
    <n v="5"/>
    <x v="1"/>
    <x v="2"/>
    <n v="299"/>
    <n v="0.1212"/>
    <n v="0.46"/>
    <n v="0.32840000000000003"/>
    <x v="3"/>
    <x v="10"/>
    <x v="33"/>
    <x v="0"/>
  </r>
  <r>
    <n v="301"/>
    <n v="40571"/>
    <x v="0"/>
    <x v="0"/>
    <x v="15"/>
    <b v="0"/>
    <n v="5"/>
    <x v="1"/>
    <x v="2"/>
    <n v="300"/>
    <n v="0.13639999999999999"/>
    <n v="0.5"/>
    <n v="0.19400000000000001"/>
    <x v="5"/>
    <x v="88"/>
    <x v="93"/>
    <x v="0"/>
  </r>
  <r>
    <n v="302"/>
    <n v="40571"/>
    <x v="0"/>
    <x v="0"/>
    <x v="15"/>
    <b v="0"/>
    <n v="5"/>
    <x v="1"/>
    <x v="2"/>
    <n v="301"/>
    <n v="0.13639999999999999"/>
    <n v="0.5"/>
    <n v="0.19400000000000001"/>
    <x v="3"/>
    <x v="88"/>
    <x v="8"/>
    <x v="0"/>
  </r>
  <r>
    <n v="303"/>
    <n v="40571"/>
    <x v="0"/>
    <x v="0"/>
    <x v="15"/>
    <b v="0"/>
    <n v="5"/>
    <x v="1"/>
    <x v="2"/>
    <n v="302"/>
    <n v="0.1212"/>
    <n v="0.54"/>
    <n v="0.16420000000000001"/>
    <x v="3"/>
    <x v="34"/>
    <x v="36"/>
    <x v="0"/>
  </r>
  <r>
    <n v="304"/>
    <n v="40571"/>
    <x v="0"/>
    <x v="0"/>
    <x v="15"/>
    <b v="0"/>
    <n v="5"/>
    <x v="1"/>
    <x v="2"/>
    <n v="303"/>
    <n v="0.1212"/>
    <n v="0.54"/>
    <n v="0.1343"/>
    <x v="3"/>
    <x v="4"/>
    <x v="4"/>
    <x v="0"/>
  </r>
  <r>
    <n v="305"/>
    <n v="40571"/>
    <x v="0"/>
    <x v="0"/>
    <x v="15"/>
    <b v="0"/>
    <n v="5"/>
    <x v="1"/>
    <x v="2"/>
    <n v="304"/>
    <n v="0.13639999999999999"/>
    <n v="0.54"/>
    <n v="0.1045"/>
    <x v="3"/>
    <x v="4"/>
    <x v="4"/>
    <x v="0"/>
  </r>
  <r>
    <n v="306"/>
    <n v="40571"/>
    <x v="0"/>
    <x v="0"/>
    <x v="15"/>
    <b v="0"/>
    <n v="5"/>
    <x v="1"/>
    <x v="2"/>
    <n v="305"/>
    <n v="0.13639999999999999"/>
    <n v="0.54"/>
    <n v="8.9599999999999999E-2"/>
    <x v="3"/>
    <x v="21"/>
    <x v="7"/>
    <x v="0"/>
  </r>
  <r>
    <n v="307"/>
    <n v="40571"/>
    <x v="0"/>
    <x v="0"/>
    <x v="15"/>
    <b v="0"/>
    <n v="5"/>
    <x v="1"/>
    <x v="2"/>
    <n v="306"/>
    <n v="0.18179999999999999"/>
    <n v="0.54"/>
    <n v="0"/>
    <x v="3"/>
    <x v="19"/>
    <x v="22"/>
    <x v="0"/>
  </r>
  <r>
    <n v="308"/>
    <n v="40571"/>
    <x v="0"/>
    <x v="0"/>
    <x v="15"/>
    <b v="0"/>
    <n v="5"/>
    <x v="1"/>
    <x v="2"/>
    <n v="307"/>
    <n v="0.1212"/>
    <n v="0.74"/>
    <n v="0.16420000000000001"/>
    <x v="3"/>
    <x v="14"/>
    <x v="27"/>
    <x v="0"/>
  </r>
  <r>
    <n v="309"/>
    <n v="40571"/>
    <x v="0"/>
    <x v="0"/>
    <x v="15"/>
    <b v="0"/>
    <n v="5"/>
    <x v="1"/>
    <x v="2"/>
    <n v="308"/>
    <n v="0.16669999999999999"/>
    <n v="0.68"/>
    <n v="0"/>
    <x v="4"/>
    <x v="117"/>
    <x v="125"/>
    <x v="0"/>
  </r>
  <r>
    <n v="310"/>
    <n v="40571"/>
    <x v="0"/>
    <x v="0"/>
    <x v="15"/>
    <b v="0"/>
    <n v="5"/>
    <x v="1"/>
    <x v="2"/>
    <n v="309"/>
    <n v="0.1515"/>
    <n v="0.69"/>
    <n v="0.1343"/>
    <x v="3"/>
    <x v="118"/>
    <x v="126"/>
    <x v="0"/>
  </r>
  <r>
    <n v="311"/>
    <n v="40571"/>
    <x v="0"/>
    <x v="0"/>
    <x v="15"/>
    <b v="0"/>
    <n v="5"/>
    <x v="1"/>
    <x v="2"/>
    <n v="310"/>
    <n v="0.18179999999999999"/>
    <n v="0.55000000000000004"/>
    <n v="0.19400000000000001"/>
    <x v="17"/>
    <x v="71"/>
    <x v="40"/>
    <x v="0"/>
  </r>
  <r>
    <n v="312"/>
    <n v="40571"/>
    <x v="0"/>
    <x v="0"/>
    <x v="15"/>
    <b v="0"/>
    <n v="5"/>
    <x v="1"/>
    <x v="2"/>
    <n v="311"/>
    <n v="0.16669999999999999"/>
    <n v="0.51"/>
    <n v="0.28360000000000002"/>
    <x v="15"/>
    <x v="12"/>
    <x v="26"/>
    <x v="0"/>
  </r>
  <r>
    <n v="313"/>
    <n v="40571"/>
    <x v="0"/>
    <x v="0"/>
    <x v="15"/>
    <b v="0"/>
    <n v="5"/>
    <x v="1"/>
    <x v="2"/>
    <n v="312"/>
    <n v="0.19700000000000001"/>
    <n v="0.44"/>
    <n v="0.25369999999999998"/>
    <x v="4"/>
    <x v="79"/>
    <x v="42"/>
    <x v="0"/>
  </r>
  <r>
    <n v="314"/>
    <n v="40571"/>
    <x v="0"/>
    <x v="0"/>
    <x v="15"/>
    <b v="0"/>
    <n v="5"/>
    <x v="1"/>
    <x v="2"/>
    <n v="313"/>
    <n v="0.19700000000000001"/>
    <n v="0.37"/>
    <n v="0.3881"/>
    <x v="17"/>
    <x v="26"/>
    <x v="43"/>
    <x v="0"/>
  </r>
  <r>
    <n v="315"/>
    <n v="40571"/>
    <x v="0"/>
    <x v="0"/>
    <x v="15"/>
    <b v="0"/>
    <n v="5"/>
    <x v="1"/>
    <x v="2"/>
    <n v="314"/>
    <n v="0.21210000000000001"/>
    <n v="0.41"/>
    <n v="0.28360000000000002"/>
    <x v="2"/>
    <x v="79"/>
    <x v="37"/>
    <x v="0"/>
  </r>
  <r>
    <n v="316"/>
    <n v="40571"/>
    <x v="0"/>
    <x v="0"/>
    <x v="15"/>
    <b v="0"/>
    <n v="5"/>
    <x v="1"/>
    <x v="2"/>
    <n v="315"/>
    <n v="0.2424"/>
    <n v="0.38"/>
    <n v="0.16420000000000001"/>
    <x v="14"/>
    <x v="79"/>
    <x v="118"/>
    <x v="0"/>
  </r>
  <r>
    <n v="317"/>
    <n v="40571"/>
    <x v="0"/>
    <x v="0"/>
    <x v="15"/>
    <b v="0"/>
    <n v="5"/>
    <x v="1"/>
    <x v="2"/>
    <n v="316"/>
    <n v="0.2424"/>
    <n v="0.41"/>
    <n v="0.1045"/>
    <x v="0"/>
    <x v="61"/>
    <x v="127"/>
    <x v="0"/>
  </r>
  <r>
    <n v="318"/>
    <n v="40571"/>
    <x v="0"/>
    <x v="0"/>
    <x v="15"/>
    <b v="0"/>
    <n v="5"/>
    <x v="1"/>
    <x v="2"/>
    <n v="317"/>
    <n v="0.2273"/>
    <n v="0.41"/>
    <n v="0.16420000000000001"/>
    <x v="17"/>
    <x v="119"/>
    <x v="128"/>
    <x v="0"/>
  </r>
  <r>
    <n v="319"/>
    <n v="40571"/>
    <x v="0"/>
    <x v="0"/>
    <x v="15"/>
    <b v="0"/>
    <n v="5"/>
    <x v="1"/>
    <x v="2"/>
    <n v="318"/>
    <n v="0.2576"/>
    <n v="0.47"/>
    <n v="0"/>
    <x v="2"/>
    <x v="120"/>
    <x v="119"/>
    <x v="0"/>
  </r>
  <r>
    <n v="320"/>
    <n v="40571"/>
    <x v="0"/>
    <x v="0"/>
    <x v="15"/>
    <b v="0"/>
    <n v="5"/>
    <x v="1"/>
    <x v="2"/>
    <n v="319"/>
    <n v="0.19700000000000001"/>
    <n v="0.59"/>
    <n v="8.9599999999999999E-2"/>
    <x v="0"/>
    <x v="121"/>
    <x v="101"/>
    <x v="0"/>
  </r>
  <r>
    <n v="321"/>
    <n v="40571"/>
    <x v="0"/>
    <x v="0"/>
    <x v="15"/>
    <b v="0"/>
    <n v="5"/>
    <x v="1"/>
    <x v="2"/>
    <n v="320"/>
    <n v="0.2424"/>
    <n v="0.59"/>
    <n v="0"/>
    <x v="3"/>
    <x v="56"/>
    <x v="118"/>
    <x v="0"/>
  </r>
  <r>
    <n v="322"/>
    <n v="40571"/>
    <x v="0"/>
    <x v="0"/>
    <x v="15"/>
    <b v="0"/>
    <n v="5"/>
    <x v="1"/>
    <x v="2"/>
    <n v="321"/>
    <n v="0.2273"/>
    <n v="0.69"/>
    <n v="0"/>
    <x v="17"/>
    <x v="41"/>
    <x v="46"/>
    <x v="0"/>
  </r>
  <r>
    <n v="323"/>
    <n v="40571"/>
    <x v="0"/>
    <x v="0"/>
    <x v="15"/>
    <b v="0"/>
    <n v="5"/>
    <x v="1"/>
    <x v="2"/>
    <n v="322"/>
    <n v="0.2273"/>
    <n v="0.69"/>
    <n v="0"/>
    <x v="4"/>
    <x v="60"/>
    <x v="9"/>
    <x v="0"/>
  </r>
  <r>
    <n v="324"/>
    <n v="40571"/>
    <x v="0"/>
    <x v="0"/>
    <x v="15"/>
    <b v="0"/>
    <n v="5"/>
    <x v="1"/>
    <x v="2"/>
    <n v="323"/>
    <n v="0.2424"/>
    <n v="0.55000000000000004"/>
    <n v="0"/>
    <x v="5"/>
    <x v="16"/>
    <x v="110"/>
    <x v="0"/>
  </r>
  <r>
    <n v="325"/>
    <n v="40571"/>
    <x v="0"/>
    <x v="0"/>
    <x v="15"/>
    <b v="0"/>
    <n v="5"/>
    <x v="1"/>
    <x v="2"/>
    <n v="324"/>
    <n v="0.2424"/>
    <n v="0.55000000000000004"/>
    <n v="0"/>
    <x v="0"/>
    <x v="18"/>
    <x v="20"/>
    <x v="0"/>
  </r>
  <r>
    <n v="326"/>
    <n v="40571"/>
    <x v="0"/>
    <x v="0"/>
    <x v="15"/>
    <b v="0"/>
    <n v="5"/>
    <x v="1"/>
    <x v="2"/>
    <n v="325"/>
    <n v="0.19700000000000001"/>
    <n v="0.59"/>
    <n v="8.9599999999999999E-2"/>
    <x v="4"/>
    <x v="72"/>
    <x v="25"/>
    <x v="0"/>
  </r>
  <r>
    <n v="327"/>
    <n v="40571"/>
    <x v="0"/>
    <x v="0"/>
    <x v="15"/>
    <b v="0"/>
    <n v="5"/>
    <x v="1"/>
    <x v="2"/>
    <n v="326"/>
    <n v="0.19700000000000001"/>
    <n v="0.59"/>
    <n v="8.9599999999999999E-2"/>
    <x v="3"/>
    <x v="98"/>
    <x v="47"/>
    <x v="0"/>
  </r>
  <r>
    <n v="328"/>
    <n v="40571"/>
    <x v="0"/>
    <x v="0"/>
    <x v="15"/>
    <b v="0"/>
    <n v="5"/>
    <x v="1"/>
    <x v="2"/>
    <n v="327"/>
    <n v="0.2273"/>
    <n v="0.59"/>
    <n v="0"/>
    <x v="5"/>
    <x v="7"/>
    <x v="7"/>
    <x v="0"/>
  </r>
  <r>
    <n v="329"/>
    <n v="40571"/>
    <x v="0"/>
    <x v="0"/>
    <x v="15"/>
    <b v="0"/>
    <n v="5"/>
    <x v="1"/>
    <x v="2"/>
    <n v="328"/>
    <n v="0.2273"/>
    <n v="0.59"/>
    <n v="0"/>
    <x v="3"/>
    <x v="34"/>
    <x v="36"/>
    <x v="0"/>
  </r>
  <r>
    <n v="330"/>
    <n v="40571"/>
    <x v="0"/>
    <x v="0"/>
    <x v="15"/>
    <b v="0"/>
    <n v="5"/>
    <x v="1"/>
    <x v="2"/>
    <n v="329"/>
    <n v="0.2273"/>
    <n v="0.59"/>
    <n v="0"/>
    <x v="3"/>
    <x v="4"/>
    <x v="4"/>
    <x v="0"/>
  </r>
  <r>
    <n v="331"/>
    <n v="40571"/>
    <x v="0"/>
    <x v="0"/>
    <x v="15"/>
    <b v="0"/>
    <n v="5"/>
    <x v="1"/>
    <x v="2"/>
    <n v="330"/>
    <n v="0.16669999999999999"/>
    <n v="0.63"/>
    <n v="0.1045"/>
    <x v="5"/>
    <x v="6"/>
    <x v="6"/>
    <x v="0"/>
  </r>
  <r>
    <n v="332"/>
    <n v="40571"/>
    <x v="0"/>
    <x v="0"/>
    <x v="15"/>
    <b v="0"/>
    <n v="5"/>
    <x v="1"/>
    <x v="2"/>
    <n v="331"/>
    <n v="0.21210000000000001"/>
    <n v="0.63"/>
    <n v="0"/>
    <x v="5"/>
    <x v="33"/>
    <x v="98"/>
    <x v="0"/>
  </r>
  <r>
    <n v="333"/>
    <n v="40571"/>
    <x v="0"/>
    <x v="0"/>
    <x v="15"/>
    <b v="0"/>
    <n v="5"/>
    <x v="1"/>
    <x v="2"/>
    <n v="332"/>
    <n v="0.1515"/>
    <n v="0.63"/>
    <n v="0.1343"/>
    <x v="5"/>
    <x v="97"/>
    <x v="84"/>
    <x v="0"/>
  </r>
  <r>
    <n v="334"/>
    <n v="40571"/>
    <x v="0"/>
    <x v="0"/>
    <x v="15"/>
    <b v="0"/>
    <n v="5"/>
    <x v="1"/>
    <x v="2"/>
    <n v="333"/>
    <n v="0.18179999999999999"/>
    <n v="0.64"/>
    <n v="0.1343"/>
    <x v="4"/>
    <x v="17"/>
    <x v="63"/>
    <x v="0"/>
  </r>
  <r>
    <n v="335"/>
    <n v="40571"/>
    <x v="0"/>
    <x v="0"/>
    <x v="15"/>
    <b v="0"/>
    <n v="5"/>
    <x v="1"/>
    <x v="2"/>
    <n v="334"/>
    <n v="0.19700000000000001"/>
    <n v="0.59"/>
    <n v="0.16420000000000001"/>
    <x v="4"/>
    <x v="77"/>
    <x v="29"/>
    <x v="0"/>
  </r>
  <r>
    <n v="336"/>
    <n v="40571"/>
    <x v="0"/>
    <x v="0"/>
    <x v="15"/>
    <b v="0"/>
    <n v="5"/>
    <x v="1"/>
    <x v="2"/>
    <n v="335"/>
    <n v="0.19700000000000001"/>
    <n v="0.55000000000000004"/>
    <n v="0.22389999999999999"/>
    <x v="25"/>
    <x v="25"/>
    <x v="44"/>
    <x v="0"/>
  </r>
  <r>
    <n v="337"/>
    <n v="40571"/>
    <x v="0"/>
    <x v="0"/>
    <x v="15"/>
    <b v="0"/>
    <n v="5"/>
    <x v="1"/>
    <x v="2"/>
    <n v="336"/>
    <n v="0.2273"/>
    <n v="0.48"/>
    <n v="0.22389999999999999"/>
    <x v="13"/>
    <x v="64"/>
    <x v="70"/>
    <x v="0"/>
  </r>
  <r>
    <n v="338"/>
    <n v="40571"/>
    <x v="0"/>
    <x v="0"/>
    <x v="15"/>
    <b v="0"/>
    <n v="5"/>
    <x v="1"/>
    <x v="2"/>
    <n v="337"/>
    <n v="0.2576"/>
    <n v="0.38"/>
    <n v="0.29849999999999999"/>
    <x v="27"/>
    <x v="122"/>
    <x v="129"/>
    <x v="0"/>
  </r>
  <r>
    <n v="339"/>
    <n v="40571"/>
    <x v="0"/>
    <x v="0"/>
    <x v="15"/>
    <b v="0"/>
    <n v="5"/>
    <x v="1"/>
    <x v="2"/>
    <n v="338"/>
    <n v="0.28789999999999999"/>
    <n v="0.39"/>
    <n v="0.28360000000000002"/>
    <x v="7"/>
    <x v="50"/>
    <x v="130"/>
    <x v="0"/>
  </r>
  <r>
    <n v="340"/>
    <n v="40571"/>
    <x v="0"/>
    <x v="0"/>
    <x v="15"/>
    <b v="0"/>
    <n v="5"/>
    <x v="1"/>
    <x v="2"/>
    <n v="339"/>
    <n v="0.31819999999999998"/>
    <n v="0.36"/>
    <n v="0.19400000000000001"/>
    <x v="27"/>
    <x v="123"/>
    <x v="131"/>
    <x v="0"/>
  </r>
  <r>
    <n v="341"/>
    <n v="40571"/>
    <x v="0"/>
    <x v="0"/>
    <x v="15"/>
    <b v="0"/>
    <n v="5"/>
    <x v="1"/>
    <x v="2"/>
    <n v="340"/>
    <n v="0.33329999999999999"/>
    <n v="0.34"/>
    <n v="0.19400000000000001"/>
    <x v="28"/>
    <x v="73"/>
    <x v="116"/>
    <x v="0"/>
  </r>
  <r>
    <n v="342"/>
    <n v="40571"/>
    <x v="0"/>
    <x v="0"/>
    <x v="15"/>
    <b v="0"/>
    <n v="5"/>
    <x v="1"/>
    <x v="2"/>
    <n v="341"/>
    <n v="0.30299999999999999"/>
    <n v="0.36"/>
    <n v="0.28360000000000002"/>
    <x v="8"/>
    <x v="25"/>
    <x v="56"/>
    <x v="0"/>
  </r>
  <r>
    <n v="343"/>
    <n v="40571"/>
    <x v="0"/>
    <x v="0"/>
    <x v="15"/>
    <b v="0"/>
    <n v="5"/>
    <x v="1"/>
    <x v="2"/>
    <n v="342"/>
    <n v="0.28789999999999999"/>
    <n v="0.45"/>
    <n v="0.25369999999999998"/>
    <x v="13"/>
    <x v="94"/>
    <x v="11"/>
    <x v="0"/>
  </r>
  <r>
    <n v="344"/>
    <n v="40571"/>
    <x v="0"/>
    <x v="0"/>
    <x v="15"/>
    <b v="0"/>
    <n v="5"/>
    <x v="1"/>
    <x v="2"/>
    <n v="343"/>
    <n v="0.30299999999999999"/>
    <n v="0.39"/>
    <n v="0.25369999999999998"/>
    <x v="24"/>
    <x v="91"/>
    <x v="30"/>
    <x v="0"/>
  </r>
  <r>
    <n v="345"/>
    <n v="40571"/>
    <x v="0"/>
    <x v="0"/>
    <x v="15"/>
    <b v="0"/>
    <n v="5"/>
    <x v="1"/>
    <x v="2"/>
    <n v="344"/>
    <n v="0.30299999999999999"/>
    <n v="0.39"/>
    <n v="0.25369999999999998"/>
    <x v="15"/>
    <x v="96"/>
    <x v="102"/>
    <x v="0"/>
  </r>
  <r>
    <n v="346"/>
    <n v="40571"/>
    <x v="0"/>
    <x v="0"/>
    <x v="15"/>
    <b v="0"/>
    <n v="5"/>
    <x v="1"/>
    <x v="2"/>
    <n v="345"/>
    <n v="0.30299999999999999"/>
    <n v="0.39"/>
    <n v="0.22389999999999999"/>
    <x v="15"/>
    <x v="82"/>
    <x v="52"/>
    <x v="0"/>
  </r>
  <r>
    <n v="347"/>
    <n v="40571"/>
    <x v="0"/>
    <x v="0"/>
    <x v="15"/>
    <b v="0"/>
    <n v="5"/>
    <x v="1"/>
    <x v="2"/>
    <n v="346"/>
    <n v="0.31819999999999998"/>
    <n v="0.42"/>
    <n v="0.1045"/>
    <x v="3"/>
    <x v="16"/>
    <x v="132"/>
    <x v="0"/>
  </r>
  <r>
    <n v="348"/>
    <n v="40571"/>
    <x v="0"/>
    <x v="0"/>
    <x v="15"/>
    <b v="0"/>
    <n v="5"/>
    <x v="1"/>
    <x v="2"/>
    <n v="347"/>
    <n v="0.28789999999999999"/>
    <n v="0.45"/>
    <n v="0.28360000000000002"/>
    <x v="2"/>
    <x v="87"/>
    <x v="40"/>
    <x v="0"/>
  </r>
  <r>
    <n v="349"/>
    <n v="40571"/>
    <x v="0"/>
    <x v="0"/>
    <x v="15"/>
    <b v="0"/>
    <n v="5"/>
    <x v="1"/>
    <x v="2"/>
    <n v="348"/>
    <n v="0.30299999999999999"/>
    <n v="0.56000000000000005"/>
    <n v="0"/>
    <x v="15"/>
    <x v="39"/>
    <x v="21"/>
    <x v="0"/>
  </r>
  <r>
    <n v="350"/>
    <n v="40571"/>
    <x v="0"/>
    <x v="0"/>
    <x v="15"/>
    <b v="0"/>
    <n v="5"/>
    <x v="1"/>
    <x v="2"/>
    <n v="349"/>
    <n v="0.2727"/>
    <n v="0.56000000000000005"/>
    <n v="0.1343"/>
    <x v="17"/>
    <x v="23"/>
    <x v="84"/>
    <x v="0"/>
  </r>
  <r>
    <n v="351"/>
    <n v="40571"/>
    <x v="0"/>
    <x v="0"/>
    <x v="15"/>
    <b v="0"/>
    <n v="5"/>
    <x v="1"/>
    <x v="2"/>
    <n v="350"/>
    <n v="0.28789999999999999"/>
    <n v="0.56000000000000005"/>
    <n v="8.9599999999999999E-2"/>
    <x v="0"/>
    <x v="0"/>
    <x v="0"/>
    <x v="0"/>
  </r>
  <r>
    <n v="352"/>
    <n v="40571"/>
    <x v="0"/>
    <x v="0"/>
    <x v="15"/>
    <b v="0"/>
    <n v="5"/>
    <x v="1"/>
    <x v="2"/>
    <n v="351"/>
    <n v="0.2727"/>
    <n v="0.69"/>
    <n v="0"/>
    <x v="14"/>
    <x v="8"/>
    <x v="93"/>
    <x v="0"/>
  </r>
  <r>
    <n v="353"/>
    <n v="40571"/>
    <x v="0"/>
    <x v="0"/>
    <x v="15"/>
    <b v="0"/>
    <n v="5"/>
    <x v="1"/>
    <x v="2"/>
    <n v="352"/>
    <n v="0.2576"/>
    <n v="0.56000000000000005"/>
    <n v="0.16420000000000001"/>
    <x v="3"/>
    <x v="4"/>
    <x v="4"/>
    <x v="0"/>
  </r>
  <r>
    <n v="354"/>
    <n v="40571"/>
    <x v="0"/>
    <x v="0"/>
    <x v="15"/>
    <b v="0"/>
    <n v="5"/>
    <x v="1"/>
    <x v="2"/>
    <n v="353"/>
    <n v="0.2576"/>
    <n v="0.56000000000000005"/>
    <n v="0.16420000000000001"/>
    <x v="5"/>
    <x v="4"/>
    <x v="5"/>
    <x v="0"/>
  </r>
  <r>
    <n v="355"/>
    <n v="40571"/>
    <x v="0"/>
    <x v="0"/>
    <x v="15"/>
    <b v="0"/>
    <n v="5"/>
    <x v="1"/>
    <x v="2"/>
    <n v="354"/>
    <n v="0.2576"/>
    <n v="0.56000000000000005"/>
    <n v="0.16420000000000001"/>
    <x v="3"/>
    <x v="4"/>
    <x v="4"/>
    <x v="0"/>
  </r>
  <r>
    <n v="356"/>
    <n v="40571"/>
    <x v="0"/>
    <x v="0"/>
    <x v="15"/>
    <b v="0"/>
    <n v="5"/>
    <x v="1"/>
    <x v="2"/>
    <n v="355"/>
    <n v="0.21210000000000001"/>
    <n v="0.56000000000000005"/>
    <n v="0.29849999999999999"/>
    <x v="3"/>
    <x v="35"/>
    <x v="6"/>
    <x v="0"/>
  </r>
  <r>
    <n v="357"/>
    <n v="40571"/>
    <x v="0"/>
    <x v="0"/>
    <x v="15"/>
    <b v="0"/>
    <n v="5"/>
    <x v="1"/>
    <x v="2"/>
    <n v="356"/>
    <n v="0.21210000000000001"/>
    <n v="0.55000000000000004"/>
    <n v="0.28360000000000002"/>
    <x v="3"/>
    <x v="72"/>
    <x v="109"/>
    <x v="0"/>
  </r>
  <r>
    <n v="358"/>
    <n v="40571"/>
    <x v="0"/>
    <x v="0"/>
    <x v="15"/>
    <b v="0"/>
    <n v="5"/>
    <x v="1"/>
    <x v="2"/>
    <n v="357"/>
    <n v="0.21210000000000001"/>
    <n v="0.51"/>
    <n v="0.25369999999999998"/>
    <x v="0"/>
    <x v="31"/>
    <x v="2"/>
    <x v="0"/>
  </r>
  <r>
    <n v="359"/>
    <n v="40571"/>
    <x v="0"/>
    <x v="0"/>
    <x v="15"/>
    <b v="0"/>
    <n v="5"/>
    <x v="1"/>
    <x v="2"/>
    <n v="358"/>
    <n v="0.21210000000000001"/>
    <n v="0.51"/>
    <n v="0.28360000000000002"/>
    <x v="1"/>
    <x v="13"/>
    <x v="67"/>
    <x v="0"/>
  </r>
  <r>
    <n v="360"/>
    <n v="40571"/>
    <x v="0"/>
    <x v="0"/>
    <x v="15"/>
    <b v="0"/>
    <n v="5"/>
    <x v="1"/>
    <x v="2"/>
    <n v="359"/>
    <n v="0.2273"/>
    <n v="0.44"/>
    <n v="0.25369999999999998"/>
    <x v="29"/>
    <x v="14"/>
    <x v="15"/>
    <x v="0"/>
  </r>
  <r>
    <n v="361"/>
    <n v="40571"/>
    <x v="0"/>
    <x v="0"/>
    <x v="15"/>
    <b v="0"/>
    <n v="5"/>
    <x v="1"/>
    <x v="2"/>
    <n v="360"/>
    <n v="0.21210000000000001"/>
    <n v="0.41"/>
    <n v="0.28360000000000002"/>
    <x v="8"/>
    <x v="102"/>
    <x v="133"/>
    <x v="0"/>
  </r>
  <r>
    <n v="362"/>
    <n v="40571"/>
    <x v="0"/>
    <x v="0"/>
    <x v="15"/>
    <b v="0"/>
    <n v="5"/>
    <x v="1"/>
    <x v="2"/>
    <n v="361"/>
    <n v="0.2273"/>
    <n v="0.35"/>
    <n v="0.29849999999999999"/>
    <x v="29"/>
    <x v="73"/>
    <x v="130"/>
    <x v="0"/>
  </r>
  <r>
    <n v="363"/>
    <n v="40571"/>
    <x v="0"/>
    <x v="0"/>
    <x v="15"/>
    <b v="0"/>
    <n v="5"/>
    <x v="1"/>
    <x v="2"/>
    <n v="362"/>
    <n v="0.2727"/>
    <n v="0.36"/>
    <n v="0.25369999999999998"/>
    <x v="30"/>
    <x v="94"/>
    <x v="134"/>
    <x v="0"/>
  </r>
  <r>
    <n v="364"/>
    <n v="40571"/>
    <x v="0"/>
    <x v="0"/>
    <x v="15"/>
    <b v="0"/>
    <n v="5"/>
    <x v="1"/>
    <x v="2"/>
    <n v="363"/>
    <n v="0.2424"/>
    <n v="0.38"/>
    <n v="0.25369999999999998"/>
    <x v="10"/>
    <x v="78"/>
    <x v="135"/>
    <x v="0"/>
  </r>
  <r>
    <n v="365"/>
    <n v="40571"/>
    <x v="0"/>
    <x v="0"/>
    <x v="15"/>
    <b v="0"/>
    <n v="5"/>
    <x v="1"/>
    <x v="2"/>
    <n v="364"/>
    <n v="0.2273"/>
    <n v="0.38"/>
    <n v="0.22389999999999999"/>
    <x v="30"/>
    <x v="99"/>
    <x v="111"/>
    <x v="0"/>
  </r>
  <r>
    <n v="366"/>
    <n v="40571"/>
    <x v="0"/>
    <x v="0"/>
    <x v="15"/>
    <b v="0"/>
    <n v="5"/>
    <x v="1"/>
    <x v="2"/>
    <n v="365"/>
    <n v="0.21210000000000001"/>
    <n v="0.37"/>
    <n v="0.25369999999999998"/>
    <x v="29"/>
    <x v="70"/>
    <x v="136"/>
    <x v="0"/>
  </r>
  <r>
    <n v="367"/>
    <n v="40571"/>
    <x v="0"/>
    <x v="0"/>
    <x v="15"/>
    <b v="0"/>
    <n v="5"/>
    <x v="1"/>
    <x v="2"/>
    <n v="366"/>
    <n v="0.21210000000000001"/>
    <n v="0.4"/>
    <n v="0.16420000000000001"/>
    <x v="16"/>
    <x v="90"/>
    <x v="16"/>
    <x v="0"/>
  </r>
  <r>
    <n v="368"/>
    <n v="40571"/>
    <x v="0"/>
    <x v="0"/>
    <x v="15"/>
    <b v="0"/>
    <n v="5"/>
    <x v="1"/>
    <x v="2"/>
    <n v="367"/>
    <n v="0.19700000000000001"/>
    <n v="0.47"/>
    <n v="0.1343"/>
    <x v="24"/>
    <x v="12"/>
    <x v="42"/>
    <x v="0"/>
  </r>
  <r>
    <n v="369"/>
    <n v="40571"/>
    <x v="0"/>
    <x v="0"/>
    <x v="15"/>
    <b v="0"/>
    <n v="5"/>
    <x v="1"/>
    <x v="2"/>
    <n v="368"/>
    <n v="0.19700000000000001"/>
    <n v="0.47"/>
    <n v="0.16420000000000001"/>
    <x v="18"/>
    <x v="54"/>
    <x v="52"/>
    <x v="0"/>
  </r>
  <r>
    <n v="370"/>
    <n v="40571"/>
    <x v="0"/>
    <x v="0"/>
    <x v="15"/>
    <b v="0"/>
    <n v="5"/>
    <x v="1"/>
    <x v="2"/>
    <n v="369"/>
    <n v="0.19700000000000001"/>
    <n v="0.51"/>
    <n v="0.16420000000000001"/>
    <x v="15"/>
    <x v="97"/>
    <x v="20"/>
    <x v="0"/>
  </r>
  <r>
    <n v="371"/>
    <n v="40571"/>
    <x v="0"/>
    <x v="0"/>
    <x v="15"/>
    <b v="0"/>
    <n v="5"/>
    <x v="1"/>
    <x v="2"/>
    <n v="370"/>
    <n v="0.21210000000000001"/>
    <n v="0.49"/>
    <n v="0.1343"/>
    <x v="4"/>
    <x v="23"/>
    <x v="137"/>
    <x v="0"/>
  </r>
  <r>
    <n v="372"/>
    <n v="40571"/>
    <x v="0"/>
    <x v="0"/>
    <x v="15"/>
    <b v="0"/>
    <n v="5"/>
    <x v="1"/>
    <x v="2"/>
    <n v="371"/>
    <n v="0.2273"/>
    <n v="0.4"/>
    <n v="0.1045"/>
    <x v="3"/>
    <x v="72"/>
    <x v="109"/>
    <x v="0"/>
  </r>
  <r>
    <n v="373"/>
    <n v="40571"/>
    <x v="0"/>
    <x v="0"/>
    <x v="15"/>
    <b v="0"/>
    <n v="5"/>
    <x v="1"/>
    <x v="2"/>
    <n v="372"/>
    <n v="0.19700000000000001"/>
    <n v="0.47"/>
    <n v="0.22389999999999999"/>
    <x v="5"/>
    <x v="20"/>
    <x v="22"/>
    <x v="0"/>
  </r>
  <r>
    <n v="374"/>
    <n v="40571"/>
    <x v="0"/>
    <x v="0"/>
    <x v="15"/>
    <b v="0"/>
    <n v="5"/>
    <x v="1"/>
    <x v="2"/>
    <n v="373"/>
    <n v="0.19700000000000001"/>
    <n v="0.44"/>
    <n v="0.19400000000000001"/>
    <x v="5"/>
    <x v="89"/>
    <x v="0"/>
    <x v="0"/>
  </r>
  <r>
    <n v="375"/>
    <n v="40571"/>
    <x v="0"/>
    <x v="0"/>
    <x v="15"/>
    <b v="0"/>
    <n v="5"/>
    <x v="1"/>
    <x v="2"/>
    <n v="374"/>
    <n v="0.16669999999999999"/>
    <n v="0.43"/>
    <n v="0.25369999999999998"/>
    <x v="3"/>
    <x v="21"/>
    <x v="7"/>
    <x v="0"/>
  </r>
  <r>
    <n v="376"/>
    <n v="40571"/>
    <x v="0"/>
    <x v="0"/>
    <x v="15"/>
    <b v="0"/>
    <n v="5"/>
    <x v="1"/>
    <x v="2"/>
    <n v="375"/>
    <n v="0.18179999999999999"/>
    <n v="0.43"/>
    <n v="0.19400000000000001"/>
    <x v="3"/>
    <x v="6"/>
    <x v="5"/>
    <x v="0"/>
  </r>
  <r>
    <n v="377"/>
    <n v="40571"/>
    <x v="0"/>
    <x v="0"/>
    <x v="15"/>
    <b v="0"/>
    <n v="5"/>
    <x v="1"/>
    <x v="2"/>
    <n v="376"/>
    <n v="0.19700000000000001"/>
    <n v="0.43"/>
    <n v="0.1343"/>
    <x v="5"/>
    <x v="6"/>
    <x v="6"/>
    <x v="0"/>
  </r>
  <r>
    <n v="378"/>
    <n v="40571"/>
    <x v="0"/>
    <x v="0"/>
    <x v="15"/>
    <b v="0"/>
    <n v="5"/>
    <x v="1"/>
    <x v="2"/>
    <n v="377"/>
    <n v="0.19700000000000001"/>
    <n v="0.43"/>
    <n v="0.16420000000000001"/>
    <x v="3"/>
    <x v="4"/>
    <x v="4"/>
    <x v="0"/>
  </r>
  <r>
    <n v="379"/>
    <n v="40571"/>
    <x v="0"/>
    <x v="0"/>
    <x v="15"/>
    <b v="0"/>
    <n v="5"/>
    <x v="1"/>
    <x v="2"/>
    <n v="378"/>
    <n v="0.18179999999999999"/>
    <n v="0.43"/>
    <n v="0.19400000000000001"/>
    <x v="3"/>
    <x v="34"/>
    <x v="36"/>
    <x v="0"/>
  </r>
  <r>
    <n v="380"/>
    <n v="40571"/>
    <x v="0"/>
    <x v="0"/>
    <x v="15"/>
    <b v="0"/>
    <n v="5"/>
    <x v="1"/>
    <x v="2"/>
    <n v="379"/>
    <n v="0.18179999999999999"/>
    <n v="0.5"/>
    <n v="0.1343"/>
    <x v="17"/>
    <x v="33"/>
    <x v="3"/>
    <x v="0"/>
  </r>
  <r>
    <n v="381"/>
    <n v="40571"/>
    <x v="0"/>
    <x v="0"/>
    <x v="15"/>
    <b v="0"/>
    <n v="5"/>
    <x v="1"/>
    <x v="2"/>
    <n v="380"/>
    <n v="0.1515"/>
    <n v="0.47"/>
    <n v="0.22389999999999999"/>
    <x v="0"/>
    <x v="10"/>
    <x v="63"/>
    <x v="0"/>
  </r>
  <r>
    <n v="382"/>
    <n v="40571"/>
    <x v="0"/>
    <x v="0"/>
    <x v="15"/>
    <b v="0"/>
    <n v="5"/>
    <x v="1"/>
    <x v="2"/>
    <n v="381"/>
    <n v="0.1515"/>
    <n v="0.47"/>
    <n v="0.22389999999999999"/>
    <x v="1"/>
    <x v="87"/>
    <x v="105"/>
    <x v="0"/>
  </r>
  <r>
    <n v="383"/>
    <n v="40571"/>
    <x v="0"/>
    <x v="0"/>
    <x v="15"/>
    <b v="0"/>
    <n v="5"/>
    <x v="1"/>
    <x v="2"/>
    <n v="382"/>
    <n v="0.1515"/>
    <n v="0.5"/>
    <n v="0.25369999999999998"/>
    <x v="18"/>
    <x v="54"/>
    <x v="52"/>
    <x v="0"/>
  </r>
  <r>
    <n v="384"/>
    <n v="40571"/>
    <x v="0"/>
    <x v="0"/>
    <x v="15"/>
    <b v="0"/>
    <n v="5"/>
    <x v="1"/>
    <x v="2"/>
    <n v="383"/>
    <n v="0.1515"/>
    <n v="0.55000000000000004"/>
    <n v="0.19400000000000001"/>
    <x v="14"/>
    <x v="11"/>
    <x v="37"/>
    <x v="0"/>
  </r>
  <r>
    <n v="385"/>
    <n v="40571"/>
    <x v="0"/>
    <x v="0"/>
    <x v="15"/>
    <b v="0"/>
    <n v="5"/>
    <x v="1"/>
    <x v="2"/>
    <n v="384"/>
    <n v="0.19700000000000001"/>
    <n v="0.47"/>
    <n v="0.1343"/>
    <x v="22"/>
    <x v="14"/>
    <x v="138"/>
    <x v="0"/>
  </r>
  <r>
    <n v="386"/>
    <n v="40571"/>
    <x v="0"/>
    <x v="0"/>
    <x v="15"/>
    <b v="0"/>
    <n v="5"/>
    <x v="1"/>
    <x v="2"/>
    <n v="385"/>
    <n v="0.19700000000000001"/>
    <n v="0.47"/>
    <n v="0.1343"/>
    <x v="23"/>
    <x v="122"/>
    <x v="15"/>
    <x v="0"/>
  </r>
  <r>
    <n v="387"/>
    <n v="40571"/>
    <x v="0"/>
    <x v="0"/>
    <x v="15"/>
    <b v="0"/>
    <n v="5"/>
    <x v="1"/>
    <x v="2"/>
    <n v="386"/>
    <n v="0.21210000000000001"/>
    <n v="0.43"/>
    <n v="0.1045"/>
    <x v="6"/>
    <x v="64"/>
    <x v="80"/>
    <x v="0"/>
  </r>
  <r>
    <n v="388"/>
    <n v="40571"/>
    <x v="0"/>
    <x v="0"/>
    <x v="15"/>
    <b v="0"/>
    <n v="5"/>
    <x v="1"/>
    <x v="2"/>
    <n v="387"/>
    <n v="0.21210000000000001"/>
    <n v="0.47"/>
    <n v="0.16420000000000001"/>
    <x v="27"/>
    <x v="109"/>
    <x v="15"/>
    <x v="0"/>
  </r>
  <r>
    <n v="389"/>
    <n v="40571"/>
    <x v="0"/>
    <x v="0"/>
    <x v="15"/>
    <b v="0"/>
    <n v="5"/>
    <x v="1"/>
    <x v="2"/>
    <n v="388"/>
    <n v="0.21210000000000001"/>
    <n v="0.47"/>
    <n v="0.16420000000000001"/>
    <x v="15"/>
    <x v="83"/>
    <x v="100"/>
    <x v="0"/>
  </r>
  <r>
    <n v="390"/>
    <n v="40571"/>
    <x v="0"/>
    <x v="0"/>
    <x v="15"/>
    <b v="0"/>
    <n v="5"/>
    <x v="1"/>
    <x v="2"/>
    <n v="389"/>
    <n v="0.19700000000000001"/>
    <n v="0.51"/>
    <n v="0.19400000000000001"/>
    <x v="17"/>
    <x v="28"/>
    <x v="68"/>
    <x v="0"/>
  </r>
  <r>
    <n v="391"/>
    <n v="40571"/>
    <x v="0"/>
    <x v="0"/>
    <x v="15"/>
    <b v="0"/>
    <n v="5"/>
    <x v="1"/>
    <x v="2"/>
    <n v="390"/>
    <n v="0.16669999999999999"/>
    <n v="0.55000000000000004"/>
    <n v="0.25369999999999998"/>
    <x v="18"/>
    <x v="66"/>
    <x v="101"/>
    <x v="0"/>
  </r>
  <r>
    <n v="392"/>
    <n v="40571"/>
    <x v="0"/>
    <x v="0"/>
    <x v="15"/>
    <b v="0"/>
    <n v="5"/>
    <x v="1"/>
    <x v="2"/>
    <n v="391"/>
    <n v="0.18179999999999999"/>
    <n v="0.59"/>
    <n v="0.19400000000000001"/>
    <x v="4"/>
    <x v="29"/>
    <x v="122"/>
    <x v="0"/>
  </r>
  <r>
    <n v="393"/>
    <n v="40571"/>
    <x v="0"/>
    <x v="0"/>
    <x v="15"/>
    <b v="0"/>
    <n v="5"/>
    <x v="1"/>
    <x v="2"/>
    <n v="392"/>
    <n v="0.1515"/>
    <n v="0.8"/>
    <n v="0.19400000000000001"/>
    <x v="17"/>
    <x v="31"/>
    <x v="63"/>
    <x v="0"/>
  </r>
  <r>
    <n v="394"/>
    <n v="40571"/>
    <x v="0"/>
    <x v="0"/>
    <x v="15"/>
    <b v="0"/>
    <n v="5"/>
    <x v="1"/>
    <x v="2"/>
    <n v="393"/>
    <n v="0.1515"/>
    <n v="0.8"/>
    <n v="0.19400000000000001"/>
    <x v="0"/>
    <x v="9"/>
    <x v="110"/>
    <x v="0"/>
  </r>
  <r>
    <n v="395"/>
    <n v="40571"/>
    <x v="0"/>
    <x v="0"/>
    <x v="15"/>
    <b v="0"/>
    <n v="5"/>
    <x v="1"/>
    <x v="2"/>
    <n v="394"/>
    <n v="0.1212"/>
    <n v="0.93"/>
    <n v="0.25369999999999998"/>
    <x v="3"/>
    <x v="0"/>
    <x v="3"/>
    <x v="0"/>
  </r>
  <r>
    <n v="396"/>
    <n v="40571"/>
    <x v="0"/>
    <x v="0"/>
    <x v="15"/>
    <b v="0"/>
    <n v="5"/>
    <x v="1"/>
    <x v="2"/>
    <n v="395"/>
    <n v="0.13639999999999999"/>
    <n v="0.86"/>
    <n v="0.28360000000000002"/>
    <x v="5"/>
    <x v="35"/>
    <x v="48"/>
    <x v="0"/>
  </r>
  <r>
    <n v="397"/>
    <n v="40571"/>
    <x v="0"/>
    <x v="0"/>
    <x v="15"/>
    <b v="0"/>
    <n v="5"/>
    <x v="1"/>
    <x v="2"/>
    <n v="396"/>
    <n v="0.18179999999999999"/>
    <n v="0.86"/>
    <n v="0.32840000000000003"/>
    <x v="3"/>
    <x v="35"/>
    <x v="6"/>
    <x v="0"/>
  </r>
  <r>
    <n v="398"/>
    <n v="40571"/>
    <x v="0"/>
    <x v="0"/>
    <x v="15"/>
    <b v="0"/>
    <n v="5"/>
    <x v="1"/>
    <x v="2"/>
    <n v="397"/>
    <n v="0.19700000000000001"/>
    <n v="0.86"/>
    <n v="0.22389999999999999"/>
    <x v="3"/>
    <x v="97"/>
    <x v="34"/>
    <x v="0"/>
  </r>
  <r>
    <n v="399"/>
    <n v="40571"/>
    <x v="0"/>
    <x v="0"/>
    <x v="15"/>
    <b v="0"/>
    <n v="5"/>
    <x v="1"/>
    <x v="2"/>
    <n v="398"/>
    <n v="0.2273"/>
    <n v="0.8"/>
    <n v="0.16420000000000001"/>
    <x v="4"/>
    <x v="16"/>
    <x v="20"/>
    <x v="0"/>
  </r>
  <r>
    <n v="400"/>
    <n v="40571"/>
    <x v="0"/>
    <x v="0"/>
    <x v="15"/>
    <b v="0"/>
    <n v="5"/>
    <x v="1"/>
    <x v="2"/>
    <n v="399"/>
    <n v="0.2273"/>
    <n v="0.87"/>
    <n v="0.16420000000000001"/>
    <x v="0"/>
    <x v="1"/>
    <x v="17"/>
    <x v="0"/>
  </r>
  <r>
    <n v="401"/>
    <n v="40571"/>
    <x v="0"/>
    <x v="0"/>
    <x v="15"/>
    <b v="0"/>
    <n v="5"/>
    <x v="1"/>
    <x v="2"/>
    <n v="400"/>
    <n v="0.2273"/>
    <n v="0.87"/>
    <n v="0.19400000000000001"/>
    <x v="3"/>
    <x v="124"/>
    <x v="42"/>
    <x v="0"/>
  </r>
  <r>
    <n v="402"/>
    <n v="40571"/>
    <x v="0"/>
    <x v="0"/>
    <x v="15"/>
    <b v="0"/>
    <n v="5"/>
    <x v="1"/>
    <x v="2"/>
    <n v="401"/>
    <n v="0.2273"/>
    <n v="0.82"/>
    <n v="0.19400000000000001"/>
    <x v="5"/>
    <x v="125"/>
    <x v="139"/>
    <x v="0"/>
  </r>
  <r>
    <n v="403"/>
    <n v="40571"/>
    <x v="0"/>
    <x v="0"/>
    <x v="15"/>
    <b v="0"/>
    <n v="5"/>
    <x v="1"/>
    <x v="2"/>
    <n v="402"/>
    <n v="0.2273"/>
    <n v="0.8"/>
    <n v="0.16420000000000001"/>
    <x v="5"/>
    <x v="126"/>
    <x v="140"/>
    <x v="0"/>
  </r>
  <r>
    <n v="404"/>
    <n v="40571"/>
    <x v="0"/>
    <x v="0"/>
    <x v="15"/>
    <b v="0"/>
    <n v="5"/>
    <x v="1"/>
    <x v="2"/>
    <n v="403"/>
    <n v="0.2273"/>
    <n v="0.8"/>
    <n v="0.1343"/>
    <x v="5"/>
    <x v="52"/>
    <x v="111"/>
    <x v="0"/>
  </r>
  <r>
    <n v="405"/>
    <n v="40571"/>
    <x v="0"/>
    <x v="0"/>
    <x v="15"/>
    <b v="0"/>
    <n v="5"/>
    <x v="1"/>
    <x v="2"/>
    <n v="404"/>
    <n v="0.2727"/>
    <n v="0.87"/>
    <n v="0"/>
    <x v="3"/>
    <x v="93"/>
    <x v="56"/>
    <x v="0"/>
  </r>
  <r>
    <n v="406"/>
    <n v="40571"/>
    <x v="0"/>
    <x v="0"/>
    <x v="15"/>
    <b v="0"/>
    <n v="5"/>
    <x v="1"/>
    <x v="2"/>
    <n v="405"/>
    <n v="0.2424"/>
    <n v="0.93"/>
    <n v="0.1045"/>
    <x v="3"/>
    <x v="40"/>
    <x v="102"/>
    <x v="0"/>
  </r>
  <r>
    <n v="407"/>
    <n v="40571"/>
    <x v="0"/>
    <x v="0"/>
    <x v="15"/>
    <b v="0"/>
    <n v="5"/>
    <x v="1"/>
    <x v="2"/>
    <n v="406"/>
    <n v="0.2576"/>
    <n v="0.93"/>
    <n v="8.9599999999999999E-2"/>
    <x v="3"/>
    <x v="39"/>
    <x v="63"/>
    <x v="0"/>
  </r>
  <r>
    <n v="408"/>
    <n v="40571"/>
    <x v="0"/>
    <x v="0"/>
    <x v="15"/>
    <b v="0"/>
    <n v="5"/>
    <x v="1"/>
    <x v="2"/>
    <n v="407"/>
    <n v="0.2727"/>
    <n v="0.93"/>
    <n v="0"/>
    <x v="5"/>
    <x v="23"/>
    <x v="25"/>
    <x v="0"/>
  </r>
  <r>
    <n v="409"/>
    <n v="40571"/>
    <x v="0"/>
    <x v="0"/>
    <x v="15"/>
    <b v="0"/>
    <n v="5"/>
    <x v="1"/>
    <x v="2"/>
    <n v="408"/>
    <n v="0.2727"/>
    <n v="0.93"/>
    <n v="0"/>
    <x v="3"/>
    <x v="35"/>
    <x v="6"/>
    <x v="0"/>
  </r>
  <r>
    <n v="410"/>
    <n v="40571"/>
    <x v="0"/>
    <x v="0"/>
    <x v="15"/>
    <b v="0"/>
    <n v="5"/>
    <x v="1"/>
    <x v="2"/>
    <n v="409"/>
    <n v="0.2273"/>
    <n v="0.93"/>
    <n v="0.1343"/>
    <x v="5"/>
    <x v="8"/>
    <x v="85"/>
    <x v="0"/>
  </r>
  <r>
    <n v="411"/>
    <n v="40571"/>
    <x v="0"/>
    <x v="0"/>
    <x v="15"/>
    <b v="0"/>
    <n v="5"/>
    <x v="1"/>
    <x v="2"/>
    <n v="410"/>
    <n v="0.2273"/>
    <n v="0.93"/>
    <n v="0.1343"/>
    <x v="3"/>
    <x v="35"/>
    <x v="6"/>
    <x v="0"/>
  </r>
  <r>
    <n v="412"/>
    <n v="40571"/>
    <x v="0"/>
    <x v="0"/>
    <x v="15"/>
    <b v="0"/>
    <n v="5"/>
    <x v="1"/>
    <x v="2"/>
    <n v="411"/>
    <n v="0.2273"/>
    <n v="0.93"/>
    <n v="0.1343"/>
    <x v="5"/>
    <x v="4"/>
    <x v="5"/>
    <x v="0"/>
  </r>
  <r>
    <n v="413"/>
    <n v="40571"/>
    <x v="0"/>
    <x v="0"/>
    <x v="15"/>
    <b v="0"/>
    <n v="5"/>
    <x v="1"/>
    <x v="2"/>
    <n v="412"/>
    <n v="0.2576"/>
    <n v="0.93"/>
    <n v="8.9599999999999999E-2"/>
    <x v="3"/>
    <x v="7"/>
    <x v="85"/>
    <x v="0"/>
  </r>
  <r>
    <n v="414"/>
    <n v="40571"/>
    <x v="0"/>
    <x v="0"/>
    <x v="15"/>
    <b v="0"/>
    <n v="5"/>
    <x v="1"/>
    <x v="2"/>
    <n v="413"/>
    <n v="0.2576"/>
    <n v="0.93"/>
    <n v="8.9599999999999999E-2"/>
    <x v="3"/>
    <x v="1"/>
    <x v="2"/>
    <x v="0"/>
  </r>
  <r>
    <n v="415"/>
    <n v="40571"/>
    <x v="0"/>
    <x v="0"/>
    <x v="15"/>
    <b v="0"/>
    <n v="5"/>
    <x v="1"/>
    <x v="2"/>
    <n v="414"/>
    <n v="0.2576"/>
    <n v="0.92"/>
    <n v="0.1045"/>
    <x v="5"/>
    <x v="121"/>
    <x v="127"/>
    <x v="0"/>
  </r>
  <r>
    <n v="416"/>
    <n v="40571"/>
    <x v="0"/>
    <x v="0"/>
    <x v="15"/>
    <b v="0"/>
    <n v="5"/>
    <x v="1"/>
    <x v="2"/>
    <n v="415"/>
    <n v="0.2576"/>
    <n v="0.93"/>
    <n v="0.1045"/>
    <x v="5"/>
    <x v="127"/>
    <x v="141"/>
    <x v="0"/>
  </r>
  <r>
    <n v="417"/>
    <n v="40571"/>
    <x v="0"/>
    <x v="0"/>
    <x v="15"/>
    <b v="0"/>
    <n v="5"/>
    <x v="1"/>
    <x v="2"/>
    <n v="416"/>
    <n v="0.2576"/>
    <n v="0.93"/>
    <n v="0.1045"/>
    <x v="4"/>
    <x v="128"/>
    <x v="142"/>
    <x v="0"/>
  </r>
  <r>
    <n v="418"/>
    <n v="40571"/>
    <x v="0"/>
    <x v="0"/>
    <x v="15"/>
    <b v="0"/>
    <n v="5"/>
    <x v="1"/>
    <x v="2"/>
    <n v="417"/>
    <n v="0.2727"/>
    <n v="0.93"/>
    <n v="0.1343"/>
    <x v="5"/>
    <x v="24"/>
    <x v="105"/>
    <x v="0"/>
  </r>
  <r>
    <n v="419"/>
    <n v="40571"/>
    <x v="0"/>
    <x v="0"/>
    <x v="15"/>
    <b v="0"/>
    <n v="5"/>
    <x v="1"/>
    <x v="2"/>
    <n v="418"/>
    <n v="0.30299999999999999"/>
    <n v="0.87"/>
    <n v="8.9599999999999999E-2"/>
    <x v="2"/>
    <x v="12"/>
    <x v="46"/>
    <x v="0"/>
  </r>
  <r>
    <n v="420"/>
    <n v="40571"/>
    <x v="0"/>
    <x v="0"/>
    <x v="15"/>
    <b v="0"/>
    <n v="5"/>
    <x v="1"/>
    <x v="2"/>
    <n v="419"/>
    <n v="0.31819999999999998"/>
    <n v="0.81"/>
    <n v="8.9599999999999999E-2"/>
    <x v="2"/>
    <x v="65"/>
    <x v="27"/>
    <x v="0"/>
  </r>
  <r>
    <n v="421"/>
    <n v="40571"/>
    <x v="0"/>
    <x v="0"/>
    <x v="15"/>
    <b v="0"/>
    <n v="5"/>
    <x v="1"/>
    <x v="2"/>
    <n v="420"/>
    <n v="0.40910000000000002"/>
    <n v="0.62"/>
    <n v="0.28360000000000002"/>
    <x v="16"/>
    <x v="28"/>
    <x v="53"/>
    <x v="0"/>
  </r>
  <r>
    <n v="422"/>
    <n v="40571"/>
    <x v="0"/>
    <x v="0"/>
    <x v="15"/>
    <b v="0"/>
    <n v="5"/>
    <x v="1"/>
    <x v="2"/>
    <n v="421"/>
    <n v="0.40910000000000002"/>
    <n v="0.57999999999999996"/>
    <n v="0.25369999999999998"/>
    <x v="18"/>
    <x v="56"/>
    <x v="28"/>
    <x v="0"/>
  </r>
  <r>
    <n v="423"/>
    <n v="40571"/>
    <x v="0"/>
    <x v="0"/>
    <x v="15"/>
    <b v="0"/>
    <n v="5"/>
    <x v="1"/>
    <x v="2"/>
    <n v="422"/>
    <n v="0.40910000000000002"/>
    <n v="0.54"/>
    <n v="0.28360000000000002"/>
    <x v="17"/>
    <x v="78"/>
    <x v="100"/>
    <x v="0"/>
  </r>
  <r>
    <n v="424"/>
    <n v="40571"/>
    <x v="0"/>
    <x v="0"/>
    <x v="15"/>
    <b v="0"/>
    <n v="5"/>
    <x v="1"/>
    <x v="2"/>
    <n v="423"/>
    <n v="0.39389999999999997"/>
    <n v="0.57999999999999996"/>
    <n v="0.3881"/>
    <x v="22"/>
    <x v="111"/>
    <x v="133"/>
    <x v="0"/>
  </r>
  <r>
    <n v="425"/>
    <n v="40571"/>
    <x v="0"/>
    <x v="0"/>
    <x v="15"/>
    <b v="0"/>
    <n v="5"/>
    <x v="1"/>
    <x v="2"/>
    <n v="424"/>
    <n v="0.33329999999999999"/>
    <n v="0.56999999999999995"/>
    <n v="0.32840000000000003"/>
    <x v="18"/>
    <x v="84"/>
    <x v="141"/>
    <x v="0"/>
  </r>
  <r>
    <n v="426"/>
    <n v="40571"/>
    <x v="0"/>
    <x v="0"/>
    <x v="15"/>
    <b v="0"/>
    <n v="5"/>
    <x v="1"/>
    <x v="2"/>
    <n v="425"/>
    <n v="0.31819999999999998"/>
    <n v="0.61"/>
    <n v="0.28360000000000002"/>
    <x v="2"/>
    <x v="117"/>
    <x v="143"/>
    <x v="0"/>
  </r>
  <r>
    <n v="427"/>
    <n v="40571"/>
    <x v="0"/>
    <x v="0"/>
    <x v="15"/>
    <b v="0"/>
    <n v="5"/>
    <x v="1"/>
    <x v="2"/>
    <n v="426"/>
    <n v="0.28789999999999999"/>
    <n v="0.56999999999999995"/>
    <n v="0.41789999999999999"/>
    <x v="17"/>
    <x v="123"/>
    <x v="59"/>
    <x v="0"/>
  </r>
  <r>
    <n v="428"/>
    <n v="40571"/>
    <x v="0"/>
    <x v="0"/>
    <x v="15"/>
    <b v="0"/>
    <n v="5"/>
    <x v="1"/>
    <x v="2"/>
    <n v="427"/>
    <n v="0.30299999999999999"/>
    <n v="0.49"/>
    <n v="0.29849999999999999"/>
    <x v="4"/>
    <x v="64"/>
    <x v="31"/>
    <x v="0"/>
  </r>
  <r>
    <n v="429"/>
    <n v="40571"/>
    <x v="0"/>
    <x v="0"/>
    <x v="15"/>
    <b v="0"/>
    <n v="5"/>
    <x v="1"/>
    <x v="2"/>
    <n v="428"/>
    <n v="0.28789999999999999"/>
    <n v="0.49"/>
    <n v="0.41789999999999999"/>
    <x v="17"/>
    <x v="11"/>
    <x v="29"/>
    <x v="0"/>
  </r>
  <r>
    <n v="430"/>
    <n v="40571"/>
    <x v="0"/>
    <x v="0"/>
    <x v="15"/>
    <b v="0"/>
    <n v="5"/>
    <x v="1"/>
    <x v="2"/>
    <n v="429"/>
    <n v="0.30299999999999999"/>
    <n v="0.52"/>
    <n v="0.16420000000000001"/>
    <x v="15"/>
    <x v="42"/>
    <x v="29"/>
    <x v="0"/>
  </r>
  <r>
    <n v="431"/>
    <n v="40571"/>
    <x v="0"/>
    <x v="0"/>
    <x v="15"/>
    <b v="0"/>
    <n v="5"/>
    <x v="1"/>
    <x v="2"/>
    <n v="430"/>
    <n v="0.2727"/>
    <n v="0.52"/>
    <n v="0.4627"/>
    <x v="5"/>
    <x v="2"/>
    <x v="20"/>
    <x v="0"/>
  </r>
  <r>
    <n v="432"/>
    <n v="40571"/>
    <x v="0"/>
    <x v="0"/>
    <x v="15"/>
    <b v="0"/>
    <n v="5"/>
    <x v="1"/>
    <x v="2"/>
    <n v="431"/>
    <n v="0.2273"/>
    <n v="0.56000000000000005"/>
    <n v="0.3881"/>
    <x v="2"/>
    <x v="21"/>
    <x v="3"/>
    <x v="0"/>
  </r>
  <r>
    <n v="433"/>
    <n v="40571"/>
    <x v="0"/>
    <x v="0"/>
    <x v="15"/>
    <b v="0"/>
    <n v="5"/>
    <x v="1"/>
    <x v="2"/>
    <n v="432"/>
    <n v="0.2727"/>
    <n v="0.56000000000000005"/>
    <n v="0"/>
    <x v="4"/>
    <x v="35"/>
    <x v="36"/>
    <x v="0"/>
  </r>
  <r>
    <n v="434"/>
    <n v="40571"/>
    <x v="0"/>
    <x v="0"/>
    <x v="15"/>
    <b v="0"/>
    <n v="5"/>
    <x v="1"/>
    <x v="2"/>
    <n v="433"/>
    <n v="0.2727"/>
    <n v="0.56000000000000005"/>
    <n v="0"/>
    <x v="3"/>
    <x v="6"/>
    <x v="5"/>
    <x v="0"/>
  </r>
  <r>
    <n v="435"/>
    <n v="40571"/>
    <x v="0"/>
    <x v="0"/>
    <x v="15"/>
    <b v="0"/>
    <n v="5"/>
    <x v="1"/>
    <x v="2"/>
    <n v="434"/>
    <n v="0.2576"/>
    <n v="0.56000000000000005"/>
    <n v="0.16420000000000001"/>
    <x v="3"/>
    <x v="4"/>
    <x v="4"/>
    <x v="0"/>
  </r>
  <r>
    <n v="436"/>
    <n v="40571"/>
    <x v="0"/>
    <x v="0"/>
    <x v="15"/>
    <b v="0"/>
    <n v="5"/>
    <x v="1"/>
    <x v="2"/>
    <n v="435"/>
    <n v="0.2576"/>
    <n v="0.56000000000000005"/>
    <n v="0.16420000000000001"/>
    <x v="3"/>
    <x v="4"/>
    <x v="4"/>
    <x v="0"/>
  </r>
  <r>
    <n v="437"/>
    <n v="40571"/>
    <x v="0"/>
    <x v="0"/>
    <x v="15"/>
    <b v="0"/>
    <n v="5"/>
    <x v="1"/>
    <x v="2"/>
    <n v="436"/>
    <n v="0.2273"/>
    <n v="0.6"/>
    <n v="0.22389999999999999"/>
    <x v="3"/>
    <x v="8"/>
    <x v="24"/>
    <x v="0"/>
  </r>
  <r>
    <n v="438"/>
    <n v="40571"/>
    <x v="0"/>
    <x v="0"/>
    <x v="15"/>
    <b v="0"/>
    <n v="5"/>
    <x v="1"/>
    <x v="2"/>
    <n v="437"/>
    <n v="0.21210000000000001"/>
    <n v="0.6"/>
    <n v="0.22389999999999999"/>
    <x v="3"/>
    <x v="96"/>
    <x v="17"/>
    <x v="0"/>
  </r>
  <r>
    <n v="439"/>
    <n v="40571"/>
    <x v="0"/>
    <x v="0"/>
    <x v="15"/>
    <b v="0"/>
    <n v="5"/>
    <x v="1"/>
    <x v="2"/>
    <n v="438"/>
    <n v="0.21210000000000001"/>
    <n v="0.55000000000000004"/>
    <n v="0.22389999999999999"/>
    <x v="5"/>
    <x v="129"/>
    <x v="129"/>
    <x v="0"/>
  </r>
  <r>
    <n v="440"/>
    <n v="40571"/>
    <x v="0"/>
    <x v="0"/>
    <x v="15"/>
    <b v="0"/>
    <n v="5"/>
    <x v="1"/>
    <x v="2"/>
    <n v="439"/>
    <n v="0.21210000000000001"/>
    <n v="0.55000000000000004"/>
    <n v="0.28360000000000002"/>
    <x v="4"/>
    <x v="130"/>
    <x v="144"/>
    <x v="0"/>
  </r>
  <r>
    <n v="441"/>
    <n v="40571"/>
    <x v="0"/>
    <x v="0"/>
    <x v="15"/>
    <b v="0"/>
    <n v="5"/>
    <x v="1"/>
    <x v="2"/>
    <n v="440"/>
    <n v="0.2273"/>
    <n v="0.52"/>
    <n v="0.22389999999999999"/>
    <x v="0"/>
    <x v="131"/>
    <x v="145"/>
    <x v="0"/>
  </r>
  <r>
    <n v="442"/>
    <n v="40571"/>
    <x v="0"/>
    <x v="0"/>
    <x v="15"/>
    <b v="0"/>
    <n v="5"/>
    <x v="1"/>
    <x v="2"/>
    <n v="441"/>
    <n v="0.2273"/>
    <n v="0.48"/>
    <n v="0.29849999999999999"/>
    <x v="5"/>
    <x v="90"/>
    <x v="52"/>
    <x v="0"/>
  </r>
  <r>
    <n v="443"/>
    <n v="40571"/>
    <x v="0"/>
    <x v="0"/>
    <x v="15"/>
    <b v="0"/>
    <n v="5"/>
    <x v="1"/>
    <x v="2"/>
    <n v="442"/>
    <n v="0.2727"/>
    <n v="0.45"/>
    <n v="0.16420000000000001"/>
    <x v="2"/>
    <x v="36"/>
    <x v="118"/>
    <x v="0"/>
  </r>
  <r>
    <n v="444"/>
    <n v="40571"/>
    <x v="0"/>
    <x v="0"/>
    <x v="15"/>
    <b v="0"/>
    <n v="5"/>
    <x v="1"/>
    <x v="2"/>
    <n v="443"/>
    <n v="0.33329999999999999"/>
    <n v="0.42"/>
    <n v="0"/>
    <x v="18"/>
    <x v="99"/>
    <x v="11"/>
    <x v="0"/>
  </r>
  <r>
    <n v="445"/>
    <n v="40571"/>
    <x v="0"/>
    <x v="0"/>
    <x v="15"/>
    <b v="0"/>
    <n v="5"/>
    <x v="1"/>
    <x v="2"/>
    <n v="444"/>
    <n v="0.28789999999999999"/>
    <n v="0.45"/>
    <n v="0.1045"/>
    <x v="6"/>
    <x v="132"/>
    <x v="95"/>
    <x v="0"/>
  </r>
  <r>
    <n v="446"/>
    <n v="40571"/>
    <x v="0"/>
    <x v="0"/>
    <x v="15"/>
    <b v="0"/>
    <n v="5"/>
    <x v="1"/>
    <x v="2"/>
    <n v="445"/>
    <n v="0.30299999999999999"/>
    <n v="0.45"/>
    <n v="0.1343"/>
    <x v="15"/>
    <x v="102"/>
    <x v="117"/>
    <x v="0"/>
  </r>
  <r>
    <n v="447"/>
    <n v="40571"/>
    <x v="0"/>
    <x v="0"/>
    <x v="15"/>
    <b v="0"/>
    <n v="5"/>
    <x v="1"/>
    <x v="2"/>
    <n v="446"/>
    <n v="0.31819999999999998"/>
    <n v="0.45"/>
    <n v="0.19400000000000001"/>
    <x v="1"/>
    <x v="133"/>
    <x v="27"/>
    <x v="0"/>
  </r>
  <r>
    <n v="448"/>
    <n v="40571"/>
    <x v="0"/>
    <x v="0"/>
    <x v="15"/>
    <b v="0"/>
    <n v="5"/>
    <x v="1"/>
    <x v="2"/>
    <n v="447"/>
    <n v="0.30299999999999999"/>
    <n v="0.49"/>
    <n v="0.1343"/>
    <x v="1"/>
    <x v="93"/>
    <x v="134"/>
    <x v="0"/>
  </r>
  <r>
    <n v="449"/>
    <n v="40571"/>
    <x v="0"/>
    <x v="0"/>
    <x v="15"/>
    <b v="0"/>
    <n v="5"/>
    <x v="1"/>
    <x v="2"/>
    <n v="448"/>
    <n v="0.31819999999999998"/>
    <n v="0.49"/>
    <n v="0.1045"/>
    <x v="1"/>
    <x v="134"/>
    <x v="146"/>
    <x v="0"/>
  </r>
  <r>
    <n v="450"/>
    <n v="40571"/>
    <x v="0"/>
    <x v="0"/>
    <x v="15"/>
    <b v="0"/>
    <n v="5"/>
    <x v="1"/>
    <x v="2"/>
    <n v="449"/>
    <n v="0.2576"/>
    <n v="0.56000000000000005"/>
    <n v="0.19400000000000001"/>
    <x v="5"/>
    <x v="103"/>
    <x v="147"/>
    <x v="0"/>
  </r>
  <r>
    <n v="451"/>
    <n v="40571"/>
    <x v="0"/>
    <x v="0"/>
    <x v="15"/>
    <b v="0"/>
    <n v="5"/>
    <x v="1"/>
    <x v="2"/>
    <n v="450"/>
    <n v="0.2273"/>
    <n v="0.56000000000000005"/>
    <n v="0.32840000000000003"/>
    <x v="15"/>
    <x v="44"/>
    <x v="148"/>
    <x v="0"/>
  </r>
  <r>
    <n v="452"/>
    <n v="40571"/>
    <x v="0"/>
    <x v="0"/>
    <x v="15"/>
    <b v="0"/>
    <n v="5"/>
    <x v="1"/>
    <x v="2"/>
    <n v="451"/>
    <n v="0.2424"/>
    <n v="0.6"/>
    <n v="0.28360000000000002"/>
    <x v="4"/>
    <x v="125"/>
    <x v="149"/>
    <x v="0"/>
  </r>
  <r>
    <n v="453"/>
    <n v="40571"/>
    <x v="0"/>
    <x v="0"/>
    <x v="15"/>
    <b v="0"/>
    <n v="5"/>
    <x v="1"/>
    <x v="2"/>
    <n v="452"/>
    <n v="0.2273"/>
    <n v="0.6"/>
    <n v="0.25369999999999998"/>
    <x v="0"/>
    <x v="25"/>
    <x v="52"/>
    <x v="0"/>
  </r>
  <r>
    <n v="454"/>
    <n v="40571"/>
    <x v="0"/>
    <x v="0"/>
    <x v="15"/>
    <b v="0"/>
    <n v="5"/>
    <x v="1"/>
    <x v="2"/>
    <n v="453"/>
    <n v="0.21210000000000001"/>
    <n v="0.65"/>
    <n v="0.28360000000000002"/>
    <x v="3"/>
    <x v="90"/>
    <x v="10"/>
    <x v="0"/>
  </r>
  <r>
    <n v="455"/>
    <n v="40571"/>
    <x v="0"/>
    <x v="0"/>
    <x v="15"/>
    <b v="0"/>
    <n v="5"/>
    <x v="1"/>
    <x v="2"/>
    <n v="454"/>
    <n v="0.21210000000000001"/>
    <n v="0.65"/>
    <n v="0.32840000000000003"/>
    <x v="0"/>
    <x v="95"/>
    <x v="35"/>
    <x v="0"/>
  </r>
  <r>
    <n v="456"/>
    <n v="40571"/>
    <x v="0"/>
    <x v="0"/>
    <x v="15"/>
    <b v="0"/>
    <n v="5"/>
    <x v="1"/>
    <x v="2"/>
    <n v="455"/>
    <n v="0.2273"/>
    <n v="0.7"/>
    <n v="0.25369999999999998"/>
    <x v="5"/>
    <x v="32"/>
    <x v="137"/>
    <x v="0"/>
  </r>
  <r>
    <n v="457"/>
    <n v="40571"/>
    <x v="0"/>
    <x v="0"/>
    <x v="15"/>
    <b v="0"/>
    <n v="5"/>
    <x v="1"/>
    <x v="2"/>
    <n v="456"/>
    <n v="0.2273"/>
    <n v="0.7"/>
    <n v="0.25369999999999998"/>
    <x v="3"/>
    <x v="8"/>
    <x v="24"/>
    <x v="0"/>
  </r>
  <r>
    <n v="458"/>
    <n v="40571"/>
    <x v="0"/>
    <x v="0"/>
    <x v="15"/>
    <b v="0"/>
    <n v="5"/>
    <x v="1"/>
    <x v="2"/>
    <n v="457"/>
    <n v="0.2424"/>
    <n v="0.75"/>
    <n v="0.16420000000000001"/>
    <x v="3"/>
    <x v="6"/>
    <x v="5"/>
    <x v="0"/>
  </r>
  <r>
    <n v="459"/>
    <n v="40571"/>
    <x v="0"/>
    <x v="0"/>
    <x v="15"/>
    <b v="0"/>
    <n v="5"/>
    <x v="1"/>
    <x v="2"/>
    <n v="458"/>
    <n v="0.21210000000000001"/>
    <n v="0.8"/>
    <n v="0.29849999999999999"/>
    <x v="3"/>
    <x v="4"/>
    <x v="4"/>
    <x v="0"/>
  </r>
  <r>
    <n v="460"/>
    <n v="40571"/>
    <x v="0"/>
    <x v="0"/>
    <x v="15"/>
    <b v="0"/>
    <n v="5"/>
    <x v="1"/>
    <x v="2"/>
    <n v="459"/>
    <n v="0.2576"/>
    <n v="0.87"/>
    <n v="8.9599999999999999E-2"/>
    <x v="3"/>
    <x v="4"/>
    <x v="4"/>
    <x v="0"/>
  </r>
  <r>
    <n v="461"/>
    <n v="40571"/>
    <x v="0"/>
    <x v="0"/>
    <x v="15"/>
    <b v="0"/>
    <n v="5"/>
    <x v="1"/>
    <x v="2"/>
    <n v="460"/>
    <n v="0.19700000000000001"/>
    <n v="0.6"/>
    <n v="0.41789999999999999"/>
    <x v="5"/>
    <x v="22"/>
    <x v="36"/>
    <x v="0"/>
  </r>
  <r>
    <n v="462"/>
    <n v="40571"/>
    <x v="0"/>
    <x v="0"/>
    <x v="15"/>
    <b v="0"/>
    <n v="5"/>
    <x v="1"/>
    <x v="2"/>
    <n v="461"/>
    <n v="0.21210000000000001"/>
    <n v="0.55000000000000004"/>
    <n v="0.25369999999999998"/>
    <x v="3"/>
    <x v="2"/>
    <x v="110"/>
    <x v="0"/>
  </r>
  <r>
    <n v="463"/>
    <n v="40571"/>
    <x v="0"/>
    <x v="0"/>
    <x v="15"/>
    <b v="0"/>
    <n v="5"/>
    <x v="1"/>
    <x v="2"/>
    <n v="462"/>
    <n v="0.18179999999999999"/>
    <n v="0.51"/>
    <n v="0.28360000000000002"/>
    <x v="4"/>
    <x v="43"/>
    <x v="118"/>
    <x v="0"/>
  </r>
  <r>
    <n v="464"/>
    <n v="40571"/>
    <x v="0"/>
    <x v="0"/>
    <x v="15"/>
    <b v="0"/>
    <n v="5"/>
    <x v="1"/>
    <x v="2"/>
    <n v="463"/>
    <n v="0.18179999999999999"/>
    <n v="0.47"/>
    <n v="0.32840000000000003"/>
    <x v="18"/>
    <x v="135"/>
    <x v="112"/>
    <x v="0"/>
  </r>
  <r>
    <n v="465"/>
    <n v="40571"/>
    <x v="0"/>
    <x v="0"/>
    <x v="15"/>
    <b v="0"/>
    <n v="5"/>
    <x v="1"/>
    <x v="2"/>
    <n v="464"/>
    <n v="0.18179999999999999"/>
    <n v="0.51"/>
    <n v="0.35820000000000002"/>
    <x v="18"/>
    <x v="136"/>
    <x v="150"/>
    <x v="0"/>
  </r>
  <r>
    <n v="466"/>
    <n v="40571"/>
    <x v="0"/>
    <x v="0"/>
    <x v="15"/>
    <b v="0"/>
    <n v="5"/>
    <x v="1"/>
    <x v="2"/>
    <n v="465"/>
    <n v="0.16669999999999999"/>
    <n v="0.47"/>
    <n v="0.4627"/>
    <x v="15"/>
    <x v="77"/>
    <x v="55"/>
    <x v="0"/>
  </r>
  <r>
    <n v="467"/>
    <n v="40571"/>
    <x v="0"/>
    <x v="0"/>
    <x v="15"/>
    <b v="0"/>
    <n v="5"/>
    <x v="1"/>
    <x v="2"/>
    <n v="466"/>
    <n v="0.18179999999999999"/>
    <n v="0.41"/>
    <n v="0.4627"/>
    <x v="15"/>
    <x v="42"/>
    <x v="29"/>
    <x v="0"/>
  </r>
  <r>
    <n v="468"/>
    <n v="40571"/>
    <x v="0"/>
    <x v="0"/>
    <x v="15"/>
    <b v="0"/>
    <n v="5"/>
    <x v="1"/>
    <x v="2"/>
    <n v="467"/>
    <n v="0.18179999999999999"/>
    <n v="0.27"/>
    <n v="0.58209999999999995"/>
    <x v="16"/>
    <x v="28"/>
    <x v="53"/>
    <x v="0"/>
  </r>
  <r>
    <n v="469"/>
    <n v="40571"/>
    <x v="0"/>
    <x v="0"/>
    <x v="15"/>
    <b v="0"/>
    <n v="5"/>
    <x v="1"/>
    <x v="2"/>
    <n v="468"/>
    <n v="0.1515"/>
    <n v="0.21"/>
    <n v="0.58209999999999995"/>
    <x v="1"/>
    <x v="65"/>
    <x v="88"/>
    <x v="0"/>
  </r>
  <r>
    <n v="470"/>
    <n v="40571"/>
    <x v="0"/>
    <x v="0"/>
    <x v="15"/>
    <b v="0"/>
    <n v="5"/>
    <x v="1"/>
    <x v="2"/>
    <n v="469"/>
    <n v="0.1515"/>
    <n v="0.25"/>
    <n v="0.52239999999999998"/>
    <x v="15"/>
    <x v="90"/>
    <x v="69"/>
    <x v="0"/>
  </r>
  <r>
    <n v="471"/>
    <n v="40571"/>
    <x v="0"/>
    <x v="0"/>
    <x v="15"/>
    <b v="0"/>
    <n v="5"/>
    <x v="1"/>
    <x v="2"/>
    <n v="470"/>
    <n v="0.1212"/>
    <n v="0.26"/>
    <n v="0.44779999999999998"/>
    <x v="17"/>
    <x v="124"/>
    <x v="32"/>
    <x v="0"/>
  </r>
  <r>
    <n v="472"/>
    <n v="40571"/>
    <x v="0"/>
    <x v="0"/>
    <x v="15"/>
    <b v="0"/>
    <n v="5"/>
    <x v="1"/>
    <x v="2"/>
    <n v="471"/>
    <n v="0.13639999999999999"/>
    <n v="0.26"/>
    <n v="0.35820000000000002"/>
    <x v="3"/>
    <x v="106"/>
    <x v="54"/>
    <x v="0"/>
  </r>
  <r>
    <n v="473"/>
    <n v="40571"/>
    <x v="0"/>
    <x v="0"/>
    <x v="15"/>
    <b v="0"/>
    <n v="5"/>
    <x v="1"/>
    <x v="2"/>
    <n v="472"/>
    <n v="0.1212"/>
    <n v="0.28000000000000003"/>
    <n v="0.35820000000000002"/>
    <x v="22"/>
    <x v="137"/>
    <x v="143"/>
    <x v="0"/>
  </r>
  <r>
    <n v="474"/>
    <n v="40571"/>
    <x v="0"/>
    <x v="0"/>
    <x v="15"/>
    <b v="0"/>
    <n v="5"/>
    <x v="1"/>
    <x v="2"/>
    <n v="473"/>
    <n v="0.1212"/>
    <n v="0.3"/>
    <n v="0.25369999999999998"/>
    <x v="5"/>
    <x v="138"/>
    <x v="151"/>
    <x v="0"/>
  </r>
  <r>
    <n v="475"/>
    <n v="40571"/>
    <x v="0"/>
    <x v="0"/>
    <x v="15"/>
    <b v="0"/>
    <n v="5"/>
    <x v="1"/>
    <x v="2"/>
    <n v="474"/>
    <n v="0.1061"/>
    <n v="0.3"/>
    <n v="0.32840000000000003"/>
    <x v="0"/>
    <x v="139"/>
    <x v="152"/>
    <x v="0"/>
  </r>
  <r>
    <n v="476"/>
    <n v="40571"/>
    <x v="0"/>
    <x v="0"/>
    <x v="15"/>
    <b v="0"/>
    <n v="5"/>
    <x v="1"/>
    <x v="2"/>
    <n v="475"/>
    <n v="7.5800000000000006E-2"/>
    <n v="0.33"/>
    <n v="0.41789999999999999"/>
    <x v="5"/>
    <x v="15"/>
    <x v="26"/>
    <x v="0"/>
  </r>
  <r>
    <n v="477"/>
    <n v="40571"/>
    <x v="0"/>
    <x v="0"/>
    <x v="15"/>
    <b v="0"/>
    <n v="5"/>
    <x v="1"/>
    <x v="2"/>
    <n v="476"/>
    <n v="7.5800000000000006E-2"/>
    <n v="0.38"/>
    <n v="0.28360000000000002"/>
    <x v="3"/>
    <x v="40"/>
    <x v="102"/>
    <x v="0"/>
  </r>
  <r>
    <n v="478"/>
    <n v="40571"/>
    <x v="0"/>
    <x v="0"/>
    <x v="15"/>
    <b v="0"/>
    <n v="5"/>
    <x v="1"/>
    <x v="2"/>
    <n v="477"/>
    <n v="3.0300000000000001E-2"/>
    <n v="0.41"/>
    <n v="0.3881"/>
    <x v="5"/>
    <x v="39"/>
    <x v="19"/>
    <x v="0"/>
  </r>
  <r>
    <n v="479"/>
    <n v="40571"/>
    <x v="0"/>
    <x v="0"/>
    <x v="15"/>
    <b v="0"/>
    <n v="5"/>
    <x v="1"/>
    <x v="2"/>
    <n v="478"/>
    <n v="4.5499999999999999E-2"/>
    <n v="0.38"/>
    <n v="0.32840000000000003"/>
    <x v="3"/>
    <x v="2"/>
    <x v="110"/>
    <x v="0"/>
  </r>
  <r>
    <n v="480"/>
    <n v="40571"/>
    <x v="0"/>
    <x v="0"/>
    <x v="15"/>
    <b v="0"/>
    <n v="5"/>
    <x v="1"/>
    <x v="2"/>
    <n v="479"/>
    <n v="3.0300000000000001E-2"/>
    <n v="0.45"/>
    <n v="0.25369999999999998"/>
    <x v="3"/>
    <x v="0"/>
    <x v="3"/>
    <x v="0"/>
  </r>
  <r>
    <n v="481"/>
    <n v="40571"/>
    <x v="0"/>
    <x v="0"/>
    <x v="15"/>
    <b v="0"/>
    <n v="5"/>
    <x v="1"/>
    <x v="2"/>
    <n v="480"/>
    <n v="0"/>
    <n v="0.41"/>
    <n v="0.3881"/>
    <x v="0"/>
    <x v="33"/>
    <x v="47"/>
    <x v="0"/>
  </r>
  <r>
    <n v="482"/>
    <n v="40571"/>
    <x v="0"/>
    <x v="0"/>
    <x v="15"/>
    <b v="0"/>
    <n v="5"/>
    <x v="1"/>
    <x v="2"/>
    <n v="481"/>
    <n v="3.0300000000000001E-2"/>
    <n v="0.41"/>
    <n v="0.25369999999999998"/>
    <x v="3"/>
    <x v="48"/>
    <x v="62"/>
    <x v="0"/>
  </r>
  <r>
    <n v="483"/>
    <n v="40571"/>
    <x v="0"/>
    <x v="0"/>
    <x v="15"/>
    <b v="0"/>
    <n v="5"/>
    <x v="1"/>
    <x v="2"/>
    <n v="482"/>
    <n v="3.0300000000000001E-2"/>
    <n v="0.41"/>
    <n v="0.28360000000000002"/>
    <x v="5"/>
    <x v="8"/>
    <x v="85"/>
    <x v="0"/>
  </r>
  <r>
    <n v="484"/>
    <n v="40571"/>
    <x v="0"/>
    <x v="0"/>
    <x v="15"/>
    <b v="0"/>
    <n v="5"/>
    <x v="1"/>
    <x v="2"/>
    <n v="483"/>
    <n v="1.52E-2"/>
    <n v="0.48"/>
    <n v="0.29849999999999999"/>
    <x v="3"/>
    <x v="35"/>
    <x v="6"/>
    <x v="0"/>
  </r>
  <r>
    <n v="485"/>
    <n v="40571"/>
    <x v="0"/>
    <x v="0"/>
    <x v="15"/>
    <b v="0"/>
    <n v="5"/>
    <x v="1"/>
    <x v="2"/>
    <n v="484"/>
    <n v="3.0300000000000001E-2"/>
    <n v="0.44"/>
    <n v="0.22389999999999999"/>
    <x v="3"/>
    <x v="6"/>
    <x v="5"/>
    <x v="0"/>
  </r>
  <r>
    <n v="486"/>
    <n v="40571"/>
    <x v="0"/>
    <x v="0"/>
    <x v="15"/>
    <b v="0"/>
    <n v="5"/>
    <x v="1"/>
    <x v="2"/>
    <n v="485"/>
    <n v="1.52E-2"/>
    <n v="0.44"/>
    <n v="0.28360000000000002"/>
    <x v="3"/>
    <x v="21"/>
    <x v="7"/>
    <x v="0"/>
  </r>
  <r>
    <n v="487"/>
    <n v="40571"/>
    <x v="0"/>
    <x v="0"/>
    <x v="15"/>
    <b v="0"/>
    <n v="5"/>
    <x v="1"/>
    <x v="2"/>
    <n v="486"/>
    <n v="0"/>
    <n v="0.44"/>
    <n v="0.32840000000000003"/>
    <x v="5"/>
    <x v="16"/>
    <x v="110"/>
    <x v="0"/>
  </r>
  <r>
    <n v="488"/>
    <n v="40571"/>
    <x v="0"/>
    <x v="0"/>
    <x v="15"/>
    <b v="0"/>
    <n v="5"/>
    <x v="1"/>
    <x v="2"/>
    <n v="487"/>
    <n v="3.0300000000000001E-2"/>
    <n v="0.41"/>
    <n v="0.25369999999999998"/>
    <x v="0"/>
    <x v="53"/>
    <x v="1"/>
    <x v="0"/>
  </r>
  <r>
    <n v="489"/>
    <n v="40571"/>
    <x v="0"/>
    <x v="0"/>
    <x v="15"/>
    <b v="0"/>
    <n v="5"/>
    <x v="1"/>
    <x v="2"/>
    <n v="488"/>
    <n v="6.0600000000000001E-2"/>
    <n v="0.41"/>
    <n v="0.16420000000000001"/>
    <x v="0"/>
    <x v="54"/>
    <x v="26"/>
    <x v="0"/>
  </r>
  <r>
    <n v="490"/>
    <n v="40571"/>
    <x v="0"/>
    <x v="0"/>
    <x v="15"/>
    <b v="0"/>
    <n v="5"/>
    <x v="1"/>
    <x v="2"/>
    <n v="489"/>
    <n v="7.5800000000000006E-2"/>
    <n v="0.38"/>
    <n v="0.1343"/>
    <x v="17"/>
    <x v="79"/>
    <x v="55"/>
    <x v="0"/>
  </r>
  <r>
    <n v="491"/>
    <n v="40571"/>
    <x v="0"/>
    <x v="0"/>
    <x v="15"/>
    <b v="0"/>
    <n v="5"/>
    <x v="1"/>
    <x v="2"/>
    <n v="490"/>
    <n v="0.1061"/>
    <n v="0.38"/>
    <n v="0.1045"/>
    <x v="22"/>
    <x v="91"/>
    <x v="27"/>
    <x v="0"/>
  </r>
  <r>
    <n v="492"/>
    <n v="40571"/>
    <x v="0"/>
    <x v="0"/>
    <x v="15"/>
    <b v="0"/>
    <n v="5"/>
    <x v="1"/>
    <x v="2"/>
    <n v="491"/>
    <n v="0.16669999999999999"/>
    <n v="0.35"/>
    <n v="0"/>
    <x v="6"/>
    <x v="109"/>
    <x v="11"/>
    <x v="0"/>
  </r>
  <r>
    <n v="493"/>
    <n v="40571"/>
    <x v="0"/>
    <x v="0"/>
    <x v="15"/>
    <b v="0"/>
    <n v="5"/>
    <x v="1"/>
    <x v="2"/>
    <n v="492"/>
    <n v="0.13639999999999999"/>
    <n v="0.33"/>
    <n v="0.1045"/>
    <x v="16"/>
    <x v="27"/>
    <x v="28"/>
    <x v="0"/>
  </r>
  <r>
    <n v="494"/>
    <n v="40571"/>
    <x v="0"/>
    <x v="0"/>
    <x v="15"/>
    <b v="0"/>
    <n v="5"/>
    <x v="1"/>
    <x v="2"/>
    <n v="493"/>
    <n v="0.1515"/>
    <n v="0.28000000000000003"/>
    <n v="0"/>
    <x v="22"/>
    <x v="139"/>
    <x v="153"/>
    <x v="0"/>
  </r>
  <r>
    <n v="495"/>
    <n v="40571"/>
    <x v="0"/>
    <x v="0"/>
    <x v="15"/>
    <b v="0"/>
    <n v="5"/>
    <x v="1"/>
    <x v="2"/>
    <n v="494"/>
    <n v="0.13639999999999999"/>
    <n v="0.28000000000000003"/>
    <n v="0.19400000000000001"/>
    <x v="16"/>
    <x v="109"/>
    <x v="56"/>
    <x v="0"/>
  </r>
  <r>
    <n v="496"/>
    <n v="40571"/>
    <x v="0"/>
    <x v="0"/>
    <x v="15"/>
    <b v="0"/>
    <n v="5"/>
    <x v="1"/>
    <x v="2"/>
    <n v="495"/>
    <n v="0.19700000000000001"/>
    <n v="0.28000000000000003"/>
    <n v="0"/>
    <x v="1"/>
    <x v="79"/>
    <x v="16"/>
    <x v="0"/>
  </r>
  <r>
    <n v="497"/>
    <n v="40571"/>
    <x v="0"/>
    <x v="0"/>
    <x v="15"/>
    <b v="0"/>
    <n v="5"/>
    <x v="1"/>
    <x v="2"/>
    <n v="496"/>
    <n v="9.0899999999999995E-2"/>
    <n v="0.35"/>
    <n v="0.19400000000000001"/>
    <x v="3"/>
    <x v="25"/>
    <x v="60"/>
    <x v="0"/>
  </r>
  <r>
    <n v="498"/>
    <n v="40571"/>
    <x v="0"/>
    <x v="0"/>
    <x v="15"/>
    <b v="0"/>
    <n v="5"/>
    <x v="1"/>
    <x v="2"/>
    <n v="497"/>
    <n v="0.1061"/>
    <n v="0.35"/>
    <n v="0.1343"/>
    <x v="15"/>
    <x v="42"/>
    <x v="29"/>
    <x v="0"/>
  </r>
  <r>
    <n v="499"/>
    <n v="40571"/>
    <x v="0"/>
    <x v="0"/>
    <x v="15"/>
    <b v="0"/>
    <n v="5"/>
    <x v="1"/>
    <x v="2"/>
    <n v="498"/>
    <n v="7.5800000000000006E-2"/>
    <n v="0.45"/>
    <n v="0.16420000000000001"/>
    <x v="5"/>
    <x v="100"/>
    <x v="79"/>
    <x v="0"/>
  </r>
  <r>
    <n v="500"/>
    <n v="40571"/>
    <x v="0"/>
    <x v="0"/>
    <x v="15"/>
    <b v="0"/>
    <n v="5"/>
    <x v="1"/>
    <x v="2"/>
    <n v="499"/>
    <n v="0.1061"/>
    <n v="0.41"/>
    <n v="8.9599999999999999E-2"/>
    <x v="3"/>
    <x v="87"/>
    <x v="21"/>
    <x v="0"/>
  </r>
  <r>
    <n v="501"/>
    <n v="40571"/>
    <x v="0"/>
    <x v="0"/>
    <x v="15"/>
    <b v="0"/>
    <n v="5"/>
    <x v="1"/>
    <x v="2"/>
    <n v="500"/>
    <n v="0.1515"/>
    <n v="0.49"/>
    <n v="0"/>
    <x v="18"/>
    <x v="140"/>
    <x v="33"/>
    <x v="0"/>
  </r>
  <r>
    <n v="502"/>
    <n v="40571"/>
    <x v="0"/>
    <x v="0"/>
    <x v="15"/>
    <b v="0"/>
    <n v="5"/>
    <x v="1"/>
    <x v="2"/>
    <n v="501"/>
    <n v="7.5800000000000006E-2"/>
    <n v="0.56999999999999995"/>
    <n v="0.1045"/>
    <x v="4"/>
    <x v="17"/>
    <x v="63"/>
    <x v="0"/>
  </r>
  <r>
    <n v="503"/>
    <n v="40571"/>
    <x v="0"/>
    <x v="0"/>
    <x v="15"/>
    <b v="0"/>
    <n v="5"/>
    <x v="1"/>
    <x v="2"/>
    <n v="502"/>
    <n v="7.5800000000000006E-2"/>
    <n v="0.56999999999999995"/>
    <n v="0.1045"/>
    <x v="4"/>
    <x v="32"/>
    <x v="34"/>
    <x v="0"/>
  </r>
  <r>
    <n v="504"/>
    <n v="40571"/>
    <x v="0"/>
    <x v="0"/>
    <x v="15"/>
    <b v="0"/>
    <n v="5"/>
    <x v="1"/>
    <x v="2"/>
    <n v="503"/>
    <n v="7.5800000000000006E-2"/>
    <n v="0.56999999999999995"/>
    <n v="0.1045"/>
    <x v="5"/>
    <x v="98"/>
    <x v="3"/>
    <x v="0"/>
  </r>
  <r>
    <n v="505"/>
    <n v="40571"/>
    <x v="0"/>
    <x v="0"/>
    <x v="15"/>
    <b v="0"/>
    <n v="5"/>
    <x v="1"/>
    <x v="2"/>
    <n v="504"/>
    <n v="6.0600000000000001E-2"/>
    <n v="0.62"/>
    <n v="0.1343"/>
    <x v="0"/>
    <x v="89"/>
    <x v="109"/>
    <x v="0"/>
  </r>
  <r>
    <n v="506"/>
    <n v="40571"/>
    <x v="0"/>
    <x v="0"/>
    <x v="15"/>
    <b v="0"/>
    <n v="5"/>
    <x v="1"/>
    <x v="2"/>
    <n v="505"/>
    <n v="6.0600000000000001E-2"/>
    <n v="0.62"/>
    <n v="0.1343"/>
    <x v="5"/>
    <x v="22"/>
    <x v="36"/>
    <x v="0"/>
  </r>
  <r>
    <n v="507"/>
    <n v="40571"/>
    <x v="0"/>
    <x v="0"/>
    <x v="15"/>
    <b v="0"/>
    <n v="5"/>
    <x v="1"/>
    <x v="2"/>
    <n v="506"/>
    <n v="7.5800000000000006E-2"/>
    <n v="0.56999999999999995"/>
    <n v="0.1045"/>
    <x v="3"/>
    <x v="35"/>
    <x v="6"/>
    <x v="0"/>
  </r>
  <r>
    <n v="508"/>
    <n v="40571"/>
    <x v="0"/>
    <x v="0"/>
    <x v="15"/>
    <b v="0"/>
    <n v="5"/>
    <x v="1"/>
    <x v="2"/>
    <n v="507"/>
    <n v="7.5800000000000006E-2"/>
    <n v="0.56999999999999995"/>
    <n v="0.1045"/>
    <x v="3"/>
    <x v="4"/>
    <x v="4"/>
    <x v="0"/>
  </r>
  <r>
    <n v="509"/>
    <n v="40571"/>
    <x v="0"/>
    <x v="0"/>
    <x v="15"/>
    <b v="0"/>
    <n v="5"/>
    <x v="1"/>
    <x v="2"/>
    <n v="508"/>
    <n v="0.1061"/>
    <n v="0.57999999999999996"/>
    <n v="0.16420000000000001"/>
    <x v="5"/>
    <x v="4"/>
    <x v="5"/>
    <x v="0"/>
  </r>
  <r>
    <n v="510"/>
    <n v="40571"/>
    <x v="0"/>
    <x v="0"/>
    <x v="15"/>
    <b v="0"/>
    <n v="5"/>
    <x v="1"/>
    <x v="2"/>
    <n v="509"/>
    <n v="7.5800000000000006E-2"/>
    <n v="0.62"/>
    <n v="0.16420000000000001"/>
    <x v="4"/>
    <x v="19"/>
    <x v="75"/>
    <x v="0"/>
  </r>
  <r>
    <n v="511"/>
    <n v="40571"/>
    <x v="0"/>
    <x v="0"/>
    <x v="15"/>
    <b v="0"/>
    <n v="5"/>
    <x v="1"/>
    <x v="2"/>
    <n v="510"/>
    <n v="7.5800000000000006E-2"/>
    <n v="0.54"/>
    <n v="0.35820000000000002"/>
    <x v="0"/>
    <x v="18"/>
    <x v="20"/>
    <x v="0"/>
  </r>
  <r>
    <n v="512"/>
    <n v="40571"/>
    <x v="0"/>
    <x v="0"/>
    <x v="15"/>
    <b v="0"/>
    <n v="5"/>
    <x v="1"/>
    <x v="2"/>
    <n v="511"/>
    <n v="0.1061"/>
    <n v="0.46"/>
    <n v="0.3881"/>
    <x v="18"/>
    <x v="82"/>
    <x v="154"/>
    <x v="0"/>
  </r>
  <r>
    <n v="513"/>
    <n v="40571"/>
    <x v="0"/>
    <x v="0"/>
    <x v="15"/>
    <b v="0"/>
    <n v="5"/>
    <x v="1"/>
    <x v="2"/>
    <n v="512"/>
    <n v="0.13639999999999999"/>
    <n v="0.43"/>
    <n v="0.22389999999999999"/>
    <x v="30"/>
    <x v="99"/>
    <x v="111"/>
    <x v="0"/>
  </r>
  <r>
    <n v="514"/>
    <n v="40571"/>
    <x v="0"/>
    <x v="0"/>
    <x v="15"/>
    <b v="0"/>
    <n v="5"/>
    <x v="1"/>
    <x v="2"/>
    <n v="513"/>
    <n v="0.1212"/>
    <n v="0.37"/>
    <n v="0.4627"/>
    <x v="31"/>
    <x v="50"/>
    <x v="155"/>
    <x v="0"/>
  </r>
  <r>
    <n v="515"/>
    <n v="40571"/>
    <x v="0"/>
    <x v="0"/>
    <x v="15"/>
    <b v="0"/>
    <n v="5"/>
    <x v="1"/>
    <x v="2"/>
    <n v="514"/>
    <n v="0.1061"/>
    <n v="0.33"/>
    <n v="0.3881"/>
    <x v="6"/>
    <x v="102"/>
    <x v="90"/>
    <x v="0"/>
  </r>
  <r>
    <n v="516"/>
    <n v="40571"/>
    <x v="0"/>
    <x v="0"/>
    <x v="15"/>
    <b v="0"/>
    <n v="5"/>
    <x v="1"/>
    <x v="2"/>
    <n v="515"/>
    <n v="0.13639999999999999"/>
    <n v="0.28000000000000003"/>
    <n v="0.35820000000000002"/>
    <x v="26"/>
    <x v="139"/>
    <x v="14"/>
    <x v="0"/>
  </r>
  <r>
    <n v="517"/>
    <n v="40571"/>
    <x v="0"/>
    <x v="0"/>
    <x v="15"/>
    <b v="0"/>
    <n v="5"/>
    <x v="1"/>
    <x v="2"/>
    <n v="516"/>
    <n v="0.13639999999999999"/>
    <n v="0.28000000000000003"/>
    <n v="0.35820000000000002"/>
    <x v="23"/>
    <x v="27"/>
    <x v="43"/>
    <x v="0"/>
  </r>
  <r>
    <n v="518"/>
    <n v="40571"/>
    <x v="0"/>
    <x v="0"/>
    <x v="15"/>
    <b v="0"/>
    <n v="5"/>
    <x v="1"/>
    <x v="2"/>
    <n v="517"/>
    <n v="0.13639999999999999"/>
    <n v="0.26"/>
    <n v="0.32840000000000003"/>
    <x v="14"/>
    <x v="90"/>
    <x v="32"/>
    <x v="0"/>
  </r>
  <r>
    <n v="519"/>
    <n v="40571"/>
    <x v="0"/>
    <x v="0"/>
    <x v="15"/>
    <b v="0"/>
    <n v="5"/>
    <x v="1"/>
    <x v="2"/>
    <n v="518"/>
    <n v="0.1061"/>
    <n v="0.26"/>
    <n v="0.3881"/>
    <x v="2"/>
    <x v="54"/>
    <x v="97"/>
    <x v="0"/>
  </r>
  <r>
    <n v="520"/>
    <n v="40571"/>
    <x v="0"/>
    <x v="0"/>
    <x v="15"/>
    <b v="0"/>
    <n v="5"/>
    <x v="1"/>
    <x v="2"/>
    <n v="519"/>
    <n v="0.1212"/>
    <n v="0.3"/>
    <n v="0.25369999999999998"/>
    <x v="2"/>
    <x v="100"/>
    <x v="99"/>
    <x v="0"/>
  </r>
  <r>
    <n v="521"/>
    <n v="40571"/>
    <x v="0"/>
    <x v="0"/>
    <x v="15"/>
    <b v="0"/>
    <n v="5"/>
    <x v="1"/>
    <x v="2"/>
    <n v="520"/>
    <n v="0.1212"/>
    <n v="0.3"/>
    <n v="0.28360000000000002"/>
    <x v="2"/>
    <x v="108"/>
    <x v="89"/>
    <x v="0"/>
  </r>
  <r>
    <n v="522"/>
    <n v="40571"/>
    <x v="0"/>
    <x v="0"/>
    <x v="15"/>
    <b v="0"/>
    <n v="5"/>
    <x v="1"/>
    <x v="2"/>
    <n v="521"/>
    <n v="0.1061"/>
    <n v="0.36"/>
    <n v="0.25369999999999998"/>
    <x v="17"/>
    <x v="17"/>
    <x v="17"/>
    <x v="0"/>
  </r>
  <r>
    <n v="523"/>
    <n v="40571"/>
    <x v="0"/>
    <x v="0"/>
    <x v="15"/>
    <b v="0"/>
    <n v="5"/>
    <x v="1"/>
    <x v="2"/>
    <n v="522"/>
    <n v="0.1061"/>
    <n v="0.36"/>
    <n v="0.19400000000000001"/>
    <x v="2"/>
    <x v="32"/>
    <x v="94"/>
    <x v="0"/>
  </r>
  <r>
    <n v="524"/>
    <n v="40571"/>
    <x v="0"/>
    <x v="0"/>
    <x v="15"/>
    <b v="0"/>
    <n v="5"/>
    <x v="1"/>
    <x v="2"/>
    <n v="523"/>
    <n v="9.0899999999999995E-2"/>
    <n v="0.38"/>
    <n v="0.19400000000000001"/>
    <x v="2"/>
    <x v="140"/>
    <x v="20"/>
    <x v="0"/>
  </r>
  <r>
    <n v="525"/>
    <n v="40571"/>
    <x v="0"/>
    <x v="0"/>
    <x v="15"/>
    <b v="0"/>
    <n v="5"/>
    <x v="1"/>
    <x v="2"/>
    <n v="524"/>
    <n v="6.0600000000000001E-2"/>
    <n v="0.41"/>
    <n v="0.22389999999999999"/>
    <x v="17"/>
    <x v="19"/>
    <x v="137"/>
    <x v="0"/>
  </r>
  <r>
    <n v="526"/>
    <n v="40571"/>
    <x v="0"/>
    <x v="0"/>
    <x v="15"/>
    <b v="0"/>
    <n v="5"/>
    <x v="1"/>
    <x v="2"/>
    <n v="525"/>
    <n v="6.0600000000000001E-2"/>
    <n v="0.41"/>
    <n v="0.19400000000000001"/>
    <x v="3"/>
    <x v="7"/>
    <x v="85"/>
    <x v="0"/>
  </r>
  <r>
    <n v="527"/>
    <n v="40571"/>
    <x v="0"/>
    <x v="0"/>
    <x v="15"/>
    <b v="0"/>
    <n v="5"/>
    <x v="1"/>
    <x v="2"/>
    <n v="526"/>
    <n v="4.5499999999999999E-2"/>
    <n v="0.45"/>
    <n v="0.19400000000000001"/>
    <x v="3"/>
    <x v="4"/>
    <x v="4"/>
    <x v="0"/>
  </r>
  <r>
    <n v="528"/>
    <n v="40571"/>
    <x v="0"/>
    <x v="0"/>
    <x v="15"/>
    <b v="0"/>
    <n v="5"/>
    <x v="1"/>
    <x v="2"/>
    <n v="527"/>
    <n v="3.0300000000000001E-2"/>
    <n v="0.45"/>
    <n v="0.25369999999999998"/>
    <x v="3"/>
    <x v="4"/>
    <x v="4"/>
    <x v="0"/>
  </r>
  <r>
    <n v="529"/>
    <n v="40571"/>
    <x v="0"/>
    <x v="0"/>
    <x v="15"/>
    <b v="0"/>
    <n v="5"/>
    <x v="1"/>
    <x v="2"/>
    <n v="528"/>
    <n v="6.0600000000000001E-2"/>
    <n v="0.48"/>
    <n v="0.1343"/>
    <x v="3"/>
    <x v="4"/>
    <x v="4"/>
    <x v="0"/>
  </r>
  <r>
    <n v="530"/>
    <n v="40571"/>
    <x v="0"/>
    <x v="0"/>
    <x v="15"/>
    <b v="0"/>
    <n v="5"/>
    <x v="1"/>
    <x v="2"/>
    <n v="529"/>
    <n v="6.0600000000000001E-2"/>
    <n v="0.48"/>
    <n v="0.1343"/>
    <x v="3"/>
    <x v="34"/>
    <x v="36"/>
    <x v="0"/>
  </r>
  <r>
    <n v="531"/>
    <n v="40571"/>
    <x v="0"/>
    <x v="0"/>
    <x v="15"/>
    <b v="0"/>
    <n v="5"/>
    <x v="1"/>
    <x v="2"/>
    <n v="530"/>
    <n v="7.5800000000000006E-2"/>
    <n v="0.48"/>
    <n v="8.9599999999999999E-2"/>
    <x v="3"/>
    <x v="89"/>
    <x v="93"/>
    <x v="0"/>
  </r>
  <r>
    <n v="532"/>
    <n v="40571"/>
    <x v="0"/>
    <x v="0"/>
    <x v="15"/>
    <b v="0"/>
    <n v="5"/>
    <x v="1"/>
    <x v="2"/>
    <n v="531"/>
    <n v="0.1212"/>
    <n v="0.48"/>
    <n v="0"/>
    <x v="2"/>
    <x v="55"/>
    <x v="11"/>
    <x v="0"/>
  </r>
  <r>
    <n v="533"/>
    <n v="40571"/>
    <x v="0"/>
    <x v="0"/>
    <x v="15"/>
    <b v="0"/>
    <n v="5"/>
    <x v="1"/>
    <x v="2"/>
    <n v="532"/>
    <n v="0.13639999999999999"/>
    <n v="0.49"/>
    <n v="0"/>
    <x v="15"/>
    <x v="141"/>
    <x v="156"/>
    <x v="0"/>
  </r>
  <r>
    <n v="534"/>
    <n v="40571"/>
    <x v="0"/>
    <x v="0"/>
    <x v="15"/>
    <b v="0"/>
    <n v="5"/>
    <x v="1"/>
    <x v="2"/>
    <n v="533"/>
    <n v="0.1515"/>
    <n v="0.41"/>
    <n v="0"/>
    <x v="17"/>
    <x v="52"/>
    <x v="96"/>
    <x v="0"/>
  </r>
  <r>
    <n v="535"/>
    <n v="40571"/>
    <x v="0"/>
    <x v="0"/>
    <x v="15"/>
    <b v="0"/>
    <n v="5"/>
    <x v="1"/>
    <x v="2"/>
    <n v="534"/>
    <n v="0.13639999999999999"/>
    <n v="0.42"/>
    <n v="0"/>
    <x v="15"/>
    <x v="60"/>
    <x v="1"/>
    <x v="0"/>
  </r>
  <r>
    <n v="536"/>
    <n v="40571"/>
    <x v="0"/>
    <x v="0"/>
    <x v="15"/>
    <b v="0"/>
    <n v="5"/>
    <x v="1"/>
    <x v="2"/>
    <n v="535"/>
    <n v="0.1212"/>
    <n v="0.46"/>
    <n v="0.1343"/>
    <x v="0"/>
    <x v="30"/>
    <x v="66"/>
    <x v="0"/>
  </r>
  <r>
    <n v="537"/>
    <n v="40571"/>
    <x v="0"/>
    <x v="0"/>
    <x v="15"/>
    <b v="0"/>
    <n v="5"/>
    <x v="1"/>
    <x v="2"/>
    <n v="536"/>
    <n v="0.13639999999999999"/>
    <n v="0.42"/>
    <n v="0.19400000000000001"/>
    <x v="16"/>
    <x v="15"/>
    <x v="55"/>
    <x v="0"/>
  </r>
  <r>
    <n v="538"/>
    <n v="40571"/>
    <x v="0"/>
    <x v="0"/>
    <x v="15"/>
    <b v="0"/>
    <n v="5"/>
    <x v="1"/>
    <x v="2"/>
    <n v="537"/>
    <n v="0.13639999999999999"/>
    <n v="0.43"/>
    <n v="0.22389999999999999"/>
    <x v="15"/>
    <x v="25"/>
    <x v="122"/>
    <x v="0"/>
  </r>
  <r>
    <n v="539"/>
    <n v="40571"/>
    <x v="0"/>
    <x v="0"/>
    <x v="15"/>
    <b v="0"/>
    <n v="5"/>
    <x v="1"/>
    <x v="2"/>
    <n v="538"/>
    <n v="0.13639999999999999"/>
    <n v="0.46"/>
    <n v="0.22389999999999999"/>
    <x v="4"/>
    <x v="30"/>
    <x v="79"/>
    <x v="0"/>
  </r>
  <r>
    <n v="540"/>
    <n v="40571"/>
    <x v="0"/>
    <x v="0"/>
    <x v="15"/>
    <b v="0"/>
    <n v="5"/>
    <x v="1"/>
    <x v="2"/>
    <n v="539"/>
    <n v="0.16669999999999999"/>
    <n v="0.4"/>
    <n v="0.16420000000000001"/>
    <x v="18"/>
    <x v="54"/>
    <x v="52"/>
    <x v="0"/>
  </r>
  <r>
    <n v="541"/>
    <n v="40571"/>
    <x v="0"/>
    <x v="0"/>
    <x v="15"/>
    <b v="0"/>
    <n v="5"/>
    <x v="1"/>
    <x v="2"/>
    <n v="540"/>
    <n v="0.1515"/>
    <n v="0.47"/>
    <n v="0.25369999999999998"/>
    <x v="17"/>
    <x v="43"/>
    <x v="27"/>
    <x v="0"/>
  </r>
  <r>
    <n v="542"/>
    <n v="40571"/>
    <x v="0"/>
    <x v="0"/>
    <x v="15"/>
    <b v="0"/>
    <n v="5"/>
    <x v="1"/>
    <x v="2"/>
    <n v="541"/>
    <n v="0.1212"/>
    <n v="0.5"/>
    <n v="0.25369999999999998"/>
    <x v="15"/>
    <x v="86"/>
    <x v="157"/>
    <x v="0"/>
  </r>
  <r>
    <n v="543"/>
    <n v="40571"/>
    <x v="0"/>
    <x v="0"/>
    <x v="15"/>
    <b v="0"/>
    <n v="5"/>
    <x v="1"/>
    <x v="2"/>
    <n v="542"/>
    <n v="0.13639999999999999"/>
    <n v="0.59"/>
    <n v="0.19400000000000001"/>
    <x v="1"/>
    <x v="142"/>
    <x v="158"/>
    <x v="0"/>
  </r>
  <r>
    <n v="544"/>
    <n v="40571"/>
    <x v="0"/>
    <x v="0"/>
    <x v="15"/>
    <b v="0"/>
    <n v="5"/>
    <x v="1"/>
    <x v="2"/>
    <n v="543"/>
    <n v="0.1515"/>
    <n v="0.54"/>
    <n v="0.16420000000000001"/>
    <x v="2"/>
    <x v="143"/>
    <x v="13"/>
    <x v="0"/>
  </r>
  <r>
    <n v="545"/>
    <n v="40571"/>
    <x v="0"/>
    <x v="0"/>
    <x v="15"/>
    <b v="0"/>
    <n v="5"/>
    <x v="1"/>
    <x v="2"/>
    <n v="544"/>
    <n v="0.13639999999999999"/>
    <n v="0.59"/>
    <n v="0.19400000000000001"/>
    <x v="5"/>
    <x v="122"/>
    <x v="117"/>
    <x v="0"/>
  </r>
  <r>
    <n v="546"/>
    <n v="40571"/>
    <x v="0"/>
    <x v="0"/>
    <x v="15"/>
    <b v="0"/>
    <n v="5"/>
    <x v="1"/>
    <x v="2"/>
    <n v="545"/>
    <n v="0.1515"/>
    <n v="0.63"/>
    <n v="0.16420000000000001"/>
    <x v="15"/>
    <x v="42"/>
    <x v="29"/>
    <x v="0"/>
  </r>
  <r>
    <n v="547"/>
    <n v="40571"/>
    <x v="0"/>
    <x v="0"/>
    <x v="15"/>
    <b v="0"/>
    <n v="5"/>
    <x v="1"/>
    <x v="2"/>
    <n v="546"/>
    <n v="0.13639999999999999"/>
    <n v="0.63"/>
    <n v="0.22389999999999999"/>
    <x v="0"/>
    <x v="1"/>
    <x v="17"/>
    <x v="0"/>
  </r>
  <r>
    <n v="548"/>
    <n v="40571"/>
    <x v="0"/>
    <x v="0"/>
    <x v="15"/>
    <b v="0"/>
    <n v="5"/>
    <x v="1"/>
    <x v="2"/>
    <n v="547"/>
    <n v="0.1515"/>
    <n v="0.64"/>
    <n v="0.25369999999999998"/>
    <x v="0"/>
    <x v="144"/>
    <x v="108"/>
    <x v="0"/>
  </r>
  <r>
    <n v="549"/>
    <n v="40571"/>
    <x v="0"/>
    <x v="0"/>
    <x v="15"/>
    <b v="0"/>
    <n v="5"/>
    <x v="1"/>
    <x v="2"/>
    <n v="548"/>
    <n v="0.13639999999999999"/>
    <n v="0.69"/>
    <n v="0.28360000000000002"/>
    <x v="0"/>
    <x v="8"/>
    <x v="23"/>
    <x v="0"/>
  </r>
  <r>
    <n v="550"/>
    <n v="40571"/>
    <x v="0"/>
    <x v="0"/>
    <x v="15"/>
    <b v="0"/>
    <n v="5"/>
    <x v="1"/>
    <x v="2"/>
    <n v="549"/>
    <n v="0.16669999999999999"/>
    <n v="0.69"/>
    <n v="0.16420000000000001"/>
    <x v="3"/>
    <x v="34"/>
    <x v="36"/>
    <x v="0"/>
  </r>
  <r>
    <n v="551"/>
    <n v="40571"/>
    <x v="0"/>
    <x v="0"/>
    <x v="15"/>
    <b v="0"/>
    <n v="5"/>
    <x v="1"/>
    <x v="2"/>
    <n v="550"/>
    <n v="0.1515"/>
    <n v="0.69"/>
    <n v="0.22389999999999999"/>
    <x v="3"/>
    <x v="6"/>
    <x v="5"/>
    <x v="0"/>
  </r>
  <r>
    <n v="552"/>
    <n v="40571"/>
    <x v="0"/>
    <x v="0"/>
    <x v="15"/>
    <b v="0"/>
    <n v="5"/>
    <x v="1"/>
    <x v="2"/>
    <n v="551"/>
    <n v="0.16669999999999999"/>
    <n v="0.74"/>
    <n v="0.1045"/>
    <x v="3"/>
    <x v="4"/>
    <x v="4"/>
    <x v="0"/>
  </r>
  <r>
    <n v="553"/>
    <n v="40571"/>
    <x v="0"/>
    <x v="0"/>
    <x v="15"/>
    <b v="0"/>
    <n v="5"/>
    <x v="1"/>
    <x v="2"/>
    <n v="552"/>
    <n v="0.13639999999999999"/>
    <n v="0.74"/>
    <n v="0.22389999999999999"/>
    <x v="3"/>
    <x v="33"/>
    <x v="23"/>
    <x v="0"/>
  </r>
  <r>
    <n v="554"/>
    <n v="40571"/>
    <x v="0"/>
    <x v="0"/>
    <x v="15"/>
    <b v="0"/>
    <n v="5"/>
    <x v="1"/>
    <x v="2"/>
    <n v="553"/>
    <n v="0.18179999999999999"/>
    <n v="0.74"/>
    <n v="0.1045"/>
    <x v="5"/>
    <x v="96"/>
    <x v="9"/>
    <x v="0"/>
  </r>
  <r>
    <n v="555"/>
    <n v="40571"/>
    <x v="0"/>
    <x v="0"/>
    <x v="15"/>
    <b v="0"/>
    <n v="5"/>
    <x v="1"/>
    <x v="2"/>
    <n v="554"/>
    <n v="0.1515"/>
    <n v="0.74"/>
    <n v="0.22389999999999999"/>
    <x v="2"/>
    <x v="145"/>
    <x v="159"/>
    <x v="0"/>
  </r>
  <r>
    <n v="556"/>
    <n v="40571"/>
    <x v="0"/>
    <x v="0"/>
    <x v="15"/>
    <b v="0"/>
    <n v="5"/>
    <x v="1"/>
    <x v="2"/>
    <n v="555"/>
    <n v="0.18179999999999999"/>
    <n v="0.74"/>
    <n v="0.1343"/>
    <x v="2"/>
    <x v="146"/>
    <x v="160"/>
    <x v="0"/>
  </r>
  <r>
    <n v="557"/>
    <n v="40571"/>
    <x v="0"/>
    <x v="0"/>
    <x v="15"/>
    <b v="0"/>
    <n v="5"/>
    <x v="1"/>
    <x v="2"/>
    <n v="556"/>
    <n v="0.2273"/>
    <n v="0.64"/>
    <n v="8.9599999999999999E-2"/>
    <x v="22"/>
    <x v="120"/>
    <x v="124"/>
    <x v="0"/>
  </r>
  <r>
    <n v="558"/>
    <n v="40571"/>
    <x v="0"/>
    <x v="0"/>
    <x v="15"/>
    <b v="0"/>
    <n v="5"/>
    <x v="1"/>
    <x v="2"/>
    <n v="557"/>
    <n v="0.2424"/>
    <n v="0.6"/>
    <n v="0.1045"/>
    <x v="15"/>
    <x v="47"/>
    <x v="97"/>
    <x v="0"/>
  </r>
  <r>
    <n v="559"/>
    <n v="40571"/>
    <x v="0"/>
    <x v="0"/>
    <x v="15"/>
    <b v="0"/>
    <n v="5"/>
    <x v="1"/>
    <x v="2"/>
    <n v="558"/>
    <n v="0.2424"/>
    <n v="0.6"/>
    <n v="0.1343"/>
    <x v="15"/>
    <x v="11"/>
    <x v="42"/>
    <x v="0"/>
  </r>
  <r>
    <n v="560"/>
    <n v="40571"/>
    <x v="0"/>
    <x v="0"/>
    <x v="15"/>
    <b v="0"/>
    <n v="5"/>
    <x v="1"/>
    <x v="2"/>
    <n v="559"/>
    <n v="0.28789999999999999"/>
    <n v="0.56000000000000005"/>
    <n v="8.9599999999999999E-2"/>
    <x v="27"/>
    <x v="66"/>
    <x v="13"/>
    <x v="0"/>
  </r>
  <r>
    <n v="561"/>
    <n v="40571"/>
    <x v="0"/>
    <x v="0"/>
    <x v="15"/>
    <b v="0"/>
    <n v="5"/>
    <x v="1"/>
    <x v="2"/>
    <n v="560"/>
    <n v="0.2727"/>
    <n v="0.56000000000000005"/>
    <n v="0.1343"/>
    <x v="27"/>
    <x v="109"/>
    <x v="15"/>
    <x v="0"/>
  </r>
  <r>
    <n v="562"/>
    <n v="40571"/>
    <x v="0"/>
    <x v="0"/>
    <x v="15"/>
    <b v="0"/>
    <n v="5"/>
    <x v="1"/>
    <x v="2"/>
    <n v="561"/>
    <n v="0.33329999999999999"/>
    <n v="0.45"/>
    <n v="0"/>
    <x v="16"/>
    <x v="77"/>
    <x v="118"/>
    <x v="0"/>
  </r>
  <r>
    <n v="563"/>
    <n v="40571"/>
    <x v="0"/>
    <x v="0"/>
    <x v="15"/>
    <b v="0"/>
    <n v="5"/>
    <x v="1"/>
    <x v="2"/>
    <n v="562"/>
    <n v="0.34849999999999998"/>
    <n v="0.42"/>
    <n v="0"/>
    <x v="27"/>
    <x v="36"/>
    <x v="11"/>
    <x v="0"/>
  </r>
  <r>
    <n v="564"/>
    <n v="40571"/>
    <x v="0"/>
    <x v="0"/>
    <x v="15"/>
    <b v="0"/>
    <n v="5"/>
    <x v="1"/>
    <x v="2"/>
    <n v="563"/>
    <n v="0.34849999999999998"/>
    <n v="0.42"/>
    <n v="0"/>
    <x v="24"/>
    <x v="46"/>
    <x v="155"/>
    <x v="0"/>
  </r>
  <r>
    <n v="565"/>
    <n v="40571"/>
    <x v="0"/>
    <x v="0"/>
    <x v="15"/>
    <b v="0"/>
    <n v="5"/>
    <x v="1"/>
    <x v="2"/>
    <n v="564"/>
    <n v="0.33329999999999999"/>
    <n v="0.45"/>
    <n v="0"/>
    <x v="24"/>
    <x v="147"/>
    <x v="161"/>
    <x v="0"/>
  </r>
  <r>
    <n v="566"/>
    <n v="40571"/>
    <x v="0"/>
    <x v="0"/>
    <x v="15"/>
    <b v="0"/>
    <n v="5"/>
    <x v="1"/>
    <x v="2"/>
    <n v="565"/>
    <n v="0.31819999999999998"/>
    <n v="0.49"/>
    <n v="8.9599999999999999E-2"/>
    <x v="18"/>
    <x v="148"/>
    <x v="162"/>
    <x v="0"/>
  </r>
  <r>
    <n v="567"/>
    <n v="40571"/>
    <x v="0"/>
    <x v="0"/>
    <x v="15"/>
    <b v="0"/>
    <n v="5"/>
    <x v="1"/>
    <x v="2"/>
    <n v="566"/>
    <n v="0.2576"/>
    <n v="0.65"/>
    <n v="0.16420000000000001"/>
    <x v="23"/>
    <x v="149"/>
    <x v="163"/>
    <x v="0"/>
  </r>
  <r>
    <n v="568"/>
    <n v="40571"/>
    <x v="0"/>
    <x v="0"/>
    <x v="15"/>
    <b v="0"/>
    <n v="5"/>
    <x v="1"/>
    <x v="2"/>
    <n v="567"/>
    <n v="0.2273"/>
    <n v="0.65"/>
    <n v="0.19400000000000001"/>
    <x v="19"/>
    <x v="145"/>
    <x v="164"/>
    <x v="0"/>
  </r>
  <r>
    <n v="569"/>
    <n v="40571"/>
    <x v="0"/>
    <x v="0"/>
    <x v="15"/>
    <b v="0"/>
    <n v="5"/>
    <x v="1"/>
    <x v="2"/>
    <n v="568"/>
    <n v="0.2273"/>
    <n v="0.65"/>
    <n v="0.19400000000000001"/>
    <x v="2"/>
    <x v="71"/>
    <x v="79"/>
    <x v="0"/>
  </r>
  <r>
    <n v="570"/>
    <n v="40571"/>
    <x v="0"/>
    <x v="0"/>
    <x v="15"/>
    <b v="0"/>
    <n v="5"/>
    <x v="1"/>
    <x v="2"/>
    <n v="569"/>
    <n v="0.2273"/>
    <n v="0.64"/>
    <n v="0.16420000000000001"/>
    <x v="17"/>
    <x v="47"/>
    <x v="26"/>
    <x v="0"/>
  </r>
  <r>
    <n v="571"/>
    <n v="40571"/>
    <x v="0"/>
    <x v="0"/>
    <x v="15"/>
    <b v="0"/>
    <n v="5"/>
    <x v="1"/>
    <x v="2"/>
    <n v="570"/>
    <n v="0.2273"/>
    <n v="0.64"/>
    <n v="0.16420000000000001"/>
    <x v="0"/>
    <x v="53"/>
    <x v="1"/>
    <x v="0"/>
  </r>
  <r>
    <n v="572"/>
    <n v="40571"/>
    <x v="0"/>
    <x v="0"/>
    <x v="15"/>
    <b v="0"/>
    <n v="5"/>
    <x v="1"/>
    <x v="2"/>
    <n v="571"/>
    <n v="0.2273"/>
    <n v="0.69"/>
    <n v="0.1343"/>
    <x v="0"/>
    <x v="88"/>
    <x v="22"/>
    <x v="0"/>
  </r>
  <r>
    <n v="573"/>
    <n v="40571"/>
    <x v="0"/>
    <x v="0"/>
    <x v="15"/>
    <b v="0"/>
    <n v="5"/>
    <x v="1"/>
    <x v="2"/>
    <n v="572"/>
    <n v="0.2424"/>
    <n v="0.65"/>
    <n v="0.1343"/>
    <x v="3"/>
    <x v="34"/>
    <x v="36"/>
    <x v="0"/>
  </r>
  <r>
    <n v="574"/>
    <n v="40571"/>
    <x v="0"/>
    <x v="0"/>
    <x v="15"/>
    <b v="0"/>
    <n v="5"/>
    <x v="1"/>
    <x v="2"/>
    <n v="573"/>
    <n v="0.2273"/>
    <n v="0.69"/>
    <n v="0.19400000000000001"/>
    <x v="0"/>
    <x v="7"/>
    <x v="98"/>
    <x v="0"/>
  </r>
  <r>
    <n v="575"/>
    <n v="40571"/>
    <x v="0"/>
    <x v="0"/>
    <x v="15"/>
    <b v="0"/>
    <n v="5"/>
    <x v="1"/>
    <x v="2"/>
    <n v="574"/>
    <n v="0.18179999999999999"/>
    <n v="0.86"/>
    <n v="0.28360000000000002"/>
    <x v="3"/>
    <x v="4"/>
    <x v="4"/>
    <x v="0"/>
  </r>
  <r>
    <n v="576"/>
    <n v="40571"/>
    <x v="0"/>
    <x v="0"/>
    <x v="15"/>
    <b v="0"/>
    <n v="5"/>
    <x v="1"/>
    <x v="2"/>
    <n v="575"/>
    <n v="0.18179999999999999"/>
    <n v="0.86"/>
    <n v="0.28360000000000002"/>
    <x v="3"/>
    <x v="21"/>
    <x v="7"/>
    <x v="0"/>
  </r>
  <r>
    <n v="577"/>
    <n v="40571"/>
    <x v="0"/>
    <x v="0"/>
    <x v="15"/>
    <b v="0"/>
    <n v="5"/>
    <x v="1"/>
    <x v="2"/>
    <n v="576"/>
    <n v="0.21210000000000001"/>
    <n v="0.87"/>
    <n v="0.29849999999999999"/>
    <x v="5"/>
    <x v="31"/>
    <x v="33"/>
    <x v="0"/>
  </r>
  <r>
    <n v="578"/>
    <n v="40571"/>
    <x v="0"/>
    <x v="0"/>
    <x v="15"/>
    <b v="0"/>
    <n v="5"/>
    <x v="1"/>
    <x v="2"/>
    <n v="577"/>
    <n v="0.21210000000000001"/>
    <n v="0.87"/>
    <n v="0.29849999999999999"/>
    <x v="0"/>
    <x v="94"/>
    <x v="44"/>
    <x v="0"/>
  </r>
  <r>
    <n v="579"/>
    <n v="40571"/>
    <x v="0"/>
    <x v="0"/>
    <x v="15"/>
    <b v="0"/>
    <n v="5"/>
    <x v="1"/>
    <x v="2"/>
    <n v="578"/>
    <n v="0.21210000000000001"/>
    <n v="0.87"/>
    <n v="0.29849999999999999"/>
    <x v="0"/>
    <x v="11"/>
    <x v="154"/>
    <x v="0"/>
  </r>
  <r>
    <n v="580"/>
    <n v="40571"/>
    <x v="0"/>
    <x v="0"/>
    <x v="15"/>
    <b v="0"/>
    <n v="5"/>
    <x v="1"/>
    <x v="2"/>
    <n v="579"/>
    <n v="0.21210000000000001"/>
    <n v="0.93"/>
    <n v="0.28360000000000002"/>
    <x v="4"/>
    <x v="16"/>
    <x v="20"/>
    <x v="0"/>
  </r>
  <r>
    <n v="581"/>
    <n v="40571"/>
    <x v="0"/>
    <x v="0"/>
    <x v="15"/>
    <b v="0"/>
    <n v="5"/>
    <x v="1"/>
    <x v="2"/>
    <n v="580"/>
    <n v="0.19700000000000001"/>
    <n v="0.93"/>
    <n v="0.32840000000000003"/>
    <x v="15"/>
    <x v="96"/>
    <x v="102"/>
    <x v="0"/>
  </r>
  <r>
    <n v="582"/>
    <n v="40571"/>
    <x v="0"/>
    <x v="0"/>
    <x v="15"/>
    <b v="0"/>
    <n v="5"/>
    <x v="1"/>
    <x v="2"/>
    <n v="581"/>
    <n v="0.19700000000000001"/>
    <n v="0.93"/>
    <n v="0.32840000000000003"/>
    <x v="18"/>
    <x v="40"/>
    <x v="61"/>
    <x v="0"/>
  </r>
  <r>
    <n v="583"/>
    <n v="40571"/>
    <x v="0"/>
    <x v="0"/>
    <x v="15"/>
    <b v="0"/>
    <n v="5"/>
    <x v="1"/>
    <x v="2"/>
    <n v="582"/>
    <n v="0.19700000000000001"/>
    <n v="0.93"/>
    <n v="0.32840000000000003"/>
    <x v="17"/>
    <x v="30"/>
    <x v="105"/>
    <x v="0"/>
  </r>
  <r>
    <n v="584"/>
    <n v="40571"/>
    <x v="0"/>
    <x v="0"/>
    <x v="15"/>
    <b v="0"/>
    <n v="5"/>
    <x v="1"/>
    <x v="2"/>
    <n v="583"/>
    <n v="0.19700000000000001"/>
    <n v="0.93"/>
    <n v="0.35820000000000002"/>
    <x v="3"/>
    <x v="49"/>
    <x v="9"/>
    <x v="0"/>
  </r>
  <r>
    <n v="585"/>
    <n v="40571"/>
    <x v="0"/>
    <x v="0"/>
    <x v="15"/>
    <b v="0"/>
    <n v="5"/>
    <x v="1"/>
    <x v="2"/>
    <n v="584"/>
    <n v="0.18179999999999999"/>
    <n v="0.93"/>
    <n v="0.4627"/>
    <x v="5"/>
    <x v="76"/>
    <x v="74"/>
    <x v="0"/>
  </r>
  <r>
    <n v="586"/>
    <n v="40571"/>
    <x v="0"/>
    <x v="0"/>
    <x v="15"/>
    <b v="0"/>
    <n v="5"/>
    <x v="1"/>
    <x v="2"/>
    <n v="585"/>
    <n v="0.19700000000000001"/>
    <n v="0.93"/>
    <n v="0.32840000000000003"/>
    <x v="5"/>
    <x v="96"/>
    <x v="9"/>
    <x v="0"/>
  </r>
  <r>
    <n v="587"/>
    <n v="40571"/>
    <x v="0"/>
    <x v="0"/>
    <x v="15"/>
    <b v="0"/>
    <n v="5"/>
    <x v="1"/>
    <x v="2"/>
    <n v="586"/>
    <n v="0.18179999999999999"/>
    <n v="0.93"/>
    <n v="0.35820000000000002"/>
    <x v="3"/>
    <x v="16"/>
    <x v="132"/>
    <x v="0"/>
  </r>
  <r>
    <n v="588"/>
    <n v="40571"/>
    <x v="0"/>
    <x v="0"/>
    <x v="15"/>
    <b v="0"/>
    <n v="5"/>
    <x v="1"/>
    <x v="2"/>
    <n v="587"/>
    <n v="0.2273"/>
    <n v="0.55000000000000004"/>
    <n v="0.19400000000000001"/>
    <x v="5"/>
    <x v="140"/>
    <x v="108"/>
    <x v="0"/>
  </r>
  <r>
    <n v="589"/>
    <n v="40571"/>
    <x v="0"/>
    <x v="0"/>
    <x v="15"/>
    <b v="0"/>
    <n v="5"/>
    <x v="1"/>
    <x v="2"/>
    <n v="588"/>
    <n v="0.2424"/>
    <n v="0.55000000000000004"/>
    <n v="0.1045"/>
    <x v="4"/>
    <x v="70"/>
    <x v="11"/>
    <x v="0"/>
  </r>
  <r>
    <n v="590"/>
    <n v="40571"/>
    <x v="0"/>
    <x v="0"/>
    <x v="15"/>
    <b v="0"/>
    <n v="5"/>
    <x v="1"/>
    <x v="2"/>
    <n v="589"/>
    <n v="0.2273"/>
    <n v="0.69"/>
    <n v="8.9599999999999999E-2"/>
    <x v="0"/>
    <x v="143"/>
    <x v="133"/>
    <x v="0"/>
  </r>
  <r>
    <n v="591"/>
    <n v="40571"/>
    <x v="0"/>
    <x v="0"/>
    <x v="15"/>
    <b v="0"/>
    <n v="5"/>
    <x v="1"/>
    <x v="2"/>
    <n v="590"/>
    <n v="0.2273"/>
    <n v="0.69"/>
    <n v="8.9599999999999999E-2"/>
    <x v="0"/>
    <x v="83"/>
    <x v="67"/>
    <x v="0"/>
  </r>
  <r>
    <n v="592"/>
    <n v="40571"/>
    <x v="0"/>
    <x v="0"/>
    <x v="15"/>
    <b v="0"/>
    <n v="5"/>
    <x v="1"/>
    <x v="2"/>
    <n v="591"/>
    <n v="0.21210000000000001"/>
    <n v="0.74"/>
    <n v="8.9599999999999999E-2"/>
    <x v="17"/>
    <x v="11"/>
    <x v="29"/>
    <x v="0"/>
  </r>
  <r>
    <n v="593"/>
    <n v="40571"/>
    <x v="0"/>
    <x v="0"/>
    <x v="15"/>
    <b v="0"/>
    <n v="5"/>
    <x v="1"/>
    <x v="2"/>
    <n v="592"/>
    <n v="0.21210000000000001"/>
    <n v="0.74"/>
    <n v="8.9599999999999999E-2"/>
    <x v="4"/>
    <x v="49"/>
    <x v="103"/>
    <x v="0"/>
  </r>
  <r>
    <n v="594"/>
    <n v="40571"/>
    <x v="0"/>
    <x v="0"/>
    <x v="15"/>
    <b v="0"/>
    <n v="5"/>
    <x v="1"/>
    <x v="2"/>
    <n v="593"/>
    <n v="0.21210000000000001"/>
    <n v="0.74"/>
    <n v="8.9599999999999999E-2"/>
    <x v="3"/>
    <x v="2"/>
    <x v="110"/>
    <x v="0"/>
  </r>
  <r>
    <n v="595"/>
    <n v="40571"/>
    <x v="0"/>
    <x v="0"/>
    <x v="15"/>
    <b v="0"/>
    <n v="5"/>
    <x v="1"/>
    <x v="2"/>
    <n v="594"/>
    <n v="0.19700000000000001"/>
    <n v="0.8"/>
    <n v="0.16420000000000001"/>
    <x v="3"/>
    <x v="20"/>
    <x v="0"/>
    <x v="0"/>
  </r>
  <r>
    <n v="596"/>
    <n v="40571"/>
    <x v="0"/>
    <x v="0"/>
    <x v="15"/>
    <b v="0"/>
    <n v="5"/>
    <x v="1"/>
    <x v="2"/>
    <n v="595"/>
    <n v="0.21210000000000001"/>
    <n v="0.75"/>
    <n v="0.1343"/>
    <x v="3"/>
    <x v="33"/>
    <x v="23"/>
    <x v="0"/>
  </r>
  <r>
    <n v="597"/>
    <n v="40571"/>
    <x v="0"/>
    <x v="0"/>
    <x v="15"/>
    <b v="0"/>
    <n v="5"/>
    <x v="1"/>
    <x v="2"/>
    <n v="596"/>
    <n v="0.21210000000000001"/>
    <n v="0.75"/>
    <n v="0.1343"/>
    <x v="5"/>
    <x v="6"/>
    <x v="6"/>
    <x v="0"/>
  </r>
  <r>
    <n v="598"/>
    <n v="40571"/>
    <x v="0"/>
    <x v="0"/>
    <x v="15"/>
    <b v="0"/>
    <n v="5"/>
    <x v="1"/>
    <x v="2"/>
    <n v="597"/>
    <n v="0.21210000000000001"/>
    <n v="0.75"/>
    <n v="0.16420000000000001"/>
    <x v="3"/>
    <x v="6"/>
    <x v="5"/>
    <x v="0"/>
  </r>
  <r>
    <n v="599"/>
    <n v="40571"/>
    <x v="0"/>
    <x v="0"/>
    <x v="15"/>
    <b v="0"/>
    <n v="5"/>
    <x v="1"/>
    <x v="2"/>
    <n v="598"/>
    <n v="0.2273"/>
    <n v="0.75"/>
    <n v="0.1045"/>
    <x v="5"/>
    <x v="5"/>
    <x v="4"/>
    <x v="0"/>
  </r>
  <r>
    <n v="600"/>
    <n v="40571"/>
    <x v="0"/>
    <x v="0"/>
    <x v="15"/>
    <b v="0"/>
    <n v="5"/>
    <x v="1"/>
    <x v="2"/>
    <n v="599"/>
    <n v="0.21210000000000001"/>
    <n v="0.8"/>
    <n v="0.1045"/>
    <x v="3"/>
    <x v="22"/>
    <x v="48"/>
    <x v="0"/>
  </r>
  <r>
    <n v="601"/>
    <n v="40571"/>
    <x v="0"/>
    <x v="0"/>
    <x v="15"/>
    <b v="0"/>
    <n v="5"/>
    <x v="1"/>
    <x v="2"/>
    <n v="600"/>
    <n v="0.19700000000000001"/>
    <n v="0.8"/>
    <n v="0.1343"/>
    <x v="3"/>
    <x v="20"/>
    <x v="0"/>
    <x v="0"/>
  </r>
  <r>
    <n v="602"/>
    <n v="40571"/>
    <x v="0"/>
    <x v="0"/>
    <x v="15"/>
    <b v="0"/>
    <n v="5"/>
    <x v="1"/>
    <x v="2"/>
    <n v="601"/>
    <n v="0.19700000000000001"/>
    <n v="0.86"/>
    <n v="8.9599999999999999E-2"/>
    <x v="4"/>
    <x v="29"/>
    <x v="122"/>
    <x v="0"/>
  </r>
  <r>
    <n v="603"/>
    <n v="40571"/>
    <x v="0"/>
    <x v="0"/>
    <x v="15"/>
    <b v="0"/>
    <n v="5"/>
    <x v="1"/>
    <x v="2"/>
    <n v="602"/>
    <n v="0.19700000000000001"/>
    <n v="0.86"/>
    <n v="8.9599999999999999E-2"/>
    <x v="4"/>
    <x v="119"/>
    <x v="45"/>
    <x v="0"/>
  </r>
  <r>
    <n v="604"/>
    <n v="40571"/>
    <x v="0"/>
    <x v="0"/>
    <x v="15"/>
    <b v="0"/>
    <n v="5"/>
    <x v="1"/>
    <x v="2"/>
    <n v="603"/>
    <n v="0.21210000000000001"/>
    <n v="0.86"/>
    <n v="8.9599999999999999E-2"/>
    <x v="15"/>
    <x v="73"/>
    <x v="129"/>
    <x v="0"/>
  </r>
  <r>
    <n v="605"/>
    <n v="40571"/>
    <x v="0"/>
    <x v="0"/>
    <x v="15"/>
    <b v="0"/>
    <n v="5"/>
    <x v="1"/>
    <x v="2"/>
    <n v="604"/>
    <n v="0.21210000000000001"/>
    <n v="0.86"/>
    <n v="0.1045"/>
    <x v="3"/>
    <x v="47"/>
    <x v="99"/>
    <x v="0"/>
  </r>
  <r>
    <n v="606"/>
    <n v="40571"/>
    <x v="0"/>
    <x v="0"/>
    <x v="15"/>
    <b v="0"/>
    <n v="5"/>
    <x v="1"/>
    <x v="2"/>
    <n v="605"/>
    <n v="0.21210000000000001"/>
    <n v="0.93"/>
    <n v="0.1045"/>
    <x v="3"/>
    <x v="10"/>
    <x v="33"/>
    <x v="0"/>
  </r>
  <r>
    <n v="607"/>
    <n v="40571"/>
    <x v="0"/>
    <x v="0"/>
    <x v="15"/>
    <b v="0"/>
    <n v="5"/>
    <x v="1"/>
    <x v="2"/>
    <n v="606"/>
    <n v="0.21210000000000001"/>
    <n v="0.93"/>
    <n v="0.1045"/>
    <x v="5"/>
    <x v="95"/>
    <x v="115"/>
    <x v="0"/>
  </r>
  <r>
    <n v="608"/>
    <n v="40571"/>
    <x v="0"/>
    <x v="0"/>
    <x v="15"/>
    <b v="0"/>
    <n v="5"/>
    <x v="1"/>
    <x v="2"/>
    <n v="607"/>
    <n v="0.21210000000000001"/>
    <n v="0.93"/>
    <n v="0.1045"/>
    <x v="3"/>
    <x v="17"/>
    <x v="35"/>
    <x v="0"/>
  </r>
  <r>
    <n v="609"/>
    <n v="40571"/>
    <x v="0"/>
    <x v="0"/>
    <x v="15"/>
    <b v="0"/>
    <n v="5"/>
    <x v="1"/>
    <x v="2"/>
    <n v="608"/>
    <n v="0.2727"/>
    <n v="0.8"/>
    <n v="0"/>
    <x v="4"/>
    <x v="49"/>
    <x v="103"/>
    <x v="0"/>
  </r>
  <r>
    <n v="610"/>
    <n v="40571"/>
    <x v="0"/>
    <x v="0"/>
    <x v="15"/>
    <b v="0"/>
    <n v="5"/>
    <x v="1"/>
    <x v="2"/>
    <n v="609"/>
    <n v="0.2576"/>
    <n v="0.86"/>
    <n v="0"/>
    <x v="5"/>
    <x v="71"/>
    <x v="102"/>
    <x v="0"/>
  </r>
  <r>
    <n v="611"/>
    <n v="40571"/>
    <x v="0"/>
    <x v="0"/>
    <x v="15"/>
    <b v="0"/>
    <n v="5"/>
    <x v="1"/>
    <x v="2"/>
    <n v="0"/>
    <n v="0"/>
    <n v="0"/>
    <n v="0"/>
    <x v="3"/>
    <x v="5"/>
    <x v="165"/>
    <x v="0"/>
  </r>
  <r>
    <n v="620"/>
    <n v="40572"/>
    <x v="0"/>
    <x v="0"/>
    <x v="1"/>
    <b v="0"/>
    <n v="6"/>
    <x v="0"/>
    <x v="1"/>
    <m/>
    <n v="0.2273"/>
    <n v="0.64"/>
    <n v="0.19400000000000001"/>
    <x v="3"/>
    <x v="32"/>
    <x v="25"/>
    <x v="0"/>
  </r>
  <r>
    <n v="621"/>
    <n v="40572"/>
    <x v="0"/>
    <x v="0"/>
    <x v="2"/>
    <b v="0"/>
    <n v="6"/>
    <x v="0"/>
    <x v="1"/>
    <m/>
    <n v="0.2273"/>
    <n v="0.64"/>
    <n v="0.16420000000000001"/>
    <x v="3"/>
    <x v="89"/>
    <x v="93"/>
    <x v="0"/>
  </r>
  <r>
    <n v="622"/>
    <n v="40572"/>
    <x v="0"/>
    <x v="0"/>
    <x v="3"/>
    <b v="0"/>
    <n v="6"/>
    <x v="0"/>
    <x v="2"/>
    <m/>
    <n v="0.21210000000000001"/>
    <n v="0.64"/>
    <n v="0.1343"/>
    <x v="0"/>
    <x v="34"/>
    <x v="7"/>
    <x v="0"/>
  </r>
  <r>
    <n v="623"/>
    <n v="40572"/>
    <x v="0"/>
    <x v="0"/>
    <x v="4"/>
    <b v="0"/>
    <n v="6"/>
    <x v="0"/>
    <x v="13"/>
    <m/>
    <n v="0.18179999999999999"/>
    <n v="0.69"/>
    <n v="0.1045"/>
    <x v="5"/>
    <x v="6"/>
    <x v="6"/>
    <x v="0"/>
  </r>
  <r>
    <n v="624"/>
    <n v="40572"/>
    <x v="0"/>
    <x v="0"/>
    <x v="6"/>
    <b v="0"/>
    <n v="6"/>
    <x v="0"/>
    <x v="13"/>
    <m/>
    <n v="0.18179999999999999"/>
    <n v="0.64"/>
    <n v="0.1343"/>
    <x v="3"/>
    <x v="6"/>
    <x v="5"/>
    <x v="0"/>
  </r>
  <r>
    <n v="625"/>
    <n v="40572"/>
    <x v="0"/>
    <x v="0"/>
    <x v="7"/>
    <b v="0"/>
    <n v="6"/>
    <x v="0"/>
    <x v="13"/>
    <m/>
    <n v="0.18179999999999999"/>
    <n v="0.59"/>
    <n v="0.1045"/>
    <x v="5"/>
    <x v="22"/>
    <x v="36"/>
    <x v="0"/>
  </r>
  <r>
    <n v="626"/>
    <n v="40572"/>
    <x v="0"/>
    <x v="0"/>
    <x v="8"/>
    <b v="0"/>
    <n v="6"/>
    <x v="0"/>
    <x v="15"/>
    <m/>
    <n v="0.19700000000000001"/>
    <n v="0.55000000000000004"/>
    <n v="0.16420000000000001"/>
    <x v="0"/>
    <x v="17"/>
    <x v="19"/>
    <x v="0"/>
  </r>
  <r>
    <n v="627"/>
    <n v="40572"/>
    <x v="0"/>
    <x v="0"/>
    <x v="9"/>
    <b v="0"/>
    <n v="6"/>
    <x v="0"/>
    <x v="15"/>
    <m/>
    <n v="0.21210000000000001"/>
    <n v="0.59"/>
    <n v="8.9599999999999999E-2"/>
    <x v="3"/>
    <x v="60"/>
    <x v="19"/>
    <x v="0"/>
  </r>
  <r>
    <n v="628"/>
    <n v="40572"/>
    <x v="0"/>
    <x v="0"/>
    <x v="10"/>
    <b v="0"/>
    <n v="6"/>
    <x v="1"/>
    <x v="15"/>
    <m/>
    <n v="0.21210000000000001"/>
    <n v="0.64"/>
    <n v="0.1045"/>
    <x v="17"/>
    <x v="82"/>
    <x v="97"/>
    <x v="0"/>
  </r>
  <r>
    <n v="629"/>
    <n v="40572"/>
    <x v="0"/>
    <x v="0"/>
    <x v="11"/>
    <b v="0"/>
    <n v="6"/>
    <x v="1"/>
    <x v="15"/>
    <m/>
    <n v="0.19700000000000001"/>
    <n v="0.64"/>
    <n v="0.1343"/>
    <x v="17"/>
    <x v="91"/>
    <x v="37"/>
    <x v="0"/>
  </r>
  <r>
    <n v="630"/>
    <n v="40572"/>
    <x v="0"/>
    <x v="0"/>
    <x v="12"/>
    <b v="0"/>
    <n v="6"/>
    <x v="1"/>
    <x v="2"/>
    <m/>
    <n v="0.19700000000000001"/>
    <n v="0.59"/>
    <n v="0.19400000000000001"/>
    <x v="6"/>
    <x v="43"/>
    <x v="53"/>
    <x v="0"/>
  </r>
  <r>
    <n v="631"/>
    <n v="40572"/>
    <x v="0"/>
    <x v="0"/>
    <x v="13"/>
    <b v="0"/>
    <n v="6"/>
    <x v="1"/>
    <x v="1"/>
    <m/>
    <n v="0.2273"/>
    <n v="0.55000000000000004"/>
    <n v="0.16420000000000001"/>
    <x v="14"/>
    <x v="90"/>
    <x v="32"/>
    <x v="0"/>
  </r>
  <r>
    <n v="632"/>
    <n v="40572"/>
    <x v="0"/>
    <x v="0"/>
    <x v="14"/>
    <b v="0"/>
    <n v="6"/>
    <x v="1"/>
    <x v="1"/>
    <m/>
    <n v="0.2273"/>
    <n v="0.6"/>
    <n v="0.1343"/>
    <x v="22"/>
    <x v="121"/>
    <x v="111"/>
    <x v="0"/>
  </r>
  <r>
    <n v="633"/>
    <n v="40572"/>
    <x v="0"/>
    <x v="0"/>
    <x v="15"/>
    <b v="0"/>
    <n v="6"/>
    <x v="0"/>
    <x v="1"/>
    <m/>
    <n v="0.21210000000000001"/>
    <n v="0.69"/>
    <n v="0.25369999999999998"/>
    <x v="30"/>
    <x v="52"/>
    <x v="151"/>
    <x v="0"/>
  </r>
  <r>
    <n v="634"/>
    <n v="40572"/>
    <x v="0"/>
    <x v="0"/>
    <x v="16"/>
    <b v="0"/>
    <n v="6"/>
    <x v="0"/>
    <x v="0"/>
    <m/>
    <n v="0.2424"/>
    <n v="0.6"/>
    <n v="0.16420000000000001"/>
    <x v="21"/>
    <x v="150"/>
    <x v="166"/>
    <x v="0"/>
  </r>
  <r>
    <n v="635"/>
    <n v="40572"/>
    <x v="0"/>
    <x v="0"/>
    <x v="17"/>
    <b v="0"/>
    <n v="6"/>
    <x v="0"/>
    <x v="0"/>
    <m/>
    <n v="0.28789999999999999"/>
    <n v="0.6"/>
    <n v="0"/>
    <x v="14"/>
    <x v="70"/>
    <x v="134"/>
    <x v="0"/>
  </r>
  <r>
    <n v="636"/>
    <n v="40572"/>
    <x v="0"/>
    <x v="0"/>
    <x v="18"/>
    <b v="0"/>
    <n v="6"/>
    <x v="0"/>
    <x v="1"/>
    <m/>
    <n v="0.2273"/>
    <n v="0.69"/>
    <n v="0.1343"/>
    <x v="14"/>
    <x v="79"/>
    <x v="118"/>
    <x v="0"/>
  </r>
  <r>
    <n v="637"/>
    <n v="40572"/>
    <x v="0"/>
    <x v="0"/>
    <x v="19"/>
    <b v="0"/>
    <n v="6"/>
    <x v="1"/>
    <x v="1"/>
    <m/>
    <n v="0.21210000000000001"/>
    <n v="0.69"/>
    <n v="0.25369999999999998"/>
    <x v="15"/>
    <x v="15"/>
    <x v="154"/>
    <x v="0"/>
  </r>
  <r>
    <n v="638"/>
    <n v="40572"/>
    <x v="0"/>
    <x v="0"/>
    <x v="20"/>
    <b v="0"/>
    <n v="6"/>
    <x v="0"/>
    <x v="15"/>
    <m/>
    <n v="0.21210000000000001"/>
    <n v="0.74"/>
    <n v="8.9599999999999999E-2"/>
    <x v="5"/>
    <x v="76"/>
    <x v="74"/>
    <x v="0"/>
  </r>
  <r>
    <n v="639"/>
    <n v="40572"/>
    <x v="0"/>
    <x v="0"/>
    <x v="21"/>
    <b v="0"/>
    <n v="6"/>
    <x v="0"/>
    <x v="15"/>
    <m/>
    <n v="0.21210000000000001"/>
    <n v="0.74"/>
    <n v="8.9599999999999999E-2"/>
    <x v="5"/>
    <x v="96"/>
    <x v="9"/>
    <x v="0"/>
  </r>
  <r>
    <n v="640"/>
    <n v="40572"/>
    <x v="0"/>
    <x v="0"/>
    <x v="22"/>
    <b v="0"/>
    <n v="6"/>
    <x v="0"/>
    <x v="13"/>
    <m/>
    <n v="0.19700000000000001"/>
    <n v="0.8"/>
    <n v="8.9599999999999999E-2"/>
    <x v="17"/>
    <x v="95"/>
    <x v="2"/>
    <x v="0"/>
  </r>
  <r>
    <n v="641"/>
    <n v="40572"/>
    <x v="0"/>
    <x v="0"/>
    <x v="23"/>
    <b v="0"/>
    <n v="6"/>
    <x v="0"/>
    <x v="13"/>
    <m/>
    <n v="0.19700000000000001"/>
    <n v="0.8"/>
    <n v="8.9599999999999999E-2"/>
    <x v="0"/>
    <x v="10"/>
    <x v="63"/>
    <x v="0"/>
  </r>
  <r>
    <n v="642"/>
    <n v="40573"/>
    <x v="0"/>
    <x v="0"/>
    <x v="0"/>
    <b v="0"/>
    <n v="0"/>
    <x v="0"/>
    <x v="13"/>
    <m/>
    <n v="0.18179999999999999"/>
    <n v="0.8"/>
    <n v="0.1045"/>
    <x v="3"/>
    <x v="39"/>
    <x v="63"/>
    <x v="1"/>
  </r>
  <r>
    <n v="643"/>
    <n v="40573"/>
    <x v="0"/>
    <x v="0"/>
    <x v="1"/>
    <b v="0"/>
    <n v="0"/>
    <x v="0"/>
    <x v="14"/>
    <m/>
    <n v="0.21210000000000001"/>
    <n v="0.8"/>
    <n v="0"/>
    <x v="18"/>
    <x v="97"/>
    <x v="115"/>
    <x v="1"/>
  </r>
  <r>
    <n v="644"/>
    <n v="40573"/>
    <x v="0"/>
    <x v="0"/>
    <x v="2"/>
    <b v="0"/>
    <n v="0"/>
    <x v="0"/>
    <x v="13"/>
    <m/>
    <n v="0.2273"/>
    <n v="0.8"/>
    <n v="0"/>
    <x v="5"/>
    <x v="3"/>
    <x v="62"/>
    <x v="1"/>
  </r>
  <r>
    <n v="645"/>
    <n v="40573"/>
    <x v="0"/>
    <x v="0"/>
    <x v="3"/>
    <b v="0"/>
    <n v="0"/>
    <x v="0"/>
    <x v="14"/>
    <m/>
    <n v="0.21210000000000001"/>
    <n v="0.93"/>
    <n v="0"/>
    <x v="5"/>
    <x v="7"/>
    <x v="7"/>
    <x v="1"/>
  </r>
  <r>
    <n v="646"/>
    <n v="40573"/>
    <x v="0"/>
    <x v="0"/>
    <x v="4"/>
    <b v="0"/>
    <n v="0"/>
    <x v="0"/>
    <x v="14"/>
    <m/>
    <n v="0.21210000000000001"/>
    <n v="0.93"/>
    <n v="0"/>
    <x v="3"/>
    <x v="4"/>
    <x v="4"/>
    <x v="1"/>
  </r>
  <r>
    <n v="647"/>
    <n v="40573"/>
    <x v="0"/>
    <x v="0"/>
    <x v="5"/>
    <b v="0"/>
    <n v="0"/>
    <x v="0"/>
    <x v="14"/>
    <m/>
    <n v="0.21210000000000001"/>
    <n v="0.86"/>
    <n v="0"/>
    <x v="3"/>
    <x v="35"/>
    <x v="6"/>
    <x v="1"/>
  </r>
  <r>
    <n v="648"/>
    <n v="40573"/>
    <x v="0"/>
    <x v="0"/>
    <x v="7"/>
    <b v="0"/>
    <n v="0"/>
    <x v="0"/>
    <x v="14"/>
    <m/>
    <n v="0.21210000000000001"/>
    <n v="0.86"/>
    <n v="0"/>
    <x v="3"/>
    <x v="35"/>
    <x v="6"/>
    <x v="1"/>
  </r>
  <r>
    <n v="649"/>
    <n v="40573"/>
    <x v="0"/>
    <x v="0"/>
    <x v="8"/>
    <b v="0"/>
    <n v="0"/>
    <x v="1"/>
    <x v="14"/>
    <m/>
    <n v="0.21210000000000001"/>
    <n v="0.86"/>
    <n v="0"/>
    <x v="5"/>
    <x v="48"/>
    <x v="47"/>
    <x v="1"/>
  </r>
  <r>
    <n v="650"/>
    <n v="40573"/>
    <x v="0"/>
    <x v="0"/>
    <x v="9"/>
    <b v="0"/>
    <n v="0"/>
    <x v="1"/>
    <x v="13"/>
    <m/>
    <n v="0.2273"/>
    <n v="0.8"/>
    <n v="0"/>
    <x v="17"/>
    <x v="60"/>
    <x v="103"/>
    <x v="1"/>
  </r>
  <r>
    <n v="651"/>
    <n v="40573"/>
    <x v="0"/>
    <x v="0"/>
    <x v="10"/>
    <b v="0"/>
    <n v="0"/>
    <x v="1"/>
    <x v="15"/>
    <m/>
    <n v="0.2424"/>
    <n v="0.8"/>
    <n v="0"/>
    <x v="18"/>
    <x v="77"/>
    <x v="37"/>
    <x v="1"/>
  </r>
  <r>
    <n v="652"/>
    <n v="40573"/>
    <x v="0"/>
    <x v="0"/>
    <x v="11"/>
    <b v="0"/>
    <n v="0"/>
    <x v="0"/>
    <x v="1"/>
    <m/>
    <n v="0.2727"/>
    <n v="0.75"/>
    <n v="0"/>
    <x v="14"/>
    <x v="54"/>
    <x v="29"/>
    <x v="1"/>
  </r>
  <r>
    <n v="653"/>
    <n v="40573"/>
    <x v="0"/>
    <x v="0"/>
    <x v="12"/>
    <b v="0"/>
    <n v="0"/>
    <x v="0"/>
    <x v="11"/>
    <m/>
    <n v="0.31819999999999998"/>
    <n v="0.52"/>
    <n v="0.1045"/>
    <x v="22"/>
    <x v="61"/>
    <x v="54"/>
    <x v="1"/>
  </r>
  <r>
    <n v="654"/>
    <n v="40573"/>
    <x v="0"/>
    <x v="0"/>
    <x v="13"/>
    <b v="0"/>
    <n v="0"/>
    <x v="0"/>
    <x v="17"/>
    <m/>
    <n v="0.28789999999999999"/>
    <n v="0.61"/>
    <n v="0.1045"/>
    <x v="23"/>
    <x v="13"/>
    <x v="11"/>
    <x v="1"/>
  </r>
  <r>
    <n v="655"/>
    <n v="40573"/>
    <x v="0"/>
    <x v="0"/>
    <x v="14"/>
    <b v="0"/>
    <n v="0"/>
    <x v="0"/>
    <x v="17"/>
    <m/>
    <n v="0.30299999999999999"/>
    <n v="0.61"/>
    <n v="8.9599999999999999E-2"/>
    <x v="25"/>
    <x v="151"/>
    <x v="78"/>
    <x v="1"/>
  </r>
  <r>
    <n v="656"/>
    <n v="40573"/>
    <x v="0"/>
    <x v="0"/>
    <x v="15"/>
    <b v="0"/>
    <n v="0"/>
    <x v="0"/>
    <x v="11"/>
    <m/>
    <n v="0.33329999999999999"/>
    <n v="0.56000000000000005"/>
    <n v="0"/>
    <x v="24"/>
    <x v="73"/>
    <x v="142"/>
    <x v="1"/>
  </r>
  <r>
    <n v="657"/>
    <n v="40573"/>
    <x v="0"/>
    <x v="0"/>
    <x v="16"/>
    <b v="0"/>
    <n v="0"/>
    <x v="0"/>
    <x v="11"/>
    <m/>
    <n v="0.33329999999999999"/>
    <n v="0.56000000000000005"/>
    <n v="0"/>
    <x v="21"/>
    <x v="151"/>
    <x v="92"/>
    <x v="1"/>
  </r>
  <r>
    <n v="658"/>
    <n v="40573"/>
    <x v="0"/>
    <x v="0"/>
    <x v="17"/>
    <b v="0"/>
    <n v="0"/>
    <x v="0"/>
    <x v="11"/>
    <m/>
    <n v="0.28789999999999999"/>
    <n v="0.56000000000000005"/>
    <n v="0.19400000000000001"/>
    <x v="15"/>
    <x v="13"/>
    <x v="43"/>
    <x v="1"/>
  </r>
  <r>
    <n v="659"/>
    <n v="40573"/>
    <x v="0"/>
    <x v="0"/>
    <x v="18"/>
    <b v="0"/>
    <n v="0"/>
    <x v="0"/>
    <x v="12"/>
    <m/>
    <n v="0.2576"/>
    <n v="0.65"/>
    <n v="0.16420000000000001"/>
    <x v="1"/>
    <x v="77"/>
    <x v="32"/>
    <x v="1"/>
  </r>
  <r>
    <n v="660"/>
    <n v="40573"/>
    <x v="0"/>
    <x v="0"/>
    <x v="19"/>
    <b v="0"/>
    <n v="0"/>
    <x v="0"/>
    <x v="12"/>
    <m/>
    <n v="0.2576"/>
    <n v="0.65"/>
    <n v="0.19400000000000001"/>
    <x v="14"/>
    <x v="24"/>
    <x v="97"/>
    <x v="1"/>
  </r>
  <r>
    <n v="661"/>
    <n v="40573"/>
    <x v="0"/>
    <x v="0"/>
    <x v="20"/>
    <b v="0"/>
    <n v="0"/>
    <x v="1"/>
    <x v="12"/>
    <m/>
    <n v="0.2727"/>
    <n v="0.65"/>
    <n v="0.1045"/>
    <x v="0"/>
    <x v="10"/>
    <x v="63"/>
    <x v="1"/>
  </r>
  <r>
    <n v="662"/>
    <n v="40573"/>
    <x v="0"/>
    <x v="0"/>
    <x v="21"/>
    <b v="0"/>
    <n v="0"/>
    <x v="1"/>
    <x v="0"/>
    <m/>
    <n v="0.2424"/>
    <n v="0.7"/>
    <n v="0.16420000000000001"/>
    <x v="0"/>
    <x v="18"/>
    <x v="20"/>
    <x v="1"/>
  </r>
  <r>
    <n v="663"/>
    <n v="40573"/>
    <x v="0"/>
    <x v="0"/>
    <x v="22"/>
    <b v="0"/>
    <n v="0"/>
    <x v="1"/>
    <x v="0"/>
    <m/>
    <n v="0.2273"/>
    <n v="0.7"/>
    <n v="0.19400000000000001"/>
    <x v="4"/>
    <x v="23"/>
    <x v="137"/>
    <x v="1"/>
  </r>
  <r>
    <n v="664"/>
    <n v="40573"/>
    <x v="0"/>
    <x v="0"/>
    <x v="23"/>
    <b v="0"/>
    <n v="0"/>
    <x v="1"/>
    <x v="0"/>
    <m/>
    <n v="0.21210000000000001"/>
    <n v="0.65"/>
    <n v="0.28360000000000002"/>
    <x v="2"/>
    <x v="20"/>
    <x v="137"/>
    <x v="1"/>
  </r>
  <r>
    <n v="665"/>
    <n v="40574"/>
    <x v="0"/>
    <x v="0"/>
    <x v="0"/>
    <b v="0"/>
    <n v="1"/>
    <x v="1"/>
    <x v="0"/>
    <m/>
    <n v="0.2273"/>
    <n v="0.65"/>
    <n v="0.22389999999999999"/>
    <x v="5"/>
    <x v="8"/>
    <x v="85"/>
    <x v="1"/>
  </r>
  <r>
    <n v="666"/>
    <n v="40574"/>
    <x v="0"/>
    <x v="0"/>
    <x v="1"/>
    <b v="0"/>
    <n v="1"/>
    <x v="0"/>
    <x v="1"/>
    <m/>
    <n v="0.21210000000000001"/>
    <n v="0.64"/>
    <n v="0.25369999999999998"/>
    <x v="4"/>
    <x v="34"/>
    <x v="85"/>
    <x v="1"/>
  </r>
  <r>
    <n v="667"/>
    <n v="40574"/>
    <x v="0"/>
    <x v="0"/>
    <x v="2"/>
    <b v="0"/>
    <n v="1"/>
    <x v="0"/>
    <x v="1"/>
    <m/>
    <n v="0.2273"/>
    <n v="0.64"/>
    <n v="0.19400000000000001"/>
    <x v="3"/>
    <x v="4"/>
    <x v="4"/>
    <x v="1"/>
  </r>
  <r>
    <n v="668"/>
    <n v="40574"/>
    <x v="0"/>
    <x v="0"/>
    <x v="3"/>
    <b v="0"/>
    <n v="1"/>
    <x v="0"/>
    <x v="1"/>
    <m/>
    <n v="0.2273"/>
    <n v="0.64"/>
    <n v="0.19400000000000001"/>
    <x v="3"/>
    <x v="6"/>
    <x v="5"/>
    <x v="1"/>
  </r>
  <r>
    <n v="669"/>
    <n v="40574"/>
    <x v="0"/>
    <x v="0"/>
    <x v="4"/>
    <b v="0"/>
    <n v="1"/>
    <x v="0"/>
    <x v="2"/>
    <m/>
    <n v="0.19700000000000001"/>
    <n v="0.59"/>
    <n v="0.22389999999999999"/>
    <x v="3"/>
    <x v="6"/>
    <x v="5"/>
    <x v="1"/>
  </r>
  <r>
    <n v="670"/>
    <n v="40574"/>
    <x v="0"/>
    <x v="0"/>
    <x v="5"/>
    <b v="0"/>
    <n v="1"/>
    <x v="0"/>
    <x v="15"/>
    <m/>
    <n v="0.16669999999999999"/>
    <n v="0.64"/>
    <n v="0.28360000000000002"/>
    <x v="3"/>
    <x v="21"/>
    <x v="7"/>
    <x v="1"/>
  </r>
  <r>
    <n v="671"/>
    <n v="40574"/>
    <x v="0"/>
    <x v="0"/>
    <x v="6"/>
    <b v="0"/>
    <n v="1"/>
    <x v="0"/>
    <x v="13"/>
    <m/>
    <n v="0.13639999999999999"/>
    <n v="0.69"/>
    <n v="0.32840000000000003"/>
    <x v="3"/>
    <x v="53"/>
    <x v="18"/>
    <x v="1"/>
  </r>
  <r>
    <n v="672"/>
    <n v="40574"/>
    <x v="0"/>
    <x v="0"/>
    <x v="7"/>
    <b v="0"/>
    <n v="1"/>
    <x v="1"/>
    <x v="13"/>
    <m/>
    <n v="0.13639999999999999"/>
    <n v="0.64"/>
    <n v="0.28360000000000002"/>
    <x v="5"/>
    <x v="13"/>
    <x v="44"/>
    <x v="1"/>
  </r>
  <r>
    <n v="673"/>
    <n v="40574"/>
    <x v="0"/>
    <x v="0"/>
    <x v="8"/>
    <b v="0"/>
    <n v="1"/>
    <x v="1"/>
    <x v="13"/>
    <m/>
    <n v="0.13639999999999999"/>
    <n v="0.59"/>
    <n v="0.28360000000000002"/>
    <x v="0"/>
    <x v="152"/>
    <x v="147"/>
    <x v="1"/>
  </r>
  <r>
    <n v="674"/>
    <n v="40574"/>
    <x v="0"/>
    <x v="0"/>
    <x v="9"/>
    <b v="0"/>
    <n v="1"/>
    <x v="1"/>
    <x v="13"/>
    <m/>
    <n v="0.13639999999999999"/>
    <n v="0.59"/>
    <n v="0.29849999999999999"/>
    <x v="3"/>
    <x v="153"/>
    <x v="59"/>
    <x v="1"/>
  </r>
  <r>
    <n v="675"/>
    <n v="40574"/>
    <x v="0"/>
    <x v="0"/>
    <x v="10"/>
    <b v="0"/>
    <n v="1"/>
    <x v="1"/>
    <x v="13"/>
    <m/>
    <n v="0.1515"/>
    <n v="0.59"/>
    <n v="0.19400000000000001"/>
    <x v="5"/>
    <x v="56"/>
    <x v="83"/>
    <x v="1"/>
  </r>
  <r>
    <n v="676"/>
    <n v="40574"/>
    <x v="0"/>
    <x v="0"/>
    <x v="11"/>
    <b v="0"/>
    <n v="1"/>
    <x v="1"/>
    <x v="13"/>
    <m/>
    <n v="0.1515"/>
    <n v="0.59"/>
    <n v="0.19400000000000001"/>
    <x v="4"/>
    <x v="24"/>
    <x v="61"/>
    <x v="1"/>
  </r>
  <r>
    <n v="677"/>
    <n v="40574"/>
    <x v="0"/>
    <x v="0"/>
    <x v="12"/>
    <b v="0"/>
    <n v="1"/>
    <x v="1"/>
    <x v="15"/>
    <m/>
    <n v="0.21210000000000001"/>
    <n v="0.55000000000000004"/>
    <n v="0.1045"/>
    <x v="15"/>
    <x v="133"/>
    <x v="118"/>
    <x v="1"/>
  </r>
  <r>
    <n v="678"/>
    <n v="40574"/>
    <x v="0"/>
    <x v="0"/>
    <x v="13"/>
    <b v="0"/>
    <n v="1"/>
    <x v="1"/>
    <x v="13"/>
    <m/>
    <n v="0.2273"/>
    <n v="0.59"/>
    <n v="0"/>
    <x v="4"/>
    <x v="15"/>
    <x v="60"/>
    <x v="1"/>
  </r>
  <r>
    <n v="679"/>
    <n v="40574"/>
    <x v="0"/>
    <x v="0"/>
    <x v="14"/>
    <b v="0"/>
    <n v="1"/>
    <x v="1"/>
    <x v="15"/>
    <m/>
    <n v="0.19700000000000001"/>
    <n v="0.55000000000000004"/>
    <n v="0.1343"/>
    <x v="5"/>
    <x v="66"/>
    <x v="80"/>
    <x v="1"/>
  </r>
  <r>
    <n v="680"/>
    <n v="40574"/>
    <x v="0"/>
    <x v="0"/>
    <x v="15"/>
    <b v="0"/>
    <n v="1"/>
    <x v="1"/>
    <x v="13"/>
    <m/>
    <n v="0.18179999999999999"/>
    <n v="0.59"/>
    <n v="0.1343"/>
    <x v="0"/>
    <x v="40"/>
    <x v="40"/>
    <x v="1"/>
  </r>
  <r>
    <n v="681"/>
    <n v="40574"/>
    <x v="0"/>
    <x v="0"/>
    <x v="16"/>
    <b v="0"/>
    <n v="1"/>
    <x v="1"/>
    <x v="13"/>
    <m/>
    <n v="0.18179999999999999"/>
    <n v="0.56000000000000005"/>
    <n v="0.19400000000000001"/>
    <x v="0"/>
    <x v="93"/>
    <x v="80"/>
    <x v="1"/>
  </r>
  <r>
    <n v="682"/>
    <n v="40574"/>
    <x v="0"/>
    <x v="0"/>
    <x v="17"/>
    <b v="0"/>
    <n v="1"/>
    <x v="1"/>
    <x v="13"/>
    <m/>
    <n v="0.1515"/>
    <n v="0.59"/>
    <n v="0.19400000000000001"/>
    <x v="15"/>
    <x v="119"/>
    <x v="143"/>
    <x v="1"/>
  </r>
  <r>
    <n v="683"/>
    <n v="40574"/>
    <x v="0"/>
    <x v="0"/>
    <x v="18"/>
    <b v="0"/>
    <n v="1"/>
    <x v="1"/>
    <x v="13"/>
    <m/>
    <n v="0.1515"/>
    <n v="0.55000000000000004"/>
    <n v="0.22389999999999999"/>
    <x v="0"/>
    <x v="37"/>
    <x v="167"/>
    <x v="1"/>
  </r>
  <r>
    <n v="684"/>
    <n v="40574"/>
    <x v="0"/>
    <x v="0"/>
    <x v="19"/>
    <b v="0"/>
    <n v="1"/>
    <x v="0"/>
    <x v="11"/>
    <m/>
    <n v="0.31819999999999998"/>
    <n v="0.61"/>
    <n v="0.1045"/>
    <x v="0"/>
    <x v="123"/>
    <x v="168"/>
    <x v="1"/>
  </r>
  <r>
    <n v="685"/>
    <n v="40574"/>
    <x v="0"/>
    <x v="0"/>
    <x v="20"/>
    <b v="0"/>
    <n v="1"/>
    <x v="2"/>
    <x v="13"/>
    <m/>
    <n v="0.16669999999999999"/>
    <n v="0.59"/>
    <n v="0.16420000000000001"/>
    <x v="3"/>
    <x v="78"/>
    <x v="53"/>
    <x v="1"/>
  </r>
  <r>
    <n v="686"/>
    <n v="40574"/>
    <x v="0"/>
    <x v="0"/>
    <x v="21"/>
    <b v="0"/>
    <n v="1"/>
    <x v="2"/>
    <x v="13"/>
    <m/>
    <n v="0.19700000000000001"/>
    <n v="0.59"/>
    <n v="8.9599999999999999E-2"/>
    <x v="0"/>
    <x v="42"/>
    <x v="10"/>
    <x v="1"/>
  </r>
  <r>
    <n v="687"/>
    <n v="40574"/>
    <x v="0"/>
    <x v="0"/>
    <x v="22"/>
    <b v="0"/>
    <n v="1"/>
    <x v="1"/>
    <x v="13"/>
    <m/>
    <n v="0.18179999999999999"/>
    <n v="0.59"/>
    <n v="0.1045"/>
    <x v="3"/>
    <x v="60"/>
    <x v="19"/>
    <x v="1"/>
  </r>
  <r>
    <n v="688"/>
    <n v="40574"/>
    <x v="0"/>
    <x v="0"/>
    <x v="23"/>
    <b v="0"/>
    <n v="1"/>
    <x v="1"/>
    <x v="13"/>
    <m/>
    <n v="0.19700000000000001"/>
    <n v="0.64"/>
    <n v="8.9599999999999999E-2"/>
    <x v="4"/>
    <x v="89"/>
    <x v="22"/>
    <x v="1"/>
  </r>
  <r>
    <n v="689"/>
    <n v="40575"/>
    <x v="0"/>
    <x v="1"/>
    <x v="0"/>
    <b v="0"/>
    <n v="2"/>
    <x v="1"/>
    <x v="13"/>
    <m/>
    <n v="0.18179999999999999"/>
    <n v="0.64"/>
    <n v="0.1045"/>
    <x v="4"/>
    <x v="8"/>
    <x v="7"/>
    <x v="1"/>
  </r>
  <r>
    <n v="690"/>
    <n v="40575"/>
    <x v="0"/>
    <x v="1"/>
    <x v="1"/>
    <b v="0"/>
    <n v="2"/>
    <x v="1"/>
    <x v="13"/>
    <m/>
    <n v="0.18179999999999999"/>
    <n v="0.69"/>
    <n v="0.1045"/>
    <x v="3"/>
    <x v="35"/>
    <x v="6"/>
    <x v="1"/>
  </r>
  <r>
    <n v="691"/>
    <n v="40575"/>
    <x v="0"/>
    <x v="1"/>
    <x v="2"/>
    <b v="0"/>
    <n v="2"/>
    <x v="1"/>
    <x v="13"/>
    <m/>
    <n v="0.2273"/>
    <n v="0.69"/>
    <n v="0"/>
    <x v="3"/>
    <x v="6"/>
    <x v="5"/>
    <x v="1"/>
  </r>
  <r>
    <n v="692"/>
    <n v="40575"/>
    <x v="0"/>
    <x v="1"/>
    <x v="3"/>
    <b v="0"/>
    <n v="2"/>
    <x v="1"/>
    <x v="13"/>
    <m/>
    <n v="0.2273"/>
    <n v="0.69"/>
    <n v="0"/>
    <x v="3"/>
    <x v="6"/>
    <x v="5"/>
    <x v="1"/>
  </r>
  <r>
    <n v="693"/>
    <n v="40575"/>
    <x v="0"/>
    <x v="1"/>
    <x v="5"/>
    <b v="0"/>
    <n v="2"/>
    <x v="2"/>
    <x v="14"/>
    <m/>
    <n v="0.21210000000000001"/>
    <n v="0.93"/>
    <n v="0"/>
    <x v="3"/>
    <x v="35"/>
    <x v="6"/>
    <x v="1"/>
  </r>
  <r>
    <n v="694"/>
    <n v="40575"/>
    <x v="0"/>
    <x v="1"/>
    <x v="6"/>
    <b v="0"/>
    <n v="2"/>
    <x v="2"/>
    <x v="14"/>
    <m/>
    <n v="0.21210000000000001"/>
    <n v="0.93"/>
    <n v="0"/>
    <x v="3"/>
    <x v="97"/>
    <x v="34"/>
    <x v="1"/>
  </r>
  <r>
    <n v="695"/>
    <n v="40575"/>
    <x v="0"/>
    <x v="1"/>
    <x v="7"/>
    <b v="0"/>
    <n v="2"/>
    <x v="2"/>
    <x v="13"/>
    <m/>
    <n v="0.2273"/>
    <n v="0.93"/>
    <n v="0"/>
    <x v="3"/>
    <x v="15"/>
    <x v="46"/>
    <x v="1"/>
  </r>
  <r>
    <n v="696"/>
    <n v="40575"/>
    <x v="0"/>
    <x v="1"/>
    <x v="8"/>
    <b v="0"/>
    <n v="2"/>
    <x v="2"/>
    <x v="13"/>
    <m/>
    <n v="0.2273"/>
    <n v="0.93"/>
    <n v="0"/>
    <x v="0"/>
    <x v="126"/>
    <x v="169"/>
    <x v="1"/>
  </r>
  <r>
    <n v="697"/>
    <n v="40575"/>
    <x v="0"/>
    <x v="1"/>
    <x v="9"/>
    <b v="0"/>
    <n v="2"/>
    <x v="1"/>
    <x v="13"/>
    <m/>
    <n v="0.2273"/>
    <n v="0.93"/>
    <n v="0"/>
    <x v="4"/>
    <x v="154"/>
    <x v="155"/>
    <x v="1"/>
  </r>
  <r>
    <n v="698"/>
    <n v="40575"/>
    <x v="0"/>
    <x v="1"/>
    <x v="10"/>
    <b v="0"/>
    <n v="2"/>
    <x v="1"/>
    <x v="13"/>
    <m/>
    <n v="0.2273"/>
    <n v="0.93"/>
    <n v="0"/>
    <x v="3"/>
    <x v="12"/>
    <x v="105"/>
    <x v="1"/>
  </r>
  <r>
    <n v="699"/>
    <n v="40575"/>
    <x v="0"/>
    <x v="1"/>
    <x v="11"/>
    <b v="0"/>
    <n v="2"/>
    <x v="1"/>
    <x v="15"/>
    <m/>
    <n v="0.2424"/>
    <n v="0.86"/>
    <n v="0"/>
    <x v="4"/>
    <x v="47"/>
    <x v="41"/>
    <x v="1"/>
  </r>
  <r>
    <n v="700"/>
    <n v="40575"/>
    <x v="0"/>
    <x v="1"/>
    <x v="12"/>
    <b v="0"/>
    <n v="2"/>
    <x v="1"/>
    <x v="2"/>
    <m/>
    <n v="0.2576"/>
    <n v="0.86"/>
    <n v="0"/>
    <x v="4"/>
    <x v="42"/>
    <x v="97"/>
    <x v="1"/>
  </r>
  <r>
    <n v="701"/>
    <n v="40575"/>
    <x v="0"/>
    <x v="1"/>
    <x v="13"/>
    <b v="0"/>
    <n v="2"/>
    <x v="1"/>
    <x v="2"/>
    <m/>
    <n v="0.2576"/>
    <n v="0.86"/>
    <n v="0"/>
    <x v="0"/>
    <x v="47"/>
    <x v="46"/>
    <x v="1"/>
  </r>
  <r>
    <n v="702"/>
    <n v="40575"/>
    <x v="0"/>
    <x v="1"/>
    <x v="14"/>
    <b v="0"/>
    <n v="2"/>
    <x v="1"/>
    <x v="1"/>
    <m/>
    <n v="0.2576"/>
    <n v="0.8"/>
    <n v="8.9599999999999999E-2"/>
    <x v="2"/>
    <x v="47"/>
    <x v="60"/>
    <x v="1"/>
  </r>
  <r>
    <n v="703"/>
    <n v="40575"/>
    <x v="0"/>
    <x v="1"/>
    <x v="15"/>
    <b v="0"/>
    <n v="2"/>
    <x v="1"/>
    <x v="0"/>
    <m/>
    <n v="0.28789999999999999"/>
    <n v="0.75"/>
    <n v="0"/>
    <x v="18"/>
    <x v="108"/>
    <x v="46"/>
    <x v="1"/>
  </r>
  <r>
    <n v="704"/>
    <n v="40575"/>
    <x v="0"/>
    <x v="1"/>
    <x v="16"/>
    <b v="0"/>
    <n v="2"/>
    <x v="1"/>
    <x v="0"/>
    <m/>
    <n v="0.2424"/>
    <n v="0.75"/>
    <n v="0.1343"/>
    <x v="0"/>
    <x v="124"/>
    <x v="37"/>
    <x v="1"/>
  </r>
  <r>
    <n v="705"/>
    <n v="40575"/>
    <x v="0"/>
    <x v="1"/>
    <x v="17"/>
    <b v="0"/>
    <n v="2"/>
    <x v="1"/>
    <x v="0"/>
    <m/>
    <n v="0.28789999999999999"/>
    <n v="0.75"/>
    <n v="0"/>
    <x v="17"/>
    <x v="155"/>
    <x v="170"/>
    <x v="1"/>
  </r>
  <r>
    <n v="706"/>
    <n v="40575"/>
    <x v="0"/>
    <x v="1"/>
    <x v="18"/>
    <b v="0"/>
    <n v="2"/>
    <x v="1"/>
    <x v="0"/>
    <m/>
    <n v="0.2576"/>
    <n v="0.81"/>
    <n v="0.1045"/>
    <x v="0"/>
    <x v="156"/>
    <x v="171"/>
    <x v="1"/>
  </r>
  <r>
    <n v="707"/>
    <n v="40575"/>
    <x v="0"/>
    <x v="1"/>
    <x v="19"/>
    <b v="0"/>
    <n v="2"/>
    <x v="1"/>
    <x v="0"/>
    <m/>
    <n v="0.2424"/>
    <n v="0.81"/>
    <n v="0.1343"/>
    <x v="0"/>
    <x v="157"/>
    <x v="159"/>
    <x v="1"/>
  </r>
  <r>
    <n v="708"/>
    <n v="40575"/>
    <x v="0"/>
    <x v="1"/>
    <x v="20"/>
    <b v="0"/>
    <n v="2"/>
    <x v="1"/>
    <x v="1"/>
    <m/>
    <n v="0.2273"/>
    <n v="0.87"/>
    <n v="0.1343"/>
    <x v="2"/>
    <x v="94"/>
    <x v="30"/>
    <x v="1"/>
  </r>
  <r>
    <n v="709"/>
    <n v="40575"/>
    <x v="0"/>
    <x v="1"/>
    <x v="21"/>
    <b v="0"/>
    <n v="2"/>
    <x v="1"/>
    <x v="1"/>
    <m/>
    <n v="0.2273"/>
    <n v="0.87"/>
    <n v="0.1343"/>
    <x v="3"/>
    <x v="27"/>
    <x v="37"/>
    <x v="1"/>
  </r>
  <r>
    <n v="710"/>
    <n v="40575"/>
    <x v="0"/>
    <x v="1"/>
    <x v="22"/>
    <b v="0"/>
    <n v="2"/>
    <x v="1"/>
    <x v="1"/>
    <m/>
    <n v="0.2576"/>
    <n v="0.87"/>
    <n v="8.9599999999999999E-2"/>
    <x v="4"/>
    <x v="60"/>
    <x v="9"/>
    <x v="1"/>
  </r>
  <r>
    <n v="711"/>
    <n v="40575"/>
    <x v="0"/>
    <x v="1"/>
    <x v="23"/>
    <b v="0"/>
    <n v="2"/>
    <x v="2"/>
    <x v="2"/>
    <m/>
    <n v="0.19700000000000001"/>
    <n v="0.93"/>
    <n v="0.19400000000000001"/>
    <x v="5"/>
    <x v="89"/>
    <x v="0"/>
    <x v="1"/>
  </r>
  <r>
    <n v="712"/>
    <n v="40576"/>
    <x v="0"/>
    <x v="1"/>
    <x v="0"/>
    <b v="0"/>
    <n v="3"/>
    <x v="2"/>
    <x v="1"/>
    <m/>
    <n v="0.2424"/>
    <n v="0.93"/>
    <n v="0.1045"/>
    <x v="3"/>
    <x v="6"/>
    <x v="5"/>
    <x v="1"/>
  </r>
  <r>
    <n v="713"/>
    <n v="40576"/>
    <x v="0"/>
    <x v="1"/>
    <x v="1"/>
    <b v="0"/>
    <n v="3"/>
    <x v="2"/>
    <x v="1"/>
    <m/>
    <n v="0.2273"/>
    <n v="0.93"/>
    <n v="0.19400000000000001"/>
    <x v="3"/>
    <x v="35"/>
    <x v="6"/>
    <x v="1"/>
  </r>
  <r>
    <n v="714"/>
    <n v="40576"/>
    <x v="0"/>
    <x v="1"/>
    <x v="2"/>
    <b v="0"/>
    <n v="3"/>
    <x v="2"/>
    <x v="1"/>
    <m/>
    <n v="0.2273"/>
    <n v="0.93"/>
    <n v="0.1343"/>
    <x v="17"/>
    <x v="5"/>
    <x v="48"/>
    <x v="1"/>
  </r>
  <r>
    <n v="715"/>
    <n v="40576"/>
    <x v="0"/>
    <x v="1"/>
    <x v="3"/>
    <b v="0"/>
    <n v="3"/>
    <x v="2"/>
    <x v="1"/>
    <m/>
    <n v="0.2273"/>
    <n v="0.93"/>
    <n v="0.1343"/>
    <x v="3"/>
    <x v="4"/>
    <x v="4"/>
    <x v="1"/>
  </r>
  <r>
    <n v="716"/>
    <n v="40576"/>
    <x v="0"/>
    <x v="1"/>
    <x v="4"/>
    <b v="0"/>
    <n v="3"/>
    <x v="2"/>
    <x v="1"/>
    <m/>
    <n v="0.21210000000000001"/>
    <n v="0.93"/>
    <n v="0.28360000000000002"/>
    <x v="3"/>
    <x v="4"/>
    <x v="4"/>
    <x v="1"/>
  </r>
  <r>
    <n v="717"/>
    <n v="40576"/>
    <x v="0"/>
    <x v="1"/>
    <x v="5"/>
    <b v="0"/>
    <n v="3"/>
    <x v="2"/>
    <x v="1"/>
    <m/>
    <n v="0.2424"/>
    <n v="0.93"/>
    <n v="0.1045"/>
    <x v="3"/>
    <x v="35"/>
    <x v="6"/>
    <x v="1"/>
  </r>
  <r>
    <n v="718"/>
    <n v="40576"/>
    <x v="0"/>
    <x v="1"/>
    <x v="6"/>
    <b v="0"/>
    <n v="3"/>
    <x v="2"/>
    <x v="1"/>
    <m/>
    <n v="0.2424"/>
    <n v="0.93"/>
    <n v="0.1045"/>
    <x v="5"/>
    <x v="19"/>
    <x v="109"/>
    <x v="1"/>
  </r>
  <r>
    <n v="719"/>
    <n v="40576"/>
    <x v="0"/>
    <x v="1"/>
    <x v="7"/>
    <b v="0"/>
    <n v="3"/>
    <x v="2"/>
    <x v="1"/>
    <m/>
    <n v="0.21210000000000001"/>
    <n v="0.93"/>
    <n v="0.22389999999999999"/>
    <x v="5"/>
    <x v="41"/>
    <x v="99"/>
    <x v="1"/>
  </r>
  <r>
    <n v="720"/>
    <n v="40576"/>
    <x v="0"/>
    <x v="1"/>
    <x v="8"/>
    <b v="0"/>
    <n v="3"/>
    <x v="2"/>
    <x v="1"/>
    <m/>
    <n v="0.21210000000000001"/>
    <n v="0.93"/>
    <n v="0.22389999999999999"/>
    <x v="5"/>
    <x v="105"/>
    <x v="107"/>
    <x v="1"/>
  </r>
  <r>
    <n v="721"/>
    <n v="40576"/>
    <x v="0"/>
    <x v="1"/>
    <x v="9"/>
    <b v="0"/>
    <n v="3"/>
    <x v="1"/>
    <x v="0"/>
    <m/>
    <n v="0.2576"/>
    <n v="0.93"/>
    <n v="8.9599999999999999E-2"/>
    <x v="17"/>
    <x v="138"/>
    <x v="92"/>
    <x v="1"/>
  </r>
  <r>
    <n v="722"/>
    <n v="40576"/>
    <x v="0"/>
    <x v="1"/>
    <x v="10"/>
    <b v="0"/>
    <n v="3"/>
    <x v="1"/>
    <x v="1"/>
    <m/>
    <n v="0.2727"/>
    <n v="1"/>
    <n v="0"/>
    <x v="4"/>
    <x v="79"/>
    <x v="42"/>
    <x v="1"/>
  </r>
  <r>
    <n v="723"/>
    <n v="40576"/>
    <x v="0"/>
    <x v="1"/>
    <x v="11"/>
    <b v="0"/>
    <n v="3"/>
    <x v="1"/>
    <x v="0"/>
    <m/>
    <n v="0.2273"/>
    <n v="0.93"/>
    <n v="0.19400000000000001"/>
    <x v="2"/>
    <x v="12"/>
    <x v="46"/>
    <x v="1"/>
  </r>
  <r>
    <n v="724"/>
    <n v="40576"/>
    <x v="0"/>
    <x v="1"/>
    <x v="12"/>
    <b v="0"/>
    <n v="3"/>
    <x v="1"/>
    <x v="0"/>
    <m/>
    <n v="0.2273"/>
    <n v="0.93"/>
    <n v="0.22389999999999999"/>
    <x v="0"/>
    <x v="124"/>
    <x v="37"/>
    <x v="1"/>
  </r>
  <r>
    <n v="725"/>
    <n v="40576"/>
    <x v="0"/>
    <x v="1"/>
    <x v="13"/>
    <b v="0"/>
    <n v="3"/>
    <x v="0"/>
    <x v="10"/>
    <m/>
    <n v="0.33329999999999999"/>
    <n v="0.93"/>
    <n v="0.16420000000000001"/>
    <x v="5"/>
    <x v="64"/>
    <x v="28"/>
    <x v="1"/>
  </r>
  <r>
    <n v="726"/>
    <n v="40576"/>
    <x v="0"/>
    <x v="1"/>
    <x v="14"/>
    <b v="0"/>
    <n v="3"/>
    <x v="0"/>
    <x v="4"/>
    <m/>
    <n v="0.39389999999999997"/>
    <n v="0.82"/>
    <n v="0.3881"/>
    <x v="4"/>
    <x v="124"/>
    <x v="55"/>
    <x v="1"/>
  </r>
  <r>
    <n v="727"/>
    <n v="40576"/>
    <x v="0"/>
    <x v="1"/>
    <x v="15"/>
    <b v="0"/>
    <n v="3"/>
    <x v="0"/>
    <x v="4"/>
    <m/>
    <n v="0.39389999999999997"/>
    <n v="0.76"/>
    <n v="0.32840000000000003"/>
    <x v="22"/>
    <x v="43"/>
    <x v="31"/>
    <x v="1"/>
  </r>
  <r>
    <n v="728"/>
    <n v="40576"/>
    <x v="0"/>
    <x v="1"/>
    <x v="16"/>
    <b v="0"/>
    <n v="3"/>
    <x v="0"/>
    <x v="5"/>
    <m/>
    <n v="0.33329999999999999"/>
    <n v="0.71"/>
    <n v="0.29849999999999999"/>
    <x v="1"/>
    <x v="73"/>
    <x v="153"/>
    <x v="1"/>
  </r>
  <r>
    <n v="729"/>
    <n v="40576"/>
    <x v="0"/>
    <x v="1"/>
    <x v="17"/>
    <b v="0"/>
    <n v="3"/>
    <x v="0"/>
    <x v="5"/>
    <m/>
    <n v="0.31819999999999998"/>
    <n v="0.53"/>
    <n v="0.52239999999999998"/>
    <x v="18"/>
    <x v="158"/>
    <x v="71"/>
    <x v="1"/>
  </r>
  <r>
    <n v="730"/>
    <n v="40576"/>
    <x v="0"/>
    <x v="1"/>
    <x v="18"/>
    <b v="0"/>
    <n v="3"/>
    <x v="0"/>
    <x v="10"/>
    <m/>
    <n v="0.28789999999999999"/>
    <n v="0.42"/>
    <n v="0.55220000000000002"/>
    <x v="18"/>
    <x v="159"/>
    <x v="58"/>
    <x v="1"/>
  </r>
  <r>
    <n v="731"/>
    <n v="40576"/>
    <x v="0"/>
    <x v="1"/>
    <x v="19"/>
    <b v="0"/>
    <n v="3"/>
    <x v="0"/>
    <x v="17"/>
    <m/>
    <n v="0.2424"/>
    <n v="0.45"/>
    <n v="0.49249999999999999"/>
    <x v="0"/>
    <x v="150"/>
    <x v="134"/>
    <x v="1"/>
  </r>
  <r>
    <n v="732"/>
    <n v="40576"/>
    <x v="0"/>
    <x v="1"/>
    <x v="20"/>
    <b v="0"/>
    <n v="3"/>
    <x v="0"/>
    <x v="0"/>
    <m/>
    <n v="0.19700000000000001"/>
    <n v="0.48"/>
    <n v="0.55220000000000002"/>
    <x v="17"/>
    <x v="13"/>
    <x v="28"/>
    <x v="1"/>
  </r>
  <r>
    <n v="733"/>
    <n v="40576"/>
    <x v="0"/>
    <x v="1"/>
    <x v="21"/>
    <b v="0"/>
    <n v="3"/>
    <x v="0"/>
    <x v="1"/>
    <m/>
    <n v="0.19700000000000001"/>
    <n v="0.47"/>
    <n v="0.32840000000000003"/>
    <x v="5"/>
    <x v="133"/>
    <x v="55"/>
    <x v="1"/>
  </r>
  <r>
    <n v="734"/>
    <n v="40576"/>
    <x v="0"/>
    <x v="1"/>
    <x v="22"/>
    <b v="0"/>
    <n v="3"/>
    <x v="0"/>
    <x v="1"/>
    <m/>
    <n v="0.21210000000000001"/>
    <n v="0.44"/>
    <n v="0.25369999999999998"/>
    <x v="2"/>
    <x v="96"/>
    <x v="1"/>
    <x v="1"/>
  </r>
  <r>
    <n v="735"/>
    <n v="40576"/>
    <x v="0"/>
    <x v="1"/>
    <x v="23"/>
    <b v="0"/>
    <n v="3"/>
    <x v="0"/>
    <x v="2"/>
    <m/>
    <n v="0.16669999999999999"/>
    <n v="0.44"/>
    <n v="0.44779999999999998"/>
    <x v="0"/>
    <x v="31"/>
    <x v="2"/>
    <x v="1"/>
  </r>
  <r>
    <n v="736"/>
    <n v="40577"/>
    <x v="0"/>
    <x v="1"/>
    <x v="0"/>
    <b v="0"/>
    <n v="4"/>
    <x v="0"/>
    <x v="2"/>
    <m/>
    <n v="0.16669999999999999"/>
    <n v="0.4"/>
    <n v="0.44779999999999998"/>
    <x v="5"/>
    <x v="48"/>
    <x v="47"/>
    <x v="1"/>
  </r>
  <r>
    <n v="737"/>
    <n v="40577"/>
    <x v="0"/>
    <x v="1"/>
    <x v="1"/>
    <b v="0"/>
    <n v="4"/>
    <x v="0"/>
    <x v="2"/>
    <m/>
    <n v="0.1515"/>
    <n v="0.44"/>
    <n v="0.52239999999999998"/>
    <x v="3"/>
    <x v="34"/>
    <x v="36"/>
    <x v="1"/>
  </r>
  <r>
    <n v="738"/>
    <n v="40577"/>
    <x v="0"/>
    <x v="1"/>
    <x v="2"/>
    <b v="0"/>
    <n v="4"/>
    <x v="0"/>
    <x v="15"/>
    <m/>
    <n v="0.16669999999999999"/>
    <n v="0.43"/>
    <n v="0.25369999999999998"/>
    <x v="3"/>
    <x v="6"/>
    <x v="5"/>
    <x v="1"/>
  </r>
  <r>
    <n v="739"/>
    <n v="40577"/>
    <x v="0"/>
    <x v="1"/>
    <x v="3"/>
    <b v="0"/>
    <n v="4"/>
    <x v="0"/>
    <x v="15"/>
    <m/>
    <n v="0.16669999999999999"/>
    <n v="0.43"/>
    <n v="0.25369999999999998"/>
    <x v="3"/>
    <x v="4"/>
    <x v="4"/>
    <x v="1"/>
  </r>
  <r>
    <n v="740"/>
    <n v="40577"/>
    <x v="0"/>
    <x v="1"/>
    <x v="5"/>
    <b v="0"/>
    <n v="4"/>
    <x v="0"/>
    <x v="13"/>
    <m/>
    <n v="0.13639999999999999"/>
    <n v="0.5"/>
    <n v="0.29849999999999999"/>
    <x v="3"/>
    <x v="6"/>
    <x v="5"/>
    <x v="1"/>
  </r>
  <r>
    <n v="741"/>
    <n v="40577"/>
    <x v="0"/>
    <x v="1"/>
    <x v="6"/>
    <b v="0"/>
    <n v="4"/>
    <x v="0"/>
    <x v="13"/>
    <m/>
    <n v="0.13639999999999999"/>
    <n v="0.43"/>
    <n v="0.35820000000000002"/>
    <x v="3"/>
    <x v="87"/>
    <x v="21"/>
    <x v="1"/>
  </r>
  <r>
    <n v="742"/>
    <n v="40577"/>
    <x v="0"/>
    <x v="1"/>
    <x v="7"/>
    <b v="0"/>
    <n v="4"/>
    <x v="0"/>
    <x v="14"/>
    <m/>
    <n v="0.1212"/>
    <n v="0.5"/>
    <n v="0.32840000000000003"/>
    <x v="5"/>
    <x v="132"/>
    <x v="90"/>
    <x v="1"/>
  </r>
  <r>
    <n v="743"/>
    <n v="40577"/>
    <x v="0"/>
    <x v="1"/>
    <x v="8"/>
    <b v="0"/>
    <n v="4"/>
    <x v="0"/>
    <x v="14"/>
    <m/>
    <n v="0.1212"/>
    <n v="0.5"/>
    <n v="0.35820000000000002"/>
    <x v="17"/>
    <x v="103"/>
    <x v="104"/>
    <x v="1"/>
  </r>
  <r>
    <n v="744"/>
    <n v="40577"/>
    <x v="0"/>
    <x v="1"/>
    <x v="9"/>
    <b v="0"/>
    <n v="4"/>
    <x v="0"/>
    <x v="13"/>
    <m/>
    <n v="0.13639999999999999"/>
    <n v="0.47"/>
    <n v="0.29849999999999999"/>
    <x v="15"/>
    <x v="69"/>
    <x v="140"/>
    <x v="1"/>
  </r>
  <r>
    <n v="745"/>
    <n v="40577"/>
    <x v="0"/>
    <x v="1"/>
    <x v="10"/>
    <b v="0"/>
    <n v="4"/>
    <x v="0"/>
    <x v="15"/>
    <m/>
    <n v="0.1515"/>
    <n v="0.43"/>
    <n v="0.32840000000000003"/>
    <x v="4"/>
    <x v="54"/>
    <x v="46"/>
    <x v="1"/>
  </r>
  <r>
    <n v="746"/>
    <n v="40577"/>
    <x v="0"/>
    <x v="1"/>
    <x v="11"/>
    <b v="0"/>
    <n v="4"/>
    <x v="0"/>
    <x v="15"/>
    <m/>
    <n v="0.13639999999999999"/>
    <n v="0.43"/>
    <n v="0.44779999999999998"/>
    <x v="14"/>
    <x v="11"/>
    <x v="37"/>
    <x v="1"/>
  </r>
  <r>
    <n v="747"/>
    <n v="40577"/>
    <x v="0"/>
    <x v="1"/>
    <x v="12"/>
    <b v="0"/>
    <n v="4"/>
    <x v="0"/>
    <x v="2"/>
    <m/>
    <n v="0.18179999999999999"/>
    <n v="0.4"/>
    <n v="0.35820000000000002"/>
    <x v="4"/>
    <x v="28"/>
    <x v="83"/>
    <x v="1"/>
  </r>
  <r>
    <n v="748"/>
    <n v="40577"/>
    <x v="0"/>
    <x v="1"/>
    <x v="13"/>
    <b v="0"/>
    <n v="4"/>
    <x v="0"/>
    <x v="2"/>
    <m/>
    <n v="0.16669999999999999"/>
    <n v="0.4"/>
    <n v="0.41789999999999999"/>
    <x v="17"/>
    <x v="12"/>
    <x v="41"/>
    <x v="1"/>
  </r>
  <r>
    <n v="749"/>
    <n v="40577"/>
    <x v="0"/>
    <x v="1"/>
    <x v="14"/>
    <b v="0"/>
    <n v="4"/>
    <x v="0"/>
    <x v="1"/>
    <m/>
    <n v="0.19700000000000001"/>
    <n v="0.37"/>
    <n v="0.3881"/>
    <x v="17"/>
    <x v="30"/>
    <x v="105"/>
    <x v="1"/>
  </r>
  <r>
    <n v="750"/>
    <n v="40577"/>
    <x v="0"/>
    <x v="1"/>
    <x v="15"/>
    <b v="0"/>
    <n v="4"/>
    <x v="0"/>
    <x v="1"/>
    <m/>
    <n v="0.19700000000000001"/>
    <n v="0.37"/>
    <n v="0.32840000000000003"/>
    <x v="17"/>
    <x v="90"/>
    <x v="122"/>
    <x v="1"/>
  </r>
  <r>
    <n v="751"/>
    <n v="40577"/>
    <x v="0"/>
    <x v="1"/>
    <x v="16"/>
    <b v="0"/>
    <n v="4"/>
    <x v="0"/>
    <x v="1"/>
    <m/>
    <n v="0.21210000000000001"/>
    <n v="0.37"/>
    <n v="0.25369999999999998"/>
    <x v="2"/>
    <x v="26"/>
    <x v="53"/>
    <x v="1"/>
  </r>
  <r>
    <n v="752"/>
    <n v="40577"/>
    <x v="0"/>
    <x v="1"/>
    <x v="17"/>
    <b v="0"/>
    <n v="4"/>
    <x v="0"/>
    <x v="2"/>
    <m/>
    <n v="0.19700000000000001"/>
    <n v="0.4"/>
    <n v="0.19400000000000001"/>
    <x v="2"/>
    <x v="160"/>
    <x v="172"/>
    <x v="1"/>
  </r>
  <r>
    <n v="753"/>
    <n v="40577"/>
    <x v="0"/>
    <x v="1"/>
    <x v="18"/>
    <b v="0"/>
    <n v="4"/>
    <x v="0"/>
    <x v="2"/>
    <m/>
    <n v="0.21210000000000001"/>
    <n v="0.4"/>
    <n v="0.16420000000000001"/>
    <x v="4"/>
    <x v="142"/>
    <x v="173"/>
    <x v="1"/>
  </r>
  <r>
    <n v="754"/>
    <n v="40577"/>
    <x v="0"/>
    <x v="1"/>
    <x v="19"/>
    <b v="0"/>
    <n v="4"/>
    <x v="0"/>
    <x v="2"/>
    <m/>
    <n v="0.2576"/>
    <n v="0.4"/>
    <n v="0"/>
    <x v="17"/>
    <x v="50"/>
    <x v="152"/>
    <x v="1"/>
  </r>
  <r>
    <n v="755"/>
    <n v="40577"/>
    <x v="0"/>
    <x v="1"/>
    <x v="20"/>
    <b v="0"/>
    <n v="4"/>
    <x v="0"/>
    <x v="2"/>
    <m/>
    <n v="0.2273"/>
    <n v="0.47"/>
    <n v="8.9599999999999999E-2"/>
    <x v="5"/>
    <x v="123"/>
    <x v="142"/>
    <x v="1"/>
  </r>
  <r>
    <n v="756"/>
    <n v="40577"/>
    <x v="0"/>
    <x v="1"/>
    <x v="21"/>
    <b v="0"/>
    <n v="4"/>
    <x v="0"/>
    <x v="15"/>
    <m/>
    <n v="0.21210000000000001"/>
    <n v="0.55000000000000004"/>
    <n v="0.1045"/>
    <x v="5"/>
    <x v="42"/>
    <x v="60"/>
    <x v="1"/>
  </r>
  <r>
    <n v="757"/>
    <n v="40577"/>
    <x v="0"/>
    <x v="1"/>
    <x v="22"/>
    <b v="0"/>
    <n v="4"/>
    <x v="0"/>
    <x v="15"/>
    <m/>
    <n v="0.21210000000000001"/>
    <n v="0.51"/>
    <n v="8.9599999999999999E-2"/>
    <x v="4"/>
    <x v="87"/>
    <x v="102"/>
    <x v="1"/>
  </r>
  <r>
    <n v="758"/>
    <n v="40577"/>
    <x v="0"/>
    <x v="1"/>
    <x v="23"/>
    <b v="0"/>
    <n v="4"/>
    <x v="0"/>
    <x v="2"/>
    <m/>
    <n v="0.2273"/>
    <n v="0.47"/>
    <n v="0.1045"/>
    <x v="17"/>
    <x v="60"/>
    <x v="103"/>
    <x v="1"/>
  </r>
  <r>
    <n v="759"/>
    <n v="40578"/>
    <x v="0"/>
    <x v="1"/>
    <x v="0"/>
    <b v="0"/>
    <n v="5"/>
    <x v="1"/>
    <x v="2"/>
    <m/>
    <n v="0.2576"/>
    <n v="0.44"/>
    <n v="0"/>
    <x v="0"/>
    <x v="3"/>
    <x v="3"/>
    <x v="0"/>
  </r>
  <r>
    <n v="760"/>
    <n v="40578"/>
    <x v="0"/>
    <x v="1"/>
    <x v="1"/>
    <b v="0"/>
    <n v="5"/>
    <x v="1"/>
    <x v="13"/>
    <m/>
    <n v="0.2273"/>
    <n v="0.59"/>
    <n v="0"/>
    <x v="3"/>
    <x v="7"/>
    <x v="85"/>
    <x v="0"/>
  </r>
  <r>
    <n v="761"/>
    <n v="40578"/>
    <x v="0"/>
    <x v="1"/>
    <x v="2"/>
    <b v="0"/>
    <n v="5"/>
    <x v="1"/>
    <x v="14"/>
    <m/>
    <n v="0.16669999999999999"/>
    <n v="0.63"/>
    <n v="0.1045"/>
    <x v="3"/>
    <x v="4"/>
    <x v="4"/>
    <x v="0"/>
  </r>
  <r>
    <n v="762"/>
    <n v="40578"/>
    <x v="0"/>
    <x v="1"/>
    <x v="3"/>
    <b v="0"/>
    <n v="5"/>
    <x v="1"/>
    <x v="14"/>
    <m/>
    <n v="0.16669999999999999"/>
    <n v="0.63"/>
    <n v="0.1045"/>
    <x v="3"/>
    <x v="4"/>
    <x v="4"/>
    <x v="0"/>
  </r>
  <r>
    <n v="763"/>
    <n v="40578"/>
    <x v="0"/>
    <x v="1"/>
    <x v="5"/>
    <b v="0"/>
    <n v="5"/>
    <x v="1"/>
    <x v="14"/>
    <m/>
    <n v="0.1515"/>
    <n v="0.63"/>
    <n v="0.1343"/>
    <x v="3"/>
    <x v="7"/>
    <x v="85"/>
    <x v="0"/>
  </r>
  <r>
    <n v="764"/>
    <n v="40578"/>
    <x v="0"/>
    <x v="1"/>
    <x v="6"/>
    <b v="0"/>
    <n v="5"/>
    <x v="1"/>
    <x v="13"/>
    <m/>
    <n v="0.2273"/>
    <n v="0.55000000000000004"/>
    <n v="0"/>
    <x v="4"/>
    <x v="16"/>
    <x v="20"/>
    <x v="0"/>
  </r>
  <r>
    <n v="765"/>
    <n v="40578"/>
    <x v="0"/>
    <x v="1"/>
    <x v="7"/>
    <b v="0"/>
    <n v="5"/>
    <x v="0"/>
    <x v="14"/>
    <m/>
    <n v="0.21210000000000001"/>
    <n v="0.59"/>
    <n v="0"/>
    <x v="3"/>
    <x v="61"/>
    <x v="90"/>
    <x v="0"/>
  </r>
  <r>
    <n v="766"/>
    <n v="40578"/>
    <x v="0"/>
    <x v="1"/>
    <x v="8"/>
    <b v="0"/>
    <n v="5"/>
    <x v="0"/>
    <x v="14"/>
    <m/>
    <n v="0.1515"/>
    <n v="0.74"/>
    <n v="0.1343"/>
    <x v="0"/>
    <x v="161"/>
    <x v="174"/>
    <x v="0"/>
  </r>
  <r>
    <n v="767"/>
    <n v="40578"/>
    <x v="0"/>
    <x v="1"/>
    <x v="9"/>
    <b v="0"/>
    <n v="5"/>
    <x v="1"/>
    <x v="13"/>
    <m/>
    <n v="0.18179999999999999"/>
    <n v="0.8"/>
    <n v="0.1343"/>
    <x v="0"/>
    <x v="125"/>
    <x v="175"/>
    <x v="0"/>
  </r>
  <r>
    <n v="768"/>
    <n v="40578"/>
    <x v="0"/>
    <x v="1"/>
    <x v="10"/>
    <b v="0"/>
    <n v="5"/>
    <x v="1"/>
    <x v="2"/>
    <m/>
    <n v="0.21210000000000001"/>
    <n v="0.51"/>
    <n v="0.1343"/>
    <x v="2"/>
    <x v="24"/>
    <x v="41"/>
    <x v="0"/>
  </r>
  <r>
    <n v="769"/>
    <n v="40578"/>
    <x v="0"/>
    <x v="1"/>
    <x v="11"/>
    <b v="0"/>
    <n v="5"/>
    <x v="0"/>
    <x v="1"/>
    <m/>
    <n v="0.2273"/>
    <n v="0.51"/>
    <n v="0.16420000000000001"/>
    <x v="0"/>
    <x v="124"/>
    <x v="37"/>
    <x v="0"/>
  </r>
  <r>
    <n v="770"/>
    <n v="40578"/>
    <x v="0"/>
    <x v="1"/>
    <x v="12"/>
    <b v="0"/>
    <n v="5"/>
    <x v="1"/>
    <x v="0"/>
    <m/>
    <n v="0.2424"/>
    <n v="0.48"/>
    <n v="0.16420000000000001"/>
    <x v="1"/>
    <x v="78"/>
    <x v="80"/>
    <x v="0"/>
  </r>
  <r>
    <n v="771"/>
    <n v="40578"/>
    <x v="0"/>
    <x v="1"/>
    <x v="13"/>
    <b v="0"/>
    <n v="5"/>
    <x v="1"/>
    <x v="12"/>
    <m/>
    <n v="0.2576"/>
    <n v="0.5"/>
    <n v="0.22389999999999999"/>
    <x v="14"/>
    <x v="26"/>
    <x v="100"/>
    <x v="0"/>
  </r>
  <r>
    <n v="772"/>
    <n v="40578"/>
    <x v="0"/>
    <x v="1"/>
    <x v="14"/>
    <b v="0"/>
    <n v="5"/>
    <x v="1"/>
    <x v="17"/>
    <m/>
    <n v="0.2727"/>
    <n v="0.45"/>
    <n v="0.16420000000000001"/>
    <x v="13"/>
    <x v="83"/>
    <x v="134"/>
    <x v="0"/>
  </r>
  <r>
    <n v="773"/>
    <n v="40578"/>
    <x v="0"/>
    <x v="1"/>
    <x v="15"/>
    <b v="0"/>
    <n v="5"/>
    <x v="1"/>
    <x v="17"/>
    <m/>
    <n v="0.2727"/>
    <n v="0.48"/>
    <n v="0.25369999999999998"/>
    <x v="14"/>
    <x v="38"/>
    <x v="127"/>
    <x v="0"/>
  </r>
  <r>
    <n v="774"/>
    <n v="40578"/>
    <x v="0"/>
    <x v="1"/>
    <x v="16"/>
    <b v="0"/>
    <n v="5"/>
    <x v="1"/>
    <x v="11"/>
    <m/>
    <n v="0.28789999999999999"/>
    <n v="0.42"/>
    <n v="0.22389999999999999"/>
    <x v="1"/>
    <x v="162"/>
    <x v="111"/>
    <x v="0"/>
  </r>
  <r>
    <n v="775"/>
    <n v="40578"/>
    <x v="0"/>
    <x v="1"/>
    <x v="17"/>
    <b v="0"/>
    <n v="5"/>
    <x v="1"/>
    <x v="12"/>
    <m/>
    <n v="0.2727"/>
    <n v="0.56000000000000005"/>
    <n v="0.1343"/>
    <x v="22"/>
    <x v="163"/>
    <x v="176"/>
    <x v="0"/>
  </r>
  <r>
    <n v="776"/>
    <n v="40578"/>
    <x v="0"/>
    <x v="1"/>
    <x v="18"/>
    <b v="0"/>
    <n v="5"/>
    <x v="1"/>
    <x v="0"/>
    <m/>
    <n v="0.2576"/>
    <n v="0.6"/>
    <n v="0.1045"/>
    <x v="0"/>
    <x v="164"/>
    <x v="107"/>
    <x v="0"/>
  </r>
  <r>
    <n v="777"/>
    <n v="40578"/>
    <x v="0"/>
    <x v="1"/>
    <x v="19"/>
    <b v="0"/>
    <n v="5"/>
    <x v="1"/>
    <x v="0"/>
    <m/>
    <n v="0.2424"/>
    <n v="0.65"/>
    <n v="0.1343"/>
    <x v="5"/>
    <x v="46"/>
    <x v="153"/>
    <x v="0"/>
  </r>
  <r>
    <n v="778"/>
    <n v="40578"/>
    <x v="0"/>
    <x v="1"/>
    <x v="20"/>
    <b v="0"/>
    <n v="5"/>
    <x v="1"/>
    <x v="0"/>
    <m/>
    <n v="0.2424"/>
    <n v="0.65"/>
    <n v="0.16420000000000001"/>
    <x v="4"/>
    <x v="94"/>
    <x v="68"/>
    <x v="0"/>
  </r>
  <r>
    <n v="779"/>
    <n v="40578"/>
    <x v="0"/>
    <x v="1"/>
    <x v="21"/>
    <b v="0"/>
    <n v="5"/>
    <x v="1"/>
    <x v="0"/>
    <m/>
    <n v="0.2424"/>
    <n v="0.7"/>
    <n v="0.16420000000000001"/>
    <x v="4"/>
    <x v="40"/>
    <x v="74"/>
    <x v="0"/>
  </r>
  <r>
    <n v="780"/>
    <n v="40578"/>
    <x v="0"/>
    <x v="1"/>
    <x v="22"/>
    <b v="0"/>
    <n v="5"/>
    <x v="1"/>
    <x v="0"/>
    <m/>
    <n v="0.2424"/>
    <n v="0.65"/>
    <n v="0.16420000000000001"/>
    <x v="5"/>
    <x v="108"/>
    <x v="66"/>
    <x v="0"/>
  </r>
  <r>
    <n v="781"/>
    <n v="40578"/>
    <x v="0"/>
    <x v="1"/>
    <x v="23"/>
    <b v="0"/>
    <n v="5"/>
    <x v="1"/>
    <x v="0"/>
    <m/>
    <n v="0.2424"/>
    <n v="0.7"/>
    <n v="0.1343"/>
    <x v="5"/>
    <x v="10"/>
    <x v="35"/>
    <x v="0"/>
  </r>
  <r>
    <n v="782"/>
    <n v="40579"/>
    <x v="0"/>
    <x v="1"/>
    <x v="0"/>
    <b v="0"/>
    <n v="6"/>
    <x v="1"/>
    <x v="0"/>
    <m/>
    <n v="0.2424"/>
    <n v="0.7"/>
    <n v="0.16420000000000001"/>
    <x v="0"/>
    <x v="49"/>
    <x v="21"/>
    <x v="0"/>
  </r>
  <r>
    <n v="783"/>
    <n v="40579"/>
    <x v="0"/>
    <x v="1"/>
    <x v="1"/>
    <b v="0"/>
    <n v="6"/>
    <x v="1"/>
    <x v="0"/>
    <m/>
    <n v="0.2424"/>
    <n v="0.65"/>
    <n v="0.16420000000000001"/>
    <x v="5"/>
    <x v="19"/>
    <x v="109"/>
    <x v="0"/>
  </r>
  <r>
    <n v="784"/>
    <n v="40579"/>
    <x v="0"/>
    <x v="1"/>
    <x v="2"/>
    <b v="0"/>
    <n v="6"/>
    <x v="1"/>
    <x v="0"/>
    <m/>
    <n v="0.2424"/>
    <n v="0.75"/>
    <n v="0.16420000000000001"/>
    <x v="2"/>
    <x v="98"/>
    <x v="22"/>
    <x v="0"/>
  </r>
  <r>
    <n v="785"/>
    <n v="40579"/>
    <x v="0"/>
    <x v="1"/>
    <x v="3"/>
    <b v="0"/>
    <n v="6"/>
    <x v="1"/>
    <x v="0"/>
    <m/>
    <n v="0.2424"/>
    <n v="0.75"/>
    <n v="0.16420000000000001"/>
    <x v="5"/>
    <x v="3"/>
    <x v="62"/>
    <x v="0"/>
  </r>
  <r>
    <n v="786"/>
    <n v="40579"/>
    <x v="0"/>
    <x v="1"/>
    <x v="4"/>
    <b v="0"/>
    <n v="6"/>
    <x v="2"/>
    <x v="1"/>
    <m/>
    <n v="0.2273"/>
    <n v="0.93"/>
    <n v="0.1343"/>
    <x v="3"/>
    <x v="21"/>
    <x v="7"/>
    <x v="0"/>
  </r>
  <r>
    <n v="787"/>
    <n v="40579"/>
    <x v="0"/>
    <x v="1"/>
    <x v="5"/>
    <b v="0"/>
    <n v="6"/>
    <x v="2"/>
    <x v="2"/>
    <m/>
    <n v="0.2273"/>
    <n v="1"/>
    <n v="8.9599999999999999E-2"/>
    <x v="3"/>
    <x v="33"/>
    <x v="23"/>
    <x v="0"/>
  </r>
  <r>
    <n v="788"/>
    <n v="40579"/>
    <x v="0"/>
    <x v="1"/>
    <x v="6"/>
    <b v="0"/>
    <n v="6"/>
    <x v="2"/>
    <x v="2"/>
    <m/>
    <n v="0.2576"/>
    <n v="1"/>
    <n v="0"/>
    <x v="3"/>
    <x v="22"/>
    <x v="48"/>
    <x v="0"/>
  </r>
  <r>
    <n v="789"/>
    <n v="40579"/>
    <x v="0"/>
    <x v="1"/>
    <x v="7"/>
    <b v="0"/>
    <n v="6"/>
    <x v="2"/>
    <x v="1"/>
    <m/>
    <n v="0.2576"/>
    <n v="0.93"/>
    <n v="8.9599999999999999E-2"/>
    <x v="3"/>
    <x v="22"/>
    <x v="48"/>
    <x v="0"/>
  </r>
  <r>
    <n v="790"/>
    <n v="40579"/>
    <x v="0"/>
    <x v="1"/>
    <x v="8"/>
    <b v="0"/>
    <n v="6"/>
    <x v="2"/>
    <x v="2"/>
    <m/>
    <n v="0.2273"/>
    <n v="1"/>
    <n v="8.9599999999999999E-2"/>
    <x v="3"/>
    <x v="3"/>
    <x v="98"/>
    <x v="0"/>
  </r>
  <r>
    <n v="791"/>
    <n v="40579"/>
    <x v="0"/>
    <x v="1"/>
    <x v="9"/>
    <b v="0"/>
    <n v="6"/>
    <x v="2"/>
    <x v="2"/>
    <m/>
    <n v="0.2273"/>
    <n v="1"/>
    <n v="8.9599999999999999E-2"/>
    <x v="0"/>
    <x v="19"/>
    <x v="25"/>
    <x v="0"/>
  </r>
  <r>
    <n v="792"/>
    <n v="40579"/>
    <x v="0"/>
    <x v="1"/>
    <x v="10"/>
    <b v="0"/>
    <n v="6"/>
    <x v="2"/>
    <x v="2"/>
    <m/>
    <n v="0.21210000000000001"/>
    <n v="1"/>
    <n v="0.1343"/>
    <x v="0"/>
    <x v="17"/>
    <x v="19"/>
    <x v="0"/>
  </r>
  <r>
    <n v="793"/>
    <n v="40579"/>
    <x v="0"/>
    <x v="1"/>
    <x v="11"/>
    <b v="0"/>
    <n v="6"/>
    <x v="2"/>
    <x v="1"/>
    <m/>
    <n v="0.2273"/>
    <n v="1"/>
    <n v="0.1343"/>
    <x v="5"/>
    <x v="24"/>
    <x v="105"/>
    <x v="0"/>
  </r>
  <r>
    <n v="794"/>
    <n v="40579"/>
    <x v="0"/>
    <x v="1"/>
    <x v="12"/>
    <b v="0"/>
    <n v="6"/>
    <x v="2"/>
    <x v="1"/>
    <m/>
    <n v="0.2273"/>
    <n v="1"/>
    <n v="0.16420000000000001"/>
    <x v="22"/>
    <x v="76"/>
    <x v="46"/>
    <x v="0"/>
  </r>
  <r>
    <n v="795"/>
    <n v="40579"/>
    <x v="0"/>
    <x v="1"/>
    <x v="13"/>
    <b v="0"/>
    <n v="6"/>
    <x v="2"/>
    <x v="1"/>
    <m/>
    <n v="0.2273"/>
    <n v="1"/>
    <n v="0.16420000000000001"/>
    <x v="22"/>
    <x v="133"/>
    <x v="44"/>
    <x v="0"/>
  </r>
  <r>
    <n v="796"/>
    <n v="40579"/>
    <x v="0"/>
    <x v="1"/>
    <x v="14"/>
    <b v="0"/>
    <n v="6"/>
    <x v="2"/>
    <x v="1"/>
    <m/>
    <n v="0.2727"/>
    <n v="1"/>
    <n v="0"/>
    <x v="2"/>
    <x v="54"/>
    <x v="97"/>
    <x v="0"/>
  </r>
  <r>
    <n v="797"/>
    <n v="40579"/>
    <x v="0"/>
    <x v="1"/>
    <x v="15"/>
    <b v="0"/>
    <n v="6"/>
    <x v="2"/>
    <x v="1"/>
    <m/>
    <n v="0.2727"/>
    <n v="1"/>
    <n v="0"/>
    <x v="16"/>
    <x v="47"/>
    <x v="122"/>
    <x v="0"/>
  </r>
  <r>
    <n v="798"/>
    <n v="40579"/>
    <x v="0"/>
    <x v="1"/>
    <x v="16"/>
    <b v="0"/>
    <n v="6"/>
    <x v="2"/>
    <x v="1"/>
    <m/>
    <n v="0.2273"/>
    <n v="1"/>
    <n v="0.1343"/>
    <x v="1"/>
    <x v="36"/>
    <x v="68"/>
    <x v="0"/>
  </r>
  <r>
    <n v="799"/>
    <n v="40579"/>
    <x v="0"/>
    <x v="1"/>
    <x v="17"/>
    <b v="0"/>
    <n v="6"/>
    <x v="1"/>
    <x v="0"/>
    <m/>
    <n v="0.21210000000000001"/>
    <n v="1"/>
    <n v="0.28360000000000002"/>
    <x v="24"/>
    <x v="27"/>
    <x v="53"/>
    <x v="0"/>
  </r>
  <r>
    <n v="800"/>
    <n v="40579"/>
    <x v="0"/>
    <x v="1"/>
    <x v="18"/>
    <b v="0"/>
    <n v="6"/>
    <x v="1"/>
    <x v="17"/>
    <m/>
    <n v="0.2424"/>
    <n v="0.93"/>
    <n v="0.44779999999999998"/>
    <x v="4"/>
    <x v="38"/>
    <x v="56"/>
    <x v="0"/>
  </r>
  <r>
    <n v="801"/>
    <n v="40579"/>
    <x v="0"/>
    <x v="1"/>
    <x v="19"/>
    <b v="0"/>
    <n v="6"/>
    <x v="1"/>
    <x v="17"/>
    <m/>
    <n v="0.2424"/>
    <n v="0.93"/>
    <n v="0.44779999999999998"/>
    <x v="15"/>
    <x v="78"/>
    <x v="11"/>
    <x v="0"/>
  </r>
  <r>
    <n v="802"/>
    <n v="40579"/>
    <x v="0"/>
    <x v="1"/>
    <x v="20"/>
    <b v="0"/>
    <n v="6"/>
    <x v="0"/>
    <x v="11"/>
    <m/>
    <n v="0.28789999999999999"/>
    <n v="0.87"/>
    <n v="0.25369999999999998"/>
    <x v="2"/>
    <x v="27"/>
    <x v="83"/>
    <x v="0"/>
  </r>
  <r>
    <n v="803"/>
    <n v="40579"/>
    <x v="0"/>
    <x v="1"/>
    <x v="21"/>
    <b v="0"/>
    <n v="6"/>
    <x v="0"/>
    <x v="12"/>
    <m/>
    <n v="0.2576"/>
    <n v="1"/>
    <n v="0.19400000000000001"/>
    <x v="0"/>
    <x v="42"/>
    <x v="10"/>
    <x v="0"/>
  </r>
  <r>
    <n v="804"/>
    <n v="40579"/>
    <x v="0"/>
    <x v="1"/>
    <x v="22"/>
    <b v="0"/>
    <n v="6"/>
    <x v="0"/>
    <x v="12"/>
    <m/>
    <n v="0.2727"/>
    <n v="0.93"/>
    <n v="0.1343"/>
    <x v="4"/>
    <x v="30"/>
    <x v="79"/>
    <x v="0"/>
  </r>
  <r>
    <n v="805"/>
    <n v="40579"/>
    <x v="0"/>
    <x v="1"/>
    <x v="23"/>
    <b v="0"/>
    <n v="6"/>
    <x v="0"/>
    <x v="12"/>
    <m/>
    <n v="0.2576"/>
    <n v="0.93"/>
    <n v="0.22389999999999999"/>
    <x v="18"/>
    <x v="15"/>
    <x v="29"/>
    <x v="0"/>
  </r>
  <r>
    <n v="806"/>
    <n v="40580"/>
    <x v="0"/>
    <x v="1"/>
    <x v="0"/>
    <b v="0"/>
    <n v="0"/>
    <x v="0"/>
    <x v="12"/>
    <m/>
    <n v="0.2576"/>
    <n v="0.7"/>
    <n v="0.19400000000000001"/>
    <x v="4"/>
    <x v="53"/>
    <x v="21"/>
    <x v="1"/>
  </r>
  <r>
    <n v="807"/>
    <n v="40580"/>
    <x v="0"/>
    <x v="1"/>
    <x v="1"/>
    <b v="0"/>
    <n v="0"/>
    <x v="0"/>
    <x v="12"/>
    <m/>
    <n v="0.2273"/>
    <n v="0.65"/>
    <n v="0.41789999999999999"/>
    <x v="17"/>
    <x v="71"/>
    <x v="40"/>
    <x v="1"/>
  </r>
  <r>
    <n v="808"/>
    <n v="40580"/>
    <x v="0"/>
    <x v="1"/>
    <x v="2"/>
    <b v="0"/>
    <n v="0"/>
    <x v="0"/>
    <x v="12"/>
    <m/>
    <n v="0.2273"/>
    <n v="0.6"/>
    <n v="0.32840000000000003"/>
    <x v="3"/>
    <x v="32"/>
    <x v="25"/>
    <x v="1"/>
  </r>
  <r>
    <n v="809"/>
    <n v="40580"/>
    <x v="0"/>
    <x v="1"/>
    <x v="3"/>
    <b v="0"/>
    <n v="0"/>
    <x v="0"/>
    <x v="12"/>
    <m/>
    <n v="0.28789999999999999"/>
    <n v="0.6"/>
    <n v="8.9599999999999999E-2"/>
    <x v="0"/>
    <x v="3"/>
    <x v="3"/>
    <x v="1"/>
  </r>
  <r>
    <n v="810"/>
    <n v="40580"/>
    <x v="0"/>
    <x v="1"/>
    <x v="4"/>
    <b v="0"/>
    <n v="0"/>
    <x v="0"/>
    <x v="12"/>
    <m/>
    <n v="0.2273"/>
    <n v="0.6"/>
    <n v="0.35820000000000002"/>
    <x v="3"/>
    <x v="6"/>
    <x v="5"/>
    <x v="1"/>
  </r>
  <r>
    <n v="811"/>
    <n v="40580"/>
    <x v="0"/>
    <x v="1"/>
    <x v="5"/>
    <b v="0"/>
    <n v="0"/>
    <x v="0"/>
    <x v="12"/>
    <m/>
    <n v="0.2576"/>
    <n v="0.6"/>
    <n v="0.22389999999999999"/>
    <x v="3"/>
    <x v="4"/>
    <x v="4"/>
    <x v="1"/>
  </r>
  <r>
    <n v="812"/>
    <n v="40580"/>
    <x v="0"/>
    <x v="1"/>
    <x v="6"/>
    <b v="0"/>
    <n v="0"/>
    <x v="0"/>
    <x v="12"/>
    <m/>
    <n v="0.2576"/>
    <n v="0.6"/>
    <n v="0.22389999999999999"/>
    <x v="3"/>
    <x v="4"/>
    <x v="4"/>
    <x v="1"/>
  </r>
  <r>
    <n v="813"/>
    <n v="40580"/>
    <x v="0"/>
    <x v="1"/>
    <x v="7"/>
    <b v="0"/>
    <n v="0"/>
    <x v="0"/>
    <x v="0"/>
    <m/>
    <n v="0.2424"/>
    <n v="0.65"/>
    <n v="0.16420000000000001"/>
    <x v="3"/>
    <x v="21"/>
    <x v="7"/>
    <x v="1"/>
  </r>
  <r>
    <n v="814"/>
    <n v="40580"/>
    <x v="0"/>
    <x v="1"/>
    <x v="8"/>
    <b v="0"/>
    <n v="0"/>
    <x v="0"/>
    <x v="0"/>
    <m/>
    <n v="0.2576"/>
    <n v="0.65"/>
    <n v="0.1045"/>
    <x v="4"/>
    <x v="144"/>
    <x v="84"/>
    <x v="1"/>
  </r>
  <r>
    <n v="815"/>
    <n v="40580"/>
    <x v="0"/>
    <x v="1"/>
    <x v="9"/>
    <b v="0"/>
    <n v="0"/>
    <x v="0"/>
    <x v="17"/>
    <m/>
    <n v="0.28789999999999999"/>
    <n v="0.56000000000000005"/>
    <n v="0.1045"/>
    <x v="18"/>
    <x v="101"/>
    <x v="79"/>
    <x v="1"/>
  </r>
  <r>
    <n v="816"/>
    <n v="40580"/>
    <x v="0"/>
    <x v="1"/>
    <x v="10"/>
    <b v="0"/>
    <n v="0"/>
    <x v="0"/>
    <x v="11"/>
    <m/>
    <n v="0.28789999999999999"/>
    <n v="0.52"/>
    <n v="0.25369999999999998"/>
    <x v="13"/>
    <x v="64"/>
    <x v="70"/>
    <x v="1"/>
  </r>
  <r>
    <n v="817"/>
    <n v="40580"/>
    <x v="0"/>
    <x v="1"/>
    <x v="11"/>
    <b v="0"/>
    <n v="0"/>
    <x v="0"/>
    <x v="3"/>
    <m/>
    <n v="0.30299999999999999"/>
    <n v="0.49"/>
    <n v="0.25369999999999998"/>
    <x v="32"/>
    <x v="121"/>
    <x v="126"/>
    <x v="1"/>
  </r>
  <r>
    <n v="818"/>
    <n v="40580"/>
    <x v="0"/>
    <x v="1"/>
    <x v="12"/>
    <b v="0"/>
    <n v="0"/>
    <x v="0"/>
    <x v="10"/>
    <m/>
    <n v="0.33329999999999999"/>
    <n v="0.46"/>
    <n v="0"/>
    <x v="33"/>
    <x v="165"/>
    <x v="177"/>
    <x v="1"/>
  </r>
  <r>
    <n v="819"/>
    <n v="40580"/>
    <x v="0"/>
    <x v="1"/>
    <x v="13"/>
    <b v="0"/>
    <n v="0"/>
    <x v="0"/>
    <x v="10"/>
    <m/>
    <n v="0.36359999999999998"/>
    <n v="0.46"/>
    <n v="0"/>
    <x v="9"/>
    <x v="113"/>
    <x v="58"/>
    <x v="1"/>
  </r>
  <r>
    <n v="820"/>
    <n v="40580"/>
    <x v="0"/>
    <x v="1"/>
    <x v="14"/>
    <b v="0"/>
    <n v="0"/>
    <x v="0"/>
    <x v="10"/>
    <m/>
    <n v="0.34849999999999998"/>
    <n v="0.46"/>
    <n v="8.9599999999999999E-2"/>
    <x v="9"/>
    <x v="154"/>
    <x v="143"/>
    <x v="1"/>
  </r>
  <r>
    <n v="821"/>
    <n v="40580"/>
    <x v="0"/>
    <x v="1"/>
    <x v="15"/>
    <b v="0"/>
    <n v="0"/>
    <x v="0"/>
    <x v="10"/>
    <m/>
    <n v="0.34849999999999998"/>
    <n v="0.46"/>
    <n v="8.9599999999999999E-2"/>
    <x v="34"/>
    <x v="110"/>
    <x v="58"/>
    <x v="1"/>
  </r>
  <r>
    <n v="822"/>
    <n v="40580"/>
    <x v="0"/>
    <x v="1"/>
    <x v="16"/>
    <b v="0"/>
    <n v="0"/>
    <x v="0"/>
    <x v="10"/>
    <m/>
    <n v="0.34849999999999998"/>
    <n v="0.49"/>
    <n v="0.1045"/>
    <x v="35"/>
    <x v="166"/>
    <x v="45"/>
    <x v="1"/>
  </r>
  <r>
    <n v="823"/>
    <n v="40580"/>
    <x v="0"/>
    <x v="1"/>
    <x v="17"/>
    <b v="0"/>
    <n v="0"/>
    <x v="0"/>
    <x v="10"/>
    <m/>
    <n v="0.36359999999999998"/>
    <n v="0.46"/>
    <n v="0"/>
    <x v="31"/>
    <x v="106"/>
    <x v="178"/>
    <x v="1"/>
  </r>
  <r>
    <n v="824"/>
    <n v="40580"/>
    <x v="0"/>
    <x v="1"/>
    <x v="18"/>
    <b v="0"/>
    <n v="0"/>
    <x v="0"/>
    <x v="11"/>
    <m/>
    <n v="0.30299999999999999"/>
    <n v="0.56000000000000005"/>
    <n v="0.16420000000000001"/>
    <x v="23"/>
    <x v="65"/>
    <x v="53"/>
    <x v="1"/>
  </r>
  <r>
    <n v="825"/>
    <n v="40580"/>
    <x v="0"/>
    <x v="1"/>
    <x v="19"/>
    <b v="0"/>
    <n v="0"/>
    <x v="0"/>
    <x v="17"/>
    <m/>
    <n v="0.28789999999999999"/>
    <n v="0.61"/>
    <n v="0.1343"/>
    <x v="5"/>
    <x v="32"/>
    <x v="137"/>
    <x v="1"/>
  </r>
  <r>
    <n v="826"/>
    <n v="40580"/>
    <x v="0"/>
    <x v="1"/>
    <x v="20"/>
    <b v="0"/>
    <n v="0"/>
    <x v="0"/>
    <x v="17"/>
    <m/>
    <n v="0.28789999999999999"/>
    <n v="0.61"/>
    <n v="0.1045"/>
    <x v="2"/>
    <x v="144"/>
    <x v="132"/>
    <x v="1"/>
  </r>
  <r>
    <n v="827"/>
    <n v="40580"/>
    <x v="0"/>
    <x v="1"/>
    <x v="21"/>
    <b v="0"/>
    <n v="0"/>
    <x v="0"/>
    <x v="12"/>
    <m/>
    <n v="0.30299999999999999"/>
    <n v="0.6"/>
    <n v="0"/>
    <x v="2"/>
    <x v="97"/>
    <x v="110"/>
    <x v="1"/>
  </r>
  <r>
    <n v="828"/>
    <n v="40580"/>
    <x v="0"/>
    <x v="1"/>
    <x v="22"/>
    <b v="0"/>
    <n v="0"/>
    <x v="0"/>
    <x v="12"/>
    <m/>
    <n v="0.30299999999999999"/>
    <n v="0.6"/>
    <n v="0"/>
    <x v="2"/>
    <x v="77"/>
    <x v="69"/>
    <x v="1"/>
  </r>
  <r>
    <n v="829"/>
    <n v="40580"/>
    <x v="0"/>
    <x v="1"/>
    <x v="23"/>
    <b v="0"/>
    <n v="0"/>
    <x v="0"/>
    <x v="0"/>
    <m/>
    <n v="0.28789999999999999"/>
    <n v="0.65"/>
    <n v="0"/>
    <x v="17"/>
    <x v="16"/>
    <x v="33"/>
    <x v="1"/>
  </r>
  <r>
    <n v="830"/>
    <n v="40581"/>
    <x v="0"/>
    <x v="1"/>
    <x v="0"/>
    <b v="0"/>
    <n v="1"/>
    <x v="0"/>
    <x v="0"/>
    <m/>
    <n v="0.28789999999999999"/>
    <n v="0.65"/>
    <n v="0"/>
    <x v="5"/>
    <x v="88"/>
    <x v="93"/>
    <x v="1"/>
  </r>
  <r>
    <n v="831"/>
    <n v="40581"/>
    <x v="0"/>
    <x v="1"/>
    <x v="1"/>
    <b v="0"/>
    <n v="1"/>
    <x v="0"/>
    <x v="1"/>
    <m/>
    <n v="0.2727"/>
    <n v="0.75"/>
    <n v="0"/>
    <x v="5"/>
    <x v="22"/>
    <x v="36"/>
    <x v="1"/>
  </r>
  <r>
    <n v="832"/>
    <n v="40581"/>
    <x v="0"/>
    <x v="1"/>
    <x v="2"/>
    <b v="0"/>
    <n v="1"/>
    <x v="0"/>
    <x v="2"/>
    <m/>
    <n v="0.2576"/>
    <n v="0.8"/>
    <n v="0"/>
    <x v="3"/>
    <x v="35"/>
    <x v="6"/>
    <x v="1"/>
  </r>
  <r>
    <n v="833"/>
    <n v="40581"/>
    <x v="0"/>
    <x v="1"/>
    <x v="3"/>
    <b v="0"/>
    <n v="1"/>
    <x v="0"/>
    <x v="2"/>
    <m/>
    <n v="0.2576"/>
    <n v="0.86"/>
    <n v="0"/>
    <x v="3"/>
    <x v="4"/>
    <x v="4"/>
    <x v="1"/>
  </r>
  <r>
    <n v="834"/>
    <n v="40581"/>
    <x v="0"/>
    <x v="1"/>
    <x v="4"/>
    <b v="0"/>
    <n v="1"/>
    <x v="0"/>
    <x v="2"/>
    <m/>
    <n v="0.2576"/>
    <n v="0.86"/>
    <n v="0"/>
    <x v="5"/>
    <x v="4"/>
    <x v="5"/>
    <x v="1"/>
  </r>
  <r>
    <n v="835"/>
    <n v="40581"/>
    <x v="0"/>
    <x v="1"/>
    <x v="5"/>
    <b v="0"/>
    <n v="1"/>
    <x v="0"/>
    <x v="2"/>
    <m/>
    <n v="0.2576"/>
    <n v="0.86"/>
    <n v="0"/>
    <x v="5"/>
    <x v="33"/>
    <x v="98"/>
    <x v="1"/>
  </r>
  <r>
    <n v="836"/>
    <n v="40581"/>
    <x v="0"/>
    <x v="1"/>
    <x v="6"/>
    <b v="0"/>
    <n v="1"/>
    <x v="0"/>
    <x v="15"/>
    <m/>
    <n v="0.2424"/>
    <n v="0.93"/>
    <n v="0"/>
    <x v="5"/>
    <x v="31"/>
    <x v="33"/>
    <x v="1"/>
  </r>
  <r>
    <n v="837"/>
    <n v="40581"/>
    <x v="0"/>
    <x v="1"/>
    <x v="7"/>
    <b v="0"/>
    <n v="1"/>
    <x v="0"/>
    <x v="15"/>
    <m/>
    <n v="0.2424"/>
    <n v="0.86"/>
    <n v="0"/>
    <x v="15"/>
    <x v="121"/>
    <x v="76"/>
    <x v="1"/>
  </r>
  <r>
    <n v="838"/>
    <n v="40581"/>
    <x v="0"/>
    <x v="1"/>
    <x v="8"/>
    <b v="0"/>
    <n v="1"/>
    <x v="1"/>
    <x v="13"/>
    <m/>
    <n v="0.2273"/>
    <n v="1"/>
    <n v="0"/>
    <x v="18"/>
    <x v="167"/>
    <x v="179"/>
    <x v="1"/>
  </r>
  <r>
    <n v="839"/>
    <n v="40581"/>
    <x v="0"/>
    <x v="1"/>
    <x v="9"/>
    <b v="0"/>
    <n v="1"/>
    <x v="0"/>
    <x v="1"/>
    <m/>
    <n v="0.2727"/>
    <n v="0.8"/>
    <n v="0"/>
    <x v="0"/>
    <x v="166"/>
    <x v="130"/>
    <x v="1"/>
  </r>
  <r>
    <n v="840"/>
    <n v="40581"/>
    <x v="0"/>
    <x v="1"/>
    <x v="10"/>
    <b v="0"/>
    <n v="1"/>
    <x v="0"/>
    <x v="0"/>
    <m/>
    <n v="0.2576"/>
    <n v="0.75"/>
    <n v="0.1045"/>
    <x v="15"/>
    <x v="47"/>
    <x v="97"/>
    <x v="1"/>
  </r>
  <r>
    <n v="841"/>
    <n v="40581"/>
    <x v="0"/>
    <x v="1"/>
    <x v="11"/>
    <b v="0"/>
    <n v="1"/>
    <x v="0"/>
    <x v="11"/>
    <m/>
    <n v="0.31819999999999998"/>
    <n v="0.65"/>
    <n v="8.9599999999999999E-2"/>
    <x v="16"/>
    <x v="49"/>
    <x v="105"/>
    <x v="1"/>
  </r>
  <r>
    <n v="842"/>
    <n v="40581"/>
    <x v="0"/>
    <x v="1"/>
    <x v="12"/>
    <b v="0"/>
    <n v="1"/>
    <x v="1"/>
    <x v="3"/>
    <m/>
    <n v="0.34849999999999998"/>
    <n v="0.62"/>
    <n v="0"/>
    <x v="18"/>
    <x v="79"/>
    <x v="180"/>
    <x v="1"/>
  </r>
  <r>
    <n v="843"/>
    <n v="40581"/>
    <x v="0"/>
    <x v="1"/>
    <x v="13"/>
    <b v="0"/>
    <n v="1"/>
    <x v="1"/>
    <x v="5"/>
    <m/>
    <n v="0.36359999999999998"/>
    <n v="0.56999999999999995"/>
    <n v="8.9599999999999999E-2"/>
    <x v="22"/>
    <x v="25"/>
    <x v="37"/>
    <x v="1"/>
  </r>
  <r>
    <n v="844"/>
    <n v="40581"/>
    <x v="0"/>
    <x v="1"/>
    <x v="14"/>
    <b v="0"/>
    <n v="1"/>
    <x v="1"/>
    <x v="5"/>
    <m/>
    <n v="0.36359999999999998"/>
    <n v="0.56999999999999995"/>
    <n v="8.9599999999999999E-2"/>
    <x v="1"/>
    <x v="15"/>
    <x v="122"/>
    <x v="1"/>
  </r>
  <r>
    <n v="845"/>
    <n v="40581"/>
    <x v="0"/>
    <x v="1"/>
    <x v="15"/>
    <b v="0"/>
    <n v="1"/>
    <x v="1"/>
    <x v="4"/>
    <m/>
    <n v="0.39389999999999997"/>
    <n v="0.54"/>
    <n v="8.9599999999999999E-2"/>
    <x v="17"/>
    <x v="24"/>
    <x v="89"/>
    <x v="1"/>
  </r>
  <r>
    <n v="846"/>
    <n v="40581"/>
    <x v="0"/>
    <x v="1"/>
    <x v="16"/>
    <b v="0"/>
    <n v="1"/>
    <x v="1"/>
    <x v="5"/>
    <m/>
    <n v="0.34849999999999998"/>
    <n v="0.56999999999999995"/>
    <n v="0.1343"/>
    <x v="19"/>
    <x v="52"/>
    <x v="181"/>
    <x v="1"/>
  </r>
  <r>
    <n v="847"/>
    <n v="40581"/>
    <x v="0"/>
    <x v="1"/>
    <x v="17"/>
    <b v="0"/>
    <n v="1"/>
    <x v="1"/>
    <x v="3"/>
    <m/>
    <n v="0.31819999999999998"/>
    <n v="0.7"/>
    <n v="0.16420000000000001"/>
    <x v="14"/>
    <x v="134"/>
    <x v="182"/>
    <x v="1"/>
  </r>
  <r>
    <n v="848"/>
    <n v="40581"/>
    <x v="0"/>
    <x v="1"/>
    <x v="18"/>
    <b v="0"/>
    <n v="1"/>
    <x v="1"/>
    <x v="10"/>
    <m/>
    <n v="0.33329999999999999"/>
    <n v="0.66"/>
    <n v="0.1343"/>
    <x v="2"/>
    <x v="160"/>
    <x v="172"/>
    <x v="1"/>
  </r>
  <r>
    <n v="849"/>
    <n v="40581"/>
    <x v="0"/>
    <x v="1"/>
    <x v="19"/>
    <b v="0"/>
    <n v="1"/>
    <x v="1"/>
    <x v="3"/>
    <m/>
    <n v="0.34849999999999998"/>
    <n v="0.7"/>
    <n v="0"/>
    <x v="2"/>
    <x v="168"/>
    <x v="116"/>
    <x v="1"/>
  </r>
  <r>
    <n v="850"/>
    <n v="40581"/>
    <x v="0"/>
    <x v="1"/>
    <x v="20"/>
    <b v="0"/>
    <n v="1"/>
    <x v="1"/>
    <x v="3"/>
    <m/>
    <n v="0.33329999999999999"/>
    <n v="0.7"/>
    <n v="0.1045"/>
    <x v="15"/>
    <x v="70"/>
    <x v="39"/>
    <x v="1"/>
  </r>
  <r>
    <n v="851"/>
    <n v="40581"/>
    <x v="0"/>
    <x v="1"/>
    <x v="21"/>
    <b v="0"/>
    <n v="1"/>
    <x v="0"/>
    <x v="3"/>
    <m/>
    <n v="0.34849999999999998"/>
    <n v="0.7"/>
    <n v="0"/>
    <x v="0"/>
    <x v="102"/>
    <x v="53"/>
    <x v="1"/>
  </r>
  <r>
    <n v="852"/>
    <n v="40581"/>
    <x v="0"/>
    <x v="1"/>
    <x v="22"/>
    <b v="0"/>
    <n v="1"/>
    <x v="0"/>
    <x v="17"/>
    <m/>
    <n v="0.30299999999999999"/>
    <n v="0.81"/>
    <n v="8.9599999999999999E-2"/>
    <x v="0"/>
    <x v="60"/>
    <x v="18"/>
    <x v="1"/>
  </r>
  <r>
    <n v="853"/>
    <n v="40581"/>
    <x v="0"/>
    <x v="1"/>
    <x v="23"/>
    <b v="0"/>
    <n v="1"/>
    <x v="1"/>
    <x v="11"/>
    <m/>
    <n v="0.33329999999999999"/>
    <n v="0.81"/>
    <n v="0"/>
    <x v="15"/>
    <x v="23"/>
    <x v="94"/>
    <x v="1"/>
  </r>
  <r>
    <n v="854"/>
    <n v="40582"/>
    <x v="0"/>
    <x v="1"/>
    <x v="0"/>
    <b v="0"/>
    <n v="2"/>
    <x v="1"/>
    <x v="17"/>
    <m/>
    <n v="0.31819999999999998"/>
    <n v="0.87"/>
    <n v="0"/>
    <x v="17"/>
    <x v="8"/>
    <x v="98"/>
    <x v="1"/>
  </r>
  <r>
    <n v="855"/>
    <n v="40582"/>
    <x v="0"/>
    <x v="1"/>
    <x v="1"/>
    <b v="0"/>
    <n v="2"/>
    <x v="1"/>
    <x v="17"/>
    <m/>
    <n v="0.31819999999999998"/>
    <n v="0.87"/>
    <n v="0"/>
    <x v="3"/>
    <x v="22"/>
    <x v="48"/>
    <x v="1"/>
  </r>
  <r>
    <n v="856"/>
    <n v="40582"/>
    <x v="0"/>
    <x v="1"/>
    <x v="2"/>
    <b v="0"/>
    <n v="2"/>
    <x v="1"/>
    <x v="12"/>
    <m/>
    <n v="0.2727"/>
    <n v="0.93"/>
    <n v="0.1045"/>
    <x v="5"/>
    <x v="4"/>
    <x v="5"/>
    <x v="1"/>
  </r>
  <r>
    <n v="857"/>
    <n v="40582"/>
    <x v="0"/>
    <x v="1"/>
    <x v="3"/>
    <b v="0"/>
    <n v="2"/>
    <x v="2"/>
    <x v="17"/>
    <m/>
    <n v="0.2727"/>
    <n v="0.93"/>
    <n v="0.16420000000000001"/>
    <x v="3"/>
    <x v="4"/>
    <x v="4"/>
    <x v="1"/>
  </r>
  <r>
    <n v="858"/>
    <n v="40582"/>
    <x v="0"/>
    <x v="1"/>
    <x v="4"/>
    <b v="0"/>
    <n v="2"/>
    <x v="0"/>
    <x v="12"/>
    <m/>
    <n v="0.2576"/>
    <n v="0.93"/>
    <n v="0.16420000000000001"/>
    <x v="3"/>
    <x v="35"/>
    <x v="6"/>
    <x v="1"/>
  </r>
  <r>
    <n v="859"/>
    <n v="40582"/>
    <x v="0"/>
    <x v="1"/>
    <x v="5"/>
    <b v="0"/>
    <n v="2"/>
    <x v="0"/>
    <x v="12"/>
    <m/>
    <n v="0.2273"/>
    <n v="0.81"/>
    <n v="0.32840000000000003"/>
    <x v="3"/>
    <x v="6"/>
    <x v="5"/>
    <x v="1"/>
  </r>
  <r>
    <n v="860"/>
    <n v="40582"/>
    <x v="0"/>
    <x v="1"/>
    <x v="6"/>
    <b v="0"/>
    <n v="2"/>
    <x v="0"/>
    <x v="12"/>
    <m/>
    <n v="0.2273"/>
    <n v="0.7"/>
    <n v="0.32840000000000003"/>
    <x v="3"/>
    <x v="87"/>
    <x v="21"/>
    <x v="1"/>
  </r>
  <r>
    <n v="861"/>
    <n v="40582"/>
    <x v="0"/>
    <x v="1"/>
    <x v="7"/>
    <b v="0"/>
    <n v="2"/>
    <x v="0"/>
    <x v="0"/>
    <m/>
    <n v="0.19700000000000001"/>
    <n v="0.65"/>
    <n v="0.41789999999999999"/>
    <x v="0"/>
    <x v="106"/>
    <x v="50"/>
    <x v="1"/>
  </r>
  <r>
    <n v="862"/>
    <n v="40582"/>
    <x v="0"/>
    <x v="1"/>
    <x v="8"/>
    <b v="0"/>
    <n v="2"/>
    <x v="0"/>
    <x v="0"/>
    <m/>
    <n v="0.19700000000000001"/>
    <n v="0.56000000000000005"/>
    <n v="0.49249999999999999"/>
    <x v="18"/>
    <x v="169"/>
    <x v="183"/>
    <x v="1"/>
  </r>
  <r>
    <n v="863"/>
    <n v="40582"/>
    <x v="0"/>
    <x v="1"/>
    <x v="9"/>
    <b v="0"/>
    <n v="2"/>
    <x v="0"/>
    <x v="0"/>
    <m/>
    <n v="0.19700000000000001"/>
    <n v="0.52"/>
    <n v="0.49249999999999999"/>
    <x v="18"/>
    <x v="170"/>
    <x v="169"/>
    <x v="1"/>
  </r>
  <r>
    <n v="864"/>
    <n v="40582"/>
    <x v="0"/>
    <x v="1"/>
    <x v="10"/>
    <b v="0"/>
    <n v="2"/>
    <x v="0"/>
    <x v="1"/>
    <m/>
    <n v="0.18179999999999999"/>
    <n v="0.47"/>
    <n v="0.55220000000000002"/>
    <x v="17"/>
    <x v="100"/>
    <x v="61"/>
    <x v="1"/>
  </r>
  <r>
    <n v="865"/>
    <n v="40582"/>
    <x v="0"/>
    <x v="1"/>
    <x v="11"/>
    <b v="0"/>
    <n v="2"/>
    <x v="0"/>
    <x v="1"/>
    <m/>
    <n v="0.18179999999999999"/>
    <n v="0.47"/>
    <n v="0.4627"/>
    <x v="5"/>
    <x v="47"/>
    <x v="89"/>
    <x v="1"/>
  </r>
  <r>
    <n v="866"/>
    <n v="40582"/>
    <x v="0"/>
    <x v="1"/>
    <x v="12"/>
    <b v="0"/>
    <n v="2"/>
    <x v="0"/>
    <x v="0"/>
    <m/>
    <n v="0.19700000000000001"/>
    <n v="0.38"/>
    <n v="0.49249999999999999"/>
    <x v="4"/>
    <x v="36"/>
    <x v="32"/>
    <x v="1"/>
  </r>
  <r>
    <n v="867"/>
    <n v="40582"/>
    <x v="0"/>
    <x v="1"/>
    <x v="13"/>
    <b v="0"/>
    <n v="2"/>
    <x v="1"/>
    <x v="0"/>
    <m/>
    <n v="0.19700000000000001"/>
    <n v="0.32"/>
    <n v="0.44779999999999998"/>
    <x v="4"/>
    <x v="41"/>
    <x v="89"/>
    <x v="1"/>
  </r>
  <r>
    <n v="868"/>
    <n v="40582"/>
    <x v="0"/>
    <x v="1"/>
    <x v="14"/>
    <b v="0"/>
    <n v="2"/>
    <x v="0"/>
    <x v="1"/>
    <m/>
    <n v="0.19700000000000001"/>
    <n v="0.37"/>
    <n v="0.41789999999999999"/>
    <x v="0"/>
    <x v="124"/>
    <x v="37"/>
    <x v="1"/>
  </r>
  <r>
    <n v="869"/>
    <n v="40582"/>
    <x v="0"/>
    <x v="1"/>
    <x v="15"/>
    <b v="0"/>
    <n v="2"/>
    <x v="0"/>
    <x v="1"/>
    <m/>
    <n v="0.19700000000000001"/>
    <n v="0.35"/>
    <n v="0.3881"/>
    <x v="15"/>
    <x v="108"/>
    <x v="41"/>
    <x v="1"/>
  </r>
  <r>
    <n v="870"/>
    <n v="40582"/>
    <x v="0"/>
    <x v="1"/>
    <x v="16"/>
    <b v="0"/>
    <n v="2"/>
    <x v="0"/>
    <x v="1"/>
    <m/>
    <n v="0.18179999999999999"/>
    <n v="0.35"/>
    <n v="0.52239999999999998"/>
    <x v="17"/>
    <x v="55"/>
    <x v="56"/>
    <x v="1"/>
  </r>
  <r>
    <n v="871"/>
    <n v="40582"/>
    <x v="0"/>
    <x v="1"/>
    <x v="17"/>
    <b v="0"/>
    <n v="2"/>
    <x v="0"/>
    <x v="1"/>
    <m/>
    <n v="0.18179999999999999"/>
    <n v="0.32"/>
    <n v="0.58209999999999995"/>
    <x v="17"/>
    <x v="155"/>
    <x v="170"/>
    <x v="1"/>
  </r>
  <r>
    <n v="872"/>
    <n v="40582"/>
    <x v="0"/>
    <x v="1"/>
    <x v="18"/>
    <b v="0"/>
    <n v="2"/>
    <x v="0"/>
    <x v="2"/>
    <m/>
    <n v="0.18179999999999999"/>
    <n v="0.32"/>
    <n v="0.3881"/>
    <x v="5"/>
    <x v="137"/>
    <x v="148"/>
    <x v="1"/>
  </r>
  <r>
    <n v="873"/>
    <n v="40582"/>
    <x v="0"/>
    <x v="1"/>
    <x v="19"/>
    <b v="0"/>
    <n v="2"/>
    <x v="0"/>
    <x v="13"/>
    <m/>
    <n v="0.1212"/>
    <n v="0.4"/>
    <n v="0.4627"/>
    <x v="5"/>
    <x v="129"/>
    <x v="129"/>
    <x v="1"/>
  </r>
  <r>
    <n v="874"/>
    <n v="40582"/>
    <x v="0"/>
    <x v="1"/>
    <x v="20"/>
    <b v="0"/>
    <n v="2"/>
    <x v="0"/>
    <x v="13"/>
    <m/>
    <n v="0.13639999999999999"/>
    <n v="0.4"/>
    <n v="0.32840000000000003"/>
    <x v="0"/>
    <x v="42"/>
    <x v="10"/>
    <x v="1"/>
  </r>
  <r>
    <n v="875"/>
    <n v="40582"/>
    <x v="0"/>
    <x v="1"/>
    <x v="21"/>
    <b v="0"/>
    <n v="2"/>
    <x v="0"/>
    <x v="14"/>
    <m/>
    <n v="0.1061"/>
    <n v="0.33"/>
    <n v="0.4627"/>
    <x v="1"/>
    <x v="24"/>
    <x v="60"/>
    <x v="1"/>
  </r>
  <r>
    <n v="876"/>
    <n v="40582"/>
    <x v="0"/>
    <x v="1"/>
    <x v="22"/>
    <b v="0"/>
    <n v="2"/>
    <x v="0"/>
    <x v="16"/>
    <m/>
    <n v="0.1061"/>
    <n v="0.33"/>
    <n v="0.35820000000000002"/>
    <x v="3"/>
    <x v="31"/>
    <x v="115"/>
    <x v="1"/>
  </r>
  <r>
    <n v="877"/>
    <n v="40582"/>
    <x v="0"/>
    <x v="1"/>
    <x v="23"/>
    <b v="0"/>
    <n v="2"/>
    <x v="0"/>
    <x v="16"/>
    <m/>
    <n v="0.1061"/>
    <n v="0.33"/>
    <n v="0.32840000000000003"/>
    <x v="0"/>
    <x v="33"/>
    <x v="47"/>
    <x v="1"/>
  </r>
  <r>
    <n v="878"/>
    <n v="40583"/>
    <x v="0"/>
    <x v="1"/>
    <x v="0"/>
    <b v="0"/>
    <n v="3"/>
    <x v="0"/>
    <x v="18"/>
    <m/>
    <n v="7.5800000000000006E-2"/>
    <n v="0.36"/>
    <n v="0.35820000000000002"/>
    <x v="3"/>
    <x v="19"/>
    <x v="22"/>
    <x v="1"/>
  </r>
  <r>
    <n v="879"/>
    <n v="40583"/>
    <x v="0"/>
    <x v="1"/>
    <x v="1"/>
    <b v="0"/>
    <n v="3"/>
    <x v="0"/>
    <x v="18"/>
    <m/>
    <n v="0.1061"/>
    <n v="0.36"/>
    <n v="0.22389999999999999"/>
    <x v="3"/>
    <x v="7"/>
    <x v="85"/>
    <x v="1"/>
  </r>
  <r>
    <n v="880"/>
    <n v="40583"/>
    <x v="0"/>
    <x v="1"/>
    <x v="2"/>
    <b v="0"/>
    <n v="3"/>
    <x v="0"/>
    <x v="19"/>
    <m/>
    <n v="7.5800000000000006E-2"/>
    <n v="0.38"/>
    <n v="0.28360000000000002"/>
    <x v="5"/>
    <x v="6"/>
    <x v="6"/>
    <x v="1"/>
  </r>
  <r>
    <n v="881"/>
    <n v="40583"/>
    <x v="0"/>
    <x v="1"/>
    <x v="3"/>
    <b v="0"/>
    <n v="3"/>
    <x v="0"/>
    <x v="20"/>
    <m/>
    <n v="7.5800000000000006E-2"/>
    <n v="0.45"/>
    <n v="0.1343"/>
    <x v="3"/>
    <x v="6"/>
    <x v="5"/>
    <x v="1"/>
  </r>
  <r>
    <n v="882"/>
    <n v="40583"/>
    <x v="0"/>
    <x v="1"/>
    <x v="5"/>
    <b v="0"/>
    <n v="3"/>
    <x v="0"/>
    <x v="20"/>
    <m/>
    <n v="0.1061"/>
    <n v="0.45"/>
    <n v="0.1045"/>
    <x v="3"/>
    <x v="7"/>
    <x v="85"/>
    <x v="1"/>
  </r>
  <r>
    <n v="883"/>
    <n v="40583"/>
    <x v="0"/>
    <x v="1"/>
    <x v="6"/>
    <b v="0"/>
    <n v="3"/>
    <x v="0"/>
    <x v="20"/>
    <m/>
    <n v="0.1515"/>
    <n v="0.45"/>
    <n v="0"/>
    <x v="3"/>
    <x v="30"/>
    <x v="74"/>
    <x v="1"/>
  </r>
  <r>
    <n v="884"/>
    <n v="40583"/>
    <x v="0"/>
    <x v="1"/>
    <x v="7"/>
    <b v="0"/>
    <n v="3"/>
    <x v="0"/>
    <x v="20"/>
    <m/>
    <n v="0.1061"/>
    <n v="0.49"/>
    <n v="0.1045"/>
    <x v="17"/>
    <x v="73"/>
    <x v="111"/>
    <x v="1"/>
  </r>
  <r>
    <n v="885"/>
    <n v="40583"/>
    <x v="0"/>
    <x v="1"/>
    <x v="8"/>
    <b v="0"/>
    <n v="3"/>
    <x v="0"/>
    <x v="18"/>
    <m/>
    <n v="0.13639999999999999"/>
    <n v="0.42"/>
    <n v="0"/>
    <x v="5"/>
    <x v="171"/>
    <x v="184"/>
    <x v="1"/>
  </r>
  <r>
    <n v="886"/>
    <n v="40583"/>
    <x v="0"/>
    <x v="1"/>
    <x v="9"/>
    <b v="0"/>
    <n v="3"/>
    <x v="0"/>
    <x v="16"/>
    <m/>
    <n v="0.13639999999999999"/>
    <n v="0.39"/>
    <n v="0.16420000000000001"/>
    <x v="17"/>
    <x v="138"/>
    <x v="92"/>
    <x v="1"/>
  </r>
  <r>
    <n v="887"/>
    <n v="40583"/>
    <x v="0"/>
    <x v="1"/>
    <x v="10"/>
    <b v="0"/>
    <n v="3"/>
    <x v="0"/>
    <x v="14"/>
    <m/>
    <n v="0.18179999999999999"/>
    <n v="0.36"/>
    <n v="0"/>
    <x v="1"/>
    <x v="82"/>
    <x v="29"/>
    <x v="1"/>
  </r>
  <r>
    <n v="888"/>
    <n v="40583"/>
    <x v="0"/>
    <x v="1"/>
    <x v="11"/>
    <b v="0"/>
    <n v="3"/>
    <x v="1"/>
    <x v="14"/>
    <m/>
    <n v="0.1515"/>
    <n v="0.43"/>
    <n v="0.16420000000000001"/>
    <x v="5"/>
    <x v="71"/>
    <x v="102"/>
    <x v="1"/>
  </r>
  <r>
    <n v="889"/>
    <n v="40583"/>
    <x v="0"/>
    <x v="1"/>
    <x v="12"/>
    <b v="0"/>
    <n v="3"/>
    <x v="1"/>
    <x v="15"/>
    <m/>
    <n v="0.18179999999999999"/>
    <n v="0.4"/>
    <n v="0.22389999999999999"/>
    <x v="17"/>
    <x v="77"/>
    <x v="42"/>
    <x v="1"/>
  </r>
  <r>
    <n v="890"/>
    <n v="40583"/>
    <x v="0"/>
    <x v="1"/>
    <x v="13"/>
    <b v="0"/>
    <n v="3"/>
    <x v="0"/>
    <x v="15"/>
    <m/>
    <n v="0.16669999999999999"/>
    <n v="0.4"/>
    <n v="0.25369999999999998"/>
    <x v="4"/>
    <x v="28"/>
    <x v="83"/>
    <x v="1"/>
  </r>
  <r>
    <n v="891"/>
    <n v="40583"/>
    <x v="0"/>
    <x v="1"/>
    <x v="14"/>
    <b v="0"/>
    <n v="3"/>
    <x v="0"/>
    <x v="2"/>
    <m/>
    <n v="0.18179999999999999"/>
    <n v="0.34"/>
    <n v="0.29849999999999999"/>
    <x v="4"/>
    <x v="90"/>
    <x v="154"/>
    <x v="1"/>
  </r>
  <r>
    <n v="892"/>
    <n v="40583"/>
    <x v="0"/>
    <x v="1"/>
    <x v="15"/>
    <b v="0"/>
    <n v="3"/>
    <x v="1"/>
    <x v="2"/>
    <m/>
    <n v="0.18179999999999999"/>
    <n v="0.34"/>
    <n v="0.28360000000000002"/>
    <x v="0"/>
    <x v="124"/>
    <x v="37"/>
    <x v="1"/>
  </r>
  <r>
    <n v="893"/>
    <n v="40583"/>
    <x v="0"/>
    <x v="1"/>
    <x v="16"/>
    <b v="0"/>
    <n v="3"/>
    <x v="1"/>
    <x v="2"/>
    <m/>
    <n v="0.19700000000000001"/>
    <n v="0.37"/>
    <n v="0.25369999999999998"/>
    <x v="18"/>
    <x v="109"/>
    <x v="67"/>
    <x v="1"/>
  </r>
  <r>
    <n v="894"/>
    <n v="40583"/>
    <x v="0"/>
    <x v="1"/>
    <x v="17"/>
    <b v="0"/>
    <n v="3"/>
    <x v="1"/>
    <x v="2"/>
    <m/>
    <n v="0.19700000000000001"/>
    <n v="0.34"/>
    <n v="0.25369999999999998"/>
    <x v="14"/>
    <x v="172"/>
    <x v="150"/>
    <x v="1"/>
  </r>
  <r>
    <n v="895"/>
    <n v="40583"/>
    <x v="0"/>
    <x v="1"/>
    <x v="18"/>
    <b v="0"/>
    <n v="3"/>
    <x v="1"/>
    <x v="15"/>
    <m/>
    <n v="0.16669999999999999"/>
    <n v="0.47"/>
    <n v="0.29849999999999999"/>
    <x v="4"/>
    <x v="173"/>
    <x v="185"/>
    <x v="1"/>
  </r>
  <r>
    <n v="896"/>
    <n v="40583"/>
    <x v="0"/>
    <x v="1"/>
    <x v="19"/>
    <b v="0"/>
    <n v="3"/>
    <x v="2"/>
    <x v="14"/>
    <m/>
    <n v="0.1212"/>
    <n v="0.86"/>
    <n v="0.25369999999999998"/>
    <x v="5"/>
    <x v="61"/>
    <x v="39"/>
    <x v="1"/>
  </r>
  <r>
    <n v="897"/>
    <n v="40583"/>
    <x v="0"/>
    <x v="1"/>
    <x v="20"/>
    <b v="0"/>
    <n v="3"/>
    <x v="2"/>
    <x v="14"/>
    <m/>
    <n v="0.1515"/>
    <n v="0.86"/>
    <n v="0.16420000000000001"/>
    <x v="3"/>
    <x v="174"/>
    <x v="11"/>
    <x v="1"/>
  </r>
  <r>
    <n v="898"/>
    <n v="40583"/>
    <x v="0"/>
    <x v="1"/>
    <x v="21"/>
    <b v="0"/>
    <n v="3"/>
    <x v="1"/>
    <x v="14"/>
    <m/>
    <n v="0.1515"/>
    <n v="0.86"/>
    <n v="0.16420000000000001"/>
    <x v="3"/>
    <x v="93"/>
    <x v="56"/>
    <x v="1"/>
  </r>
  <r>
    <n v="899"/>
    <n v="40583"/>
    <x v="0"/>
    <x v="1"/>
    <x v="22"/>
    <b v="0"/>
    <n v="3"/>
    <x v="2"/>
    <x v="13"/>
    <m/>
    <n v="0.16669999999999999"/>
    <n v="0.8"/>
    <n v="0.16420000000000001"/>
    <x v="17"/>
    <x v="76"/>
    <x v="66"/>
    <x v="1"/>
  </r>
  <r>
    <n v="900"/>
    <n v="40583"/>
    <x v="0"/>
    <x v="1"/>
    <x v="23"/>
    <b v="0"/>
    <n v="3"/>
    <x v="2"/>
    <x v="13"/>
    <m/>
    <n v="0.1515"/>
    <n v="0.8"/>
    <n v="0.19400000000000001"/>
    <x v="3"/>
    <x v="53"/>
    <x v="18"/>
    <x v="1"/>
  </r>
  <r>
    <n v="901"/>
    <n v="40584"/>
    <x v="0"/>
    <x v="1"/>
    <x v="0"/>
    <b v="0"/>
    <n v="4"/>
    <x v="2"/>
    <x v="14"/>
    <m/>
    <n v="0.13639999999999999"/>
    <n v="0.86"/>
    <n v="0.19400000000000001"/>
    <x v="3"/>
    <x v="20"/>
    <x v="0"/>
    <x v="1"/>
  </r>
  <r>
    <n v="902"/>
    <n v="40584"/>
    <x v="0"/>
    <x v="1"/>
    <x v="1"/>
    <b v="0"/>
    <n v="4"/>
    <x v="2"/>
    <x v="14"/>
    <m/>
    <n v="0.1515"/>
    <n v="0.8"/>
    <n v="0.1343"/>
    <x v="3"/>
    <x v="7"/>
    <x v="85"/>
    <x v="1"/>
  </r>
  <r>
    <n v="903"/>
    <n v="40584"/>
    <x v="0"/>
    <x v="1"/>
    <x v="2"/>
    <b v="0"/>
    <n v="4"/>
    <x v="2"/>
    <x v="14"/>
    <m/>
    <n v="0.1515"/>
    <n v="0.8"/>
    <n v="0.1343"/>
    <x v="3"/>
    <x v="35"/>
    <x v="6"/>
    <x v="1"/>
  </r>
  <r>
    <n v="904"/>
    <n v="40584"/>
    <x v="0"/>
    <x v="1"/>
    <x v="4"/>
    <b v="0"/>
    <n v="4"/>
    <x v="1"/>
    <x v="14"/>
    <m/>
    <n v="0.13639999999999999"/>
    <n v="0.59"/>
    <n v="0.22389999999999999"/>
    <x v="3"/>
    <x v="4"/>
    <x v="4"/>
    <x v="1"/>
  </r>
  <r>
    <n v="905"/>
    <n v="40584"/>
    <x v="0"/>
    <x v="1"/>
    <x v="5"/>
    <b v="0"/>
    <n v="4"/>
    <x v="1"/>
    <x v="16"/>
    <m/>
    <n v="0.1212"/>
    <n v="0.5"/>
    <n v="0.22389999999999999"/>
    <x v="3"/>
    <x v="8"/>
    <x v="24"/>
    <x v="1"/>
  </r>
  <r>
    <n v="906"/>
    <n v="40584"/>
    <x v="0"/>
    <x v="1"/>
    <x v="6"/>
    <b v="0"/>
    <n v="4"/>
    <x v="1"/>
    <x v="16"/>
    <m/>
    <n v="0.1212"/>
    <n v="0.54"/>
    <n v="0.28360000000000002"/>
    <x v="3"/>
    <x v="16"/>
    <x v="132"/>
    <x v="1"/>
  </r>
  <r>
    <n v="907"/>
    <n v="40584"/>
    <x v="0"/>
    <x v="1"/>
    <x v="7"/>
    <b v="0"/>
    <n v="4"/>
    <x v="0"/>
    <x v="18"/>
    <m/>
    <n v="7.5800000000000006E-2"/>
    <n v="0.5"/>
    <n v="0.41789999999999999"/>
    <x v="3"/>
    <x v="175"/>
    <x v="111"/>
    <x v="1"/>
  </r>
  <r>
    <n v="908"/>
    <n v="40584"/>
    <x v="0"/>
    <x v="1"/>
    <x v="8"/>
    <b v="0"/>
    <n v="4"/>
    <x v="0"/>
    <x v="18"/>
    <m/>
    <n v="7.5800000000000006E-2"/>
    <n v="0.49"/>
    <n v="0.32840000000000003"/>
    <x v="2"/>
    <x v="176"/>
    <x v="106"/>
    <x v="1"/>
  </r>
  <r>
    <n v="909"/>
    <n v="40584"/>
    <x v="0"/>
    <x v="1"/>
    <x v="9"/>
    <b v="0"/>
    <n v="4"/>
    <x v="0"/>
    <x v="16"/>
    <m/>
    <n v="0.1061"/>
    <n v="0.42"/>
    <n v="0.35820000000000002"/>
    <x v="5"/>
    <x v="177"/>
    <x v="78"/>
    <x v="1"/>
  </r>
  <r>
    <n v="910"/>
    <n v="40584"/>
    <x v="0"/>
    <x v="1"/>
    <x v="10"/>
    <b v="0"/>
    <n v="4"/>
    <x v="0"/>
    <x v="16"/>
    <m/>
    <n v="0.1061"/>
    <n v="0.42"/>
    <n v="0.29849999999999999"/>
    <x v="5"/>
    <x v="60"/>
    <x v="17"/>
    <x v="1"/>
  </r>
  <r>
    <n v="911"/>
    <n v="40584"/>
    <x v="0"/>
    <x v="1"/>
    <x v="11"/>
    <b v="0"/>
    <n v="4"/>
    <x v="0"/>
    <x v="14"/>
    <m/>
    <n v="0.1212"/>
    <n v="0.39"/>
    <n v="0.35820000000000002"/>
    <x v="5"/>
    <x v="100"/>
    <x v="79"/>
    <x v="1"/>
  </r>
  <r>
    <n v="912"/>
    <n v="40584"/>
    <x v="0"/>
    <x v="1"/>
    <x v="12"/>
    <b v="0"/>
    <n v="4"/>
    <x v="0"/>
    <x v="13"/>
    <m/>
    <n v="0.13639999999999999"/>
    <n v="0.34"/>
    <n v="0.3881"/>
    <x v="17"/>
    <x v="65"/>
    <x v="83"/>
    <x v="1"/>
  </r>
  <r>
    <n v="913"/>
    <n v="40584"/>
    <x v="0"/>
    <x v="1"/>
    <x v="13"/>
    <b v="0"/>
    <n v="4"/>
    <x v="0"/>
    <x v="15"/>
    <m/>
    <n v="0.16669999999999999"/>
    <n v="0.28999999999999998"/>
    <n v="0.29849999999999999"/>
    <x v="0"/>
    <x v="79"/>
    <x v="69"/>
    <x v="1"/>
  </r>
  <r>
    <n v="914"/>
    <n v="40584"/>
    <x v="0"/>
    <x v="1"/>
    <x v="14"/>
    <b v="0"/>
    <n v="4"/>
    <x v="0"/>
    <x v="2"/>
    <m/>
    <n v="0.18179999999999999"/>
    <n v="0.27"/>
    <n v="0.28360000000000002"/>
    <x v="15"/>
    <x v="76"/>
    <x v="61"/>
    <x v="1"/>
  </r>
  <r>
    <n v="915"/>
    <n v="40584"/>
    <x v="0"/>
    <x v="1"/>
    <x v="15"/>
    <b v="0"/>
    <n v="4"/>
    <x v="0"/>
    <x v="2"/>
    <m/>
    <n v="0.19700000000000001"/>
    <n v="0.25"/>
    <n v="0.25369999999999998"/>
    <x v="3"/>
    <x v="54"/>
    <x v="89"/>
    <x v="1"/>
  </r>
  <r>
    <n v="916"/>
    <n v="40584"/>
    <x v="0"/>
    <x v="1"/>
    <x v="16"/>
    <b v="0"/>
    <n v="4"/>
    <x v="0"/>
    <x v="2"/>
    <m/>
    <n v="0.18179999999999999"/>
    <n v="0.27"/>
    <n v="0.29849999999999999"/>
    <x v="17"/>
    <x v="83"/>
    <x v="138"/>
    <x v="1"/>
  </r>
  <r>
    <n v="917"/>
    <n v="40584"/>
    <x v="0"/>
    <x v="1"/>
    <x v="17"/>
    <b v="0"/>
    <n v="4"/>
    <x v="0"/>
    <x v="15"/>
    <m/>
    <n v="0.18179999999999999"/>
    <n v="0.26"/>
    <n v="0.19400000000000001"/>
    <x v="15"/>
    <x v="136"/>
    <x v="186"/>
    <x v="1"/>
  </r>
  <r>
    <n v="918"/>
    <n v="40584"/>
    <x v="0"/>
    <x v="1"/>
    <x v="18"/>
    <b v="0"/>
    <n v="4"/>
    <x v="0"/>
    <x v="13"/>
    <m/>
    <n v="0.18179999999999999"/>
    <n v="0.28000000000000003"/>
    <n v="0.1343"/>
    <x v="0"/>
    <x v="172"/>
    <x v="187"/>
    <x v="1"/>
  </r>
  <r>
    <n v="919"/>
    <n v="40584"/>
    <x v="0"/>
    <x v="1"/>
    <x v="19"/>
    <b v="0"/>
    <n v="4"/>
    <x v="0"/>
    <x v="14"/>
    <m/>
    <n v="0.16669999999999999"/>
    <n v="0.28000000000000003"/>
    <n v="0.1045"/>
    <x v="4"/>
    <x v="59"/>
    <x v="59"/>
    <x v="1"/>
  </r>
  <r>
    <n v="920"/>
    <n v="40584"/>
    <x v="0"/>
    <x v="1"/>
    <x v="20"/>
    <b v="0"/>
    <n v="4"/>
    <x v="0"/>
    <x v="14"/>
    <m/>
    <n v="0.18179999999999999"/>
    <n v="0.31"/>
    <n v="8.9599999999999999E-2"/>
    <x v="17"/>
    <x v="139"/>
    <x v="54"/>
    <x v="1"/>
  </r>
  <r>
    <n v="921"/>
    <n v="40584"/>
    <x v="0"/>
    <x v="1"/>
    <x v="21"/>
    <b v="0"/>
    <n v="4"/>
    <x v="0"/>
    <x v="14"/>
    <m/>
    <n v="0.21210000000000001"/>
    <n v="0.39"/>
    <n v="0"/>
    <x v="4"/>
    <x v="14"/>
    <x v="44"/>
    <x v="1"/>
  </r>
  <r>
    <n v="922"/>
    <n v="40584"/>
    <x v="0"/>
    <x v="1"/>
    <x v="22"/>
    <b v="0"/>
    <n v="4"/>
    <x v="0"/>
    <x v="16"/>
    <m/>
    <n v="0.19700000000000001"/>
    <n v="0.39"/>
    <n v="0"/>
    <x v="17"/>
    <x v="12"/>
    <x v="41"/>
    <x v="1"/>
  </r>
  <r>
    <n v="923"/>
    <n v="40584"/>
    <x v="0"/>
    <x v="1"/>
    <x v="23"/>
    <b v="0"/>
    <n v="4"/>
    <x v="0"/>
    <x v="16"/>
    <m/>
    <n v="0.1515"/>
    <n v="0.42"/>
    <n v="0.1045"/>
    <x v="5"/>
    <x v="39"/>
    <x v="19"/>
    <x v="1"/>
  </r>
  <r>
    <n v="924"/>
    <n v="40585"/>
    <x v="0"/>
    <x v="1"/>
    <x v="0"/>
    <b v="0"/>
    <n v="5"/>
    <x v="0"/>
    <x v="18"/>
    <m/>
    <n v="0.13639999999999999"/>
    <n v="0.49"/>
    <n v="0.1045"/>
    <x v="4"/>
    <x v="98"/>
    <x v="8"/>
    <x v="0"/>
  </r>
  <r>
    <n v="925"/>
    <n v="40585"/>
    <x v="0"/>
    <x v="1"/>
    <x v="1"/>
    <b v="0"/>
    <n v="5"/>
    <x v="0"/>
    <x v="18"/>
    <m/>
    <n v="0.13639999999999999"/>
    <n v="0.54"/>
    <n v="8.9599999999999999E-2"/>
    <x v="5"/>
    <x v="8"/>
    <x v="85"/>
    <x v="0"/>
  </r>
  <r>
    <n v="926"/>
    <n v="40585"/>
    <x v="0"/>
    <x v="1"/>
    <x v="2"/>
    <b v="0"/>
    <n v="5"/>
    <x v="0"/>
    <x v="18"/>
    <m/>
    <n v="0.13639999999999999"/>
    <n v="0.54"/>
    <n v="8.9599999999999999E-2"/>
    <x v="3"/>
    <x v="35"/>
    <x v="6"/>
    <x v="0"/>
  </r>
  <r>
    <n v="927"/>
    <n v="40585"/>
    <x v="0"/>
    <x v="1"/>
    <x v="5"/>
    <b v="0"/>
    <n v="5"/>
    <x v="0"/>
    <x v="19"/>
    <m/>
    <n v="0.1212"/>
    <n v="0.63"/>
    <n v="8.9599999999999999E-2"/>
    <x v="3"/>
    <x v="22"/>
    <x v="48"/>
    <x v="0"/>
  </r>
  <r>
    <n v="928"/>
    <n v="40585"/>
    <x v="0"/>
    <x v="1"/>
    <x v="6"/>
    <b v="0"/>
    <n v="5"/>
    <x v="0"/>
    <x v="18"/>
    <m/>
    <n v="0.18179999999999999"/>
    <n v="0.68"/>
    <n v="0"/>
    <x v="5"/>
    <x v="140"/>
    <x v="108"/>
    <x v="0"/>
  </r>
  <r>
    <n v="929"/>
    <n v="40585"/>
    <x v="0"/>
    <x v="1"/>
    <x v="7"/>
    <b v="0"/>
    <n v="5"/>
    <x v="0"/>
    <x v="19"/>
    <m/>
    <n v="0.16669999999999999"/>
    <n v="0.73"/>
    <n v="0"/>
    <x v="5"/>
    <x v="26"/>
    <x v="30"/>
    <x v="0"/>
  </r>
  <r>
    <n v="930"/>
    <n v="40585"/>
    <x v="0"/>
    <x v="1"/>
    <x v="8"/>
    <b v="0"/>
    <n v="5"/>
    <x v="0"/>
    <x v="18"/>
    <m/>
    <n v="0.1212"/>
    <n v="0.74"/>
    <n v="0.16420000000000001"/>
    <x v="17"/>
    <x v="178"/>
    <x v="182"/>
    <x v="0"/>
  </r>
  <r>
    <n v="931"/>
    <n v="40585"/>
    <x v="0"/>
    <x v="1"/>
    <x v="9"/>
    <b v="0"/>
    <n v="5"/>
    <x v="0"/>
    <x v="16"/>
    <m/>
    <n v="0.1212"/>
    <n v="0.74"/>
    <n v="0.22389999999999999"/>
    <x v="1"/>
    <x v="126"/>
    <x v="188"/>
    <x v="0"/>
  </r>
  <r>
    <n v="932"/>
    <n v="40585"/>
    <x v="0"/>
    <x v="1"/>
    <x v="10"/>
    <b v="0"/>
    <n v="5"/>
    <x v="0"/>
    <x v="14"/>
    <m/>
    <n v="0.13639999999999999"/>
    <n v="0.69"/>
    <n v="0.19400000000000001"/>
    <x v="2"/>
    <x v="87"/>
    <x v="40"/>
    <x v="0"/>
  </r>
  <r>
    <n v="933"/>
    <n v="40585"/>
    <x v="0"/>
    <x v="1"/>
    <x v="11"/>
    <b v="0"/>
    <n v="5"/>
    <x v="0"/>
    <x v="1"/>
    <m/>
    <n v="0.2273"/>
    <n v="0.47"/>
    <n v="0.1343"/>
    <x v="6"/>
    <x v="15"/>
    <x v="37"/>
    <x v="0"/>
  </r>
  <r>
    <n v="934"/>
    <n v="40585"/>
    <x v="0"/>
    <x v="1"/>
    <x v="12"/>
    <b v="0"/>
    <n v="5"/>
    <x v="0"/>
    <x v="1"/>
    <m/>
    <n v="0.2273"/>
    <n v="0.47"/>
    <n v="0.1343"/>
    <x v="18"/>
    <x v="27"/>
    <x v="68"/>
    <x v="0"/>
  </r>
  <r>
    <n v="935"/>
    <n v="40585"/>
    <x v="0"/>
    <x v="1"/>
    <x v="13"/>
    <b v="0"/>
    <n v="5"/>
    <x v="0"/>
    <x v="0"/>
    <m/>
    <n v="0.2273"/>
    <n v="0.35"/>
    <n v="0.19400000000000001"/>
    <x v="27"/>
    <x v="121"/>
    <x v="14"/>
    <x v="0"/>
  </r>
  <r>
    <n v="936"/>
    <n v="40585"/>
    <x v="0"/>
    <x v="1"/>
    <x v="14"/>
    <b v="0"/>
    <n v="5"/>
    <x v="0"/>
    <x v="11"/>
    <m/>
    <n v="0.28789999999999999"/>
    <n v="0.26"/>
    <n v="0.25369999999999998"/>
    <x v="26"/>
    <x v="28"/>
    <x v="11"/>
    <x v="0"/>
  </r>
  <r>
    <n v="937"/>
    <n v="40585"/>
    <x v="0"/>
    <x v="1"/>
    <x v="15"/>
    <b v="0"/>
    <n v="5"/>
    <x v="0"/>
    <x v="3"/>
    <m/>
    <n v="0.31819999999999998"/>
    <n v="0.21"/>
    <n v="0.16420000000000001"/>
    <x v="6"/>
    <x v="133"/>
    <x v="30"/>
    <x v="0"/>
  </r>
  <r>
    <n v="938"/>
    <n v="40585"/>
    <x v="0"/>
    <x v="1"/>
    <x v="16"/>
    <b v="0"/>
    <n v="5"/>
    <x v="0"/>
    <x v="11"/>
    <m/>
    <n v="0.28789999999999999"/>
    <n v="0.28000000000000003"/>
    <n v="0.19400000000000001"/>
    <x v="24"/>
    <x v="179"/>
    <x v="139"/>
    <x v="0"/>
  </r>
  <r>
    <n v="939"/>
    <n v="40585"/>
    <x v="0"/>
    <x v="1"/>
    <x v="17"/>
    <b v="0"/>
    <n v="5"/>
    <x v="0"/>
    <x v="11"/>
    <m/>
    <n v="0.33329999999999999"/>
    <n v="0.24"/>
    <n v="0"/>
    <x v="25"/>
    <x v="180"/>
    <x v="189"/>
    <x v="0"/>
  </r>
  <r>
    <n v="940"/>
    <n v="40585"/>
    <x v="0"/>
    <x v="1"/>
    <x v="18"/>
    <b v="0"/>
    <n v="5"/>
    <x v="0"/>
    <x v="17"/>
    <m/>
    <n v="0.31819999999999998"/>
    <n v="0.28000000000000003"/>
    <n v="0"/>
    <x v="14"/>
    <x v="156"/>
    <x v="177"/>
    <x v="0"/>
  </r>
  <r>
    <n v="941"/>
    <n v="40585"/>
    <x v="0"/>
    <x v="1"/>
    <x v="19"/>
    <b v="0"/>
    <n v="5"/>
    <x v="0"/>
    <x v="12"/>
    <m/>
    <n v="0.30299999999999999"/>
    <n v="0.33"/>
    <n v="0"/>
    <x v="18"/>
    <x v="111"/>
    <x v="129"/>
    <x v="0"/>
  </r>
  <r>
    <n v="942"/>
    <n v="40585"/>
    <x v="0"/>
    <x v="1"/>
    <x v="20"/>
    <b v="0"/>
    <n v="5"/>
    <x v="0"/>
    <x v="1"/>
    <m/>
    <n v="0.2273"/>
    <n v="0.55000000000000004"/>
    <n v="0.1343"/>
    <x v="4"/>
    <x v="124"/>
    <x v="55"/>
    <x v="0"/>
  </r>
  <r>
    <n v="943"/>
    <n v="40585"/>
    <x v="0"/>
    <x v="1"/>
    <x v="21"/>
    <b v="0"/>
    <n v="5"/>
    <x v="0"/>
    <x v="2"/>
    <m/>
    <n v="0.21210000000000001"/>
    <n v="0.59"/>
    <n v="0.1343"/>
    <x v="5"/>
    <x v="24"/>
    <x v="105"/>
    <x v="0"/>
  </r>
  <r>
    <n v="944"/>
    <n v="40585"/>
    <x v="0"/>
    <x v="1"/>
    <x v="22"/>
    <b v="0"/>
    <n v="5"/>
    <x v="0"/>
    <x v="2"/>
    <m/>
    <n v="0.2273"/>
    <n v="0.64"/>
    <n v="8.9599999999999999E-2"/>
    <x v="4"/>
    <x v="40"/>
    <x v="74"/>
    <x v="0"/>
  </r>
  <r>
    <n v="945"/>
    <n v="40585"/>
    <x v="0"/>
    <x v="1"/>
    <x v="23"/>
    <b v="0"/>
    <n v="5"/>
    <x v="0"/>
    <x v="15"/>
    <m/>
    <n v="0.2424"/>
    <n v="0.69"/>
    <n v="0"/>
    <x v="2"/>
    <x v="41"/>
    <x v="26"/>
    <x v="0"/>
  </r>
  <r>
    <n v="946"/>
    <n v="40586"/>
    <x v="0"/>
    <x v="1"/>
    <x v="0"/>
    <b v="0"/>
    <n v="6"/>
    <x v="0"/>
    <x v="13"/>
    <m/>
    <n v="0.19700000000000001"/>
    <n v="0.69"/>
    <n v="8.9599999999999999E-2"/>
    <x v="0"/>
    <x v="2"/>
    <x v="33"/>
    <x v="0"/>
  </r>
  <r>
    <n v="947"/>
    <n v="40586"/>
    <x v="0"/>
    <x v="1"/>
    <x v="1"/>
    <b v="0"/>
    <n v="6"/>
    <x v="0"/>
    <x v="14"/>
    <m/>
    <n v="0.21210000000000001"/>
    <n v="0.86"/>
    <n v="0"/>
    <x v="4"/>
    <x v="97"/>
    <x v="108"/>
    <x v="0"/>
  </r>
  <r>
    <n v="948"/>
    <n v="40586"/>
    <x v="0"/>
    <x v="1"/>
    <x v="2"/>
    <b v="0"/>
    <n v="6"/>
    <x v="0"/>
    <x v="14"/>
    <m/>
    <n v="0.21210000000000001"/>
    <n v="0.8"/>
    <n v="0"/>
    <x v="4"/>
    <x v="0"/>
    <x v="93"/>
    <x v="0"/>
  </r>
  <r>
    <n v="949"/>
    <n v="40586"/>
    <x v="0"/>
    <x v="1"/>
    <x v="3"/>
    <b v="0"/>
    <n v="6"/>
    <x v="0"/>
    <x v="16"/>
    <m/>
    <n v="0.19700000000000001"/>
    <n v="0.8"/>
    <n v="0"/>
    <x v="0"/>
    <x v="7"/>
    <x v="98"/>
    <x v="0"/>
  </r>
  <r>
    <n v="950"/>
    <n v="40586"/>
    <x v="0"/>
    <x v="1"/>
    <x v="4"/>
    <b v="0"/>
    <n v="6"/>
    <x v="0"/>
    <x v="16"/>
    <m/>
    <n v="0.16669999999999999"/>
    <n v="0.74"/>
    <n v="8.9599999999999999E-2"/>
    <x v="3"/>
    <x v="22"/>
    <x v="48"/>
    <x v="0"/>
  </r>
  <r>
    <n v="951"/>
    <n v="40586"/>
    <x v="0"/>
    <x v="1"/>
    <x v="5"/>
    <b v="0"/>
    <n v="6"/>
    <x v="0"/>
    <x v="16"/>
    <m/>
    <n v="0.16669999999999999"/>
    <n v="0.74"/>
    <n v="8.9599999999999999E-2"/>
    <x v="3"/>
    <x v="4"/>
    <x v="4"/>
    <x v="0"/>
  </r>
  <r>
    <n v="952"/>
    <n v="40586"/>
    <x v="0"/>
    <x v="1"/>
    <x v="6"/>
    <b v="0"/>
    <n v="6"/>
    <x v="0"/>
    <x v="16"/>
    <m/>
    <n v="0.13639999999999999"/>
    <n v="0.93"/>
    <n v="0.19400000000000001"/>
    <x v="5"/>
    <x v="4"/>
    <x v="5"/>
    <x v="0"/>
  </r>
  <r>
    <n v="953"/>
    <n v="40586"/>
    <x v="0"/>
    <x v="1"/>
    <x v="7"/>
    <b v="0"/>
    <n v="6"/>
    <x v="0"/>
    <x v="16"/>
    <m/>
    <n v="0.1515"/>
    <n v="0.8"/>
    <n v="0.1045"/>
    <x v="4"/>
    <x v="33"/>
    <x v="62"/>
    <x v="0"/>
  </r>
  <r>
    <n v="954"/>
    <n v="40586"/>
    <x v="0"/>
    <x v="1"/>
    <x v="8"/>
    <b v="0"/>
    <n v="6"/>
    <x v="0"/>
    <x v="14"/>
    <m/>
    <n v="0.1515"/>
    <n v="0.86"/>
    <n v="0.1343"/>
    <x v="4"/>
    <x v="95"/>
    <x v="33"/>
    <x v="0"/>
  </r>
  <r>
    <n v="955"/>
    <n v="40586"/>
    <x v="0"/>
    <x v="1"/>
    <x v="9"/>
    <b v="0"/>
    <n v="6"/>
    <x v="0"/>
    <x v="13"/>
    <m/>
    <n v="0.18179999999999999"/>
    <n v="0.64"/>
    <n v="0.1343"/>
    <x v="2"/>
    <x v="101"/>
    <x v="74"/>
    <x v="0"/>
  </r>
  <r>
    <n v="956"/>
    <n v="40586"/>
    <x v="0"/>
    <x v="1"/>
    <x v="10"/>
    <b v="0"/>
    <n v="6"/>
    <x v="0"/>
    <x v="1"/>
    <m/>
    <n v="0.21210000000000001"/>
    <n v="0.41"/>
    <n v="0.25369999999999998"/>
    <x v="23"/>
    <x v="13"/>
    <x v="11"/>
    <x v="0"/>
  </r>
  <r>
    <n v="957"/>
    <n v="40586"/>
    <x v="0"/>
    <x v="1"/>
    <x v="11"/>
    <b v="0"/>
    <n v="6"/>
    <x v="0"/>
    <x v="11"/>
    <m/>
    <n v="0.2727"/>
    <n v="0.28000000000000003"/>
    <n v="0.32840000000000003"/>
    <x v="36"/>
    <x v="174"/>
    <x v="181"/>
    <x v="0"/>
  </r>
  <r>
    <n v="958"/>
    <n v="40586"/>
    <x v="0"/>
    <x v="1"/>
    <x v="12"/>
    <b v="0"/>
    <n v="6"/>
    <x v="0"/>
    <x v="11"/>
    <m/>
    <n v="0.2727"/>
    <n v="0.39"/>
    <n v="0.4627"/>
    <x v="37"/>
    <x v="139"/>
    <x v="151"/>
    <x v="0"/>
  </r>
  <r>
    <n v="959"/>
    <n v="40586"/>
    <x v="0"/>
    <x v="1"/>
    <x v="13"/>
    <b v="0"/>
    <n v="6"/>
    <x v="0"/>
    <x v="11"/>
    <m/>
    <n v="0.2727"/>
    <n v="0.39"/>
    <n v="0.41789999999999999"/>
    <x v="38"/>
    <x v="145"/>
    <x v="169"/>
    <x v="0"/>
  </r>
  <r>
    <n v="960"/>
    <n v="40586"/>
    <x v="0"/>
    <x v="1"/>
    <x v="14"/>
    <b v="0"/>
    <n v="6"/>
    <x v="0"/>
    <x v="10"/>
    <m/>
    <n v="0.31819999999999998"/>
    <n v="0.31"/>
    <n v="0.28360000000000002"/>
    <x v="36"/>
    <x v="92"/>
    <x v="151"/>
    <x v="0"/>
  </r>
  <r>
    <n v="961"/>
    <n v="40586"/>
    <x v="0"/>
    <x v="1"/>
    <x v="15"/>
    <b v="0"/>
    <n v="6"/>
    <x v="0"/>
    <x v="10"/>
    <m/>
    <n v="0.30299999999999999"/>
    <n v="0.28999999999999998"/>
    <n v="0.41789999999999999"/>
    <x v="9"/>
    <x v="69"/>
    <x v="177"/>
    <x v="0"/>
  </r>
  <r>
    <n v="962"/>
    <n v="40586"/>
    <x v="0"/>
    <x v="1"/>
    <x v="16"/>
    <b v="0"/>
    <n v="6"/>
    <x v="0"/>
    <x v="10"/>
    <m/>
    <n v="0.30299999999999999"/>
    <n v="0.28999999999999998"/>
    <n v="0.41789999999999999"/>
    <x v="35"/>
    <x v="145"/>
    <x v="190"/>
    <x v="0"/>
  </r>
  <r>
    <n v="963"/>
    <n v="40586"/>
    <x v="0"/>
    <x v="1"/>
    <x v="17"/>
    <b v="0"/>
    <n v="6"/>
    <x v="0"/>
    <x v="3"/>
    <m/>
    <n v="0.28789999999999999"/>
    <n v="0.31"/>
    <n v="0.52239999999999998"/>
    <x v="31"/>
    <x v="181"/>
    <x v="120"/>
    <x v="0"/>
  </r>
  <r>
    <n v="964"/>
    <n v="40586"/>
    <x v="0"/>
    <x v="1"/>
    <x v="18"/>
    <b v="0"/>
    <n v="6"/>
    <x v="0"/>
    <x v="17"/>
    <m/>
    <n v="0.2576"/>
    <n v="0.38"/>
    <n v="0.32840000000000003"/>
    <x v="17"/>
    <x v="91"/>
    <x v="37"/>
    <x v="0"/>
  </r>
  <r>
    <n v="965"/>
    <n v="40586"/>
    <x v="0"/>
    <x v="1"/>
    <x v="19"/>
    <b v="0"/>
    <n v="6"/>
    <x v="0"/>
    <x v="17"/>
    <m/>
    <n v="0.2727"/>
    <n v="0.38"/>
    <n v="0.16420000000000001"/>
    <x v="4"/>
    <x v="87"/>
    <x v="102"/>
    <x v="0"/>
  </r>
  <r>
    <n v="966"/>
    <n v="40586"/>
    <x v="0"/>
    <x v="1"/>
    <x v="20"/>
    <b v="0"/>
    <n v="6"/>
    <x v="0"/>
    <x v="12"/>
    <m/>
    <n v="0.2576"/>
    <n v="0.41"/>
    <n v="0.22389999999999999"/>
    <x v="5"/>
    <x v="87"/>
    <x v="1"/>
    <x v="0"/>
  </r>
  <r>
    <n v="967"/>
    <n v="40586"/>
    <x v="0"/>
    <x v="1"/>
    <x v="21"/>
    <b v="0"/>
    <n v="6"/>
    <x v="0"/>
    <x v="12"/>
    <m/>
    <n v="0.30299999999999999"/>
    <n v="0.41"/>
    <n v="0"/>
    <x v="14"/>
    <x v="76"/>
    <x v="41"/>
    <x v="0"/>
  </r>
  <r>
    <n v="968"/>
    <n v="40586"/>
    <x v="0"/>
    <x v="1"/>
    <x v="22"/>
    <b v="0"/>
    <n v="6"/>
    <x v="0"/>
    <x v="0"/>
    <m/>
    <n v="0.2576"/>
    <n v="0.44"/>
    <n v="8.9599999999999999E-2"/>
    <x v="15"/>
    <x v="87"/>
    <x v="79"/>
    <x v="0"/>
  </r>
  <r>
    <n v="969"/>
    <n v="40586"/>
    <x v="0"/>
    <x v="1"/>
    <x v="23"/>
    <b v="0"/>
    <n v="6"/>
    <x v="0"/>
    <x v="1"/>
    <m/>
    <n v="0.2273"/>
    <n v="0.51"/>
    <n v="0.1343"/>
    <x v="5"/>
    <x v="17"/>
    <x v="2"/>
    <x v="0"/>
  </r>
  <r>
    <n v="970"/>
    <n v="40587"/>
    <x v="0"/>
    <x v="1"/>
    <x v="0"/>
    <b v="0"/>
    <n v="0"/>
    <x v="0"/>
    <x v="2"/>
    <m/>
    <n v="0.2273"/>
    <n v="0.64"/>
    <n v="0.1045"/>
    <x v="2"/>
    <x v="60"/>
    <x v="21"/>
    <x v="1"/>
  </r>
  <r>
    <n v="971"/>
    <n v="40587"/>
    <x v="0"/>
    <x v="1"/>
    <x v="1"/>
    <b v="0"/>
    <n v="0"/>
    <x v="0"/>
    <x v="2"/>
    <m/>
    <n v="0.2273"/>
    <n v="0.59"/>
    <n v="8.9599999999999999E-2"/>
    <x v="5"/>
    <x v="140"/>
    <x v="108"/>
    <x v="1"/>
  </r>
  <r>
    <n v="972"/>
    <n v="40587"/>
    <x v="0"/>
    <x v="1"/>
    <x v="2"/>
    <b v="0"/>
    <n v="0"/>
    <x v="1"/>
    <x v="2"/>
    <m/>
    <n v="0.2273"/>
    <n v="0.75"/>
    <n v="8.9599999999999999E-2"/>
    <x v="5"/>
    <x v="23"/>
    <x v="25"/>
    <x v="1"/>
  </r>
  <r>
    <n v="973"/>
    <n v="40587"/>
    <x v="0"/>
    <x v="1"/>
    <x v="3"/>
    <b v="0"/>
    <n v="0"/>
    <x v="1"/>
    <x v="2"/>
    <m/>
    <n v="0.2273"/>
    <n v="0.69"/>
    <n v="0.1045"/>
    <x v="17"/>
    <x v="21"/>
    <x v="47"/>
    <x v="1"/>
  </r>
  <r>
    <n v="974"/>
    <n v="40587"/>
    <x v="0"/>
    <x v="1"/>
    <x v="4"/>
    <b v="0"/>
    <n v="0"/>
    <x v="1"/>
    <x v="2"/>
    <m/>
    <n v="0.21210000000000001"/>
    <n v="0.69"/>
    <n v="0.16420000000000001"/>
    <x v="3"/>
    <x v="6"/>
    <x v="5"/>
    <x v="1"/>
  </r>
  <r>
    <n v="975"/>
    <n v="40587"/>
    <x v="0"/>
    <x v="1"/>
    <x v="6"/>
    <b v="0"/>
    <n v="0"/>
    <x v="1"/>
    <x v="2"/>
    <m/>
    <n v="0.21210000000000001"/>
    <n v="0.69"/>
    <n v="0.1343"/>
    <x v="4"/>
    <x v="35"/>
    <x v="36"/>
    <x v="1"/>
  </r>
  <r>
    <n v="976"/>
    <n v="40587"/>
    <x v="0"/>
    <x v="1"/>
    <x v="7"/>
    <b v="0"/>
    <n v="0"/>
    <x v="1"/>
    <x v="1"/>
    <m/>
    <n v="0.2727"/>
    <n v="0.55000000000000004"/>
    <n v="0"/>
    <x v="3"/>
    <x v="35"/>
    <x v="6"/>
    <x v="1"/>
  </r>
  <r>
    <n v="977"/>
    <n v="40587"/>
    <x v="0"/>
    <x v="1"/>
    <x v="8"/>
    <b v="0"/>
    <n v="0"/>
    <x v="1"/>
    <x v="1"/>
    <m/>
    <n v="0.2273"/>
    <n v="0.64"/>
    <n v="0.19400000000000001"/>
    <x v="5"/>
    <x v="48"/>
    <x v="47"/>
    <x v="1"/>
  </r>
  <r>
    <n v="978"/>
    <n v="40587"/>
    <x v="0"/>
    <x v="1"/>
    <x v="9"/>
    <b v="0"/>
    <n v="0"/>
    <x v="1"/>
    <x v="0"/>
    <m/>
    <n v="0.2273"/>
    <n v="0.6"/>
    <n v="0.22389999999999999"/>
    <x v="6"/>
    <x v="96"/>
    <x v="105"/>
    <x v="1"/>
  </r>
  <r>
    <n v="979"/>
    <n v="40587"/>
    <x v="0"/>
    <x v="1"/>
    <x v="10"/>
    <b v="0"/>
    <n v="0"/>
    <x v="0"/>
    <x v="11"/>
    <m/>
    <n v="0.2727"/>
    <n v="0.45"/>
    <n v="0.32840000000000003"/>
    <x v="21"/>
    <x v="132"/>
    <x v="136"/>
    <x v="1"/>
  </r>
  <r>
    <n v="980"/>
    <n v="40587"/>
    <x v="0"/>
    <x v="1"/>
    <x v="11"/>
    <b v="0"/>
    <n v="0"/>
    <x v="0"/>
    <x v="3"/>
    <m/>
    <n v="0.28789999999999999"/>
    <n v="0.39"/>
    <n v="0.44779999999999998"/>
    <x v="7"/>
    <x v="132"/>
    <x v="59"/>
    <x v="1"/>
  </r>
  <r>
    <n v="981"/>
    <n v="40587"/>
    <x v="0"/>
    <x v="1"/>
    <x v="12"/>
    <b v="0"/>
    <n v="0"/>
    <x v="0"/>
    <x v="5"/>
    <m/>
    <n v="0.31819999999999998"/>
    <n v="0.32"/>
    <n v="0.4627"/>
    <x v="39"/>
    <x v="111"/>
    <x v="148"/>
    <x v="1"/>
  </r>
  <r>
    <n v="982"/>
    <n v="40587"/>
    <x v="0"/>
    <x v="1"/>
    <x v="13"/>
    <b v="0"/>
    <n v="0"/>
    <x v="0"/>
    <x v="4"/>
    <m/>
    <n v="0.39389999999999997"/>
    <n v="0.28999999999999998"/>
    <n v="0.35820000000000002"/>
    <x v="40"/>
    <x v="50"/>
    <x v="38"/>
    <x v="1"/>
  </r>
  <r>
    <n v="983"/>
    <n v="40587"/>
    <x v="0"/>
    <x v="1"/>
    <x v="14"/>
    <b v="0"/>
    <n v="0"/>
    <x v="1"/>
    <x v="9"/>
    <m/>
    <n v="0.40910000000000002"/>
    <n v="0.3"/>
    <n v="0.41789999999999999"/>
    <x v="41"/>
    <x v="59"/>
    <x v="143"/>
    <x v="1"/>
  </r>
  <r>
    <n v="984"/>
    <n v="40587"/>
    <x v="0"/>
    <x v="1"/>
    <x v="15"/>
    <b v="0"/>
    <n v="0"/>
    <x v="1"/>
    <x v="9"/>
    <m/>
    <n v="0.40910000000000002"/>
    <n v="0.3"/>
    <n v="0.29849999999999999"/>
    <x v="11"/>
    <x v="182"/>
    <x v="123"/>
    <x v="1"/>
  </r>
  <r>
    <n v="985"/>
    <n v="40587"/>
    <x v="0"/>
    <x v="1"/>
    <x v="16"/>
    <b v="0"/>
    <n v="0"/>
    <x v="1"/>
    <x v="6"/>
    <m/>
    <n v="0.42420000000000002"/>
    <n v="0.28000000000000003"/>
    <n v="0.32840000000000003"/>
    <x v="32"/>
    <x v="183"/>
    <x v="87"/>
    <x v="1"/>
  </r>
  <r>
    <n v="986"/>
    <n v="40587"/>
    <x v="0"/>
    <x v="1"/>
    <x v="17"/>
    <b v="0"/>
    <n v="0"/>
    <x v="0"/>
    <x v="6"/>
    <m/>
    <n v="0.42420000000000002"/>
    <n v="0.28000000000000003"/>
    <n v="0.32840000000000003"/>
    <x v="36"/>
    <x v="73"/>
    <x v="139"/>
    <x v="1"/>
  </r>
  <r>
    <n v="987"/>
    <n v="40587"/>
    <x v="0"/>
    <x v="1"/>
    <x v="18"/>
    <b v="0"/>
    <n v="0"/>
    <x v="0"/>
    <x v="9"/>
    <m/>
    <n v="0.40910000000000002"/>
    <n v="0.32"/>
    <n v="0.29849999999999999"/>
    <x v="26"/>
    <x v="78"/>
    <x v="76"/>
    <x v="1"/>
  </r>
  <r>
    <n v="988"/>
    <n v="40587"/>
    <x v="0"/>
    <x v="1"/>
    <x v="19"/>
    <b v="0"/>
    <n v="0"/>
    <x v="0"/>
    <x v="9"/>
    <m/>
    <n v="0.40910000000000002"/>
    <n v="0.35"/>
    <n v="0.28360000000000002"/>
    <x v="16"/>
    <x v="54"/>
    <x v="42"/>
    <x v="1"/>
  </r>
  <r>
    <n v="989"/>
    <n v="40587"/>
    <x v="0"/>
    <x v="1"/>
    <x v="20"/>
    <b v="0"/>
    <n v="0"/>
    <x v="0"/>
    <x v="9"/>
    <m/>
    <n v="0.40910000000000002"/>
    <n v="0.35"/>
    <n v="0.32840000000000003"/>
    <x v="13"/>
    <x v="1"/>
    <x v="105"/>
    <x v="1"/>
  </r>
  <r>
    <n v="990"/>
    <n v="40587"/>
    <x v="0"/>
    <x v="1"/>
    <x v="21"/>
    <b v="0"/>
    <n v="0"/>
    <x v="0"/>
    <x v="9"/>
    <m/>
    <n v="0.40910000000000002"/>
    <n v="0.35"/>
    <n v="0.35820000000000002"/>
    <x v="15"/>
    <x v="108"/>
    <x v="41"/>
    <x v="1"/>
  </r>
  <r>
    <n v="991"/>
    <n v="40587"/>
    <x v="0"/>
    <x v="1"/>
    <x v="22"/>
    <b v="0"/>
    <n v="0"/>
    <x v="0"/>
    <x v="9"/>
    <m/>
    <n v="0.40910000000000002"/>
    <n v="0.35"/>
    <n v="0.29849999999999999"/>
    <x v="2"/>
    <x v="17"/>
    <x v="9"/>
    <x v="1"/>
  </r>
  <r>
    <n v="992"/>
    <n v="40587"/>
    <x v="0"/>
    <x v="1"/>
    <x v="23"/>
    <b v="0"/>
    <n v="0"/>
    <x v="0"/>
    <x v="9"/>
    <m/>
    <n v="0.40910000000000002"/>
    <n v="0.35"/>
    <n v="0.35820000000000002"/>
    <x v="0"/>
    <x v="2"/>
    <x v="33"/>
    <x v="1"/>
  </r>
  <r>
    <n v="993"/>
    <n v="40588"/>
    <x v="0"/>
    <x v="1"/>
    <x v="0"/>
    <b v="0"/>
    <n v="1"/>
    <x v="0"/>
    <x v="4"/>
    <m/>
    <n v="0.39389999999999997"/>
    <n v="0.37"/>
    <n v="0.35820000000000002"/>
    <x v="0"/>
    <x v="21"/>
    <x v="62"/>
    <x v="1"/>
  </r>
  <r>
    <n v="994"/>
    <n v="40588"/>
    <x v="0"/>
    <x v="1"/>
    <x v="1"/>
    <b v="0"/>
    <n v="1"/>
    <x v="0"/>
    <x v="4"/>
    <m/>
    <n v="0.39389999999999997"/>
    <n v="0.37"/>
    <n v="0.35820000000000002"/>
    <x v="5"/>
    <x v="8"/>
    <x v="85"/>
    <x v="1"/>
  </r>
  <r>
    <n v="995"/>
    <n v="40588"/>
    <x v="0"/>
    <x v="1"/>
    <x v="2"/>
    <b v="0"/>
    <n v="1"/>
    <x v="0"/>
    <x v="5"/>
    <m/>
    <n v="0.33329999999999999"/>
    <n v="0.4"/>
    <n v="0.29849999999999999"/>
    <x v="3"/>
    <x v="6"/>
    <x v="5"/>
    <x v="1"/>
  </r>
  <r>
    <n v="996"/>
    <n v="40588"/>
    <x v="0"/>
    <x v="1"/>
    <x v="3"/>
    <b v="0"/>
    <n v="1"/>
    <x v="0"/>
    <x v="10"/>
    <m/>
    <n v="0.31819999999999998"/>
    <n v="0.46"/>
    <n v="0.22389999999999999"/>
    <x v="5"/>
    <x v="4"/>
    <x v="5"/>
    <x v="1"/>
  </r>
  <r>
    <n v="997"/>
    <n v="40588"/>
    <x v="0"/>
    <x v="1"/>
    <x v="4"/>
    <b v="0"/>
    <n v="1"/>
    <x v="0"/>
    <x v="3"/>
    <m/>
    <n v="0.30299999999999999"/>
    <n v="0.53"/>
    <n v="0.28360000000000002"/>
    <x v="3"/>
    <x v="6"/>
    <x v="5"/>
    <x v="1"/>
  </r>
  <r>
    <n v="998"/>
    <n v="40588"/>
    <x v="0"/>
    <x v="1"/>
    <x v="5"/>
    <b v="0"/>
    <n v="1"/>
    <x v="0"/>
    <x v="3"/>
    <m/>
    <n v="0.30299999999999999"/>
    <n v="0.53"/>
    <n v="0.28360000000000002"/>
    <x v="3"/>
    <x v="35"/>
    <x v="6"/>
    <x v="1"/>
  </r>
  <r>
    <n v="999"/>
    <n v="40588"/>
    <x v="0"/>
    <x v="1"/>
    <x v="6"/>
    <b v="0"/>
    <n v="1"/>
    <x v="0"/>
    <x v="10"/>
    <m/>
    <n v="0.30299999999999999"/>
    <n v="0.46"/>
    <n v="0.29849999999999999"/>
    <x v="5"/>
    <x v="18"/>
    <x v="132"/>
    <x v="1"/>
  </r>
  <r>
    <n v="1000"/>
    <n v="40588"/>
    <x v="0"/>
    <x v="1"/>
    <x v="7"/>
    <b v="0"/>
    <n v="1"/>
    <x v="0"/>
    <x v="10"/>
    <m/>
    <n v="0.30299999999999999"/>
    <n v="0.46"/>
    <n v="0.29849999999999999"/>
    <x v="4"/>
    <x v="184"/>
    <x v="95"/>
    <x v="1"/>
  </r>
  <r>
    <n v="1001"/>
    <n v="40571"/>
    <x v="0"/>
    <x v="0"/>
    <x v="16"/>
    <b v="0"/>
    <n v="5"/>
    <x v="0"/>
    <x v="1"/>
    <m/>
    <n v="0.2727"/>
    <n v="0.8"/>
    <n v="0"/>
    <x v="22"/>
    <x v="14"/>
    <x v="138"/>
    <x v="0"/>
  </r>
  <r>
    <n v="1002"/>
    <n v="40571"/>
    <x v="0"/>
    <x v="0"/>
    <x v="17"/>
    <b v="0"/>
    <n v="5"/>
    <x v="0"/>
    <x v="0"/>
    <m/>
    <n v="0.2424"/>
    <n v="0.75"/>
    <n v="0.1343"/>
    <x v="4"/>
    <x v="185"/>
    <x v="191"/>
    <x v="0"/>
  </r>
  <r>
    <n v="1003"/>
    <n v="40571"/>
    <x v="0"/>
    <x v="0"/>
    <x v="18"/>
    <b v="0"/>
    <n v="5"/>
    <x v="0"/>
    <x v="0"/>
    <m/>
    <n v="0.2273"/>
    <n v="0.75"/>
    <n v="0.19400000000000001"/>
    <x v="4"/>
    <x v="128"/>
    <x v="142"/>
    <x v="0"/>
  </r>
  <r>
    <n v="1004"/>
    <n v="40571"/>
    <x v="0"/>
    <x v="0"/>
    <x v="19"/>
    <b v="0"/>
    <n v="5"/>
    <x v="1"/>
    <x v="0"/>
    <m/>
    <n v="0.2424"/>
    <n v="0.75"/>
    <n v="0.1343"/>
    <x v="2"/>
    <x v="174"/>
    <x v="70"/>
    <x v="0"/>
  </r>
  <r>
    <n v="1005"/>
    <n v="40571"/>
    <x v="0"/>
    <x v="0"/>
    <x v="20"/>
    <b v="0"/>
    <n v="5"/>
    <x v="1"/>
    <x v="0"/>
    <m/>
    <n v="0.2273"/>
    <n v="0.7"/>
    <n v="0.19400000000000001"/>
    <x v="5"/>
    <x v="124"/>
    <x v="69"/>
    <x v="0"/>
  </r>
  <r>
    <n v="1006"/>
    <n v="40571"/>
    <x v="0"/>
    <x v="0"/>
    <x v="21"/>
    <b v="0"/>
    <n v="5"/>
    <x v="1"/>
    <x v="1"/>
    <m/>
    <n v="0.2273"/>
    <n v="0.75"/>
    <n v="0.1343"/>
    <x v="5"/>
    <x v="77"/>
    <x v="154"/>
    <x v="0"/>
  </r>
  <r>
    <n v="1007"/>
    <n v="40571"/>
    <x v="0"/>
    <x v="0"/>
    <x v="22"/>
    <b v="0"/>
    <n v="5"/>
    <x v="0"/>
    <x v="0"/>
    <m/>
    <n v="0.21210000000000001"/>
    <n v="0.65"/>
    <n v="0.35820000000000002"/>
    <x v="3"/>
    <x v="16"/>
    <x v="132"/>
    <x v="0"/>
  </r>
  <r>
    <n v="1008"/>
    <n v="40571"/>
    <x v="0"/>
    <x v="0"/>
    <x v="23"/>
    <b v="0"/>
    <n v="5"/>
    <x v="0"/>
    <x v="0"/>
    <m/>
    <n v="0.2273"/>
    <n v="0.6"/>
    <n v="0.22389999999999999"/>
    <x v="5"/>
    <x v="97"/>
    <x v="84"/>
    <x v="0"/>
  </r>
  <r>
    <n v="1009"/>
    <n v="40572"/>
    <x v="0"/>
    <x v="0"/>
    <x v="0"/>
    <b v="0"/>
    <n v="6"/>
    <x v="0"/>
    <x v="1"/>
    <m/>
    <n v="0.19700000000000001"/>
    <n v="0.64"/>
    <n v="0.35820000000000002"/>
    <x v="4"/>
    <x v="16"/>
    <x v="2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2">
  <r>
    <n v="1"/>
    <d v="2011-01-01T00:00:00"/>
    <x v="0"/>
    <x v="0"/>
    <n v="0"/>
    <b v="0"/>
    <n v="6"/>
    <x v="0"/>
    <x v="0"/>
    <n v="0"/>
    <n v="0.28789999999999999"/>
    <n v="0.81"/>
    <n v="0"/>
    <n v="3"/>
    <n v="13"/>
    <n v="16"/>
    <x v="0"/>
    <x v="0"/>
  </r>
  <r>
    <n v="2"/>
    <d v="2011-01-01T00:00:00"/>
    <x v="0"/>
    <x v="0"/>
    <n v="1"/>
    <b v="0"/>
    <n v="6"/>
    <x v="0"/>
    <x v="1"/>
    <n v="0"/>
    <n v="0.28789999999999999"/>
    <n v="0.81"/>
    <n v="0"/>
    <n v="3"/>
    <n v="13"/>
    <n v="16"/>
    <x v="0"/>
    <x v="0"/>
  </r>
  <r>
    <n v="3"/>
    <d v="2011-01-01T00:00:00"/>
    <x v="0"/>
    <x v="0"/>
    <n v="2"/>
    <b v="0"/>
    <n v="6"/>
    <x v="0"/>
    <x v="1"/>
    <n v="0"/>
    <n v="0.28789999999999999"/>
    <n v="0.81"/>
    <n v="0"/>
    <n v="3"/>
    <n v="13"/>
    <n v="16"/>
    <x v="0"/>
    <x v="0"/>
  </r>
  <r>
    <n v="4"/>
    <d v="2011-01-01T00:00:00"/>
    <x v="0"/>
    <x v="0"/>
    <n v="3"/>
    <b v="0"/>
    <n v="6"/>
    <x v="0"/>
    <x v="0"/>
    <n v="0"/>
    <n v="0.28789999999999999"/>
    <n v="0.81"/>
    <n v="0"/>
    <n v="3"/>
    <n v="13"/>
    <n v="16"/>
    <x v="0"/>
    <x v="0"/>
  </r>
  <r>
    <n v="5"/>
    <d v="2011-01-01T00:00:00"/>
    <x v="0"/>
    <x v="0"/>
    <n v="4"/>
    <b v="0"/>
    <n v="6"/>
    <x v="0"/>
    <x v="0"/>
    <n v="0"/>
    <n v="0.28789999999999999"/>
    <n v="0.81"/>
    <n v="0"/>
    <n v="3"/>
    <n v="13"/>
    <n v="16"/>
    <x v="0"/>
    <x v="0"/>
  </r>
  <r>
    <n v="6"/>
    <d v="2011-01-01T00:00:00"/>
    <x v="0"/>
    <x v="0"/>
    <n v="5"/>
    <b v="0"/>
    <n v="6"/>
    <x v="1"/>
    <x v="0"/>
    <n v="0"/>
    <n v="0.28789999999999999"/>
    <n v="0.81"/>
    <n v="0"/>
    <n v="3"/>
    <n v="13"/>
    <n v="16"/>
    <x v="0"/>
    <x v="0"/>
  </r>
  <r>
    <n v="7"/>
    <d v="2011-01-01T00:00:00"/>
    <x v="0"/>
    <x v="0"/>
    <n v="6"/>
    <b v="0"/>
    <n v="6"/>
    <x v="0"/>
    <x v="1"/>
    <n v="0"/>
    <n v="0.28789999999999999"/>
    <n v="0.81"/>
    <n v="0"/>
    <n v="3"/>
    <n v="13"/>
    <n v="16"/>
    <x v="0"/>
    <x v="0"/>
  </r>
  <r>
    <n v="8"/>
    <d v="2011-01-01T00:00:00"/>
    <x v="0"/>
    <x v="0"/>
    <n v="7"/>
    <b v="0"/>
    <n v="6"/>
    <x v="0"/>
    <x v="2"/>
    <n v="0"/>
    <n v="0.28789999999999999"/>
    <n v="0.81"/>
    <n v="0"/>
    <n v="3"/>
    <n v="13"/>
    <n v="16"/>
    <x v="0"/>
    <x v="0"/>
  </r>
  <r>
    <n v="9"/>
    <d v="2011-01-01T00:00:00"/>
    <x v="0"/>
    <x v="0"/>
    <n v="8"/>
    <b v="0"/>
    <n v="6"/>
    <x v="0"/>
    <x v="0"/>
    <n v="0"/>
    <n v="0.28789999999999999"/>
    <n v="0.81"/>
    <n v="0"/>
    <n v="3"/>
    <n v="13"/>
    <n v="16"/>
    <x v="0"/>
    <x v="0"/>
  </r>
  <r>
    <n v="10"/>
    <d v="2011-01-01T00:00:00"/>
    <x v="0"/>
    <x v="0"/>
    <n v="9"/>
    <b v="0"/>
    <n v="6"/>
    <x v="0"/>
    <x v="3"/>
    <n v="0"/>
    <n v="0.28789999999999999"/>
    <n v="0.81"/>
    <n v="0"/>
    <n v="3"/>
    <n v="13"/>
    <n v="16"/>
    <x v="0"/>
    <x v="0"/>
  </r>
  <r>
    <n v="11"/>
    <d v="2011-01-01T00:00:00"/>
    <x v="0"/>
    <x v="0"/>
    <n v="10"/>
    <b v="0"/>
    <n v="6"/>
    <x v="0"/>
    <x v="4"/>
    <n v="0"/>
    <n v="0.28789999999999999"/>
    <n v="0.81"/>
    <n v="0"/>
    <n v="3"/>
    <n v="13"/>
    <n v="16"/>
    <x v="0"/>
    <x v="0"/>
  </r>
  <r>
    <n v="12"/>
    <d v="2011-01-01T00:00:00"/>
    <x v="0"/>
    <x v="0"/>
    <n v="11"/>
    <b v="0"/>
    <n v="6"/>
    <x v="0"/>
    <x v="5"/>
    <n v="0"/>
    <n v="0.28789999999999999"/>
    <n v="0.81"/>
    <n v="0"/>
    <n v="3"/>
    <n v="13"/>
    <n v="16"/>
    <x v="0"/>
    <x v="0"/>
  </r>
  <r>
    <n v="13"/>
    <d v="2011-01-01T00:00:00"/>
    <x v="0"/>
    <x v="0"/>
    <n v="12"/>
    <b v="0"/>
    <n v="6"/>
    <x v="0"/>
    <x v="6"/>
    <n v="0"/>
    <n v="0.28789999999999999"/>
    <n v="0.81"/>
    <n v="0"/>
    <n v="3"/>
    <n v="13"/>
    <n v="16"/>
    <x v="0"/>
    <x v="1"/>
  </r>
  <r>
    <n v="14"/>
    <d v="2011-01-01T00:00:00"/>
    <x v="0"/>
    <x v="0"/>
    <n v="13"/>
    <b v="0"/>
    <n v="6"/>
    <x v="1"/>
    <x v="7"/>
    <n v="0"/>
    <n v="0.28789999999999999"/>
    <n v="0.81"/>
    <n v="0"/>
    <n v="3"/>
    <n v="13"/>
    <n v="16"/>
    <x v="0"/>
    <x v="1"/>
  </r>
  <r>
    <n v="15"/>
    <d v="2011-01-01T00:00:00"/>
    <x v="0"/>
    <x v="0"/>
    <n v="14"/>
    <b v="0"/>
    <n v="6"/>
    <x v="1"/>
    <x v="7"/>
    <n v="0"/>
    <n v="0.28789999999999999"/>
    <n v="0.81"/>
    <n v="0"/>
    <n v="3"/>
    <n v="13"/>
    <n v="16"/>
    <x v="0"/>
    <x v="1"/>
  </r>
  <r>
    <n v="16"/>
    <d v="2011-01-01T00:00:00"/>
    <x v="0"/>
    <x v="0"/>
    <n v="15"/>
    <b v="0"/>
    <n v="6"/>
    <x v="1"/>
    <x v="8"/>
    <n v="0"/>
    <n v="0.28789999999999999"/>
    <n v="0.81"/>
    <n v="0"/>
    <n v="3"/>
    <n v="13"/>
    <n v="16"/>
    <x v="0"/>
    <x v="1"/>
  </r>
  <r>
    <n v="17"/>
    <d v="2011-01-01T00:00:00"/>
    <x v="0"/>
    <x v="0"/>
    <n v="16"/>
    <b v="0"/>
    <n v="6"/>
    <x v="1"/>
    <x v="6"/>
    <n v="0"/>
    <n v="0.28789999999999999"/>
    <n v="0.81"/>
    <n v="0"/>
    <n v="3"/>
    <n v="13"/>
    <n v="16"/>
    <x v="0"/>
    <x v="2"/>
  </r>
  <r>
    <n v="18"/>
    <d v="2011-01-01T00:00:00"/>
    <x v="0"/>
    <x v="0"/>
    <n v="17"/>
    <b v="0"/>
    <n v="6"/>
    <x v="1"/>
    <x v="8"/>
    <n v="0"/>
    <n v="0.28789999999999999"/>
    <n v="0.81"/>
    <n v="0"/>
    <n v="3"/>
    <n v="13"/>
    <n v="16"/>
    <x v="0"/>
    <x v="2"/>
  </r>
  <r>
    <n v="19"/>
    <d v="2011-01-01T00:00:00"/>
    <x v="0"/>
    <x v="0"/>
    <n v="18"/>
    <b v="0"/>
    <n v="6"/>
    <x v="2"/>
    <x v="6"/>
    <n v="0"/>
    <n v="0.28789999999999999"/>
    <n v="0.81"/>
    <n v="0"/>
    <n v="3"/>
    <n v="13"/>
    <n v="16"/>
    <x v="0"/>
    <x v="2"/>
  </r>
  <r>
    <n v="20"/>
    <d v="2011-01-01T00:00:00"/>
    <x v="0"/>
    <x v="0"/>
    <n v="19"/>
    <b v="0"/>
    <n v="6"/>
    <x v="2"/>
    <x v="6"/>
    <n v="0"/>
    <n v="0.28789999999999999"/>
    <n v="0.81"/>
    <n v="0"/>
    <n v="3"/>
    <n v="13"/>
    <n v="16"/>
    <x v="0"/>
    <x v="2"/>
  </r>
  <r>
    <n v="21"/>
    <d v="2011-01-01T00:00:00"/>
    <x v="0"/>
    <x v="0"/>
    <n v="20"/>
    <b v="0"/>
    <n v="6"/>
    <x v="1"/>
    <x v="9"/>
    <n v="0"/>
    <n v="0.28789999999999999"/>
    <n v="0.81"/>
    <n v="0"/>
    <n v="3"/>
    <n v="13"/>
    <n v="16"/>
    <x v="0"/>
    <x v="2"/>
  </r>
  <r>
    <n v="22"/>
    <d v="2011-01-01T00:00:00"/>
    <x v="0"/>
    <x v="0"/>
    <n v="21"/>
    <b v="0"/>
    <n v="6"/>
    <x v="1"/>
    <x v="9"/>
    <n v="0"/>
    <n v="0.28789999999999999"/>
    <n v="0.81"/>
    <n v="0"/>
    <n v="3"/>
    <n v="13"/>
    <n v="16"/>
    <x v="0"/>
    <x v="3"/>
  </r>
  <r>
    <n v="23"/>
    <d v="2011-01-01T00:00:00"/>
    <x v="0"/>
    <x v="0"/>
    <n v="22"/>
    <b v="0"/>
    <n v="6"/>
    <x v="1"/>
    <x v="9"/>
    <n v="0"/>
    <n v="0.28789999999999999"/>
    <n v="0.81"/>
    <n v="0"/>
    <n v="3"/>
    <n v="13"/>
    <n v="16"/>
    <x v="0"/>
    <x v="3"/>
  </r>
  <r>
    <n v="24"/>
    <d v="2011-01-01T00:00:00"/>
    <x v="0"/>
    <x v="0"/>
    <n v="23"/>
    <b v="0"/>
    <n v="6"/>
    <x v="1"/>
    <x v="7"/>
    <n v="0"/>
    <n v="0.28789999999999999"/>
    <n v="0.81"/>
    <n v="0"/>
    <n v="3"/>
    <n v="13"/>
    <n v="16"/>
    <x v="0"/>
    <x v="3"/>
  </r>
  <r>
    <n v="25"/>
    <d v="2011-01-02T00:00:00"/>
    <x v="0"/>
    <x v="0"/>
    <n v="0"/>
    <b v="0"/>
    <n v="0"/>
    <x v="1"/>
    <x v="7"/>
    <n v="0"/>
    <n v="0.28789999999999999"/>
    <n v="0.81"/>
    <n v="0"/>
    <n v="3"/>
    <n v="13"/>
    <n v="16"/>
    <x v="1"/>
    <x v="0"/>
  </r>
  <r>
    <n v="26"/>
    <d v="2011-01-02T00:00:00"/>
    <x v="0"/>
    <x v="0"/>
    <n v="1"/>
    <b v="0"/>
    <n v="0"/>
    <x v="1"/>
    <x v="8"/>
    <n v="0"/>
    <n v="0.28789999999999999"/>
    <n v="0.81"/>
    <n v="0"/>
    <n v="3"/>
    <n v="13"/>
    <n v="16"/>
    <x v="1"/>
    <x v="0"/>
  </r>
  <r>
    <n v="27"/>
    <d v="2011-01-02T00:00:00"/>
    <x v="0"/>
    <x v="0"/>
    <n v="2"/>
    <b v="0"/>
    <n v="0"/>
    <x v="1"/>
    <x v="6"/>
    <n v="0"/>
    <n v="0.28789999999999999"/>
    <n v="0.81"/>
    <n v="0"/>
    <n v="3"/>
    <n v="13"/>
    <n v="16"/>
    <x v="1"/>
    <x v="0"/>
  </r>
  <r>
    <n v="28"/>
    <d v="2011-01-02T00:00:00"/>
    <x v="0"/>
    <x v="0"/>
    <n v="3"/>
    <b v="0"/>
    <n v="0"/>
    <x v="1"/>
    <x v="7"/>
    <n v="0"/>
    <n v="0.28789999999999999"/>
    <n v="0.81"/>
    <n v="0"/>
    <n v="3"/>
    <n v="13"/>
    <n v="16"/>
    <x v="1"/>
    <x v="0"/>
  </r>
  <r>
    <n v="29"/>
    <d v="2011-01-02T00:00:00"/>
    <x v="0"/>
    <x v="0"/>
    <n v="4"/>
    <b v="0"/>
    <n v="0"/>
    <x v="1"/>
    <x v="7"/>
    <n v="0"/>
    <n v="0.28789999999999999"/>
    <n v="0.81"/>
    <n v="0"/>
    <n v="3"/>
    <n v="13"/>
    <n v="16"/>
    <x v="1"/>
    <x v="0"/>
  </r>
  <r>
    <n v="30"/>
    <d v="2011-01-02T00:00:00"/>
    <x v="0"/>
    <x v="0"/>
    <n v="6"/>
    <b v="0"/>
    <n v="0"/>
    <x v="2"/>
    <x v="6"/>
    <n v="0"/>
    <n v="0.28789999999999999"/>
    <n v="0.81"/>
    <n v="0"/>
    <n v="3"/>
    <n v="13"/>
    <n v="16"/>
    <x v="1"/>
    <x v="0"/>
  </r>
  <r>
    <n v="31"/>
    <d v="2011-01-02T00:00:00"/>
    <x v="0"/>
    <x v="0"/>
    <n v="7"/>
    <b v="0"/>
    <n v="0"/>
    <x v="1"/>
    <x v="9"/>
    <n v="0"/>
    <n v="0.28789999999999999"/>
    <n v="0.81"/>
    <n v="0"/>
    <n v="3"/>
    <n v="13"/>
    <n v="16"/>
    <x v="1"/>
    <x v="0"/>
  </r>
  <r>
    <n v="32"/>
    <d v="2011-01-02T00:00:00"/>
    <x v="0"/>
    <x v="0"/>
    <n v="8"/>
    <b v="0"/>
    <n v="0"/>
    <x v="2"/>
    <x v="9"/>
    <n v="0"/>
    <n v="0.28789999999999999"/>
    <n v="0.81"/>
    <n v="0"/>
    <n v="3"/>
    <n v="13"/>
    <n v="16"/>
    <x v="1"/>
    <x v="0"/>
  </r>
  <r>
    <n v="33"/>
    <d v="2011-01-02T00:00:00"/>
    <x v="0"/>
    <x v="0"/>
    <n v="9"/>
    <b v="0"/>
    <n v="0"/>
    <x v="1"/>
    <x v="4"/>
    <n v="0"/>
    <n v="0.28789999999999999"/>
    <n v="0.81"/>
    <n v="0"/>
    <n v="3"/>
    <n v="13"/>
    <n v="16"/>
    <x v="1"/>
    <x v="0"/>
  </r>
  <r>
    <n v="34"/>
    <d v="2011-01-02T00:00:00"/>
    <x v="0"/>
    <x v="0"/>
    <n v="10"/>
    <b v="0"/>
    <n v="0"/>
    <x v="1"/>
    <x v="5"/>
    <n v="0"/>
    <n v="0.28789999999999999"/>
    <n v="0.81"/>
    <n v="0"/>
    <n v="3"/>
    <n v="13"/>
    <n v="16"/>
    <x v="1"/>
    <x v="0"/>
  </r>
  <r>
    <n v="35"/>
    <d v="2011-01-02T00:00:00"/>
    <x v="0"/>
    <x v="0"/>
    <n v="11"/>
    <b v="0"/>
    <n v="0"/>
    <x v="1"/>
    <x v="5"/>
    <n v="0"/>
    <n v="0.28789999999999999"/>
    <n v="0.81"/>
    <n v="0"/>
    <n v="3"/>
    <n v="13"/>
    <n v="16"/>
    <x v="1"/>
    <x v="0"/>
  </r>
  <r>
    <n v="36"/>
    <d v="2011-01-02T00:00:00"/>
    <x v="0"/>
    <x v="0"/>
    <n v="12"/>
    <b v="0"/>
    <n v="0"/>
    <x v="1"/>
    <x v="5"/>
    <n v="0"/>
    <n v="0.28789999999999999"/>
    <n v="0.81"/>
    <n v="0"/>
    <n v="3"/>
    <n v="13"/>
    <n v="16"/>
    <x v="1"/>
    <x v="1"/>
  </r>
  <r>
    <n v="37"/>
    <d v="2011-01-02T00:00:00"/>
    <x v="0"/>
    <x v="0"/>
    <n v="13"/>
    <b v="0"/>
    <n v="0"/>
    <x v="1"/>
    <x v="5"/>
    <n v="0"/>
    <n v="0.28789999999999999"/>
    <n v="0.81"/>
    <n v="0"/>
    <n v="3"/>
    <n v="13"/>
    <n v="16"/>
    <x v="1"/>
    <x v="1"/>
  </r>
  <r>
    <n v="38"/>
    <d v="2011-01-02T00:00:00"/>
    <x v="0"/>
    <x v="0"/>
    <n v="14"/>
    <b v="0"/>
    <n v="0"/>
    <x v="2"/>
    <x v="5"/>
    <n v="0"/>
    <n v="0.28789999999999999"/>
    <n v="0.81"/>
    <n v="0"/>
    <n v="3"/>
    <n v="13"/>
    <n v="16"/>
    <x v="1"/>
    <x v="1"/>
  </r>
  <r>
    <n v="39"/>
    <d v="2011-01-02T00:00:00"/>
    <x v="0"/>
    <x v="0"/>
    <n v="15"/>
    <b v="0"/>
    <n v="0"/>
    <x v="2"/>
    <x v="10"/>
    <n v="0"/>
    <n v="0.28789999999999999"/>
    <n v="0.81"/>
    <n v="0"/>
    <n v="3"/>
    <n v="13"/>
    <n v="16"/>
    <x v="1"/>
    <x v="1"/>
  </r>
  <r>
    <n v="40"/>
    <d v="2011-01-02T00:00:00"/>
    <x v="0"/>
    <x v="0"/>
    <n v="16"/>
    <b v="0"/>
    <n v="0"/>
    <x v="2"/>
    <x v="10"/>
    <n v="0"/>
    <n v="0.28789999999999999"/>
    <n v="0.81"/>
    <n v="0"/>
    <n v="3"/>
    <n v="13"/>
    <n v="16"/>
    <x v="1"/>
    <x v="2"/>
  </r>
  <r>
    <n v="41"/>
    <d v="2011-01-02T00:00:00"/>
    <x v="0"/>
    <x v="0"/>
    <n v="17"/>
    <b v="0"/>
    <n v="0"/>
    <x v="0"/>
    <x v="10"/>
    <n v="0"/>
    <n v="0.28789999999999999"/>
    <n v="0.81"/>
    <n v="0"/>
    <n v="3"/>
    <n v="13"/>
    <n v="16"/>
    <x v="1"/>
    <x v="2"/>
  </r>
  <r>
    <n v="42"/>
    <d v="2011-01-02T00:00:00"/>
    <x v="0"/>
    <x v="0"/>
    <n v="18"/>
    <b v="0"/>
    <n v="0"/>
    <x v="1"/>
    <x v="5"/>
    <n v="0"/>
    <n v="0.28789999999999999"/>
    <n v="0.81"/>
    <n v="0"/>
    <n v="3"/>
    <n v="13"/>
    <n v="16"/>
    <x v="1"/>
    <x v="2"/>
  </r>
  <r>
    <n v="43"/>
    <d v="2011-01-02T00:00:00"/>
    <x v="0"/>
    <x v="0"/>
    <n v="19"/>
    <b v="0"/>
    <n v="0"/>
    <x v="0"/>
    <x v="3"/>
    <n v="0"/>
    <n v="0.28789999999999999"/>
    <n v="0.81"/>
    <n v="0"/>
    <n v="3"/>
    <n v="13"/>
    <n v="16"/>
    <x v="1"/>
    <x v="2"/>
  </r>
  <r>
    <n v="44"/>
    <d v="2011-01-02T00:00:00"/>
    <x v="0"/>
    <x v="0"/>
    <n v="20"/>
    <b v="0"/>
    <n v="0"/>
    <x v="0"/>
    <x v="11"/>
    <n v="0"/>
    <n v="0.28789999999999999"/>
    <n v="0.81"/>
    <n v="0"/>
    <n v="3"/>
    <n v="13"/>
    <n v="16"/>
    <x v="1"/>
    <x v="2"/>
  </r>
  <r>
    <n v="45"/>
    <d v="2011-01-02T00:00:00"/>
    <x v="0"/>
    <x v="0"/>
    <n v="21"/>
    <b v="0"/>
    <n v="0"/>
    <x v="0"/>
    <x v="12"/>
    <n v="0"/>
    <n v="0.28789999999999999"/>
    <n v="0.81"/>
    <n v="0"/>
    <n v="3"/>
    <n v="13"/>
    <n v="16"/>
    <x v="1"/>
    <x v="3"/>
  </r>
  <r>
    <n v="46"/>
    <d v="2011-01-02T00:00:00"/>
    <x v="0"/>
    <x v="0"/>
    <n v="22"/>
    <b v="0"/>
    <n v="0"/>
    <x v="0"/>
    <x v="0"/>
    <n v="0"/>
    <n v="0.28789999999999999"/>
    <n v="0.81"/>
    <n v="0"/>
    <n v="3"/>
    <n v="13"/>
    <n v="16"/>
    <x v="1"/>
    <x v="3"/>
  </r>
  <r>
    <n v="47"/>
    <d v="2011-01-02T00:00:00"/>
    <x v="0"/>
    <x v="0"/>
    <n v="23"/>
    <b v="0"/>
    <n v="0"/>
    <x v="0"/>
    <x v="1"/>
    <n v="0"/>
    <n v="0.28789999999999999"/>
    <n v="0.81"/>
    <n v="0"/>
    <n v="3"/>
    <n v="13"/>
    <n v="16"/>
    <x v="1"/>
    <x v="3"/>
  </r>
  <r>
    <n v="48"/>
    <d v="2011-01-03T00:00:00"/>
    <x v="0"/>
    <x v="0"/>
    <n v="0"/>
    <b v="0"/>
    <n v="1"/>
    <x v="0"/>
    <x v="1"/>
    <n v="0"/>
    <n v="0.28789999999999999"/>
    <n v="0.81"/>
    <n v="0"/>
    <n v="3"/>
    <n v="13"/>
    <n v="16"/>
    <x v="1"/>
    <x v="0"/>
  </r>
  <r>
    <n v="49"/>
    <d v="2011-01-03T00:00:00"/>
    <x v="0"/>
    <x v="0"/>
    <n v="1"/>
    <b v="0"/>
    <n v="1"/>
    <x v="0"/>
    <x v="2"/>
    <n v="0"/>
    <n v="0.28789999999999999"/>
    <n v="0.81"/>
    <n v="0"/>
    <n v="3"/>
    <n v="13"/>
    <n v="16"/>
    <x v="1"/>
    <x v="0"/>
  </r>
  <r>
    <n v="50"/>
    <d v="2011-01-03T00:00:00"/>
    <x v="0"/>
    <x v="0"/>
    <n v="4"/>
    <b v="0"/>
    <n v="1"/>
    <x v="0"/>
    <x v="13"/>
    <n v="0"/>
    <n v="0.28789999999999999"/>
    <n v="0.81"/>
    <n v="0"/>
    <n v="3"/>
    <n v="13"/>
    <n v="16"/>
    <x v="1"/>
    <x v="0"/>
  </r>
  <r>
    <n v="51"/>
    <d v="2011-01-03T00:00:00"/>
    <x v="0"/>
    <x v="0"/>
    <n v="5"/>
    <b v="0"/>
    <n v="1"/>
    <x v="0"/>
    <x v="13"/>
    <n v="0"/>
    <n v="0.28789999999999999"/>
    <n v="0.81"/>
    <n v="0"/>
    <n v="3"/>
    <n v="13"/>
    <n v="16"/>
    <x v="1"/>
    <x v="0"/>
  </r>
  <r>
    <n v="52"/>
    <d v="2011-01-03T00:00:00"/>
    <x v="0"/>
    <x v="0"/>
    <n v="6"/>
    <b v="0"/>
    <n v="1"/>
    <x v="0"/>
    <x v="14"/>
    <n v="0"/>
    <n v="0.28789999999999999"/>
    <n v="0.81"/>
    <n v="0"/>
    <n v="3"/>
    <n v="13"/>
    <n v="16"/>
    <x v="1"/>
    <x v="0"/>
  </r>
  <r>
    <n v="53"/>
    <d v="2011-01-03T00:00:00"/>
    <x v="0"/>
    <x v="0"/>
    <n v="7"/>
    <b v="0"/>
    <n v="1"/>
    <x v="0"/>
    <x v="14"/>
    <n v="0"/>
    <n v="0.28789999999999999"/>
    <n v="0.81"/>
    <n v="0"/>
    <n v="3"/>
    <n v="13"/>
    <n v="16"/>
    <x v="1"/>
    <x v="0"/>
  </r>
  <r>
    <n v="54"/>
    <d v="2011-01-03T00:00:00"/>
    <x v="0"/>
    <x v="0"/>
    <n v="8"/>
    <b v="0"/>
    <n v="1"/>
    <x v="0"/>
    <x v="14"/>
    <n v="0"/>
    <n v="0.28789999999999999"/>
    <n v="0.81"/>
    <n v="0"/>
    <n v="3"/>
    <n v="13"/>
    <n v="16"/>
    <x v="1"/>
    <x v="0"/>
  </r>
  <r>
    <n v="55"/>
    <d v="2011-01-03T00:00:00"/>
    <x v="0"/>
    <x v="0"/>
    <n v="9"/>
    <b v="0"/>
    <n v="1"/>
    <x v="0"/>
    <x v="13"/>
    <n v="0"/>
    <n v="0.28789999999999999"/>
    <n v="0.81"/>
    <n v="0"/>
    <n v="3"/>
    <n v="13"/>
    <n v="16"/>
    <x v="1"/>
    <x v="0"/>
  </r>
  <r>
    <n v="56"/>
    <d v="2011-01-03T00:00:00"/>
    <x v="0"/>
    <x v="0"/>
    <n v="10"/>
    <b v="0"/>
    <n v="1"/>
    <x v="0"/>
    <x v="15"/>
    <n v="0"/>
    <n v="0.28789999999999999"/>
    <n v="0.81"/>
    <n v="0"/>
    <n v="3"/>
    <n v="13"/>
    <n v="16"/>
    <x v="1"/>
    <x v="0"/>
  </r>
  <r>
    <n v="57"/>
    <d v="2011-01-03T00:00:00"/>
    <x v="0"/>
    <x v="0"/>
    <n v="11"/>
    <b v="0"/>
    <n v="1"/>
    <x v="0"/>
    <x v="2"/>
    <n v="0"/>
    <n v="0.28789999999999999"/>
    <n v="0.81"/>
    <n v="0"/>
    <n v="3"/>
    <n v="13"/>
    <n v="16"/>
    <x v="1"/>
    <x v="0"/>
  </r>
  <r>
    <n v="58"/>
    <d v="2011-01-03T00:00:00"/>
    <x v="0"/>
    <x v="0"/>
    <n v="12"/>
    <b v="0"/>
    <n v="1"/>
    <x v="0"/>
    <x v="1"/>
    <n v="0"/>
    <n v="0.28789999999999999"/>
    <n v="0.81"/>
    <n v="0"/>
    <n v="3"/>
    <n v="13"/>
    <n v="16"/>
    <x v="1"/>
    <x v="1"/>
  </r>
  <r>
    <n v="59"/>
    <d v="2011-01-03T00:00:00"/>
    <x v="0"/>
    <x v="0"/>
    <n v="13"/>
    <b v="0"/>
    <n v="1"/>
    <x v="0"/>
    <x v="0"/>
    <n v="0"/>
    <n v="0.28789999999999999"/>
    <n v="0.81"/>
    <n v="0"/>
    <n v="3"/>
    <n v="13"/>
    <n v="16"/>
    <x v="1"/>
    <x v="1"/>
  </r>
  <r>
    <n v="60"/>
    <d v="2011-01-03T00:00:00"/>
    <x v="0"/>
    <x v="0"/>
    <n v="14"/>
    <b v="0"/>
    <n v="1"/>
    <x v="0"/>
    <x v="12"/>
    <n v="0"/>
    <n v="0.28789999999999999"/>
    <n v="0.81"/>
    <n v="0"/>
    <n v="3"/>
    <n v="13"/>
    <n v="16"/>
    <x v="1"/>
    <x v="1"/>
  </r>
  <r>
    <n v="61"/>
    <d v="2011-01-03T00:00:00"/>
    <x v="0"/>
    <x v="0"/>
    <n v="15"/>
    <b v="0"/>
    <n v="1"/>
    <x v="0"/>
    <x v="12"/>
    <n v="0"/>
    <n v="0.28789999999999999"/>
    <n v="0.81"/>
    <n v="0"/>
    <n v="3"/>
    <n v="13"/>
    <n v="16"/>
    <x v="1"/>
    <x v="1"/>
  </r>
  <r>
    <n v="62"/>
    <d v="2011-01-03T00:00:00"/>
    <x v="0"/>
    <x v="0"/>
    <n v="16"/>
    <b v="0"/>
    <n v="1"/>
    <x v="0"/>
    <x v="12"/>
    <n v="0"/>
    <n v="0.28789999999999999"/>
    <n v="0.81"/>
    <n v="0"/>
    <n v="3"/>
    <n v="13"/>
    <n v="16"/>
    <x v="1"/>
    <x v="2"/>
  </r>
  <r>
    <n v="63"/>
    <d v="2011-01-03T00:00:00"/>
    <x v="0"/>
    <x v="0"/>
    <n v="17"/>
    <b v="0"/>
    <n v="1"/>
    <x v="0"/>
    <x v="0"/>
    <n v="0"/>
    <n v="0.28789999999999999"/>
    <n v="0.81"/>
    <n v="0"/>
    <n v="3"/>
    <n v="13"/>
    <n v="16"/>
    <x v="1"/>
    <x v="2"/>
  </r>
  <r>
    <n v="64"/>
    <d v="2011-01-03T00:00:00"/>
    <x v="0"/>
    <x v="0"/>
    <n v="18"/>
    <b v="0"/>
    <n v="1"/>
    <x v="0"/>
    <x v="0"/>
    <n v="0"/>
    <n v="0.28789999999999999"/>
    <n v="0.81"/>
    <n v="0"/>
    <n v="3"/>
    <n v="13"/>
    <n v="16"/>
    <x v="1"/>
    <x v="2"/>
  </r>
  <r>
    <n v="65"/>
    <d v="2011-01-03T00:00:00"/>
    <x v="0"/>
    <x v="0"/>
    <n v="19"/>
    <b v="0"/>
    <n v="1"/>
    <x v="0"/>
    <x v="2"/>
    <n v="0"/>
    <n v="0.28789999999999999"/>
    <n v="0.81"/>
    <n v="0"/>
    <n v="3"/>
    <n v="13"/>
    <n v="16"/>
    <x v="1"/>
    <x v="2"/>
  </r>
  <r>
    <n v="66"/>
    <d v="2011-01-03T00:00:00"/>
    <x v="0"/>
    <x v="0"/>
    <n v="20"/>
    <b v="0"/>
    <n v="1"/>
    <x v="0"/>
    <x v="2"/>
    <n v="0"/>
    <n v="0.28789999999999999"/>
    <n v="0.81"/>
    <n v="0"/>
    <n v="3"/>
    <n v="13"/>
    <n v="16"/>
    <x v="1"/>
    <x v="2"/>
  </r>
  <r>
    <n v="67"/>
    <d v="2011-01-03T00:00:00"/>
    <x v="0"/>
    <x v="0"/>
    <n v="21"/>
    <b v="0"/>
    <n v="1"/>
    <x v="0"/>
    <x v="15"/>
    <n v="0"/>
    <n v="0.28789999999999999"/>
    <n v="0.81"/>
    <n v="0"/>
    <n v="3"/>
    <n v="13"/>
    <n v="16"/>
    <x v="1"/>
    <x v="3"/>
  </r>
  <r>
    <n v="68"/>
    <d v="2011-01-03T00:00:00"/>
    <x v="0"/>
    <x v="0"/>
    <n v="22"/>
    <b v="0"/>
    <n v="1"/>
    <x v="0"/>
    <x v="14"/>
    <n v="0"/>
    <n v="0.28789999999999999"/>
    <n v="0.81"/>
    <n v="0"/>
    <n v="3"/>
    <n v="13"/>
    <n v="16"/>
    <x v="1"/>
    <x v="3"/>
  </r>
  <r>
    <n v="69"/>
    <d v="2011-01-03T00:00:00"/>
    <x v="0"/>
    <x v="0"/>
    <n v="23"/>
    <b v="0"/>
    <n v="1"/>
    <x v="0"/>
    <x v="15"/>
    <n v="0"/>
    <n v="0.28789999999999999"/>
    <n v="0.81"/>
    <n v="0"/>
    <n v="3"/>
    <n v="13"/>
    <n v="16"/>
    <x v="1"/>
    <x v="3"/>
  </r>
  <r>
    <n v="70"/>
    <d v="2011-01-04T00:00:00"/>
    <x v="0"/>
    <x v="0"/>
    <n v="0"/>
    <b v="0"/>
    <n v="2"/>
    <x v="0"/>
    <x v="13"/>
    <n v="0"/>
    <n v="0.28789999999999999"/>
    <n v="0.81"/>
    <n v="0"/>
    <n v="3"/>
    <n v="13"/>
    <n v="16"/>
    <x v="1"/>
    <x v="0"/>
  </r>
  <r>
    <n v="71"/>
    <d v="2011-01-04T00:00:00"/>
    <x v="0"/>
    <x v="0"/>
    <n v="1"/>
    <b v="0"/>
    <n v="2"/>
    <x v="0"/>
    <x v="13"/>
    <n v="0"/>
    <n v="0.28789999999999999"/>
    <n v="0.81"/>
    <n v="0"/>
    <n v="3"/>
    <n v="13"/>
    <n v="16"/>
    <x v="1"/>
    <x v="0"/>
  </r>
  <r>
    <n v="72"/>
    <d v="2011-01-04T00:00:00"/>
    <x v="0"/>
    <x v="0"/>
    <n v="2"/>
    <b v="0"/>
    <n v="2"/>
    <x v="0"/>
    <x v="14"/>
    <n v="0"/>
    <n v="0.28789999999999999"/>
    <n v="0.81"/>
    <n v="0"/>
    <n v="3"/>
    <n v="13"/>
    <n v="16"/>
    <x v="1"/>
    <x v="0"/>
  </r>
  <r>
    <n v="73"/>
    <d v="2011-01-04T00:00:00"/>
    <x v="0"/>
    <x v="0"/>
    <n v="4"/>
    <b v="0"/>
    <n v="2"/>
    <x v="0"/>
    <x v="14"/>
    <n v="0"/>
    <n v="0.28789999999999999"/>
    <n v="0.81"/>
    <n v="0"/>
    <n v="3"/>
    <n v="13"/>
    <n v="16"/>
    <x v="1"/>
    <x v="0"/>
  </r>
  <r>
    <n v="74"/>
    <d v="2011-01-04T00:00:00"/>
    <x v="0"/>
    <x v="0"/>
    <n v="5"/>
    <b v="0"/>
    <n v="2"/>
    <x v="0"/>
    <x v="16"/>
    <n v="0"/>
    <n v="0.28789999999999999"/>
    <n v="0.81"/>
    <n v="0"/>
    <n v="3"/>
    <n v="13"/>
    <n v="16"/>
    <x v="1"/>
    <x v="0"/>
  </r>
  <r>
    <n v="75"/>
    <d v="2011-01-04T00:00:00"/>
    <x v="0"/>
    <x v="0"/>
    <n v="6"/>
    <b v="0"/>
    <n v="2"/>
    <x v="0"/>
    <x v="16"/>
    <n v="0"/>
    <n v="0.28789999999999999"/>
    <n v="0.81"/>
    <n v="0"/>
    <n v="3"/>
    <n v="13"/>
    <n v="16"/>
    <x v="1"/>
    <x v="0"/>
  </r>
  <r>
    <n v="76"/>
    <d v="2011-01-04T00:00:00"/>
    <x v="0"/>
    <x v="0"/>
    <n v="7"/>
    <b v="0"/>
    <n v="2"/>
    <x v="0"/>
    <x v="16"/>
    <n v="0"/>
    <n v="0.28789999999999999"/>
    <n v="0.81"/>
    <n v="0"/>
    <n v="3"/>
    <n v="13"/>
    <n v="16"/>
    <x v="1"/>
    <x v="0"/>
  </r>
  <r>
    <n v="77"/>
    <d v="2011-01-04T00:00:00"/>
    <x v="0"/>
    <x v="0"/>
    <n v="8"/>
    <b v="0"/>
    <n v="2"/>
    <x v="0"/>
    <x v="14"/>
    <n v="0"/>
    <n v="0.28789999999999999"/>
    <n v="0.81"/>
    <n v="0"/>
    <n v="3"/>
    <n v="13"/>
    <n v="16"/>
    <x v="1"/>
    <x v="0"/>
  </r>
  <r>
    <n v="78"/>
    <d v="2011-01-04T00:00:00"/>
    <x v="0"/>
    <x v="0"/>
    <n v="9"/>
    <b v="0"/>
    <n v="2"/>
    <x v="0"/>
    <x v="13"/>
    <n v="0"/>
    <n v="0.28789999999999999"/>
    <n v="0.81"/>
    <n v="0"/>
    <n v="3"/>
    <n v="13"/>
    <n v="16"/>
    <x v="1"/>
    <x v="0"/>
  </r>
  <r>
    <n v="79"/>
    <d v="2011-01-04T00:00:00"/>
    <x v="0"/>
    <x v="0"/>
    <n v="10"/>
    <b v="0"/>
    <n v="2"/>
    <x v="1"/>
    <x v="13"/>
    <n v="0"/>
    <n v="0.28789999999999999"/>
    <n v="0.81"/>
    <n v="0"/>
    <n v="3"/>
    <n v="13"/>
    <n v="16"/>
    <x v="1"/>
    <x v="0"/>
  </r>
  <r>
    <n v="80"/>
    <d v="2011-01-04T00:00:00"/>
    <x v="0"/>
    <x v="0"/>
    <n v="11"/>
    <b v="0"/>
    <n v="2"/>
    <x v="0"/>
    <x v="1"/>
    <n v="0"/>
    <n v="0.28789999999999999"/>
    <n v="0.81"/>
    <n v="0"/>
    <n v="3"/>
    <n v="13"/>
    <n v="16"/>
    <x v="1"/>
    <x v="0"/>
  </r>
  <r>
    <n v="81"/>
    <d v="2011-01-04T00:00:00"/>
    <x v="0"/>
    <x v="0"/>
    <n v="12"/>
    <b v="0"/>
    <n v="2"/>
    <x v="0"/>
    <x v="1"/>
    <n v="0"/>
    <n v="0.28789999999999999"/>
    <n v="0.81"/>
    <n v="0"/>
    <n v="3"/>
    <n v="13"/>
    <n v="16"/>
    <x v="1"/>
    <x v="1"/>
  </r>
  <r>
    <n v="82"/>
    <d v="2011-01-04T00:00:00"/>
    <x v="0"/>
    <x v="0"/>
    <n v="13"/>
    <b v="0"/>
    <n v="2"/>
    <x v="0"/>
    <x v="0"/>
    <n v="0"/>
    <n v="0.28789999999999999"/>
    <n v="0.81"/>
    <n v="0"/>
    <n v="3"/>
    <n v="13"/>
    <n v="16"/>
    <x v="1"/>
    <x v="1"/>
  </r>
  <r>
    <n v="83"/>
    <d v="2011-01-04T00:00:00"/>
    <x v="0"/>
    <x v="0"/>
    <n v="14"/>
    <b v="0"/>
    <n v="2"/>
    <x v="0"/>
    <x v="12"/>
    <n v="0"/>
    <n v="0.28789999999999999"/>
    <n v="0.81"/>
    <n v="0"/>
    <n v="3"/>
    <n v="13"/>
    <n v="16"/>
    <x v="1"/>
    <x v="1"/>
  </r>
  <r>
    <n v="84"/>
    <d v="2011-01-04T00:00:00"/>
    <x v="0"/>
    <x v="0"/>
    <n v="15"/>
    <b v="0"/>
    <n v="2"/>
    <x v="0"/>
    <x v="17"/>
    <n v="0"/>
    <n v="0.28789999999999999"/>
    <n v="0.81"/>
    <n v="0"/>
    <n v="3"/>
    <n v="13"/>
    <n v="16"/>
    <x v="1"/>
    <x v="1"/>
  </r>
  <r>
    <n v="85"/>
    <d v="2011-01-04T00:00:00"/>
    <x v="0"/>
    <x v="0"/>
    <n v="16"/>
    <b v="0"/>
    <n v="2"/>
    <x v="0"/>
    <x v="11"/>
    <n v="0"/>
    <n v="0.28789999999999999"/>
    <n v="0.81"/>
    <n v="0"/>
    <n v="3"/>
    <n v="13"/>
    <n v="16"/>
    <x v="1"/>
    <x v="2"/>
  </r>
  <r>
    <n v="86"/>
    <d v="2011-01-04T00:00:00"/>
    <x v="0"/>
    <x v="0"/>
    <n v="17"/>
    <b v="0"/>
    <n v="2"/>
    <x v="0"/>
    <x v="17"/>
    <n v="0"/>
    <n v="0.28789999999999999"/>
    <n v="0.81"/>
    <n v="0"/>
    <n v="3"/>
    <n v="13"/>
    <n v="16"/>
    <x v="1"/>
    <x v="2"/>
  </r>
  <r>
    <n v="87"/>
    <d v="2011-01-04T00:00:00"/>
    <x v="0"/>
    <x v="0"/>
    <n v="18"/>
    <b v="0"/>
    <n v="2"/>
    <x v="0"/>
    <x v="12"/>
    <n v="0"/>
    <n v="0.28789999999999999"/>
    <n v="0.81"/>
    <n v="0"/>
    <n v="3"/>
    <n v="13"/>
    <n v="16"/>
    <x v="1"/>
    <x v="2"/>
  </r>
  <r>
    <n v="88"/>
    <d v="2011-01-04T00:00:00"/>
    <x v="0"/>
    <x v="0"/>
    <n v="19"/>
    <b v="0"/>
    <n v="2"/>
    <x v="0"/>
    <x v="0"/>
    <n v="0"/>
    <n v="0.28789999999999999"/>
    <n v="0.81"/>
    <n v="0"/>
    <n v="3"/>
    <n v="13"/>
    <n v="16"/>
    <x v="1"/>
    <x v="2"/>
  </r>
  <r>
    <n v="89"/>
    <d v="2011-01-04T00:00:00"/>
    <x v="0"/>
    <x v="0"/>
    <n v="20"/>
    <b v="0"/>
    <n v="2"/>
    <x v="0"/>
    <x v="0"/>
    <n v="0"/>
    <n v="0.28789999999999999"/>
    <n v="0.81"/>
    <n v="0"/>
    <n v="3"/>
    <n v="13"/>
    <n v="16"/>
    <x v="1"/>
    <x v="2"/>
  </r>
  <r>
    <n v="90"/>
    <d v="2011-01-04T00:00:00"/>
    <x v="0"/>
    <x v="0"/>
    <n v="21"/>
    <b v="0"/>
    <n v="2"/>
    <x v="0"/>
    <x v="1"/>
    <n v="0"/>
    <n v="0.28789999999999999"/>
    <n v="0.81"/>
    <n v="0"/>
    <n v="3"/>
    <n v="13"/>
    <n v="16"/>
    <x v="1"/>
    <x v="3"/>
  </r>
  <r>
    <n v="91"/>
    <d v="2011-01-04T00:00:00"/>
    <x v="0"/>
    <x v="0"/>
    <n v="22"/>
    <b v="0"/>
    <n v="2"/>
    <x v="0"/>
    <x v="1"/>
    <n v="0"/>
    <n v="0.28789999999999999"/>
    <n v="0.81"/>
    <n v="0"/>
    <n v="3"/>
    <n v="13"/>
    <n v="16"/>
    <x v="1"/>
    <x v="3"/>
  </r>
  <r>
    <n v="92"/>
    <d v="2011-01-04T00:00:00"/>
    <x v="0"/>
    <x v="0"/>
    <n v="23"/>
    <b v="0"/>
    <n v="2"/>
    <x v="0"/>
    <x v="2"/>
    <n v="0"/>
    <n v="0.28789999999999999"/>
    <n v="0.81"/>
    <n v="0"/>
    <n v="3"/>
    <n v="13"/>
    <n v="16"/>
    <x v="1"/>
    <x v="3"/>
  </r>
  <r>
    <n v="93"/>
    <d v="2011-01-05T00:00:00"/>
    <x v="0"/>
    <x v="0"/>
    <n v="0"/>
    <b v="0"/>
    <n v="3"/>
    <x v="0"/>
    <x v="2"/>
    <n v="0"/>
    <n v="0.28789999999999999"/>
    <n v="0.81"/>
    <n v="0"/>
    <n v="3"/>
    <n v="13"/>
    <n v="16"/>
    <x v="1"/>
    <x v="0"/>
  </r>
  <r>
    <n v="94"/>
    <d v="2011-01-05T00:00:00"/>
    <x v="0"/>
    <x v="0"/>
    <n v="1"/>
    <b v="0"/>
    <n v="3"/>
    <x v="0"/>
    <x v="13"/>
    <n v="0"/>
    <n v="0.28789999999999999"/>
    <n v="0.81"/>
    <n v="0"/>
    <n v="3"/>
    <n v="13"/>
    <n v="16"/>
    <x v="1"/>
    <x v="0"/>
  </r>
  <r>
    <n v="95"/>
    <d v="2011-01-05T00:00:00"/>
    <x v="0"/>
    <x v="0"/>
    <n v="2"/>
    <b v="0"/>
    <n v="3"/>
    <x v="0"/>
    <x v="13"/>
    <n v="0"/>
    <n v="0.28789999999999999"/>
    <n v="0.81"/>
    <n v="0"/>
    <n v="3"/>
    <n v="13"/>
    <n v="16"/>
    <x v="1"/>
    <x v="0"/>
  </r>
  <r>
    <n v="96"/>
    <d v="2011-01-05T00:00:00"/>
    <x v="0"/>
    <x v="0"/>
    <n v="4"/>
    <b v="0"/>
    <n v="3"/>
    <x v="0"/>
    <x v="0"/>
    <n v="0"/>
    <n v="0.28789999999999999"/>
    <n v="0.81"/>
    <n v="0"/>
    <n v="3"/>
    <n v="13"/>
    <n v="16"/>
    <x v="1"/>
    <x v="0"/>
  </r>
  <r>
    <n v="97"/>
    <d v="2011-01-05T00:00:00"/>
    <x v="0"/>
    <x v="0"/>
    <n v="5"/>
    <b v="0"/>
    <n v="3"/>
    <x v="0"/>
    <x v="1"/>
    <n v="0"/>
    <n v="0.28789999999999999"/>
    <n v="0.81"/>
    <n v="0"/>
    <n v="3"/>
    <n v="13"/>
    <n v="16"/>
    <x v="1"/>
    <x v="0"/>
  </r>
  <r>
    <n v="98"/>
    <d v="2011-01-05T00:00:00"/>
    <x v="0"/>
    <x v="0"/>
    <n v="6"/>
    <b v="0"/>
    <n v="3"/>
    <x v="0"/>
    <x v="2"/>
    <n v="0"/>
    <n v="0.28789999999999999"/>
    <n v="0.81"/>
    <n v="0"/>
    <n v="3"/>
    <n v="13"/>
    <n v="16"/>
    <x v="1"/>
    <x v="0"/>
  </r>
  <r>
    <n v="99"/>
    <d v="2011-01-05T00:00:00"/>
    <x v="0"/>
    <x v="0"/>
    <n v="7"/>
    <b v="0"/>
    <n v="3"/>
    <x v="0"/>
    <x v="15"/>
    <n v="0"/>
    <n v="0.28789999999999999"/>
    <n v="0.81"/>
    <n v="0"/>
    <n v="3"/>
    <n v="13"/>
    <n v="16"/>
    <x v="1"/>
    <x v="0"/>
  </r>
  <r>
    <n v="100"/>
    <d v="2011-01-05T00:00:00"/>
    <x v="0"/>
    <x v="0"/>
    <n v="8"/>
    <b v="0"/>
    <n v="3"/>
    <x v="0"/>
    <x v="2"/>
    <n v="0"/>
    <n v="0.28789999999999999"/>
    <n v="0.81"/>
    <n v="0"/>
    <n v="3"/>
    <n v="13"/>
    <n v="16"/>
    <x v="1"/>
    <x v="0"/>
  </r>
  <r>
    <n v="101"/>
    <d v="2011-01-05T00:00:00"/>
    <x v="0"/>
    <x v="0"/>
    <n v="9"/>
    <b v="0"/>
    <n v="3"/>
    <x v="0"/>
    <x v="1"/>
    <n v="0"/>
    <n v="0.28789999999999999"/>
    <n v="0.81"/>
    <n v="0"/>
    <n v="3"/>
    <n v="13"/>
    <n v="16"/>
    <x v="1"/>
    <x v="0"/>
  </r>
  <r>
    <n v="102"/>
    <d v="2011-01-05T00:00:00"/>
    <x v="0"/>
    <x v="0"/>
    <n v="10"/>
    <b v="0"/>
    <n v="3"/>
    <x v="0"/>
    <x v="1"/>
    <n v="0"/>
    <n v="0.28789999999999999"/>
    <n v="0.81"/>
    <n v="0"/>
    <n v="3"/>
    <n v="13"/>
    <n v="16"/>
    <x v="1"/>
    <x v="0"/>
  </r>
  <r>
    <n v="103"/>
    <d v="2011-01-05T00:00:00"/>
    <x v="0"/>
    <x v="0"/>
    <n v="11"/>
    <b v="0"/>
    <n v="3"/>
    <x v="0"/>
    <x v="12"/>
    <n v="0"/>
    <n v="0.28789999999999999"/>
    <n v="0.81"/>
    <n v="0"/>
    <n v="3"/>
    <n v="13"/>
    <n v="16"/>
    <x v="1"/>
    <x v="0"/>
  </r>
  <r>
    <n v="104"/>
    <d v="2011-01-05T00:00:00"/>
    <x v="0"/>
    <x v="0"/>
    <n v="12"/>
    <b v="0"/>
    <n v="3"/>
    <x v="0"/>
    <x v="12"/>
    <n v="0"/>
    <n v="0.28789999999999999"/>
    <n v="0.81"/>
    <n v="0"/>
    <n v="3"/>
    <n v="13"/>
    <n v="16"/>
    <x v="1"/>
    <x v="1"/>
  </r>
  <r>
    <n v="105"/>
    <d v="2011-01-05T00:00:00"/>
    <x v="0"/>
    <x v="0"/>
    <n v="13"/>
    <b v="0"/>
    <n v="3"/>
    <x v="0"/>
    <x v="17"/>
    <n v="0"/>
    <n v="0.28789999999999999"/>
    <n v="0.81"/>
    <n v="0"/>
    <n v="3"/>
    <n v="13"/>
    <n v="16"/>
    <x v="1"/>
    <x v="1"/>
  </r>
  <r>
    <n v="106"/>
    <d v="2011-01-05T00:00:00"/>
    <x v="0"/>
    <x v="0"/>
    <n v="14"/>
    <b v="0"/>
    <n v="3"/>
    <x v="0"/>
    <x v="11"/>
    <n v="0"/>
    <n v="0.28789999999999999"/>
    <n v="0.81"/>
    <n v="0"/>
    <n v="3"/>
    <n v="13"/>
    <n v="16"/>
    <x v="1"/>
    <x v="1"/>
  </r>
  <r>
    <n v="107"/>
    <d v="2011-01-05T00:00:00"/>
    <x v="0"/>
    <x v="0"/>
    <n v="15"/>
    <b v="0"/>
    <n v="3"/>
    <x v="0"/>
    <x v="11"/>
    <n v="0"/>
    <n v="0.28789999999999999"/>
    <n v="0.81"/>
    <n v="0"/>
    <n v="3"/>
    <n v="13"/>
    <n v="16"/>
    <x v="1"/>
    <x v="1"/>
  </r>
  <r>
    <n v="108"/>
    <d v="2011-01-05T00:00:00"/>
    <x v="0"/>
    <x v="0"/>
    <n v="16"/>
    <b v="0"/>
    <n v="3"/>
    <x v="0"/>
    <x v="11"/>
    <n v="0"/>
    <n v="0.28789999999999999"/>
    <n v="0.81"/>
    <n v="0"/>
    <n v="3"/>
    <n v="13"/>
    <n v="16"/>
    <x v="1"/>
    <x v="2"/>
  </r>
  <r>
    <n v="109"/>
    <d v="2011-01-05T00:00:00"/>
    <x v="0"/>
    <x v="0"/>
    <n v="17"/>
    <b v="0"/>
    <n v="3"/>
    <x v="0"/>
    <x v="0"/>
    <n v="0"/>
    <n v="0.28789999999999999"/>
    <n v="0.81"/>
    <n v="0"/>
    <n v="3"/>
    <n v="13"/>
    <n v="16"/>
    <x v="1"/>
    <x v="2"/>
  </r>
  <r>
    <n v="110"/>
    <d v="2011-01-05T00:00:00"/>
    <x v="0"/>
    <x v="0"/>
    <n v="18"/>
    <b v="0"/>
    <n v="3"/>
    <x v="0"/>
    <x v="0"/>
    <n v="0"/>
    <n v="0.28789999999999999"/>
    <n v="0.81"/>
    <n v="0"/>
    <n v="3"/>
    <n v="13"/>
    <n v="16"/>
    <x v="1"/>
    <x v="2"/>
  </r>
  <r>
    <n v="111"/>
    <d v="2011-01-05T00:00:00"/>
    <x v="0"/>
    <x v="0"/>
    <n v="19"/>
    <b v="0"/>
    <n v="3"/>
    <x v="0"/>
    <x v="0"/>
    <n v="0"/>
    <n v="0.28789999999999999"/>
    <n v="0.81"/>
    <n v="0"/>
    <n v="3"/>
    <n v="13"/>
    <n v="16"/>
    <x v="1"/>
    <x v="2"/>
  </r>
  <r>
    <n v="112"/>
    <d v="2011-01-05T00:00:00"/>
    <x v="0"/>
    <x v="0"/>
    <n v="20"/>
    <b v="0"/>
    <n v="3"/>
    <x v="0"/>
    <x v="1"/>
    <n v="0"/>
    <n v="0.28789999999999999"/>
    <n v="0.81"/>
    <n v="0"/>
    <n v="3"/>
    <n v="13"/>
    <n v="16"/>
    <x v="1"/>
    <x v="2"/>
  </r>
  <r>
    <n v="113"/>
    <d v="2011-01-05T00:00:00"/>
    <x v="0"/>
    <x v="0"/>
    <n v="21"/>
    <b v="0"/>
    <n v="3"/>
    <x v="0"/>
    <x v="2"/>
    <n v="0"/>
    <n v="0.28789999999999999"/>
    <n v="0.81"/>
    <n v="0"/>
    <n v="3"/>
    <n v="13"/>
    <n v="16"/>
    <x v="1"/>
    <x v="3"/>
  </r>
  <r>
    <n v="114"/>
    <d v="2011-01-05T00:00:00"/>
    <x v="0"/>
    <x v="0"/>
    <n v="22"/>
    <b v="0"/>
    <n v="3"/>
    <x v="0"/>
    <x v="15"/>
    <n v="0"/>
    <n v="0.28789999999999999"/>
    <n v="0.81"/>
    <n v="0"/>
    <n v="3"/>
    <n v="13"/>
    <n v="16"/>
    <x v="1"/>
    <x v="3"/>
  </r>
  <r>
    <n v="115"/>
    <d v="2011-01-05T00:00:00"/>
    <x v="0"/>
    <x v="0"/>
    <n v="23"/>
    <b v="0"/>
    <n v="3"/>
    <x v="0"/>
    <x v="2"/>
    <n v="0"/>
    <n v="0.28789999999999999"/>
    <n v="0.81"/>
    <n v="0"/>
    <n v="3"/>
    <n v="13"/>
    <n v="16"/>
    <x v="1"/>
    <x v="3"/>
  </r>
  <r>
    <n v="116"/>
    <d v="2011-01-06T00:00:00"/>
    <x v="0"/>
    <x v="0"/>
    <n v="0"/>
    <b v="0"/>
    <n v="4"/>
    <x v="0"/>
    <x v="15"/>
    <n v="0"/>
    <n v="0.28789999999999999"/>
    <n v="0.81"/>
    <n v="0"/>
    <n v="3"/>
    <n v="13"/>
    <n v="16"/>
    <x v="1"/>
    <x v="0"/>
  </r>
  <r>
    <n v="117"/>
    <d v="2011-01-06T00:00:00"/>
    <x v="0"/>
    <x v="0"/>
    <n v="1"/>
    <b v="0"/>
    <n v="4"/>
    <x v="0"/>
    <x v="13"/>
    <n v="0"/>
    <n v="0.28789999999999999"/>
    <n v="0.81"/>
    <n v="0"/>
    <n v="3"/>
    <n v="13"/>
    <n v="16"/>
    <x v="1"/>
    <x v="0"/>
  </r>
  <r>
    <n v="118"/>
    <d v="2011-01-06T00:00:00"/>
    <x v="0"/>
    <x v="0"/>
    <n v="2"/>
    <b v="0"/>
    <n v="4"/>
    <x v="0"/>
    <x v="13"/>
    <n v="0"/>
    <n v="0.28789999999999999"/>
    <n v="0.81"/>
    <n v="0"/>
    <n v="3"/>
    <n v="13"/>
    <n v="16"/>
    <x v="1"/>
    <x v="0"/>
  </r>
  <r>
    <n v="119"/>
    <d v="2011-01-06T00:00:00"/>
    <x v="0"/>
    <x v="0"/>
    <n v="4"/>
    <b v="0"/>
    <n v="4"/>
    <x v="1"/>
    <x v="13"/>
    <n v="0"/>
    <n v="0.28789999999999999"/>
    <n v="0.81"/>
    <n v="0"/>
    <n v="3"/>
    <n v="13"/>
    <n v="16"/>
    <x v="1"/>
    <x v="0"/>
  </r>
  <r>
    <n v="120"/>
    <d v="2011-01-06T00:00:00"/>
    <x v="0"/>
    <x v="0"/>
    <n v="5"/>
    <b v="0"/>
    <n v="4"/>
    <x v="1"/>
    <x v="14"/>
    <n v="0"/>
    <n v="0.28789999999999999"/>
    <n v="0.81"/>
    <n v="0"/>
    <n v="3"/>
    <n v="13"/>
    <n v="16"/>
    <x v="1"/>
    <x v="0"/>
  </r>
  <r>
    <n v="121"/>
    <d v="2011-01-06T00:00:00"/>
    <x v="0"/>
    <x v="0"/>
    <n v="6"/>
    <b v="0"/>
    <n v="4"/>
    <x v="1"/>
    <x v="14"/>
    <n v="0"/>
    <n v="0.28789999999999999"/>
    <n v="0.81"/>
    <n v="0"/>
    <n v="3"/>
    <n v="13"/>
    <n v="16"/>
    <x v="1"/>
    <x v="0"/>
  </r>
  <r>
    <n v="122"/>
    <d v="2011-01-06T00:00:00"/>
    <x v="0"/>
    <x v="0"/>
    <n v="7"/>
    <b v="0"/>
    <n v="4"/>
    <x v="1"/>
    <x v="13"/>
    <n v="0"/>
    <n v="0.28789999999999999"/>
    <n v="0.81"/>
    <n v="0"/>
    <n v="3"/>
    <n v="13"/>
    <n v="16"/>
    <x v="1"/>
    <x v="0"/>
  </r>
  <r>
    <n v="123"/>
    <d v="2011-01-06T00:00:00"/>
    <x v="0"/>
    <x v="0"/>
    <n v="8"/>
    <b v="0"/>
    <n v="4"/>
    <x v="0"/>
    <x v="13"/>
    <n v="0"/>
    <n v="0.28789999999999999"/>
    <n v="0.81"/>
    <n v="0"/>
    <n v="3"/>
    <n v="13"/>
    <n v="16"/>
    <x v="1"/>
    <x v="0"/>
  </r>
  <r>
    <n v="124"/>
    <d v="2011-01-06T00:00:00"/>
    <x v="0"/>
    <x v="0"/>
    <n v="9"/>
    <b v="0"/>
    <n v="4"/>
    <x v="1"/>
    <x v="15"/>
    <n v="0"/>
    <n v="0.28789999999999999"/>
    <n v="0.81"/>
    <n v="0"/>
    <n v="3"/>
    <n v="13"/>
    <n v="16"/>
    <x v="1"/>
    <x v="0"/>
  </r>
  <r>
    <n v="125"/>
    <d v="2011-01-06T00:00:00"/>
    <x v="0"/>
    <x v="0"/>
    <n v="10"/>
    <b v="0"/>
    <n v="4"/>
    <x v="0"/>
    <x v="2"/>
    <n v="0"/>
    <n v="0.28789999999999999"/>
    <n v="0.81"/>
    <n v="0"/>
    <n v="3"/>
    <n v="13"/>
    <n v="16"/>
    <x v="1"/>
    <x v="0"/>
  </r>
  <r>
    <n v="126"/>
    <d v="2011-01-06T00:00:00"/>
    <x v="0"/>
    <x v="0"/>
    <n v="11"/>
    <b v="0"/>
    <n v="4"/>
    <x v="0"/>
    <x v="1"/>
    <n v="0"/>
    <n v="0.28789999999999999"/>
    <n v="0.81"/>
    <n v="0"/>
    <n v="3"/>
    <n v="13"/>
    <n v="16"/>
    <x v="1"/>
    <x v="0"/>
  </r>
  <r>
    <n v="127"/>
    <d v="2011-01-06T00:00:00"/>
    <x v="0"/>
    <x v="0"/>
    <n v="12"/>
    <b v="0"/>
    <n v="4"/>
    <x v="0"/>
    <x v="12"/>
    <n v="0"/>
    <n v="0.28789999999999999"/>
    <n v="0.81"/>
    <n v="0"/>
    <n v="3"/>
    <n v="13"/>
    <n v="16"/>
    <x v="1"/>
    <x v="1"/>
  </r>
  <r>
    <n v="128"/>
    <d v="2011-01-06T00:00:00"/>
    <x v="0"/>
    <x v="0"/>
    <n v="13"/>
    <b v="0"/>
    <n v="4"/>
    <x v="0"/>
    <x v="12"/>
    <n v="0"/>
    <n v="0.28789999999999999"/>
    <n v="0.81"/>
    <n v="0"/>
    <n v="3"/>
    <n v="13"/>
    <n v="16"/>
    <x v="1"/>
    <x v="1"/>
  </r>
  <r>
    <n v="129"/>
    <d v="2011-01-06T00:00:00"/>
    <x v="0"/>
    <x v="0"/>
    <n v="14"/>
    <b v="0"/>
    <n v="4"/>
    <x v="0"/>
    <x v="17"/>
    <n v="0"/>
    <n v="0.28789999999999999"/>
    <n v="0.81"/>
    <n v="0"/>
    <n v="3"/>
    <n v="13"/>
    <n v="16"/>
    <x v="1"/>
    <x v="1"/>
  </r>
  <r>
    <n v="130"/>
    <d v="2011-01-06T00:00:00"/>
    <x v="0"/>
    <x v="0"/>
    <n v="15"/>
    <b v="0"/>
    <n v="4"/>
    <x v="0"/>
    <x v="17"/>
    <n v="0"/>
    <n v="0.28789999999999999"/>
    <n v="0.81"/>
    <n v="0"/>
    <n v="3"/>
    <n v="13"/>
    <n v="16"/>
    <x v="1"/>
    <x v="1"/>
  </r>
  <r>
    <n v="131"/>
    <d v="2011-01-06T00:00:00"/>
    <x v="0"/>
    <x v="0"/>
    <n v="16"/>
    <b v="0"/>
    <n v="4"/>
    <x v="0"/>
    <x v="12"/>
    <n v="0"/>
    <n v="0.28789999999999999"/>
    <n v="0.81"/>
    <n v="0"/>
    <n v="3"/>
    <n v="13"/>
    <n v="16"/>
    <x v="1"/>
    <x v="2"/>
  </r>
  <r>
    <n v="132"/>
    <d v="2011-01-06T00:00:00"/>
    <x v="0"/>
    <x v="0"/>
    <n v="17"/>
    <b v="0"/>
    <n v="4"/>
    <x v="0"/>
    <x v="1"/>
    <n v="0"/>
    <n v="0.28789999999999999"/>
    <n v="0.81"/>
    <n v="0"/>
    <n v="3"/>
    <n v="13"/>
    <n v="16"/>
    <x v="1"/>
    <x v="2"/>
  </r>
  <r>
    <n v="133"/>
    <d v="2011-01-06T00:00:00"/>
    <x v="0"/>
    <x v="0"/>
    <n v="18"/>
    <b v="0"/>
    <n v="4"/>
    <x v="0"/>
    <x v="1"/>
    <n v="0"/>
    <n v="0.28789999999999999"/>
    <n v="0.81"/>
    <n v="0"/>
    <n v="3"/>
    <n v="13"/>
    <n v="16"/>
    <x v="1"/>
    <x v="2"/>
  </r>
  <r>
    <n v="134"/>
    <d v="2011-01-06T00:00:00"/>
    <x v="0"/>
    <x v="0"/>
    <n v="19"/>
    <b v="0"/>
    <n v="4"/>
    <x v="0"/>
    <x v="1"/>
    <n v="0"/>
    <n v="0.28789999999999999"/>
    <n v="0.81"/>
    <n v="0"/>
    <n v="3"/>
    <n v="13"/>
    <n v="16"/>
    <x v="1"/>
    <x v="2"/>
  </r>
  <r>
    <n v="135"/>
    <d v="2011-01-06T00:00:00"/>
    <x v="0"/>
    <x v="0"/>
    <n v="20"/>
    <b v="0"/>
    <n v="4"/>
    <x v="0"/>
    <x v="2"/>
    <n v="0"/>
    <n v="0.28789999999999999"/>
    <n v="0.81"/>
    <n v="0"/>
    <n v="3"/>
    <n v="13"/>
    <n v="16"/>
    <x v="1"/>
    <x v="2"/>
  </r>
  <r>
    <n v="136"/>
    <d v="2011-01-06T00:00:00"/>
    <x v="0"/>
    <x v="0"/>
    <n v="21"/>
    <b v="0"/>
    <n v="4"/>
    <x v="1"/>
    <x v="1"/>
    <n v="0"/>
    <n v="0.28789999999999999"/>
    <n v="0.81"/>
    <n v="0"/>
    <n v="3"/>
    <n v="13"/>
    <n v="16"/>
    <x v="1"/>
    <x v="3"/>
  </r>
  <r>
    <n v="137"/>
    <d v="2011-01-06T00:00:00"/>
    <x v="0"/>
    <x v="0"/>
    <n v="22"/>
    <b v="0"/>
    <n v="4"/>
    <x v="1"/>
    <x v="1"/>
    <n v="0"/>
    <n v="0.28789999999999999"/>
    <n v="0.81"/>
    <n v="0"/>
    <n v="3"/>
    <n v="13"/>
    <n v="16"/>
    <x v="1"/>
    <x v="3"/>
  </r>
  <r>
    <n v="138"/>
    <d v="2011-01-06T00:00:00"/>
    <x v="0"/>
    <x v="0"/>
    <n v="23"/>
    <b v="0"/>
    <n v="4"/>
    <x v="1"/>
    <x v="2"/>
    <n v="0"/>
    <n v="0.28789999999999999"/>
    <n v="0.81"/>
    <n v="0"/>
    <n v="3"/>
    <n v="13"/>
    <n v="16"/>
    <x v="1"/>
    <x v="3"/>
  </r>
  <r>
    <n v="139"/>
    <d v="2011-01-07T00:00:00"/>
    <x v="0"/>
    <x v="0"/>
    <n v="0"/>
    <b v="0"/>
    <n v="5"/>
    <x v="1"/>
    <x v="2"/>
    <n v="0"/>
    <n v="0.28789999999999999"/>
    <n v="0.81"/>
    <n v="0"/>
    <n v="3"/>
    <n v="13"/>
    <n v="16"/>
    <x v="0"/>
    <x v="0"/>
  </r>
  <r>
    <n v="140"/>
    <d v="2011-01-07T00:00:00"/>
    <x v="0"/>
    <x v="0"/>
    <n v="1"/>
    <b v="0"/>
    <n v="5"/>
    <x v="1"/>
    <x v="2"/>
    <n v="0"/>
    <n v="0.28789999999999999"/>
    <n v="0.81"/>
    <n v="0"/>
    <n v="3"/>
    <n v="13"/>
    <n v="16"/>
    <x v="0"/>
    <x v="0"/>
  </r>
  <r>
    <n v="141"/>
    <d v="2011-01-07T00:00:00"/>
    <x v="0"/>
    <x v="0"/>
    <n v="2"/>
    <b v="0"/>
    <n v="5"/>
    <x v="1"/>
    <x v="2"/>
    <n v="0"/>
    <n v="0.28789999999999999"/>
    <n v="0.81"/>
    <n v="0"/>
    <n v="3"/>
    <n v="13"/>
    <n v="16"/>
    <x v="0"/>
    <x v="0"/>
  </r>
  <r>
    <n v="142"/>
    <d v="2011-01-07T00:00:00"/>
    <x v="0"/>
    <x v="0"/>
    <n v="4"/>
    <b v="0"/>
    <n v="5"/>
    <x v="1"/>
    <x v="2"/>
    <n v="0"/>
    <n v="0.28789999999999999"/>
    <n v="0.81"/>
    <n v="0"/>
    <n v="3"/>
    <n v="13"/>
    <n v="16"/>
    <x v="0"/>
    <x v="0"/>
  </r>
  <r>
    <n v="143"/>
    <d v="2011-01-07T00:00:00"/>
    <x v="0"/>
    <x v="0"/>
    <n v="5"/>
    <b v="0"/>
    <n v="5"/>
    <x v="2"/>
    <x v="1"/>
    <n v="0"/>
    <n v="0.28789999999999999"/>
    <n v="0.81"/>
    <n v="0"/>
    <n v="3"/>
    <n v="13"/>
    <n v="16"/>
    <x v="0"/>
    <x v="0"/>
  </r>
  <r>
    <n v="144"/>
    <d v="2011-01-07T00:00:00"/>
    <x v="0"/>
    <x v="0"/>
    <n v="6"/>
    <b v="0"/>
    <n v="5"/>
    <x v="1"/>
    <x v="2"/>
    <n v="0"/>
    <n v="0.28789999999999999"/>
    <n v="0.81"/>
    <n v="0"/>
    <n v="3"/>
    <n v="13"/>
    <n v="16"/>
    <x v="0"/>
    <x v="0"/>
  </r>
  <r>
    <n v="145"/>
    <d v="2011-01-07T00:00:00"/>
    <x v="0"/>
    <x v="0"/>
    <n v="7"/>
    <b v="0"/>
    <n v="5"/>
    <x v="0"/>
    <x v="2"/>
    <n v="0"/>
    <n v="0.28789999999999999"/>
    <n v="0.81"/>
    <n v="0"/>
    <n v="3"/>
    <n v="13"/>
    <n v="16"/>
    <x v="0"/>
    <x v="0"/>
  </r>
  <r>
    <n v="146"/>
    <d v="2011-01-07T00:00:00"/>
    <x v="0"/>
    <x v="0"/>
    <n v="8"/>
    <b v="0"/>
    <n v="5"/>
    <x v="0"/>
    <x v="2"/>
    <n v="0"/>
    <n v="0.28789999999999999"/>
    <n v="0.81"/>
    <n v="0"/>
    <n v="3"/>
    <n v="13"/>
    <n v="16"/>
    <x v="0"/>
    <x v="0"/>
  </r>
  <r>
    <n v="147"/>
    <d v="2011-01-07T00:00:00"/>
    <x v="0"/>
    <x v="0"/>
    <n v="9"/>
    <b v="0"/>
    <n v="5"/>
    <x v="0"/>
    <x v="2"/>
    <n v="0"/>
    <n v="0.28789999999999999"/>
    <n v="0.81"/>
    <n v="0"/>
    <n v="3"/>
    <n v="13"/>
    <n v="16"/>
    <x v="0"/>
    <x v="0"/>
  </r>
  <r>
    <n v="148"/>
    <d v="2011-01-07T00:00:00"/>
    <x v="0"/>
    <x v="0"/>
    <n v="10"/>
    <b v="0"/>
    <n v="5"/>
    <x v="0"/>
    <x v="1"/>
    <n v="0"/>
    <n v="0.28789999999999999"/>
    <n v="0.81"/>
    <n v="0"/>
    <n v="3"/>
    <n v="13"/>
    <n v="16"/>
    <x v="0"/>
    <x v="0"/>
  </r>
  <r>
    <n v="149"/>
    <d v="2011-01-07T00:00:00"/>
    <x v="0"/>
    <x v="0"/>
    <n v="11"/>
    <b v="0"/>
    <n v="5"/>
    <x v="1"/>
    <x v="2"/>
    <n v="0"/>
    <n v="0.28789999999999999"/>
    <n v="0.81"/>
    <n v="0"/>
    <n v="3"/>
    <n v="13"/>
    <n v="16"/>
    <x v="0"/>
    <x v="0"/>
  </r>
  <r>
    <n v="150"/>
    <d v="2011-01-07T00:00:00"/>
    <x v="0"/>
    <x v="0"/>
    <n v="12"/>
    <b v="0"/>
    <n v="5"/>
    <x v="1"/>
    <x v="2"/>
    <n v="0"/>
    <n v="0.28789999999999999"/>
    <n v="0.81"/>
    <n v="0"/>
    <n v="3"/>
    <n v="13"/>
    <n v="16"/>
    <x v="0"/>
    <x v="1"/>
  </r>
  <r>
    <n v="151"/>
    <d v="2011-01-07T00:00:00"/>
    <x v="0"/>
    <x v="0"/>
    <n v="13"/>
    <b v="0"/>
    <n v="5"/>
    <x v="1"/>
    <x v="2"/>
    <n v="0"/>
    <n v="0.28789999999999999"/>
    <n v="0.81"/>
    <n v="0"/>
    <n v="3"/>
    <n v="13"/>
    <n v="16"/>
    <x v="0"/>
    <x v="1"/>
  </r>
  <r>
    <n v="152"/>
    <d v="2011-01-07T00:00:00"/>
    <x v="0"/>
    <x v="0"/>
    <n v="14"/>
    <b v="0"/>
    <n v="5"/>
    <x v="1"/>
    <x v="2"/>
    <n v="0"/>
    <n v="0.28789999999999999"/>
    <n v="0.81"/>
    <n v="0"/>
    <n v="3"/>
    <n v="13"/>
    <n v="16"/>
    <x v="0"/>
    <x v="1"/>
  </r>
  <r>
    <n v="153"/>
    <d v="2011-01-07T00:00:00"/>
    <x v="0"/>
    <x v="0"/>
    <n v="15"/>
    <b v="0"/>
    <n v="5"/>
    <x v="1"/>
    <x v="2"/>
    <n v="0"/>
    <n v="0.28789999999999999"/>
    <n v="0.81"/>
    <n v="0"/>
    <n v="3"/>
    <n v="13"/>
    <n v="16"/>
    <x v="0"/>
    <x v="1"/>
  </r>
  <r>
    <n v="154"/>
    <d v="2011-01-07T00:00:00"/>
    <x v="0"/>
    <x v="0"/>
    <n v="16"/>
    <b v="0"/>
    <n v="5"/>
    <x v="1"/>
    <x v="2"/>
    <n v="0"/>
    <n v="0.28789999999999999"/>
    <n v="0.81"/>
    <n v="0"/>
    <n v="3"/>
    <n v="13"/>
    <n v="16"/>
    <x v="0"/>
    <x v="2"/>
  </r>
  <r>
    <n v="155"/>
    <d v="2011-01-07T00:00:00"/>
    <x v="0"/>
    <x v="0"/>
    <n v="17"/>
    <b v="0"/>
    <n v="5"/>
    <x v="1"/>
    <x v="2"/>
    <n v="0"/>
    <n v="0.28789999999999999"/>
    <n v="0.81"/>
    <n v="0"/>
    <n v="3"/>
    <n v="13"/>
    <n v="16"/>
    <x v="0"/>
    <x v="2"/>
  </r>
  <r>
    <n v="156"/>
    <d v="2011-01-07T00:00:00"/>
    <x v="0"/>
    <x v="0"/>
    <n v="18"/>
    <b v="0"/>
    <n v="5"/>
    <x v="0"/>
    <x v="2"/>
    <n v="0"/>
    <n v="0.28789999999999999"/>
    <n v="0.81"/>
    <n v="0"/>
    <n v="3"/>
    <n v="13"/>
    <n v="16"/>
    <x v="0"/>
    <x v="2"/>
  </r>
  <r>
    <n v="157"/>
    <d v="2011-01-07T00:00:00"/>
    <x v="0"/>
    <x v="0"/>
    <n v="19"/>
    <b v="0"/>
    <n v="5"/>
    <x v="0"/>
    <x v="13"/>
    <n v="0"/>
    <n v="0.28789999999999999"/>
    <n v="0.81"/>
    <n v="0"/>
    <n v="3"/>
    <n v="13"/>
    <n v="16"/>
    <x v="0"/>
    <x v="2"/>
  </r>
  <r>
    <n v="158"/>
    <d v="2011-01-07T00:00:00"/>
    <x v="0"/>
    <x v="0"/>
    <n v="20"/>
    <b v="0"/>
    <n v="5"/>
    <x v="0"/>
    <x v="15"/>
    <n v="0"/>
    <n v="0.28789999999999999"/>
    <n v="0.81"/>
    <n v="0"/>
    <n v="3"/>
    <n v="13"/>
    <n v="16"/>
    <x v="0"/>
    <x v="2"/>
  </r>
  <r>
    <n v="159"/>
    <d v="2011-01-07T00:00:00"/>
    <x v="0"/>
    <x v="0"/>
    <n v="21"/>
    <b v="0"/>
    <n v="5"/>
    <x v="0"/>
    <x v="15"/>
    <n v="0"/>
    <n v="0.28789999999999999"/>
    <n v="0.81"/>
    <n v="0"/>
    <n v="3"/>
    <n v="13"/>
    <n v="16"/>
    <x v="0"/>
    <x v="3"/>
  </r>
  <r>
    <n v="160"/>
    <d v="2011-01-07T00:00:00"/>
    <x v="0"/>
    <x v="0"/>
    <n v="22"/>
    <b v="0"/>
    <n v="5"/>
    <x v="1"/>
    <x v="15"/>
    <n v="0"/>
    <n v="0.28789999999999999"/>
    <n v="0.81"/>
    <n v="0"/>
    <n v="3"/>
    <n v="13"/>
    <n v="16"/>
    <x v="0"/>
    <x v="3"/>
  </r>
  <r>
    <n v="161"/>
    <d v="2011-01-07T00:00:00"/>
    <x v="0"/>
    <x v="0"/>
    <n v="23"/>
    <b v="0"/>
    <n v="5"/>
    <x v="1"/>
    <x v="15"/>
    <n v="0"/>
    <n v="0.28789999999999999"/>
    <n v="0.81"/>
    <n v="0"/>
    <n v="3"/>
    <n v="13"/>
    <n v="16"/>
    <x v="0"/>
    <x v="3"/>
  </r>
  <r>
    <n v="162"/>
    <d v="2011-01-08T00:00:00"/>
    <x v="0"/>
    <x v="0"/>
    <n v="0"/>
    <b v="0"/>
    <n v="6"/>
    <x v="1"/>
    <x v="15"/>
    <n v="0"/>
    <n v="0.28789999999999999"/>
    <n v="0.81"/>
    <n v="0"/>
    <n v="3"/>
    <n v="13"/>
    <n v="16"/>
    <x v="0"/>
    <x v="0"/>
  </r>
  <r>
    <n v="163"/>
    <d v="2011-01-08T00:00:00"/>
    <x v="0"/>
    <x v="0"/>
    <n v="1"/>
    <b v="0"/>
    <n v="6"/>
    <x v="1"/>
    <x v="15"/>
    <n v="0"/>
    <n v="0.28789999999999999"/>
    <n v="0.81"/>
    <n v="0"/>
    <n v="3"/>
    <n v="13"/>
    <n v="16"/>
    <x v="0"/>
    <x v="0"/>
  </r>
  <r>
    <n v="164"/>
    <d v="2011-01-08T00:00:00"/>
    <x v="0"/>
    <x v="0"/>
    <n v="2"/>
    <b v="0"/>
    <n v="6"/>
    <x v="1"/>
    <x v="15"/>
    <n v="0"/>
    <n v="0.28789999999999999"/>
    <n v="0.81"/>
    <n v="0"/>
    <n v="3"/>
    <n v="13"/>
    <n v="16"/>
    <x v="0"/>
    <x v="0"/>
  </r>
  <r>
    <n v="165"/>
    <d v="2011-01-08T00:00:00"/>
    <x v="0"/>
    <x v="0"/>
    <n v="3"/>
    <b v="0"/>
    <n v="6"/>
    <x v="2"/>
    <x v="15"/>
    <n v="0"/>
    <n v="0.28789999999999999"/>
    <n v="0.81"/>
    <n v="0"/>
    <n v="3"/>
    <n v="13"/>
    <n v="16"/>
    <x v="0"/>
    <x v="0"/>
  </r>
  <r>
    <n v="166"/>
    <d v="2011-01-08T00:00:00"/>
    <x v="0"/>
    <x v="0"/>
    <n v="4"/>
    <b v="0"/>
    <n v="6"/>
    <x v="2"/>
    <x v="15"/>
    <n v="0"/>
    <n v="0.28789999999999999"/>
    <n v="0.81"/>
    <n v="0"/>
    <n v="3"/>
    <n v="13"/>
    <n v="16"/>
    <x v="0"/>
    <x v="0"/>
  </r>
  <r>
    <n v="167"/>
    <d v="2011-01-08T00:00:00"/>
    <x v="0"/>
    <x v="0"/>
    <n v="5"/>
    <b v="0"/>
    <n v="6"/>
    <x v="1"/>
    <x v="13"/>
    <n v="0"/>
    <n v="0.28789999999999999"/>
    <n v="0.81"/>
    <n v="0"/>
    <n v="3"/>
    <n v="13"/>
    <n v="16"/>
    <x v="0"/>
    <x v="0"/>
  </r>
  <r>
    <n v="168"/>
    <d v="2011-01-08T00:00:00"/>
    <x v="0"/>
    <x v="0"/>
    <n v="6"/>
    <b v="0"/>
    <n v="6"/>
    <x v="1"/>
    <x v="13"/>
    <n v="0"/>
    <n v="0.28789999999999999"/>
    <n v="0.81"/>
    <n v="0"/>
    <n v="3"/>
    <n v="13"/>
    <n v="16"/>
    <x v="0"/>
    <x v="0"/>
  </r>
  <r>
    <n v="169"/>
    <d v="2011-01-08T00:00:00"/>
    <x v="0"/>
    <x v="0"/>
    <n v="7"/>
    <b v="0"/>
    <n v="6"/>
    <x v="1"/>
    <x v="13"/>
    <n v="0"/>
    <n v="0.28789999999999999"/>
    <n v="0.81"/>
    <n v="0"/>
    <n v="3"/>
    <n v="13"/>
    <n v="16"/>
    <x v="0"/>
    <x v="0"/>
  </r>
  <r>
    <n v="170"/>
    <d v="2011-01-08T00:00:00"/>
    <x v="0"/>
    <x v="0"/>
    <n v="8"/>
    <b v="0"/>
    <n v="6"/>
    <x v="2"/>
    <x v="13"/>
    <n v="0"/>
    <n v="0.28789999999999999"/>
    <n v="0.81"/>
    <n v="0"/>
    <n v="3"/>
    <n v="13"/>
    <n v="16"/>
    <x v="0"/>
    <x v="0"/>
  </r>
  <r>
    <n v="171"/>
    <d v="2011-01-08T00:00:00"/>
    <x v="0"/>
    <x v="0"/>
    <n v="9"/>
    <b v="0"/>
    <n v="6"/>
    <x v="2"/>
    <x v="13"/>
    <n v="0"/>
    <n v="0.28789999999999999"/>
    <n v="0.81"/>
    <n v="0"/>
    <n v="3"/>
    <n v="13"/>
    <n v="16"/>
    <x v="0"/>
    <x v="0"/>
  </r>
  <r>
    <n v="172"/>
    <d v="2011-01-08T00:00:00"/>
    <x v="0"/>
    <x v="0"/>
    <n v="10"/>
    <b v="0"/>
    <n v="6"/>
    <x v="1"/>
    <x v="15"/>
    <n v="0"/>
    <n v="0.28789999999999999"/>
    <n v="0.81"/>
    <n v="0"/>
    <n v="3"/>
    <n v="13"/>
    <n v="16"/>
    <x v="0"/>
    <x v="0"/>
  </r>
  <r>
    <n v="173"/>
    <d v="2011-01-08T00:00:00"/>
    <x v="0"/>
    <x v="0"/>
    <n v="11"/>
    <b v="0"/>
    <n v="6"/>
    <x v="1"/>
    <x v="2"/>
    <n v="0"/>
    <n v="0.28789999999999999"/>
    <n v="0.81"/>
    <n v="0"/>
    <n v="3"/>
    <n v="13"/>
    <n v="16"/>
    <x v="0"/>
    <x v="0"/>
  </r>
  <r>
    <n v="174"/>
    <d v="2011-01-08T00:00:00"/>
    <x v="0"/>
    <x v="0"/>
    <n v="12"/>
    <b v="0"/>
    <n v="6"/>
    <x v="1"/>
    <x v="2"/>
    <n v="0"/>
    <n v="0.28789999999999999"/>
    <n v="0.81"/>
    <n v="0"/>
    <n v="3"/>
    <n v="13"/>
    <n v="16"/>
    <x v="0"/>
    <x v="1"/>
  </r>
  <r>
    <n v="175"/>
    <d v="2011-01-08T00:00:00"/>
    <x v="0"/>
    <x v="0"/>
    <n v="13"/>
    <b v="0"/>
    <n v="6"/>
    <x v="0"/>
    <x v="2"/>
    <n v="0"/>
    <n v="0.28789999999999999"/>
    <n v="0.81"/>
    <n v="0"/>
    <n v="3"/>
    <n v="13"/>
    <n v="16"/>
    <x v="0"/>
    <x v="1"/>
  </r>
  <r>
    <n v="176"/>
    <d v="2011-01-08T00:00:00"/>
    <x v="0"/>
    <x v="0"/>
    <n v="14"/>
    <b v="0"/>
    <n v="6"/>
    <x v="0"/>
    <x v="2"/>
    <n v="0"/>
    <n v="0.28789999999999999"/>
    <n v="0.81"/>
    <n v="0"/>
    <n v="3"/>
    <n v="13"/>
    <n v="16"/>
    <x v="0"/>
    <x v="1"/>
  </r>
  <r>
    <n v="177"/>
    <d v="2011-01-08T00:00:00"/>
    <x v="0"/>
    <x v="0"/>
    <n v="15"/>
    <b v="0"/>
    <n v="6"/>
    <x v="0"/>
    <x v="2"/>
    <n v="0"/>
    <n v="0.28789999999999999"/>
    <n v="0.81"/>
    <n v="0"/>
    <n v="3"/>
    <n v="13"/>
    <n v="16"/>
    <x v="0"/>
    <x v="1"/>
  </r>
  <r>
    <n v="178"/>
    <d v="2011-01-08T00:00:00"/>
    <x v="0"/>
    <x v="0"/>
    <n v="16"/>
    <b v="0"/>
    <n v="6"/>
    <x v="0"/>
    <x v="15"/>
    <n v="0"/>
    <n v="0.28789999999999999"/>
    <n v="0.81"/>
    <n v="0"/>
    <n v="3"/>
    <n v="13"/>
    <n v="16"/>
    <x v="0"/>
    <x v="2"/>
  </r>
  <r>
    <n v="179"/>
    <d v="2011-01-08T00:00:00"/>
    <x v="0"/>
    <x v="0"/>
    <n v="17"/>
    <b v="0"/>
    <n v="6"/>
    <x v="0"/>
    <x v="13"/>
    <n v="0"/>
    <n v="0.28789999999999999"/>
    <n v="0.81"/>
    <n v="0"/>
    <n v="3"/>
    <n v="13"/>
    <n v="16"/>
    <x v="0"/>
    <x v="2"/>
  </r>
  <r>
    <n v="180"/>
    <d v="2011-01-08T00:00:00"/>
    <x v="0"/>
    <x v="0"/>
    <n v="18"/>
    <b v="0"/>
    <n v="6"/>
    <x v="0"/>
    <x v="14"/>
    <n v="0"/>
    <n v="0.28789999999999999"/>
    <n v="0.81"/>
    <n v="0"/>
    <n v="3"/>
    <n v="13"/>
    <n v="16"/>
    <x v="0"/>
    <x v="2"/>
  </r>
  <r>
    <n v="181"/>
    <d v="2011-01-08T00:00:00"/>
    <x v="0"/>
    <x v="0"/>
    <n v="19"/>
    <b v="0"/>
    <n v="6"/>
    <x v="0"/>
    <x v="14"/>
    <n v="0"/>
    <n v="0.28789999999999999"/>
    <n v="0.81"/>
    <n v="0"/>
    <n v="3"/>
    <n v="13"/>
    <n v="16"/>
    <x v="0"/>
    <x v="2"/>
  </r>
  <r>
    <n v="182"/>
    <d v="2011-01-08T00:00:00"/>
    <x v="0"/>
    <x v="0"/>
    <n v="20"/>
    <b v="0"/>
    <n v="6"/>
    <x v="0"/>
    <x v="16"/>
    <n v="0"/>
    <n v="0.28789999999999999"/>
    <n v="0.81"/>
    <n v="0"/>
    <n v="3"/>
    <n v="13"/>
    <n v="16"/>
    <x v="0"/>
    <x v="2"/>
  </r>
  <r>
    <n v="183"/>
    <d v="2011-01-08T00:00:00"/>
    <x v="0"/>
    <x v="0"/>
    <n v="21"/>
    <b v="0"/>
    <n v="6"/>
    <x v="0"/>
    <x v="16"/>
    <n v="0"/>
    <n v="0.28789999999999999"/>
    <n v="0.81"/>
    <n v="0"/>
    <n v="3"/>
    <n v="13"/>
    <n v="16"/>
    <x v="0"/>
    <x v="3"/>
  </r>
  <r>
    <n v="184"/>
    <d v="2011-01-08T00:00:00"/>
    <x v="0"/>
    <x v="0"/>
    <n v="22"/>
    <b v="0"/>
    <n v="6"/>
    <x v="0"/>
    <x v="16"/>
    <n v="0"/>
    <n v="0.28789999999999999"/>
    <n v="0.81"/>
    <n v="0"/>
    <n v="3"/>
    <n v="13"/>
    <n v="16"/>
    <x v="0"/>
    <x v="3"/>
  </r>
  <r>
    <n v="185"/>
    <d v="2011-01-08T00:00:00"/>
    <x v="0"/>
    <x v="0"/>
    <n v="23"/>
    <b v="0"/>
    <n v="6"/>
    <x v="0"/>
    <x v="18"/>
    <n v="0"/>
    <n v="0.28789999999999999"/>
    <n v="0.81"/>
    <n v="0"/>
    <n v="3"/>
    <n v="13"/>
    <n v="16"/>
    <x v="0"/>
    <x v="3"/>
  </r>
  <r>
    <n v="186"/>
    <d v="2011-01-09T00:00:00"/>
    <x v="0"/>
    <x v="0"/>
    <n v="0"/>
    <b v="0"/>
    <n v="0"/>
    <x v="0"/>
    <x v="18"/>
    <n v="0"/>
    <n v="0.28789999999999999"/>
    <n v="0.81"/>
    <n v="0"/>
    <n v="3"/>
    <n v="13"/>
    <n v="16"/>
    <x v="1"/>
    <x v="0"/>
  </r>
  <r>
    <n v="187"/>
    <d v="2011-01-09T00:00:00"/>
    <x v="0"/>
    <x v="0"/>
    <n v="1"/>
    <b v="0"/>
    <n v="0"/>
    <x v="0"/>
    <x v="18"/>
    <n v="0"/>
    <n v="0.28789999999999999"/>
    <n v="0.81"/>
    <n v="0"/>
    <n v="3"/>
    <n v="13"/>
    <n v="16"/>
    <x v="1"/>
    <x v="0"/>
  </r>
  <r>
    <n v="188"/>
    <d v="2011-01-09T00:00:00"/>
    <x v="0"/>
    <x v="0"/>
    <n v="2"/>
    <b v="0"/>
    <n v="0"/>
    <x v="0"/>
    <x v="18"/>
    <n v="0"/>
    <n v="0.28789999999999999"/>
    <n v="0.81"/>
    <n v="0"/>
    <n v="3"/>
    <n v="13"/>
    <n v="16"/>
    <x v="1"/>
    <x v="0"/>
  </r>
  <r>
    <n v="189"/>
    <d v="2011-01-09T00:00:00"/>
    <x v="0"/>
    <x v="0"/>
    <n v="3"/>
    <b v="0"/>
    <n v="0"/>
    <x v="0"/>
    <x v="18"/>
    <n v="0"/>
    <n v="0.28789999999999999"/>
    <n v="0.81"/>
    <n v="0"/>
    <n v="3"/>
    <n v="13"/>
    <n v="16"/>
    <x v="1"/>
    <x v="0"/>
  </r>
  <r>
    <n v="190"/>
    <d v="2011-01-09T00:00:00"/>
    <x v="0"/>
    <x v="0"/>
    <n v="4"/>
    <b v="0"/>
    <n v="0"/>
    <x v="0"/>
    <x v="19"/>
    <n v="0"/>
    <n v="0.28789999999999999"/>
    <n v="0.81"/>
    <n v="0"/>
    <n v="3"/>
    <n v="13"/>
    <n v="16"/>
    <x v="1"/>
    <x v="0"/>
  </r>
  <r>
    <n v="191"/>
    <d v="2011-01-09T00:00:00"/>
    <x v="0"/>
    <x v="0"/>
    <n v="5"/>
    <b v="0"/>
    <n v="0"/>
    <x v="0"/>
    <x v="19"/>
    <n v="0"/>
    <n v="0.28789999999999999"/>
    <n v="0.81"/>
    <n v="0"/>
    <n v="3"/>
    <n v="13"/>
    <n v="16"/>
    <x v="1"/>
    <x v="0"/>
  </r>
  <r>
    <n v="192"/>
    <d v="2011-01-09T00:00:00"/>
    <x v="0"/>
    <x v="0"/>
    <n v="6"/>
    <b v="0"/>
    <n v="0"/>
    <x v="0"/>
    <x v="18"/>
    <n v="0"/>
    <n v="0.28789999999999999"/>
    <n v="0.81"/>
    <n v="0"/>
    <n v="3"/>
    <n v="13"/>
    <n v="16"/>
    <x v="1"/>
    <x v="0"/>
  </r>
  <r>
    <n v="193"/>
    <d v="2011-01-09T00:00:00"/>
    <x v="0"/>
    <x v="0"/>
    <n v="7"/>
    <b v="0"/>
    <n v="0"/>
    <x v="0"/>
    <x v="19"/>
    <n v="0"/>
    <n v="0.28789999999999999"/>
    <n v="0.81"/>
    <n v="0"/>
    <n v="3"/>
    <n v="13"/>
    <n v="16"/>
    <x v="1"/>
    <x v="0"/>
  </r>
  <r>
    <n v="194"/>
    <d v="2011-01-09T00:00:00"/>
    <x v="0"/>
    <x v="0"/>
    <n v="8"/>
    <b v="0"/>
    <n v="0"/>
    <x v="0"/>
    <x v="18"/>
    <n v="0"/>
    <n v="0.28789999999999999"/>
    <n v="0.81"/>
    <n v="0"/>
    <n v="3"/>
    <n v="13"/>
    <n v="16"/>
    <x v="1"/>
    <x v="0"/>
  </r>
  <r>
    <n v="195"/>
    <d v="2011-01-09T00:00:00"/>
    <x v="0"/>
    <x v="0"/>
    <n v="9"/>
    <b v="0"/>
    <n v="0"/>
    <x v="0"/>
    <x v="16"/>
    <n v="0"/>
    <n v="0.28789999999999999"/>
    <n v="0.81"/>
    <n v="0"/>
    <n v="3"/>
    <n v="13"/>
    <n v="16"/>
    <x v="1"/>
    <x v="0"/>
  </r>
  <r>
    <n v="196"/>
    <d v="2011-01-09T00:00:00"/>
    <x v="0"/>
    <x v="0"/>
    <n v="10"/>
    <b v="0"/>
    <n v="0"/>
    <x v="0"/>
    <x v="14"/>
    <n v="0"/>
    <n v="0.28789999999999999"/>
    <n v="0.81"/>
    <n v="0"/>
    <n v="3"/>
    <n v="13"/>
    <n v="16"/>
    <x v="1"/>
    <x v="0"/>
  </r>
  <r>
    <n v="197"/>
    <d v="2011-01-09T00:00:00"/>
    <x v="0"/>
    <x v="0"/>
    <n v="11"/>
    <b v="0"/>
    <n v="0"/>
    <x v="0"/>
    <x v="13"/>
    <n v="0"/>
    <n v="0.28789999999999999"/>
    <n v="0.81"/>
    <n v="0"/>
    <n v="3"/>
    <n v="13"/>
    <n v="16"/>
    <x v="1"/>
    <x v="0"/>
  </r>
  <r>
    <n v="198"/>
    <d v="2011-01-09T00:00:00"/>
    <x v="0"/>
    <x v="0"/>
    <n v="12"/>
    <b v="0"/>
    <n v="0"/>
    <x v="0"/>
    <x v="15"/>
    <n v="0"/>
    <n v="0.28789999999999999"/>
    <n v="0.81"/>
    <n v="0"/>
    <n v="3"/>
    <n v="13"/>
    <n v="16"/>
    <x v="1"/>
    <x v="1"/>
  </r>
  <r>
    <n v="199"/>
    <d v="2011-01-09T00:00:00"/>
    <x v="0"/>
    <x v="0"/>
    <n v="13"/>
    <b v="0"/>
    <n v="0"/>
    <x v="0"/>
    <x v="2"/>
    <n v="0"/>
    <n v="0.28789999999999999"/>
    <n v="0.81"/>
    <n v="0"/>
    <n v="3"/>
    <n v="13"/>
    <n v="16"/>
    <x v="1"/>
    <x v="1"/>
  </r>
  <r>
    <n v="200"/>
    <d v="2011-01-09T00:00:00"/>
    <x v="0"/>
    <x v="0"/>
    <n v="14"/>
    <b v="0"/>
    <n v="0"/>
    <x v="0"/>
    <x v="1"/>
    <n v="0"/>
    <n v="0.28789999999999999"/>
    <n v="0.81"/>
    <n v="0"/>
    <n v="3"/>
    <n v="13"/>
    <n v="16"/>
    <x v="1"/>
    <x v="1"/>
  </r>
  <r>
    <n v="201"/>
    <d v="2011-01-09T00:00:00"/>
    <x v="0"/>
    <x v="0"/>
    <n v="15"/>
    <b v="0"/>
    <n v="0"/>
    <x v="0"/>
    <x v="1"/>
    <n v="0"/>
    <n v="0.28789999999999999"/>
    <n v="0.81"/>
    <n v="0"/>
    <n v="3"/>
    <n v="13"/>
    <n v="16"/>
    <x v="1"/>
    <x v="1"/>
  </r>
  <r>
    <n v="202"/>
    <d v="2011-01-09T00:00:00"/>
    <x v="0"/>
    <x v="0"/>
    <n v="16"/>
    <b v="0"/>
    <n v="0"/>
    <x v="0"/>
    <x v="2"/>
    <n v="0"/>
    <n v="0.28789999999999999"/>
    <n v="0.81"/>
    <n v="0"/>
    <n v="3"/>
    <n v="13"/>
    <n v="16"/>
    <x v="1"/>
    <x v="2"/>
  </r>
  <r>
    <n v="203"/>
    <d v="2011-01-09T00:00:00"/>
    <x v="0"/>
    <x v="0"/>
    <n v="17"/>
    <b v="0"/>
    <n v="0"/>
    <x v="0"/>
    <x v="15"/>
    <n v="0"/>
    <n v="0.28789999999999999"/>
    <n v="0.81"/>
    <n v="0"/>
    <n v="3"/>
    <n v="13"/>
    <n v="16"/>
    <x v="1"/>
    <x v="2"/>
  </r>
  <r>
    <n v="204"/>
    <d v="2011-01-09T00:00:00"/>
    <x v="0"/>
    <x v="0"/>
    <n v="18"/>
    <b v="0"/>
    <n v="0"/>
    <x v="0"/>
    <x v="13"/>
    <n v="0"/>
    <n v="0.28789999999999999"/>
    <n v="0.81"/>
    <n v="0"/>
    <n v="3"/>
    <n v="13"/>
    <n v="16"/>
    <x v="1"/>
    <x v="2"/>
  </r>
  <r>
    <n v="205"/>
    <d v="2011-01-09T00:00:00"/>
    <x v="0"/>
    <x v="0"/>
    <n v="19"/>
    <b v="0"/>
    <n v="0"/>
    <x v="0"/>
    <x v="13"/>
    <n v="0"/>
    <n v="0.28789999999999999"/>
    <n v="0.81"/>
    <n v="0"/>
    <n v="3"/>
    <n v="13"/>
    <n v="16"/>
    <x v="1"/>
    <x v="2"/>
  </r>
  <r>
    <n v="206"/>
    <d v="2011-01-09T00:00:00"/>
    <x v="0"/>
    <x v="0"/>
    <n v="20"/>
    <b v="0"/>
    <n v="0"/>
    <x v="0"/>
    <x v="14"/>
    <n v="0"/>
    <n v="0.28789999999999999"/>
    <n v="0.81"/>
    <n v="0"/>
    <n v="3"/>
    <n v="13"/>
    <n v="16"/>
    <x v="1"/>
    <x v="2"/>
  </r>
  <r>
    <n v="207"/>
    <d v="2011-01-09T00:00:00"/>
    <x v="0"/>
    <x v="0"/>
    <n v="21"/>
    <b v="0"/>
    <n v="0"/>
    <x v="0"/>
    <x v="14"/>
    <n v="0"/>
    <n v="0.28789999999999999"/>
    <n v="0.81"/>
    <n v="0"/>
    <n v="3"/>
    <n v="13"/>
    <n v="16"/>
    <x v="1"/>
    <x v="3"/>
  </r>
  <r>
    <n v="208"/>
    <d v="2011-01-09T00:00:00"/>
    <x v="0"/>
    <x v="0"/>
    <n v="22"/>
    <b v="0"/>
    <n v="0"/>
    <x v="0"/>
    <x v="14"/>
    <n v="0"/>
    <n v="0.28789999999999999"/>
    <n v="0.81"/>
    <n v="0"/>
    <n v="3"/>
    <n v="13"/>
    <n v="16"/>
    <x v="1"/>
    <x v="3"/>
  </r>
  <r>
    <n v="209"/>
    <d v="2011-01-09T00:00:00"/>
    <x v="0"/>
    <x v="0"/>
    <n v="23"/>
    <b v="0"/>
    <n v="0"/>
    <x v="0"/>
    <x v="16"/>
    <n v="0"/>
    <n v="0.28789999999999999"/>
    <n v="0.81"/>
    <n v="0"/>
    <n v="3"/>
    <n v="13"/>
    <n v="16"/>
    <x v="1"/>
    <x v="3"/>
  </r>
  <r>
    <n v="210"/>
    <d v="2011-01-10T00:00:00"/>
    <x v="0"/>
    <x v="0"/>
    <n v="0"/>
    <b v="0"/>
    <n v="1"/>
    <x v="0"/>
    <x v="16"/>
    <n v="0"/>
    <n v="0.28789999999999999"/>
    <n v="0.81"/>
    <n v="0"/>
    <n v="3"/>
    <n v="13"/>
    <n v="16"/>
    <x v="1"/>
    <x v="0"/>
  </r>
  <r>
    <n v="211"/>
    <d v="2011-01-10T00:00:00"/>
    <x v="0"/>
    <x v="0"/>
    <n v="1"/>
    <b v="0"/>
    <n v="1"/>
    <x v="0"/>
    <x v="16"/>
    <n v="0"/>
    <n v="0.28789999999999999"/>
    <n v="0.81"/>
    <n v="0"/>
    <n v="3"/>
    <n v="13"/>
    <n v="16"/>
    <x v="1"/>
    <x v="0"/>
  </r>
  <r>
    <n v="212"/>
    <d v="2011-01-10T00:00:00"/>
    <x v="0"/>
    <x v="0"/>
    <n v="2"/>
    <b v="0"/>
    <n v="1"/>
    <x v="0"/>
    <x v="16"/>
    <n v="0"/>
    <n v="0.28789999999999999"/>
    <n v="0.81"/>
    <n v="0"/>
    <n v="3"/>
    <n v="13"/>
    <n v="16"/>
    <x v="1"/>
    <x v="0"/>
  </r>
  <r>
    <n v="213"/>
    <d v="2011-01-10T00:00:00"/>
    <x v="0"/>
    <x v="0"/>
    <n v="3"/>
    <b v="0"/>
    <n v="1"/>
    <x v="0"/>
    <x v="16"/>
    <n v="0"/>
    <n v="0.28789999999999999"/>
    <n v="0.81"/>
    <n v="0"/>
    <n v="3"/>
    <n v="13"/>
    <n v="16"/>
    <x v="1"/>
    <x v="0"/>
  </r>
  <r>
    <n v="214"/>
    <d v="2011-01-10T00:00:00"/>
    <x v="0"/>
    <x v="0"/>
    <n v="4"/>
    <b v="0"/>
    <n v="1"/>
    <x v="0"/>
    <x v="18"/>
    <n v="0"/>
    <n v="0.28789999999999999"/>
    <n v="0.81"/>
    <n v="0"/>
    <n v="3"/>
    <n v="13"/>
    <n v="16"/>
    <x v="1"/>
    <x v="0"/>
  </r>
  <r>
    <n v="215"/>
    <d v="2011-01-10T00:00:00"/>
    <x v="0"/>
    <x v="0"/>
    <n v="5"/>
    <b v="0"/>
    <n v="1"/>
    <x v="0"/>
    <x v="18"/>
    <n v="0"/>
    <n v="0.28789999999999999"/>
    <n v="0.81"/>
    <n v="0"/>
    <n v="3"/>
    <n v="13"/>
    <n v="16"/>
    <x v="1"/>
    <x v="0"/>
  </r>
  <r>
    <n v="216"/>
    <d v="2011-01-10T00:00:00"/>
    <x v="0"/>
    <x v="0"/>
    <n v="6"/>
    <b v="0"/>
    <n v="1"/>
    <x v="0"/>
    <x v="16"/>
    <n v="0"/>
    <n v="0.28789999999999999"/>
    <n v="0.81"/>
    <n v="0"/>
    <n v="3"/>
    <n v="13"/>
    <n v="16"/>
    <x v="1"/>
    <x v="0"/>
  </r>
  <r>
    <n v="217"/>
    <d v="2011-01-10T00:00:00"/>
    <x v="0"/>
    <x v="0"/>
    <n v="7"/>
    <b v="0"/>
    <n v="1"/>
    <x v="0"/>
    <x v="16"/>
    <n v="0"/>
    <n v="0.28789999999999999"/>
    <n v="0.81"/>
    <n v="0"/>
    <n v="3"/>
    <n v="13"/>
    <n v="16"/>
    <x v="1"/>
    <x v="0"/>
  </r>
  <r>
    <n v="218"/>
    <d v="2011-01-10T00:00:00"/>
    <x v="0"/>
    <x v="0"/>
    <n v="8"/>
    <b v="0"/>
    <n v="1"/>
    <x v="1"/>
    <x v="16"/>
    <n v="0"/>
    <n v="0.28789999999999999"/>
    <n v="0.81"/>
    <n v="0"/>
    <n v="3"/>
    <n v="13"/>
    <n v="16"/>
    <x v="1"/>
    <x v="0"/>
  </r>
  <r>
    <n v="219"/>
    <d v="2011-01-10T00:00:00"/>
    <x v="0"/>
    <x v="0"/>
    <n v="9"/>
    <b v="0"/>
    <n v="1"/>
    <x v="1"/>
    <x v="14"/>
    <n v="0"/>
    <n v="0.28789999999999999"/>
    <n v="0.81"/>
    <n v="0"/>
    <n v="3"/>
    <n v="13"/>
    <n v="16"/>
    <x v="1"/>
    <x v="0"/>
  </r>
  <r>
    <n v="220"/>
    <d v="2011-01-10T00:00:00"/>
    <x v="0"/>
    <x v="0"/>
    <n v="10"/>
    <b v="0"/>
    <n v="1"/>
    <x v="1"/>
    <x v="14"/>
    <n v="0"/>
    <n v="0.28789999999999999"/>
    <n v="0.81"/>
    <n v="0"/>
    <n v="3"/>
    <n v="13"/>
    <n v="16"/>
    <x v="1"/>
    <x v="0"/>
  </r>
  <r>
    <n v="221"/>
    <d v="2011-01-10T00:00:00"/>
    <x v="0"/>
    <x v="0"/>
    <n v="11"/>
    <b v="0"/>
    <n v="1"/>
    <x v="1"/>
    <x v="13"/>
    <n v="0"/>
    <n v="0.28789999999999999"/>
    <n v="0.81"/>
    <n v="0"/>
    <n v="3"/>
    <n v="13"/>
    <n v="16"/>
    <x v="1"/>
    <x v="0"/>
  </r>
  <r>
    <n v="222"/>
    <d v="2011-01-10T00:00:00"/>
    <x v="0"/>
    <x v="0"/>
    <n v="12"/>
    <b v="0"/>
    <n v="1"/>
    <x v="1"/>
    <x v="2"/>
    <n v="0"/>
    <n v="0.28789999999999999"/>
    <n v="0.81"/>
    <n v="0"/>
    <n v="3"/>
    <n v="13"/>
    <n v="16"/>
    <x v="1"/>
    <x v="1"/>
  </r>
  <r>
    <n v="223"/>
    <d v="2011-01-10T00:00:00"/>
    <x v="0"/>
    <x v="0"/>
    <n v="13"/>
    <b v="0"/>
    <n v="1"/>
    <x v="1"/>
    <x v="2"/>
    <n v="0"/>
    <n v="0.28789999999999999"/>
    <n v="0.81"/>
    <n v="0"/>
    <n v="3"/>
    <n v="13"/>
    <n v="16"/>
    <x v="1"/>
    <x v="1"/>
  </r>
  <r>
    <n v="224"/>
    <d v="2011-01-10T00:00:00"/>
    <x v="0"/>
    <x v="0"/>
    <n v="14"/>
    <b v="0"/>
    <n v="1"/>
    <x v="1"/>
    <x v="2"/>
    <n v="0"/>
    <n v="0.28789999999999999"/>
    <n v="0.81"/>
    <n v="0"/>
    <n v="3"/>
    <n v="13"/>
    <n v="16"/>
    <x v="1"/>
    <x v="1"/>
  </r>
  <r>
    <n v="225"/>
    <d v="2011-01-10T00:00:00"/>
    <x v="0"/>
    <x v="0"/>
    <n v="15"/>
    <b v="0"/>
    <n v="1"/>
    <x v="1"/>
    <x v="2"/>
    <n v="0"/>
    <n v="0.28789999999999999"/>
    <n v="0.81"/>
    <n v="0"/>
    <n v="3"/>
    <n v="13"/>
    <n v="16"/>
    <x v="1"/>
    <x v="1"/>
  </r>
  <r>
    <n v="226"/>
    <d v="2011-01-10T00:00:00"/>
    <x v="0"/>
    <x v="0"/>
    <n v="16"/>
    <b v="0"/>
    <n v="1"/>
    <x v="0"/>
    <x v="2"/>
    <n v="0"/>
    <n v="0.28789999999999999"/>
    <n v="0.81"/>
    <n v="0"/>
    <n v="3"/>
    <n v="13"/>
    <n v="16"/>
    <x v="1"/>
    <x v="2"/>
  </r>
  <r>
    <n v="227"/>
    <d v="2011-01-10T00:00:00"/>
    <x v="0"/>
    <x v="0"/>
    <n v="17"/>
    <b v="0"/>
    <n v="1"/>
    <x v="0"/>
    <x v="2"/>
    <n v="0"/>
    <n v="0.28789999999999999"/>
    <n v="0.81"/>
    <n v="0"/>
    <n v="3"/>
    <n v="13"/>
    <n v="16"/>
    <x v="1"/>
    <x v="2"/>
  </r>
  <r>
    <n v="228"/>
    <d v="2011-01-10T00:00:00"/>
    <x v="0"/>
    <x v="0"/>
    <n v="18"/>
    <b v="0"/>
    <n v="1"/>
    <x v="0"/>
    <x v="2"/>
    <n v="0"/>
    <n v="0.28789999999999999"/>
    <n v="0.81"/>
    <n v="0"/>
    <n v="3"/>
    <n v="13"/>
    <n v="16"/>
    <x v="1"/>
    <x v="2"/>
  </r>
  <r>
    <n v="229"/>
    <d v="2011-01-10T00:00:00"/>
    <x v="0"/>
    <x v="0"/>
    <n v="19"/>
    <b v="0"/>
    <n v="1"/>
    <x v="0"/>
    <x v="13"/>
    <n v="0"/>
    <n v="0.28789999999999999"/>
    <n v="0.81"/>
    <n v="0"/>
    <n v="3"/>
    <n v="13"/>
    <n v="16"/>
    <x v="1"/>
    <x v="2"/>
  </r>
  <r>
    <n v="230"/>
    <d v="2011-01-10T00:00:00"/>
    <x v="0"/>
    <x v="0"/>
    <n v="20"/>
    <b v="0"/>
    <n v="1"/>
    <x v="0"/>
    <x v="13"/>
    <n v="0"/>
    <n v="0.28789999999999999"/>
    <n v="0.81"/>
    <n v="0"/>
    <n v="3"/>
    <n v="13"/>
    <n v="16"/>
    <x v="1"/>
    <x v="2"/>
  </r>
  <r>
    <n v="231"/>
    <d v="2011-01-10T00:00:00"/>
    <x v="0"/>
    <x v="0"/>
    <n v="21"/>
    <b v="0"/>
    <n v="1"/>
    <x v="0"/>
    <x v="14"/>
    <n v="0"/>
    <n v="0.28789999999999999"/>
    <n v="0.81"/>
    <n v="0"/>
    <n v="3"/>
    <n v="13"/>
    <n v="16"/>
    <x v="1"/>
    <x v="3"/>
  </r>
  <r>
    <n v="232"/>
    <d v="2011-01-10T00:00:00"/>
    <x v="0"/>
    <x v="0"/>
    <n v="22"/>
    <b v="0"/>
    <n v="1"/>
    <x v="0"/>
    <x v="14"/>
    <n v="0"/>
    <n v="0.28789999999999999"/>
    <n v="0.81"/>
    <n v="0"/>
    <n v="3"/>
    <n v="13"/>
    <n v="16"/>
    <x v="1"/>
    <x v="3"/>
  </r>
  <r>
    <n v="233"/>
    <d v="2011-01-10T00:00:00"/>
    <x v="0"/>
    <x v="0"/>
    <n v="23"/>
    <b v="0"/>
    <n v="1"/>
    <x v="0"/>
    <x v="14"/>
    <n v="0"/>
    <n v="0.28789999999999999"/>
    <n v="0.81"/>
    <n v="0"/>
    <n v="3"/>
    <n v="13"/>
    <n v="16"/>
    <x v="1"/>
    <x v="3"/>
  </r>
  <r>
    <n v="234"/>
    <d v="2011-01-11T00:00:00"/>
    <x v="0"/>
    <x v="0"/>
    <n v="0"/>
    <b v="0"/>
    <n v="2"/>
    <x v="0"/>
    <x v="14"/>
    <n v="0"/>
    <n v="0.28789999999999999"/>
    <n v="0.81"/>
    <n v="0"/>
    <n v="3"/>
    <n v="13"/>
    <n v="16"/>
    <x v="1"/>
    <x v="0"/>
  </r>
  <r>
    <n v="235"/>
    <d v="2011-01-11T00:00:00"/>
    <x v="0"/>
    <x v="0"/>
    <n v="1"/>
    <b v="0"/>
    <n v="2"/>
    <x v="0"/>
    <x v="14"/>
    <n v="0"/>
    <n v="0.28789999999999999"/>
    <n v="0.81"/>
    <n v="0"/>
    <n v="3"/>
    <n v="13"/>
    <n v="16"/>
    <x v="1"/>
    <x v="0"/>
  </r>
  <r>
    <n v="236"/>
    <d v="2011-01-11T00:00:00"/>
    <x v="0"/>
    <x v="0"/>
    <n v="2"/>
    <b v="0"/>
    <n v="2"/>
    <x v="1"/>
    <x v="13"/>
    <n v="0"/>
    <n v="0.28789999999999999"/>
    <n v="0.81"/>
    <n v="0"/>
    <n v="3"/>
    <n v="13"/>
    <n v="16"/>
    <x v="1"/>
    <x v="0"/>
  </r>
  <r>
    <n v="237"/>
    <d v="2011-01-11T00:00:00"/>
    <x v="0"/>
    <x v="0"/>
    <n v="5"/>
    <b v="0"/>
    <n v="2"/>
    <x v="1"/>
    <x v="13"/>
    <n v="0"/>
    <n v="0.28789999999999999"/>
    <n v="0.81"/>
    <n v="0"/>
    <n v="3"/>
    <n v="13"/>
    <n v="16"/>
    <x v="1"/>
    <x v="0"/>
  </r>
  <r>
    <n v="238"/>
    <d v="2011-01-11T00:00:00"/>
    <x v="0"/>
    <x v="0"/>
    <n v="6"/>
    <b v="0"/>
    <n v="2"/>
    <x v="1"/>
    <x v="13"/>
    <n v="0"/>
    <n v="0.28789999999999999"/>
    <n v="0.81"/>
    <n v="0"/>
    <n v="3"/>
    <n v="13"/>
    <n v="16"/>
    <x v="1"/>
    <x v="0"/>
  </r>
  <r>
    <n v="239"/>
    <d v="2011-01-11T00:00:00"/>
    <x v="0"/>
    <x v="0"/>
    <n v="7"/>
    <b v="0"/>
    <n v="2"/>
    <x v="1"/>
    <x v="13"/>
    <n v="0"/>
    <n v="0.28789999999999999"/>
    <n v="0.81"/>
    <n v="0"/>
    <n v="3"/>
    <n v="13"/>
    <n v="16"/>
    <x v="1"/>
    <x v="0"/>
  </r>
  <r>
    <n v="240"/>
    <d v="2011-01-11T00:00:00"/>
    <x v="0"/>
    <x v="0"/>
    <n v="8"/>
    <b v="0"/>
    <n v="2"/>
    <x v="1"/>
    <x v="15"/>
    <n v="0"/>
    <n v="0.28789999999999999"/>
    <n v="0.81"/>
    <n v="0"/>
    <n v="3"/>
    <n v="13"/>
    <n v="16"/>
    <x v="1"/>
    <x v="0"/>
  </r>
  <r>
    <n v="241"/>
    <d v="2011-01-11T00:00:00"/>
    <x v="0"/>
    <x v="0"/>
    <n v="9"/>
    <b v="0"/>
    <n v="2"/>
    <x v="1"/>
    <x v="15"/>
    <n v="0"/>
    <n v="0.28789999999999999"/>
    <n v="0.81"/>
    <n v="0"/>
    <n v="3"/>
    <n v="13"/>
    <n v="16"/>
    <x v="1"/>
    <x v="0"/>
  </r>
  <r>
    <n v="242"/>
    <d v="2011-01-11T00:00:00"/>
    <x v="0"/>
    <x v="0"/>
    <n v="10"/>
    <b v="0"/>
    <n v="2"/>
    <x v="1"/>
    <x v="2"/>
    <n v="0"/>
    <n v="0.28789999999999999"/>
    <n v="0.81"/>
    <n v="0"/>
    <n v="3"/>
    <n v="13"/>
    <n v="16"/>
    <x v="1"/>
    <x v="0"/>
  </r>
  <r>
    <n v="243"/>
    <d v="2011-01-11T00:00:00"/>
    <x v="0"/>
    <x v="0"/>
    <n v="11"/>
    <b v="0"/>
    <n v="2"/>
    <x v="1"/>
    <x v="2"/>
    <n v="0"/>
    <n v="0.28789999999999999"/>
    <n v="0.81"/>
    <n v="0"/>
    <n v="3"/>
    <n v="13"/>
    <n v="16"/>
    <x v="1"/>
    <x v="0"/>
  </r>
  <r>
    <n v="244"/>
    <d v="2011-01-11T00:00:00"/>
    <x v="0"/>
    <x v="0"/>
    <n v="12"/>
    <b v="0"/>
    <n v="2"/>
    <x v="1"/>
    <x v="2"/>
    <n v="0"/>
    <n v="0.28789999999999999"/>
    <n v="0.81"/>
    <n v="0"/>
    <n v="3"/>
    <n v="13"/>
    <n v="16"/>
    <x v="1"/>
    <x v="1"/>
  </r>
  <r>
    <n v="245"/>
    <d v="2011-01-11T00:00:00"/>
    <x v="0"/>
    <x v="0"/>
    <n v="13"/>
    <b v="0"/>
    <n v="2"/>
    <x v="1"/>
    <x v="2"/>
    <n v="0"/>
    <n v="0.28789999999999999"/>
    <n v="0.81"/>
    <n v="0"/>
    <n v="3"/>
    <n v="13"/>
    <n v="16"/>
    <x v="1"/>
    <x v="1"/>
  </r>
  <r>
    <n v="246"/>
    <d v="2011-01-11T00:00:00"/>
    <x v="0"/>
    <x v="0"/>
    <n v="14"/>
    <b v="0"/>
    <n v="2"/>
    <x v="1"/>
    <x v="2"/>
    <n v="0"/>
    <n v="0.28789999999999999"/>
    <n v="0.81"/>
    <n v="0"/>
    <n v="3"/>
    <n v="13"/>
    <n v="16"/>
    <x v="1"/>
    <x v="1"/>
  </r>
  <r>
    <n v="247"/>
    <d v="2011-01-11T00:00:00"/>
    <x v="0"/>
    <x v="0"/>
    <n v="15"/>
    <b v="0"/>
    <n v="2"/>
    <x v="1"/>
    <x v="13"/>
    <n v="0"/>
    <n v="0.28789999999999999"/>
    <n v="0.81"/>
    <n v="0"/>
    <n v="3"/>
    <n v="13"/>
    <n v="16"/>
    <x v="1"/>
    <x v="1"/>
  </r>
  <r>
    <n v="248"/>
    <d v="2011-01-11T00:00:00"/>
    <x v="0"/>
    <x v="0"/>
    <n v="16"/>
    <b v="0"/>
    <n v="2"/>
    <x v="1"/>
    <x v="13"/>
    <n v="0"/>
    <n v="0.28789999999999999"/>
    <n v="0.81"/>
    <n v="0"/>
    <n v="3"/>
    <n v="13"/>
    <n v="16"/>
    <x v="1"/>
    <x v="2"/>
  </r>
  <r>
    <n v="249"/>
    <d v="2011-01-11T00:00:00"/>
    <x v="0"/>
    <x v="0"/>
    <n v="17"/>
    <b v="0"/>
    <n v="2"/>
    <x v="1"/>
    <x v="13"/>
    <n v="0"/>
    <n v="0.28789999999999999"/>
    <n v="0.81"/>
    <n v="0"/>
    <n v="3"/>
    <n v="13"/>
    <n v="16"/>
    <x v="1"/>
    <x v="2"/>
  </r>
  <r>
    <n v="250"/>
    <d v="2011-01-11T00:00:00"/>
    <x v="0"/>
    <x v="0"/>
    <n v="18"/>
    <b v="0"/>
    <n v="2"/>
    <x v="2"/>
    <x v="13"/>
    <n v="0"/>
    <n v="0.28789999999999999"/>
    <n v="0.81"/>
    <n v="0"/>
    <n v="3"/>
    <n v="13"/>
    <n v="16"/>
    <x v="1"/>
    <x v="2"/>
  </r>
  <r>
    <n v="251"/>
    <d v="2011-01-11T00:00:00"/>
    <x v="0"/>
    <x v="0"/>
    <n v="19"/>
    <b v="0"/>
    <n v="2"/>
    <x v="2"/>
    <x v="13"/>
    <n v="0"/>
    <n v="0.28789999999999999"/>
    <n v="0.81"/>
    <n v="0"/>
    <n v="3"/>
    <n v="13"/>
    <n v="16"/>
    <x v="1"/>
    <x v="2"/>
  </r>
  <r>
    <n v="252"/>
    <d v="2011-01-11T00:00:00"/>
    <x v="0"/>
    <x v="0"/>
    <n v="20"/>
    <b v="0"/>
    <n v="2"/>
    <x v="2"/>
    <x v="13"/>
    <n v="0"/>
    <n v="0.28789999999999999"/>
    <n v="0.81"/>
    <n v="0"/>
    <n v="3"/>
    <n v="13"/>
    <n v="16"/>
    <x v="1"/>
    <x v="2"/>
  </r>
  <r>
    <n v="253"/>
    <d v="2011-01-11T00:00:00"/>
    <x v="0"/>
    <x v="0"/>
    <n v="21"/>
    <b v="0"/>
    <n v="2"/>
    <x v="2"/>
    <x v="13"/>
    <n v="0"/>
    <n v="0.28789999999999999"/>
    <n v="0.81"/>
    <n v="0"/>
    <n v="3"/>
    <n v="13"/>
    <n v="16"/>
    <x v="1"/>
    <x v="3"/>
  </r>
  <r>
    <n v="254"/>
    <d v="2011-01-11T00:00:00"/>
    <x v="0"/>
    <x v="0"/>
    <n v="22"/>
    <b v="0"/>
    <n v="2"/>
    <x v="2"/>
    <x v="13"/>
    <n v="0"/>
    <n v="0.28789999999999999"/>
    <n v="0.81"/>
    <n v="0"/>
    <n v="3"/>
    <n v="13"/>
    <n v="16"/>
    <x v="1"/>
    <x v="3"/>
  </r>
  <r>
    <n v="255"/>
    <d v="2011-01-11T00:00:00"/>
    <x v="0"/>
    <x v="0"/>
    <n v="23"/>
    <b v="0"/>
    <n v="2"/>
    <x v="2"/>
    <x v="13"/>
    <n v="0"/>
    <n v="0.28789999999999999"/>
    <n v="0.81"/>
    <n v="0"/>
    <n v="3"/>
    <n v="13"/>
    <n v="16"/>
    <x v="1"/>
    <x v="3"/>
  </r>
  <r>
    <n v="256"/>
    <d v="2011-01-12T00:00:00"/>
    <x v="0"/>
    <x v="0"/>
    <n v="0"/>
    <b v="0"/>
    <n v="3"/>
    <x v="1"/>
    <x v="13"/>
    <n v="0"/>
    <n v="0.28789999999999999"/>
    <n v="0.81"/>
    <n v="0"/>
    <n v="3"/>
    <n v="13"/>
    <n v="16"/>
    <x v="1"/>
    <x v="0"/>
  </r>
  <r>
    <n v="257"/>
    <d v="2011-01-12T00:00:00"/>
    <x v="0"/>
    <x v="0"/>
    <n v="1"/>
    <b v="0"/>
    <n v="3"/>
    <x v="1"/>
    <x v="13"/>
    <n v="0"/>
    <n v="0.28789999999999999"/>
    <n v="0.81"/>
    <n v="0"/>
    <n v="3"/>
    <n v="13"/>
    <n v="16"/>
    <x v="1"/>
    <x v="0"/>
  </r>
  <r>
    <n v="258"/>
    <d v="2011-01-12T00:00:00"/>
    <x v="0"/>
    <x v="0"/>
    <n v="2"/>
    <b v="0"/>
    <n v="3"/>
    <x v="0"/>
    <x v="14"/>
    <n v="0"/>
    <n v="0.28789999999999999"/>
    <n v="0.81"/>
    <n v="0"/>
    <n v="3"/>
    <n v="13"/>
    <n v="16"/>
    <x v="1"/>
    <x v="0"/>
  </r>
  <r>
    <n v="259"/>
    <d v="2011-01-12T00:00:00"/>
    <x v="0"/>
    <x v="0"/>
    <n v="5"/>
    <b v="0"/>
    <n v="3"/>
    <x v="0"/>
    <x v="14"/>
    <n v="0"/>
    <n v="0.28789999999999999"/>
    <n v="0.81"/>
    <n v="0"/>
    <n v="3"/>
    <n v="13"/>
    <n v="16"/>
    <x v="1"/>
    <x v="0"/>
  </r>
  <r>
    <n v="260"/>
    <d v="2011-01-12T00:00:00"/>
    <x v="0"/>
    <x v="0"/>
    <n v="6"/>
    <b v="0"/>
    <n v="3"/>
    <x v="0"/>
    <x v="16"/>
    <n v="0"/>
    <n v="0.28789999999999999"/>
    <n v="0.81"/>
    <n v="0"/>
    <n v="3"/>
    <n v="13"/>
    <n v="16"/>
    <x v="1"/>
    <x v="0"/>
  </r>
  <r>
    <n v="261"/>
    <d v="2011-01-12T00:00:00"/>
    <x v="0"/>
    <x v="0"/>
    <n v="7"/>
    <b v="0"/>
    <n v="3"/>
    <x v="0"/>
    <x v="14"/>
    <n v="0"/>
    <n v="0.28789999999999999"/>
    <n v="0.81"/>
    <n v="0"/>
    <n v="3"/>
    <n v="13"/>
    <n v="16"/>
    <x v="1"/>
    <x v="0"/>
  </r>
  <r>
    <n v="262"/>
    <d v="2011-01-12T00:00:00"/>
    <x v="0"/>
    <x v="0"/>
    <n v="8"/>
    <b v="0"/>
    <n v="3"/>
    <x v="0"/>
    <x v="13"/>
    <n v="0"/>
    <n v="0.28789999999999999"/>
    <n v="0.81"/>
    <n v="0"/>
    <n v="3"/>
    <n v="13"/>
    <n v="16"/>
    <x v="1"/>
    <x v="0"/>
  </r>
  <r>
    <n v="263"/>
    <d v="2011-01-12T00:00:00"/>
    <x v="0"/>
    <x v="0"/>
    <n v="9"/>
    <b v="0"/>
    <n v="3"/>
    <x v="0"/>
    <x v="13"/>
    <n v="0"/>
    <n v="0.28789999999999999"/>
    <n v="0.81"/>
    <n v="0"/>
    <n v="3"/>
    <n v="13"/>
    <n v="16"/>
    <x v="1"/>
    <x v="0"/>
  </r>
  <r>
    <n v="264"/>
    <d v="2011-01-12T00:00:00"/>
    <x v="0"/>
    <x v="0"/>
    <n v="10"/>
    <b v="0"/>
    <n v="3"/>
    <x v="0"/>
    <x v="15"/>
    <n v="0"/>
    <n v="0.28789999999999999"/>
    <n v="0.81"/>
    <n v="0"/>
    <n v="3"/>
    <n v="13"/>
    <n v="16"/>
    <x v="1"/>
    <x v="0"/>
  </r>
  <r>
    <n v="265"/>
    <d v="2011-01-12T00:00:00"/>
    <x v="0"/>
    <x v="0"/>
    <n v="11"/>
    <b v="0"/>
    <n v="3"/>
    <x v="0"/>
    <x v="2"/>
    <n v="0"/>
    <n v="0.28789999999999999"/>
    <n v="0.81"/>
    <n v="0"/>
    <n v="3"/>
    <n v="13"/>
    <n v="16"/>
    <x v="1"/>
    <x v="0"/>
  </r>
  <r>
    <n v="266"/>
    <d v="2011-01-12T00:00:00"/>
    <x v="0"/>
    <x v="0"/>
    <n v="12"/>
    <b v="0"/>
    <n v="3"/>
    <x v="0"/>
    <x v="2"/>
    <n v="0"/>
    <n v="0.28789999999999999"/>
    <n v="0.81"/>
    <n v="0"/>
    <n v="3"/>
    <n v="13"/>
    <n v="16"/>
    <x v="1"/>
    <x v="1"/>
  </r>
  <r>
    <n v="267"/>
    <d v="2011-01-12T00:00:00"/>
    <x v="0"/>
    <x v="0"/>
    <n v="13"/>
    <b v="0"/>
    <n v="3"/>
    <x v="0"/>
    <x v="1"/>
    <n v="0"/>
    <n v="0.28789999999999999"/>
    <n v="0.81"/>
    <n v="0"/>
    <n v="3"/>
    <n v="13"/>
    <n v="16"/>
    <x v="1"/>
    <x v="1"/>
  </r>
  <r>
    <n v="268"/>
    <d v="2011-01-12T00:00:00"/>
    <x v="0"/>
    <x v="0"/>
    <n v="14"/>
    <b v="0"/>
    <n v="3"/>
    <x v="0"/>
    <x v="2"/>
    <n v="0"/>
    <n v="0.28789999999999999"/>
    <n v="0.81"/>
    <n v="0"/>
    <n v="3"/>
    <n v="13"/>
    <n v="16"/>
    <x v="1"/>
    <x v="1"/>
  </r>
  <r>
    <n v="269"/>
    <d v="2011-01-12T00:00:00"/>
    <x v="0"/>
    <x v="0"/>
    <n v="15"/>
    <b v="0"/>
    <n v="3"/>
    <x v="0"/>
    <x v="2"/>
    <n v="0"/>
    <n v="0.28789999999999999"/>
    <n v="0.81"/>
    <n v="0"/>
    <n v="3"/>
    <n v="13"/>
    <n v="16"/>
    <x v="1"/>
    <x v="1"/>
  </r>
  <r>
    <n v="270"/>
    <d v="2011-01-12T00:00:00"/>
    <x v="0"/>
    <x v="0"/>
    <n v="16"/>
    <b v="0"/>
    <n v="3"/>
    <x v="0"/>
    <x v="1"/>
    <n v="0"/>
    <n v="0.28789999999999999"/>
    <n v="0.81"/>
    <n v="0"/>
    <n v="3"/>
    <n v="13"/>
    <n v="16"/>
    <x v="1"/>
    <x v="2"/>
  </r>
  <r>
    <n v="271"/>
    <d v="2011-01-12T00:00:00"/>
    <x v="0"/>
    <x v="0"/>
    <n v="17"/>
    <b v="0"/>
    <n v="3"/>
    <x v="0"/>
    <x v="2"/>
    <n v="0"/>
    <n v="0.28789999999999999"/>
    <n v="0.81"/>
    <n v="0"/>
    <n v="3"/>
    <n v="13"/>
    <n v="16"/>
    <x v="1"/>
    <x v="2"/>
  </r>
  <r>
    <n v="272"/>
    <d v="2011-01-12T00:00:00"/>
    <x v="0"/>
    <x v="0"/>
    <n v="18"/>
    <b v="0"/>
    <n v="3"/>
    <x v="0"/>
    <x v="2"/>
    <n v="0"/>
    <n v="0.28789999999999999"/>
    <n v="0.81"/>
    <n v="0"/>
    <n v="3"/>
    <n v="13"/>
    <n v="16"/>
    <x v="1"/>
    <x v="2"/>
  </r>
  <r>
    <n v="273"/>
    <d v="2011-01-12T00:00:00"/>
    <x v="0"/>
    <x v="0"/>
    <n v="19"/>
    <b v="0"/>
    <n v="3"/>
    <x v="0"/>
    <x v="15"/>
    <n v="0"/>
    <n v="0.28789999999999999"/>
    <n v="0.81"/>
    <n v="0"/>
    <n v="3"/>
    <n v="13"/>
    <n v="16"/>
    <x v="1"/>
    <x v="2"/>
  </r>
  <r>
    <n v="274"/>
    <d v="2011-01-12T00:00:00"/>
    <x v="0"/>
    <x v="0"/>
    <n v="20"/>
    <b v="0"/>
    <n v="3"/>
    <x v="0"/>
    <x v="13"/>
    <n v="0"/>
    <n v="0.28789999999999999"/>
    <n v="0.81"/>
    <n v="0"/>
    <n v="3"/>
    <n v="13"/>
    <n v="16"/>
    <x v="1"/>
    <x v="2"/>
  </r>
  <r>
    <n v="275"/>
    <d v="2011-01-12T00:00:00"/>
    <x v="0"/>
    <x v="0"/>
    <n v="21"/>
    <b v="0"/>
    <n v="3"/>
    <x v="0"/>
    <x v="13"/>
    <n v="0"/>
    <n v="0.28789999999999999"/>
    <n v="0.81"/>
    <n v="0"/>
    <n v="3"/>
    <n v="13"/>
    <n v="16"/>
    <x v="1"/>
    <x v="3"/>
  </r>
  <r>
    <n v="276"/>
    <d v="2011-01-12T00:00:00"/>
    <x v="0"/>
    <x v="0"/>
    <n v="22"/>
    <b v="0"/>
    <n v="3"/>
    <x v="0"/>
    <x v="13"/>
    <n v="0"/>
    <n v="0.28789999999999999"/>
    <n v="0.81"/>
    <n v="0"/>
    <n v="3"/>
    <n v="13"/>
    <n v="16"/>
    <x v="1"/>
    <x v="3"/>
  </r>
  <r>
    <n v="277"/>
    <d v="2011-01-12T00:00:00"/>
    <x v="0"/>
    <x v="0"/>
    <n v="23"/>
    <b v="0"/>
    <n v="3"/>
    <x v="0"/>
    <x v="14"/>
    <n v="0"/>
    <n v="0.28789999999999999"/>
    <n v="0.81"/>
    <n v="0"/>
    <n v="3"/>
    <n v="13"/>
    <n v="16"/>
    <x v="1"/>
    <x v="3"/>
  </r>
  <r>
    <n v="278"/>
    <d v="2011-01-13T00:00:00"/>
    <x v="0"/>
    <x v="0"/>
    <n v="0"/>
    <b v="0"/>
    <n v="4"/>
    <x v="0"/>
    <x v="14"/>
    <n v="0"/>
    <n v="0.28789999999999999"/>
    <n v="0.81"/>
    <n v="0"/>
    <n v="3"/>
    <n v="13"/>
    <n v="16"/>
    <x v="1"/>
    <x v="0"/>
  </r>
  <r>
    <n v="279"/>
    <d v="2011-01-13T00:00:00"/>
    <x v="0"/>
    <x v="0"/>
    <n v="1"/>
    <b v="0"/>
    <n v="4"/>
    <x v="0"/>
    <x v="14"/>
    <n v="0"/>
    <n v="0.28789999999999999"/>
    <n v="0.81"/>
    <n v="0"/>
    <n v="3"/>
    <n v="13"/>
    <n v="16"/>
    <x v="1"/>
    <x v="0"/>
  </r>
  <r>
    <n v="280"/>
    <d v="2011-01-13T00:00:00"/>
    <x v="0"/>
    <x v="0"/>
    <n v="2"/>
    <b v="0"/>
    <n v="4"/>
    <x v="0"/>
    <x v="14"/>
    <n v="0"/>
    <n v="0.28789999999999999"/>
    <n v="0.81"/>
    <n v="0"/>
    <n v="3"/>
    <n v="13"/>
    <n v="16"/>
    <x v="1"/>
    <x v="0"/>
  </r>
  <r>
    <n v="281"/>
    <d v="2011-01-13T00:00:00"/>
    <x v="0"/>
    <x v="0"/>
    <n v="3"/>
    <b v="0"/>
    <n v="4"/>
    <x v="0"/>
    <x v="14"/>
    <n v="0"/>
    <n v="0.28789999999999999"/>
    <n v="0.81"/>
    <n v="0"/>
    <n v="3"/>
    <n v="13"/>
    <n v="16"/>
    <x v="1"/>
    <x v="0"/>
  </r>
  <r>
    <n v="282"/>
    <d v="2011-01-13T00:00:00"/>
    <x v="0"/>
    <x v="0"/>
    <n v="4"/>
    <b v="0"/>
    <n v="4"/>
    <x v="0"/>
    <x v="14"/>
    <n v="0"/>
    <n v="0.28789999999999999"/>
    <n v="0.81"/>
    <n v="0"/>
    <n v="3"/>
    <n v="13"/>
    <n v="16"/>
    <x v="1"/>
    <x v="0"/>
  </r>
  <r>
    <n v="283"/>
    <d v="2011-01-13T00:00:00"/>
    <x v="0"/>
    <x v="0"/>
    <n v="5"/>
    <b v="0"/>
    <n v="4"/>
    <x v="0"/>
    <x v="14"/>
    <n v="0"/>
    <n v="0.28789999999999999"/>
    <n v="0.81"/>
    <n v="0"/>
    <n v="3"/>
    <n v="13"/>
    <n v="16"/>
    <x v="1"/>
    <x v="0"/>
  </r>
  <r>
    <n v="284"/>
    <d v="2011-01-13T00:00:00"/>
    <x v="0"/>
    <x v="0"/>
    <n v="6"/>
    <b v="0"/>
    <n v="4"/>
    <x v="0"/>
    <x v="16"/>
    <n v="0"/>
    <n v="0.28789999999999999"/>
    <n v="0.81"/>
    <n v="0"/>
    <n v="3"/>
    <n v="13"/>
    <n v="16"/>
    <x v="1"/>
    <x v="0"/>
  </r>
  <r>
    <n v="285"/>
    <d v="2011-01-13T00:00:00"/>
    <x v="0"/>
    <x v="0"/>
    <n v="7"/>
    <b v="0"/>
    <n v="4"/>
    <x v="0"/>
    <x v="16"/>
    <n v="0"/>
    <n v="0.28789999999999999"/>
    <n v="0.81"/>
    <n v="0"/>
    <n v="3"/>
    <n v="13"/>
    <n v="16"/>
    <x v="1"/>
    <x v="0"/>
  </r>
  <r>
    <n v="286"/>
    <d v="2011-01-13T00:00:00"/>
    <x v="0"/>
    <x v="0"/>
    <n v="8"/>
    <b v="0"/>
    <n v="4"/>
    <x v="0"/>
    <x v="14"/>
    <n v="0"/>
    <n v="0.28789999999999999"/>
    <n v="0.81"/>
    <n v="0"/>
    <n v="3"/>
    <n v="13"/>
    <n v="16"/>
    <x v="1"/>
    <x v="0"/>
  </r>
  <r>
    <n v="287"/>
    <d v="2011-01-13T00:00:00"/>
    <x v="0"/>
    <x v="0"/>
    <n v="9"/>
    <b v="0"/>
    <n v="4"/>
    <x v="0"/>
    <x v="14"/>
    <n v="0"/>
    <n v="0.28789999999999999"/>
    <n v="0.81"/>
    <n v="0"/>
    <n v="3"/>
    <n v="13"/>
    <n v="16"/>
    <x v="1"/>
    <x v="0"/>
  </r>
  <r>
    <n v="288"/>
    <d v="2011-01-13T00:00:00"/>
    <x v="0"/>
    <x v="0"/>
    <n v="10"/>
    <b v="0"/>
    <n v="4"/>
    <x v="1"/>
    <x v="13"/>
    <n v="0"/>
    <n v="0.28789999999999999"/>
    <n v="0.81"/>
    <n v="0"/>
    <n v="3"/>
    <n v="13"/>
    <n v="16"/>
    <x v="1"/>
    <x v="0"/>
  </r>
  <r>
    <n v="289"/>
    <d v="2011-01-13T00:00:00"/>
    <x v="0"/>
    <x v="0"/>
    <n v="11"/>
    <b v="0"/>
    <n v="4"/>
    <x v="1"/>
    <x v="2"/>
    <n v="0"/>
    <n v="0.28789999999999999"/>
    <n v="0.81"/>
    <n v="0"/>
    <n v="3"/>
    <n v="13"/>
    <n v="16"/>
    <x v="1"/>
    <x v="0"/>
  </r>
  <r>
    <n v="290"/>
    <d v="2011-01-13T00:00:00"/>
    <x v="0"/>
    <x v="0"/>
    <n v="12"/>
    <b v="0"/>
    <n v="4"/>
    <x v="0"/>
    <x v="2"/>
    <n v="0"/>
    <n v="0.28789999999999999"/>
    <n v="0.81"/>
    <n v="0"/>
    <n v="3"/>
    <n v="13"/>
    <n v="16"/>
    <x v="1"/>
    <x v="1"/>
  </r>
  <r>
    <n v="291"/>
    <d v="2011-01-13T00:00:00"/>
    <x v="0"/>
    <x v="0"/>
    <n v="13"/>
    <b v="0"/>
    <n v="4"/>
    <x v="0"/>
    <x v="1"/>
    <n v="0"/>
    <n v="0.28789999999999999"/>
    <n v="0.81"/>
    <n v="0"/>
    <n v="3"/>
    <n v="13"/>
    <n v="16"/>
    <x v="1"/>
    <x v="1"/>
  </r>
  <r>
    <n v="292"/>
    <d v="2011-01-13T00:00:00"/>
    <x v="0"/>
    <x v="0"/>
    <n v="14"/>
    <b v="0"/>
    <n v="4"/>
    <x v="0"/>
    <x v="1"/>
    <n v="0"/>
    <n v="0.28789999999999999"/>
    <n v="0.81"/>
    <n v="0"/>
    <n v="3"/>
    <n v="13"/>
    <n v="16"/>
    <x v="1"/>
    <x v="1"/>
  </r>
  <r>
    <n v="293"/>
    <d v="2011-01-13T00:00:00"/>
    <x v="0"/>
    <x v="0"/>
    <n v="15"/>
    <b v="0"/>
    <n v="4"/>
    <x v="0"/>
    <x v="0"/>
    <n v="0"/>
    <n v="0.28789999999999999"/>
    <n v="0.81"/>
    <n v="0"/>
    <n v="3"/>
    <n v="13"/>
    <n v="16"/>
    <x v="1"/>
    <x v="1"/>
  </r>
  <r>
    <n v="294"/>
    <d v="2011-01-13T00:00:00"/>
    <x v="0"/>
    <x v="0"/>
    <n v="16"/>
    <b v="0"/>
    <n v="4"/>
    <x v="0"/>
    <x v="0"/>
    <n v="0"/>
    <n v="0.28789999999999999"/>
    <n v="0.81"/>
    <n v="0"/>
    <n v="3"/>
    <n v="13"/>
    <n v="16"/>
    <x v="1"/>
    <x v="2"/>
  </r>
  <r>
    <n v="295"/>
    <d v="2011-01-13T00:00:00"/>
    <x v="0"/>
    <x v="0"/>
    <n v="17"/>
    <b v="0"/>
    <n v="4"/>
    <x v="0"/>
    <x v="2"/>
    <n v="0"/>
    <n v="0.28789999999999999"/>
    <n v="0.81"/>
    <n v="0"/>
    <n v="3"/>
    <n v="13"/>
    <n v="16"/>
    <x v="1"/>
    <x v="2"/>
  </r>
  <r>
    <n v="296"/>
    <d v="2011-01-13T00:00:00"/>
    <x v="0"/>
    <x v="0"/>
    <n v="18"/>
    <b v="0"/>
    <n v="4"/>
    <x v="0"/>
    <x v="2"/>
    <n v="0"/>
    <n v="0.28789999999999999"/>
    <n v="0.81"/>
    <n v="0"/>
    <n v="3"/>
    <n v="13"/>
    <n v="16"/>
    <x v="1"/>
    <x v="2"/>
  </r>
  <r>
    <n v="297"/>
    <d v="2011-01-13T00:00:00"/>
    <x v="0"/>
    <x v="0"/>
    <n v="19"/>
    <b v="0"/>
    <n v="4"/>
    <x v="0"/>
    <x v="13"/>
    <n v="0"/>
    <n v="0.28789999999999999"/>
    <n v="0.81"/>
    <n v="0"/>
    <n v="3"/>
    <n v="13"/>
    <n v="16"/>
    <x v="1"/>
    <x v="2"/>
  </r>
  <r>
    <n v="298"/>
    <d v="2011-01-13T00:00:00"/>
    <x v="0"/>
    <x v="0"/>
    <n v="20"/>
    <b v="0"/>
    <n v="4"/>
    <x v="0"/>
    <x v="13"/>
    <n v="0"/>
    <n v="0.28789999999999999"/>
    <n v="0.81"/>
    <n v="0"/>
    <n v="3"/>
    <n v="13"/>
    <n v="16"/>
    <x v="1"/>
    <x v="2"/>
  </r>
  <r>
    <n v="299"/>
    <d v="2011-01-13T00:00:00"/>
    <x v="0"/>
    <x v="0"/>
    <n v="21"/>
    <b v="0"/>
    <n v="4"/>
    <x v="0"/>
    <x v="14"/>
    <n v="0"/>
    <n v="0.28789999999999999"/>
    <n v="0.81"/>
    <n v="0"/>
    <n v="3"/>
    <n v="13"/>
    <n v="16"/>
    <x v="1"/>
    <x v="3"/>
  </r>
  <r>
    <n v="300"/>
    <d v="2011-01-13T00:00:00"/>
    <x v="0"/>
    <x v="0"/>
    <n v="22"/>
    <b v="0"/>
    <n v="4"/>
    <x v="0"/>
    <x v="14"/>
    <n v="0"/>
    <n v="0.28789999999999999"/>
    <n v="0.81"/>
    <n v="0"/>
    <n v="3"/>
    <n v="13"/>
    <n v="16"/>
    <x v="1"/>
    <x v="3"/>
  </r>
  <r>
    <n v="301"/>
    <d v="2011-01-13T00:00:00"/>
    <x v="0"/>
    <x v="0"/>
    <n v="23"/>
    <b v="0"/>
    <n v="4"/>
    <x v="0"/>
    <x v="16"/>
    <n v="0"/>
    <n v="0.28789999999999999"/>
    <n v="0.81"/>
    <n v="0"/>
    <n v="3"/>
    <n v="13"/>
    <n v="16"/>
    <x v="1"/>
    <x v="3"/>
  </r>
  <r>
    <n v="302"/>
    <d v="2011-01-14T00:00:00"/>
    <x v="0"/>
    <x v="0"/>
    <n v="0"/>
    <b v="0"/>
    <n v="5"/>
    <x v="0"/>
    <x v="16"/>
    <n v="0"/>
    <n v="0.28789999999999999"/>
    <n v="0.81"/>
    <n v="0"/>
    <n v="3"/>
    <n v="13"/>
    <n v="16"/>
    <x v="0"/>
    <x v="0"/>
  </r>
  <r>
    <n v="303"/>
    <d v="2011-01-14T00:00:00"/>
    <x v="0"/>
    <x v="0"/>
    <n v="1"/>
    <b v="0"/>
    <n v="5"/>
    <x v="0"/>
    <x v="18"/>
    <n v="0"/>
    <n v="0.28789999999999999"/>
    <n v="0.81"/>
    <n v="0"/>
    <n v="3"/>
    <n v="13"/>
    <n v="16"/>
    <x v="0"/>
    <x v="0"/>
  </r>
  <r>
    <n v="304"/>
    <d v="2011-01-14T00:00:00"/>
    <x v="0"/>
    <x v="0"/>
    <n v="2"/>
    <b v="0"/>
    <n v="5"/>
    <x v="0"/>
    <x v="18"/>
    <n v="0"/>
    <n v="0.28789999999999999"/>
    <n v="0.81"/>
    <n v="0"/>
    <n v="3"/>
    <n v="13"/>
    <n v="16"/>
    <x v="0"/>
    <x v="0"/>
  </r>
  <r>
    <n v="305"/>
    <d v="2011-01-14T00:00:00"/>
    <x v="0"/>
    <x v="0"/>
    <n v="3"/>
    <b v="0"/>
    <n v="5"/>
    <x v="0"/>
    <x v="18"/>
    <n v="0"/>
    <n v="0.28789999999999999"/>
    <n v="0.81"/>
    <n v="0"/>
    <n v="3"/>
    <n v="13"/>
    <n v="16"/>
    <x v="0"/>
    <x v="0"/>
  </r>
  <r>
    <n v="306"/>
    <d v="2011-01-14T00:00:00"/>
    <x v="0"/>
    <x v="0"/>
    <n v="5"/>
    <b v="0"/>
    <n v="5"/>
    <x v="0"/>
    <x v="18"/>
    <n v="0"/>
    <n v="0.28789999999999999"/>
    <n v="0.81"/>
    <n v="0"/>
    <n v="3"/>
    <n v="13"/>
    <n v="16"/>
    <x v="0"/>
    <x v="0"/>
  </r>
  <r>
    <n v="307"/>
    <d v="2011-01-14T00:00:00"/>
    <x v="0"/>
    <x v="0"/>
    <n v="6"/>
    <b v="0"/>
    <n v="5"/>
    <x v="0"/>
    <x v="18"/>
    <n v="0"/>
    <n v="0.28789999999999999"/>
    <n v="0.81"/>
    <n v="0"/>
    <n v="3"/>
    <n v="13"/>
    <n v="16"/>
    <x v="0"/>
    <x v="0"/>
  </r>
  <r>
    <n v="308"/>
    <d v="2011-01-14T00:00:00"/>
    <x v="0"/>
    <x v="0"/>
    <n v="7"/>
    <b v="0"/>
    <n v="5"/>
    <x v="0"/>
    <x v="18"/>
    <n v="0"/>
    <n v="0.28789999999999999"/>
    <n v="0.81"/>
    <n v="0"/>
    <n v="3"/>
    <n v="13"/>
    <n v="16"/>
    <x v="0"/>
    <x v="0"/>
  </r>
  <r>
    <n v="309"/>
    <d v="2011-01-14T00:00:00"/>
    <x v="0"/>
    <x v="0"/>
    <n v="8"/>
    <b v="0"/>
    <n v="5"/>
    <x v="0"/>
    <x v="16"/>
    <n v="0"/>
    <n v="0.28789999999999999"/>
    <n v="0.81"/>
    <n v="0"/>
    <n v="3"/>
    <n v="13"/>
    <n v="16"/>
    <x v="0"/>
    <x v="0"/>
  </r>
  <r>
    <n v="310"/>
    <d v="2011-01-14T00:00:00"/>
    <x v="0"/>
    <x v="0"/>
    <n v="9"/>
    <b v="0"/>
    <n v="5"/>
    <x v="0"/>
    <x v="14"/>
    <n v="0"/>
    <n v="0.28789999999999999"/>
    <n v="0.81"/>
    <n v="0"/>
    <n v="3"/>
    <n v="13"/>
    <n v="16"/>
    <x v="0"/>
    <x v="0"/>
  </r>
  <r>
    <n v="311"/>
    <d v="2011-01-14T00:00:00"/>
    <x v="0"/>
    <x v="0"/>
    <n v="10"/>
    <b v="0"/>
    <n v="5"/>
    <x v="0"/>
    <x v="15"/>
    <n v="0"/>
    <n v="0.28789999999999999"/>
    <n v="0.81"/>
    <n v="0"/>
    <n v="3"/>
    <n v="13"/>
    <n v="16"/>
    <x v="0"/>
    <x v="0"/>
  </r>
  <r>
    <n v="312"/>
    <d v="2011-01-14T00:00:00"/>
    <x v="0"/>
    <x v="0"/>
    <n v="11"/>
    <b v="0"/>
    <n v="5"/>
    <x v="0"/>
    <x v="15"/>
    <n v="0"/>
    <n v="0.28789999999999999"/>
    <n v="0.81"/>
    <n v="0"/>
    <n v="3"/>
    <n v="13"/>
    <n v="16"/>
    <x v="0"/>
    <x v="0"/>
  </r>
  <r>
    <n v="313"/>
    <d v="2011-01-14T00:00:00"/>
    <x v="0"/>
    <x v="0"/>
    <n v="12"/>
    <b v="0"/>
    <n v="5"/>
    <x v="0"/>
    <x v="2"/>
    <n v="0"/>
    <n v="0.28789999999999999"/>
    <n v="0.81"/>
    <n v="0"/>
    <n v="3"/>
    <n v="13"/>
    <n v="16"/>
    <x v="0"/>
    <x v="1"/>
  </r>
  <r>
    <n v="314"/>
    <d v="2011-01-14T00:00:00"/>
    <x v="0"/>
    <x v="0"/>
    <n v="13"/>
    <b v="0"/>
    <n v="5"/>
    <x v="0"/>
    <x v="1"/>
    <n v="0"/>
    <n v="0.28789999999999999"/>
    <n v="0.81"/>
    <n v="0"/>
    <n v="3"/>
    <n v="13"/>
    <n v="16"/>
    <x v="0"/>
    <x v="1"/>
  </r>
  <r>
    <n v="315"/>
    <d v="2011-01-14T00:00:00"/>
    <x v="0"/>
    <x v="0"/>
    <n v="14"/>
    <b v="0"/>
    <n v="5"/>
    <x v="0"/>
    <x v="1"/>
    <n v="0"/>
    <n v="0.28789999999999999"/>
    <n v="0.81"/>
    <n v="0"/>
    <n v="3"/>
    <n v="13"/>
    <n v="16"/>
    <x v="0"/>
    <x v="1"/>
  </r>
  <r>
    <n v="316"/>
    <d v="2011-01-14T00:00:00"/>
    <x v="0"/>
    <x v="0"/>
    <n v="15"/>
    <b v="0"/>
    <n v="5"/>
    <x v="0"/>
    <x v="0"/>
    <n v="0"/>
    <n v="0.28789999999999999"/>
    <n v="0.81"/>
    <n v="0"/>
    <n v="3"/>
    <n v="13"/>
    <n v="16"/>
    <x v="0"/>
    <x v="1"/>
  </r>
  <r>
    <n v="317"/>
    <d v="2011-01-14T00:00:00"/>
    <x v="0"/>
    <x v="0"/>
    <n v="16"/>
    <b v="0"/>
    <n v="5"/>
    <x v="0"/>
    <x v="1"/>
    <n v="0"/>
    <n v="0.28789999999999999"/>
    <n v="0.81"/>
    <n v="0"/>
    <n v="3"/>
    <n v="13"/>
    <n v="16"/>
    <x v="0"/>
    <x v="2"/>
  </r>
  <r>
    <n v="318"/>
    <d v="2011-01-14T00:00:00"/>
    <x v="0"/>
    <x v="0"/>
    <n v="17"/>
    <b v="0"/>
    <n v="5"/>
    <x v="0"/>
    <x v="1"/>
    <n v="0"/>
    <n v="0.28789999999999999"/>
    <n v="0.81"/>
    <n v="0"/>
    <n v="3"/>
    <n v="13"/>
    <n v="16"/>
    <x v="0"/>
    <x v="2"/>
  </r>
  <r>
    <n v="319"/>
    <d v="2011-01-14T00:00:00"/>
    <x v="0"/>
    <x v="0"/>
    <n v="18"/>
    <b v="0"/>
    <n v="5"/>
    <x v="0"/>
    <x v="2"/>
    <n v="0"/>
    <n v="0.28789999999999999"/>
    <n v="0.81"/>
    <n v="0"/>
    <n v="3"/>
    <n v="13"/>
    <n v="16"/>
    <x v="0"/>
    <x v="2"/>
  </r>
  <r>
    <n v="320"/>
    <d v="2011-01-14T00:00:00"/>
    <x v="0"/>
    <x v="0"/>
    <n v="19"/>
    <b v="0"/>
    <n v="5"/>
    <x v="0"/>
    <x v="13"/>
    <n v="0"/>
    <n v="0.28789999999999999"/>
    <n v="0.81"/>
    <n v="0"/>
    <n v="3"/>
    <n v="13"/>
    <n v="16"/>
    <x v="0"/>
    <x v="2"/>
  </r>
  <r>
    <n v="321"/>
    <d v="2011-01-14T00:00:00"/>
    <x v="0"/>
    <x v="0"/>
    <n v="20"/>
    <b v="0"/>
    <n v="5"/>
    <x v="0"/>
    <x v="15"/>
    <n v="0"/>
    <n v="0.28789999999999999"/>
    <n v="0.81"/>
    <n v="0"/>
    <n v="3"/>
    <n v="13"/>
    <n v="16"/>
    <x v="0"/>
    <x v="2"/>
  </r>
  <r>
    <n v="322"/>
    <d v="2011-01-14T00:00:00"/>
    <x v="0"/>
    <x v="0"/>
    <n v="21"/>
    <b v="0"/>
    <n v="5"/>
    <x v="0"/>
    <x v="13"/>
    <n v="0"/>
    <n v="0.28789999999999999"/>
    <n v="0.81"/>
    <n v="0"/>
    <n v="3"/>
    <n v="13"/>
    <n v="16"/>
    <x v="0"/>
    <x v="3"/>
  </r>
  <r>
    <n v="323"/>
    <d v="2011-01-14T00:00:00"/>
    <x v="0"/>
    <x v="0"/>
    <n v="22"/>
    <b v="0"/>
    <n v="5"/>
    <x v="1"/>
    <x v="13"/>
    <n v="0"/>
    <n v="0.28789999999999999"/>
    <n v="0.81"/>
    <n v="0"/>
    <n v="3"/>
    <n v="13"/>
    <n v="16"/>
    <x v="0"/>
    <x v="3"/>
  </r>
  <r>
    <n v="324"/>
    <d v="2011-01-14T00:00:00"/>
    <x v="0"/>
    <x v="0"/>
    <n v="23"/>
    <b v="0"/>
    <n v="5"/>
    <x v="1"/>
    <x v="15"/>
    <n v="0"/>
    <n v="0.28789999999999999"/>
    <n v="0.81"/>
    <n v="0"/>
    <n v="3"/>
    <n v="13"/>
    <n v="16"/>
    <x v="0"/>
    <x v="3"/>
  </r>
  <r>
    <n v="325"/>
    <d v="2011-01-15T00:00:00"/>
    <x v="0"/>
    <x v="0"/>
    <n v="0"/>
    <b v="0"/>
    <n v="6"/>
    <x v="0"/>
    <x v="15"/>
    <n v="0"/>
    <n v="0.28789999999999999"/>
    <n v="0.81"/>
    <n v="0"/>
    <n v="3"/>
    <n v="13"/>
    <n v="16"/>
    <x v="0"/>
    <x v="0"/>
  </r>
  <r>
    <n v="326"/>
    <d v="2011-01-15T00:00:00"/>
    <x v="0"/>
    <x v="0"/>
    <n v="1"/>
    <b v="0"/>
    <n v="6"/>
    <x v="1"/>
    <x v="13"/>
    <n v="0"/>
    <n v="0.28789999999999999"/>
    <n v="0.81"/>
    <n v="0"/>
    <n v="3"/>
    <n v="13"/>
    <n v="16"/>
    <x v="0"/>
    <x v="0"/>
  </r>
  <r>
    <n v="327"/>
    <d v="2011-01-15T00:00:00"/>
    <x v="0"/>
    <x v="0"/>
    <n v="2"/>
    <b v="0"/>
    <n v="6"/>
    <x v="1"/>
    <x v="13"/>
    <n v="0"/>
    <n v="0.28789999999999999"/>
    <n v="0.81"/>
    <n v="0"/>
    <n v="3"/>
    <n v="13"/>
    <n v="16"/>
    <x v="0"/>
    <x v="0"/>
  </r>
  <r>
    <n v="328"/>
    <d v="2011-01-15T00:00:00"/>
    <x v="0"/>
    <x v="0"/>
    <n v="3"/>
    <b v="0"/>
    <n v="6"/>
    <x v="1"/>
    <x v="13"/>
    <n v="0"/>
    <n v="0.28789999999999999"/>
    <n v="0.81"/>
    <n v="0"/>
    <n v="3"/>
    <n v="13"/>
    <n v="16"/>
    <x v="0"/>
    <x v="0"/>
  </r>
  <r>
    <n v="329"/>
    <d v="2011-01-15T00:00:00"/>
    <x v="0"/>
    <x v="0"/>
    <n v="4"/>
    <b v="0"/>
    <n v="6"/>
    <x v="1"/>
    <x v="13"/>
    <n v="0"/>
    <n v="0.28789999999999999"/>
    <n v="0.81"/>
    <n v="0"/>
    <n v="3"/>
    <n v="13"/>
    <n v="16"/>
    <x v="0"/>
    <x v="0"/>
  </r>
  <r>
    <n v="330"/>
    <d v="2011-01-15T00:00:00"/>
    <x v="0"/>
    <x v="0"/>
    <n v="5"/>
    <b v="0"/>
    <n v="6"/>
    <x v="0"/>
    <x v="13"/>
    <n v="0"/>
    <n v="0.28789999999999999"/>
    <n v="0.81"/>
    <n v="0"/>
    <n v="3"/>
    <n v="13"/>
    <n v="16"/>
    <x v="0"/>
    <x v="0"/>
  </r>
  <r>
    <n v="331"/>
    <d v="2011-01-15T00:00:00"/>
    <x v="0"/>
    <x v="0"/>
    <n v="6"/>
    <b v="0"/>
    <n v="6"/>
    <x v="0"/>
    <x v="14"/>
    <n v="0"/>
    <n v="0.28789999999999999"/>
    <n v="0.81"/>
    <n v="0"/>
    <n v="3"/>
    <n v="13"/>
    <n v="16"/>
    <x v="0"/>
    <x v="0"/>
  </r>
  <r>
    <n v="332"/>
    <d v="2011-01-15T00:00:00"/>
    <x v="0"/>
    <x v="0"/>
    <n v="7"/>
    <b v="0"/>
    <n v="6"/>
    <x v="0"/>
    <x v="14"/>
    <n v="0"/>
    <n v="0.28789999999999999"/>
    <n v="0.81"/>
    <n v="0"/>
    <n v="3"/>
    <n v="13"/>
    <n v="16"/>
    <x v="0"/>
    <x v="0"/>
  </r>
  <r>
    <n v="333"/>
    <d v="2011-01-15T00:00:00"/>
    <x v="0"/>
    <x v="0"/>
    <n v="8"/>
    <b v="0"/>
    <n v="6"/>
    <x v="0"/>
    <x v="14"/>
    <n v="0"/>
    <n v="0.28789999999999999"/>
    <n v="0.81"/>
    <n v="0"/>
    <n v="3"/>
    <n v="13"/>
    <n v="16"/>
    <x v="0"/>
    <x v="0"/>
  </r>
  <r>
    <n v="334"/>
    <d v="2011-01-15T00:00:00"/>
    <x v="0"/>
    <x v="0"/>
    <n v="9"/>
    <b v="0"/>
    <n v="6"/>
    <x v="0"/>
    <x v="13"/>
    <n v="0"/>
    <n v="0.28789999999999999"/>
    <n v="0.81"/>
    <n v="0"/>
    <n v="3"/>
    <n v="13"/>
    <n v="16"/>
    <x v="0"/>
    <x v="0"/>
  </r>
  <r>
    <n v="335"/>
    <d v="2011-01-15T00:00:00"/>
    <x v="0"/>
    <x v="0"/>
    <n v="10"/>
    <b v="0"/>
    <n v="6"/>
    <x v="0"/>
    <x v="15"/>
    <n v="0"/>
    <n v="0.28789999999999999"/>
    <n v="0.81"/>
    <n v="0"/>
    <n v="3"/>
    <n v="13"/>
    <n v="16"/>
    <x v="0"/>
    <x v="0"/>
  </r>
  <r>
    <n v="336"/>
    <d v="2011-01-15T00:00:00"/>
    <x v="0"/>
    <x v="0"/>
    <n v="11"/>
    <b v="0"/>
    <n v="6"/>
    <x v="0"/>
    <x v="2"/>
    <n v="0"/>
    <n v="0.28789999999999999"/>
    <n v="0.81"/>
    <n v="0"/>
    <n v="3"/>
    <n v="13"/>
    <n v="16"/>
    <x v="0"/>
    <x v="0"/>
  </r>
  <r>
    <n v="337"/>
    <d v="2011-01-15T00:00:00"/>
    <x v="0"/>
    <x v="0"/>
    <n v="12"/>
    <b v="0"/>
    <n v="6"/>
    <x v="0"/>
    <x v="0"/>
    <n v="0"/>
    <n v="0.28789999999999999"/>
    <n v="0.81"/>
    <n v="0"/>
    <n v="3"/>
    <n v="13"/>
    <n v="16"/>
    <x v="0"/>
    <x v="1"/>
  </r>
  <r>
    <n v="338"/>
    <d v="2011-01-15T00:00:00"/>
    <x v="0"/>
    <x v="0"/>
    <n v="13"/>
    <b v="0"/>
    <n v="6"/>
    <x v="0"/>
    <x v="17"/>
    <n v="0"/>
    <n v="0.28789999999999999"/>
    <n v="0.81"/>
    <n v="0"/>
    <n v="3"/>
    <n v="13"/>
    <n v="16"/>
    <x v="0"/>
    <x v="1"/>
  </r>
  <r>
    <n v="339"/>
    <d v="2011-01-15T00:00:00"/>
    <x v="0"/>
    <x v="0"/>
    <n v="14"/>
    <b v="0"/>
    <n v="6"/>
    <x v="0"/>
    <x v="11"/>
    <n v="0"/>
    <n v="0.28789999999999999"/>
    <n v="0.81"/>
    <n v="0"/>
    <n v="3"/>
    <n v="13"/>
    <n v="16"/>
    <x v="0"/>
    <x v="1"/>
  </r>
  <r>
    <n v="340"/>
    <d v="2011-01-15T00:00:00"/>
    <x v="0"/>
    <x v="0"/>
    <n v="15"/>
    <b v="0"/>
    <n v="6"/>
    <x v="1"/>
    <x v="3"/>
    <n v="0"/>
    <n v="0.28789999999999999"/>
    <n v="0.81"/>
    <n v="0"/>
    <n v="3"/>
    <n v="13"/>
    <n v="16"/>
    <x v="0"/>
    <x v="1"/>
  </r>
  <r>
    <n v="341"/>
    <d v="2011-01-15T00:00:00"/>
    <x v="0"/>
    <x v="0"/>
    <n v="16"/>
    <b v="0"/>
    <n v="6"/>
    <x v="1"/>
    <x v="10"/>
    <n v="0"/>
    <n v="0.28789999999999999"/>
    <n v="0.81"/>
    <n v="0"/>
    <n v="3"/>
    <n v="13"/>
    <n v="16"/>
    <x v="0"/>
    <x v="2"/>
  </r>
  <r>
    <n v="342"/>
    <d v="2011-01-15T00:00:00"/>
    <x v="0"/>
    <x v="0"/>
    <n v="17"/>
    <b v="0"/>
    <n v="6"/>
    <x v="1"/>
    <x v="3"/>
    <n v="0"/>
    <n v="0.28789999999999999"/>
    <n v="0.81"/>
    <n v="0"/>
    <n v="3"/>
    <n v="13"/>
    <n v="16"/>
    <x v="0"/>
    <x v="2"/>
  </r>
  <r>
    <n v="343"/>
    <d v="2011-01-15T00:00:00"/>
    <x v="0"/>
    <x v="0"/>
    <n v="18"/>
    <b v="0"/>
    <n v="6"/>
    <x v="1"/>
    <x v="11"/>
    <n v="0"/>
    <n v="0.28789999999999999"/>
    <n v="0.81"/>
    <n v="0"/>
    <n v="3"/>
    <n v="13"/>
    <n v="16"/>
    <x v="0"/>
    <x v="2"/>
  </r>
  <r>
    <n v="344"/>
    <d v="2011-01-15T00:00:00"/>
    <x v="0"/>
    <x v="0"/>
    <n v="19"/>
    <b v="0"/>
    <n v="6"/>
    <x v="1"/>
    <x v="3"/>
    <n v="0"/>
    <n v="0.28789999999999999"/>
    <n v="0.81"/>
    <n v="0"/>
    <n v="3"/>
    <n v="13"/>
    <n v="16"/>
    <x v="0"/>
    <x v="2"/>
  </r>
  <r>
    <n v="345"/>
    <d v="2011-01-15T00:00:00"/>
    <x v="0"/>
    <x v="0"/>
    <n v="20"/>
    <b v="0"/>
    <n v="6"/>
    <x v="1"/>
    <x v="3"/>
    <n v="0"/>
    <n v="0.28789999999999999"/>
    <n v="0.81"/>
    <n v="0"/>
    <n v="3"/>
    <n v="13"/>
    <n v="16"/>
    <x v="0"/>
    <x v="2"/>
  </r>
  <r>
    <n v="346"/>
    <d v="2011-01-15T00:00:00"/>
    <x v="0"/>
    <x v="0"/>
    <n v="21"/>
    <b v="0"/>
    <n v="6"/>
    <x v="1"/>
    <x v="3"/>
    <n v="0"/>
    <n v="0.28789999999999999"/>
    <n v="0.81"/>
    <n v="0"/>
    <n v="3"/>
    <n v="13"/>
    <n v="16"/>
    <x v="0"/>
    <x v="3"/>
  </r>
  <r>
    <n v="347"/>
    <d v="2011-01-15T00:00:00"/>
    <x v="0"/>
    <x v="0"/>
    <n v="22"/>
    <b v="0"/>
    <n v="6"/>
    <x v="1"/>
    <x v="11"/>
    <n v="0"/>
    <n v="0.28789999999999999"/>
    <n v="0.81"/>
    <n v="0"/>
    <n v="3"/>
    <n v="13"/>
    <n v="16"/>
    <x v="0"/>
    <x v="3"/>
  </r>
  <r>
    <n v="348"/>
    <d v="2011-01-15T00:00:00"/>
    <x v="0"/>
    <x v="0"/>
    <n v="23"/>
    <b v="0"/>
    <n v="6"/>
    <x v="0"/>
    <x v="11"/>
    <n v="0"/>
    <n v="0.28789999999999999"/>
    <n v="0.81"/>
    <n v="0"/>
    <n v="3"/>
    <n v="13"/>
    <n v="16"/>
    <x v="0"/>
    <x v="3"/>
  </r>
  <r>
    <n v="349"/>
    <d v="2011-01-16T00:00:00"/>
    <x v="0"/>
    <x v="0"/>
    <n v="0"/>
    <b v="0"/>
    <n v="0"/>
    <x v="0"/>
    <x v="12"/>
    <n v="0"/>
    <n v="0.28789999999999999"/>
    <n v="0.81"/>
    <n v="0"/>
    <n v="3"/>
    <n v="13"/>
    <n v="16"/>
    <x v="1"/>
    <x v="0"/>
  </r>
  <r>
    <n v="350"/>
    <d v="2011-01-16T00:00:00"/>
    <x v="0"/>
    <x v="0"/>
    <n v="1"/>
    <b v="0"/>
    <n v="0"/>
    <x v="0"/>
    <x v="12"/>
    <n v="0"/>
    <n v="0.28789999999999999"/>
    <n v="0.81"/>
    <n v="0"/>
    <n v="3"/>
    <n v="13"/>
    <n v="16"/>
    <x v="1"/>
    <x v="0"/>
  </r>
  <r>
    <n v="351"/>
    <d v="2011-01-16T00:00:00"/>
    <x v="0"/>
    <x v="0"/>
    <n v="2"/>
    <b v="0"/>
    <n v="0"/>
    <x v="0"/>
    <x v="12"/>
    <n v="0"/>
    <n v="0.28789999999999999"/>
    <n v="0.81"/>
    <n v="0"/>
    <n v="3"/>
    <n v="13"/>
    <n v="16"/>
    <x v="1"/>
    <x v="0"/>
  </r>
  <r>
    <n v="352"/>
    <d v="2011-01-16T00:00:00"/>
    <x v="0"/>
    <x v="0"/>
    <n v="3"/>
    <b v="0"/>
    <n v="0"/>
    <x v="0"/>
    <x v="1"/>
    <n v="0"/>
    <n v="0.28789999999999999"/>
    <n v="0.81"/>
    <n v="0"/>
    <n v="3"/>
    <n v="13"/>
    <n v="16"/>
    <x v="1"/>
    <x v="0"/>
  </r>
  <r>
    <n v="353"/>
    <d v="2011-01-16T00:00:00"/>
    <x v="0"/>
    <x v="0"/>
    <n v="4"/>
    <b v="0"/>
    <n v="0"/>
    <x v="0"/>
    <x v="12"/>
    <n v="0"/>
    <n v="0.28789999999999999"/>
    <n v="0.81"/>
    <n v="0"/>
    <n v="3"/>
    <n v="13"/>
    <n v="16"/>
    <x v="1"/>
    <x v="0"/>
  </r>
  <r>
    <n v="354"/>
    <d v="2011-01-16T00:00:00"/>
    <x v="0"/>
    <x v="0"/>
    <n v="5"/>
    <b v="0"/>
    <n v="0"/>
    <x v="1"/>
    <x v="12"/>
    <n v="0"/>
    <n v="0.28789999999999999"/>
    <n v="0.81"/>
    <n v="0"/>
    <n v="3"/>
    <n v="13"/>
    <n v="16"/>
    <x v="1"/>
    <x v="0"/>
  </r>
  <r>
    <n v="355"/>
    <d v="2011-01-16T00:00:00"/>
    <x v="0"/>
    <x v="0"/>
    <n v="6"/>
    <b v="0"/>
    <n v="0"/>
    <x v="1"/>
    <x v="12"/>
    <n v="0"/>
    <n v="0.28789999999999999"/>
    <n v="0.81"/>
    <n v="0"/>
    <n v="3"/>
    <n v="13"/>
    <n v="16"/>
    <x v="1"/>
    <x v="0"/>
  </r>
  <r>
    <n v="356"/>
    <d v="2011-01-16T00:00:00"/>
    <x v="0"/>
    <x v="0"/>
    <n v="7"/>
    <b v="0"/>
    <n v="0"/>
    <x v="1"/>
    <x v="0"/>
    <n v="0"/>
    <n v="0.28789999999999999"/>
    <n v="0.81"/>
    <n v="0"/>
    <n v="3"/>
    <n v="13"/>
    <n v="16"/>
    <x v="1"/>
    <x v="0"/>
  </r>
  <r>
    <n v="357"/>
    <d v="2011-01-16T00:00:00"/>
    <x v="0"/>
    <x v="0"/>
    <n v="8"/>
    <b v="0"/>
    <n v="0"/>
    <x v="0"/>
    <x v="1"/>
    <n v="0"/>
    <n v="0.28789999999999999"/>
    <n v="0.81"/>
    <n v="0"/>
    <n v="3"/>
    <n v="13"/>
    <n v="16"/>
    <x v="1"/>
    <x v="0"/>
  </r>
  <r>
    <n v="358"/>
    <d v="2011-01-16T00:00:00"/>
    <x v="0"/>
    <x v="0"/>
    <n v="9"/>
    <b v="0"/>
    <n v="0"/>
    <x v="0"/>
    <x v="1"/>
    <n v="0"/>
    <n v="0.28789999999999999"/>
    <n v="0.81"/>
    <n v="0"/>
    <n v="3"/>
    <n v="13"/>
    <n v="16"/>
    <x v="1"/>
    <x v="0"/>
  </r>
  <r>
    <n v="359"/>
    <d v="2011-01-16T00:00:00"/>
    <x v="0"/>
    <x v="0"/>
    <n v="10"/>
    <b v="0"/>
    <n v="0"/>
    <x v="0"/>
    <x v="1"/>
    <n v="0"/>
    <n v="0.28789999999999999"/>
    <n v="0.81"/>
    <n v="0"/>
    <n v="3"/>
    <n v="13"/>
    <n v="16"/>
    <x v="1"/>
    <x v="0"/>
  </r>
  <r>
    <n v="360"/>
    <d v="2011-01-16T00:00:00"/>
    <x v="0"/>
    <x v="0"/>
    <n v="11"/>
    <b v="0"/>
    <n v="0"/>
    <x v="0"/>
    <x v="0"/>
    <n v="0"/>
    <n v="0.28789999999999999"/>
    <n v="0.81"/>
    <n v="0"/>
    <n v="3"/>
    <n v="13"/>
    <n v="16"/>
    <x v="1"/>
    <x v="0"/>
  </r>
  <r>
    <n v="361"/>
    <d v="2011-01-16T00:00:00"/>
    <x v="0"/>
    <x v="0"/>
    <n v="12"/>
    <b v="0"/>
    <n v="0"/>
    <x v="0"/>
    <x v="0"/>
    <n v="0"/>
    <n v="0.28789999999999999"/>
    <n v="0.81"/>
    <n v="0"/>
    <n v="3"/>
    <n v="13"/>
    <n v="16"/>
    <x v="1"/>
    <x v="1"/>
  </r>
  <r>
    <n v="362"/>
    <d v="2011-01-16T00:00:00"/>
    <x v="0"/>
    <x v="0"/>
    <n v="13"/>
    <b v="0"/>
    <n v="0"/>
    <x v="0"/>
    <x v="12"/>
    <n v="0"/>
    <n v="0.28789999999999999"/>
    <n v="0.81"/>
    <n v="0"/>
    <n v="3"/>
    <n v="13"/>
    <n v="16"/>
    <x v="1"/>
    <x v="1"/>
  </r>
  <r>
    <n v="363"/>
    <d v="2011-01-16T00:00:00"/>
    <x v="0"/>
    <x v="0"/>
    <n v="14"/>
    <b v="0"/>
    <n v="0"/>
    <x v="0"/>
    <x v="17"/>
    <n v="0"/>
    <n v="0.28789999999999999"/>
    <n v="0.81"/>
    <n v="0"/>
    <n v="3"/>
    <n v="13"/>
    <n v="16"/>
    <x v="1"/>
    <x v="1"/>
  </r>
  <r>
    <n v="364"/>
    <d v="2011-01-16T00:00:00"/>
    <x v="0"/>
    <x v="0"/>
    <n v="15"/>
    <b v="0"/>
    <n v="0"/>
    <x v="0"/>
    <x v="12"/>
    <n v="0"/>
    <n v="0.28789999999999999"/>
    <n v="0.81"/>
    <n v="0"/>
    <n v="3"/>
    <n v="13"/>
    <n v="16"/>
    <x v="1"/>
    <x v="1"/>
  </r>
  <r>
    <n v="365"/>
    <d v="2011-01-16T00:00:00"/>
    <x v="0"/>
    <x v="0"/>
    <n v="16"/>
    <b v="0"/>
    <n v="0"/>
    <x v="0"/>
    <x v="0"/>
    <n v="0"/>
    <n v="0.28789999999999999"/>
    <n v="0.81"/>
    <n v="0"/>
    <n v="3"/>
    <n v="13"/>
    <n v="16"/>
    <x v="1"/>
    <x v="2"/>
  </r>
  <r>
    <n v="366"/>
    <d v="2011-01-16T00:00:00"/>
    <x v="0"/>
    <x v="0"/>
    <n v="17"/>
    <b v="0"/>
    <n v="0"/>
    <x v="0"/>
    <x v="1"/>
    <n v="0"/>
    <n v="0.28789999999999999"/>
    <n v="0.81"/>
    <n v="0"/>
    <n v="3"/>
    <n v="13"/>
    <n v="16"/>
    <x v="1"/>
    <x v="2"/>
  </r>
  <r>
    <n v="367"/>
    <d v="2011-01-16T00:00:00"/>
    <x v="0"/>
    <x v="0"/>
    <n v="18"/>
    <b v="0"/>
    <n v="0"/>
    <x v="0"/>
    <x v="2"/>
    <n v="0"/>
    <n v="0.28789999999999999"/>
    <n v="0.81"/>
    <n v="0"/>
    <n v="3"/>
    <n v="13"/>
    <n v="16"/>
    <x v="1"/>
    <x v="2"/>
  </r>
  <r>
    <n v="368"/>
    <d v="2011-01-16T00:00:00"/>
    <x v="0"/>
    <x v="0"/>
    <n v="19"/>
    <b v="0"/>
    <n v="0"/>
    <x v="0"/>
    <x v="15"/>
    <n v="0"/>
    <n v="0.28789999999999999"/>
    <n v="0.81"/>
    <n v="0"/>
    <n v="3"/>
    <n v="13"/>
    <n v="16"/>
    <x v="1"/>
    <x v="2"/>
  </r>
  <r>
    <n v="369"/>
    <d v="2011-01-16T00:00:00"/>
    <x v="0"/>
    <x v="0"/>
    <n v="20"/>
    <b v="0"/>
    <n v="0"/>
    <x v="0"/>
    <x v="15"/>
    <n v="0"/>
    <n v="0.28789999999999999"/>
    <n v="0.81"/>
    <n v="0"/>
    <n v="3"/>
    <n v="13"/>
    <n v="16"/>
    <x v="1"/>
    <x v="2"/>
  </r>
  <r>
    <n v="370"/>
    <d v="2011-01-16T00:00:00"/>
    <x v="0"/>
    <x v="0"/>
    <n v="21"/>
    <b v="0"/>
    <n v="0"/>
    <x v="0"/>
    <x v="15"/>
    <n v="0"/>
    <n v="0.28789999999999999"/>
    <n v="0.81"/>
    <n v="0"/>
    <n v="3"/>
    <n v="13"/>
    <n v="16"/>
    <x v="1"/>
    <x v="3"/>
  </r>
  <r>
    <n v="371"/>
    <d v="2011-01-16T00:00:00"/>
    <x v="0"/>
    <x v="0"/>
    <n v="22"/>
    <b v="0"/>
    <n v="0"/>
    <x v="1"/>
    <x v="2"/>
    <n v="0"/>
    <n v="0.28789999999999999"/>
    <n v="0.81"/>
    <n v="0"/>
    <n v="3"/>
    <n v="13"/>
    <n v="16"/>
    <x v="1"/>
    <x v="3"/>
  </r>
  <r>
    <n v="372"/>
    <d v="2011-01-16T00:00:00"/>
    <x v="0"/>
    <x v="0"/>
    <n v="23"/>
    <b v="0"/>
    <n v="0"/>
    <x v="1"/>
    <x v="2"/>
    <n v="0"/>
    <n v="0.28789999999999999"/>
    <n v="0.81"/>
    <n v="0"/>
    <n v="3"/>
    <n v="13"/>
    <n v="16"/>
    <x v="1"/>
    <x v="3"/>
  </r>
  <r>
    <n v="373"/>
    <d v="2011-01-17T00:00:00"/>
    <x v="0"/>
    <x v="0"/>
    <n v="0"/>
    <b v="1"/>
    <n v="1"/>
    <x v="1"/>
    <x v="2"/>
    <n v="0"/>
    <n v="0.28789999999999999"/>
    <n v="0.81"/>
    <n v="0"/>
    <n v="3"/>
    <n v="13"/>
    <n v="16"/>
    <x v="1"/>
    <x v="0"/>
  </r>
  <r>
    <n v="374"/>
    <d v="2011-01-17T00:00:00"/>
    <x v="0"/>
    <x v="0"/>
    <n v="1"/>
    <b v="1"/>
    <n v="1"/>
    <x v="1"/>
    <x v="2"/>
    <n v="0"/>
    <n v="0.28789999999999999"/>
    <n v="0.81"/>
    <n v="0"/>
    <n v="3"/>
    <n v="13"/>
    <n v="16"/>
    <x v="1"/>
    <x v="0"/>
  </r>
  <r>
    <n v="375"/>
    <d v="2011-01-17T00:00:00"/>
    <x v="0"/>
    <x v="0"/>
    <n v="2"/>
    <b v="1"/>
    <n v="1"/>
    <x v="1"/>
    <x v="15"/>
    <n v="0"/>
    <n v="0.28789999999999999"/>
    <n v="0.81"/>
    <n v="0"/>
    <n v="3"/>
    <n v="13"/>
    <n v="16"/>
    <x v="1"/>
    <x v="0"/>
  </r>
  <r>
    <n v="376"/>
    <d v="2011-01-17T00:00:00"/>
    <x v="0"/>
    <x v="0"/>
    <n v="3"/>
    <b v="1"/>
    <n v="1"/>
    <x v="1"/>
    <x v="15"/>
    <n v="0"/>
    <n v="0.28789999999999999"/>
    <n v="0.81"/>
    <n v="0"/>
    <n v="3"/>
    <n v="13"/>
    <n v="16"/>
    <x v="1"/>
    <x v="0"/>
  </r>
  <r>
    <n v="377"/>
    <d v="2011-01-17T00:00:00"/>
    <x v="0"/>
    <x v="0"/>
    <n v="4"/>
    <b v="1"/>
    <n v="1"/>
    <x v="1"/>
    <x v="15"/>
    <n v="0"/>
    <n v="0.28789999999999999"/>
    <n v="0.81"/>
    <n v="0"/>
    <n v="3"/>
    <n v="13"/>
    <n v="16"/>
    <x v="1"/>
    <x v="0"/>
  </r>
  <r>
    <n v="378"/>
    <d v="2011-01-17T00:00:00"/>
    <x v="0"/>
    <x v="0"/>
    <n v="5"/>
    <b v="1"/>
    <n v="1"/>
    <x v="1"/>
    <x v="15"/>
    <n v="0"/>
    <n v="0.28789999999999999"/>
    <n v="0.81"/>
    <n v="0"/>
    <n v="3"/>
    <n v="13"/>
    <n v="16"/>
    <x v="1"/>
    <x v="0"/>
  </r>
  <r>
    <n v="379"/>
    <d v="2011-01-17T00:00:00"/>
    <x v="0"/>
    <x v="0"/>
    <n v="6"/>
    <b v="1"/>
    <n v="1"/>
    <x v="1"/>
    <x v="15"/>
    <n v="0"/>
    <n v="0.28789999999999999"/>
    <n v="0.81"/>
    <n v="0"/>
    <n v="3"/>
    <n v="13"/>
    <n v="16"/>
    <x v="1"/>
    <x v="0"/>
  </r>
  <r>
    <n v="380"/>
    <d v="2011-01-17T00:00:00"/>
    <x v="0"/>
    <x v="0"/>
    <n v="7"/>
    <b v="1"/>
    <n v="1"/>
    <x v="1"/>
    <x v="13"/>
    <n v="0"/>
    <n v="0.28789999999999999"/>
    <n v="0.81"/>
    <n v="0"/>
    <n v="3"/>
    <n v="13"/>
    <n v="16"/>
    <x v="1"/>
    <x v="0"/>
  </r>
  <r>
    <n v="381"/>
    <d v="2011-01-17T00:00:00"/>
    <x v="0"/>
    <x v="0"/>
    <n v="8"/>
    <b v="1"/>
    <n v="1"/>
    <x v="1"/>
    <x v="13"/>
    <n v="0"/>
    <n v="0.28789999999999999"/>
    <n v="0.81"/>
    <n v="0"/>
    <n v="3"/>
    <n v="13"/>
    <n v="16"/>
    <x v="1"/>
    <x v="0"/>
  </r>
  <r>
    <n v="382"/>
    <d v="2011-01-17T00:00:00"/>
    <x v="0"/>
    <x v="0"/>
    <n v="9"/>
    <b v="1"/>
    <n v="1"/>
    <x v="1"/>
    <x v="13"/>
    <n v="0"/>
    <n v="0.28789999999999999"/>
    <n v="0.81"/>
    <n v="0"/>
    <n v="3"/>
    <n v="13"/>
    <n v="16"/>
    <x v="1"/>
    <x v="0"/>
  </r>
  <r>
    <n v="383"/>
    <d v="2011-01-17T00:00:00"/>
    <x v="0"/>
    <x v="0"/>
    <n v="10"/>
    <b v="1"/>
    <n v="1"/>
    <x v="1"/>
    <x v="13"/>
    <n v="0"/>
    <n v="0.28789999999999999"/>
    <n v="0.81"/>
    <n v="0"/>
    <n v="3"/>
    <n v="13"/>
    <n v="16"/>
    <x v="1"/>
    <x v="0"/>
  </r>
  <r>
    <n v="384"/>
    <d v="2011-01-17T00:00:00"/>
    <x v="0"/>
    <x v="0"/>
    <n v="11"/>
    <b v="1"/>
    <n v="1"/>
    <x v="1"/>
    <x v="13"/>
    <n v="0"/>
    <n v="0.28789999999999999"/>
    <n v="0.81"/>
    <n v="0"/>
    <n v="3"/>
    <n v="13"/>
    <n v="16"/>
    <x v="1"/>
    <x v="0"/>
  </r>
  <r>
    <n v="385"/>
    <d v="2011-01-17T00:00:00"/>
    <x v="0"/>
    <x v="0"/>
    <n v="12"/>
    <b v="1"/>
    <n v="1"/>
    <x v="1"/>
    <x v="15"/>
    <n v="0"/>
    <n v="0.28789999999999999"/>
    <n v="0.81"/>
    <n v="0"/>
    <n v="3"/>
    <n v="13"/>
    <n v="16"/>
    <x v="1"/>
    <x v="1"/>
  </r>
  <r>
    <n v="386"/>
    <d v="2011-01-17T00:00:00"/>
    <x v="0"/>
    <x v="0"/>
    <n v="13"/>
    <b v="1"/>
    <n v="1"/>
    <x v="1"/>
    <x v="15"/>
    <n v="0"/>
    <n v="0.28789999999999999"/>
    <n v="0.81"/>
    <n v="0"/>
    <n v="3"/>
    <n v="13"/>
    <n v="16"/>
    <x v="1"/>
    <x v="1"/>
  </r>
  <r>
    <n v="387"/>
    <d v="2011-01-17T00:00:00"/>
    <x v="0"/>
    <x v="0"/>
    <n v="14"/>
    <b v="1"/>
    <n v="1"/>
    <x v="1"/>
    <x v="15"/>
    <n v="0"/>
    <n v="0.28789999999999999"/>
    <n v="0.81"/>
    <n v="0"/>
    <n v="3"/>
    <n v="13"/>
    <n v="16"/>
    <x v="1"/>
    <x v="1"/>
  </r>
  <r>
    <n v="388"/>
    <d v="2011-01-17T00:00:00"/>
    <x v="0"/>
    <x v="0"/>
    <n v="15"/>
    <b v="1"/>
    <n v="1"/>
    <x v="1"/>
    <x v="2"/>
    <n v="0"/>
    <n v="0.28789999999999999"/>
    <n v="0.81"/>
    <n v="0"/>
    <n v="3"/>
    <n v="13"/>
    <n v="16"/>
    <x v="1"/>
    <x v="1"/>
  </r>
  <r>
    <n v="389"/>
    <d v="2011-01-17T00:00:00"/>
    <x v="0"/>
    <x v="0"/>
    <n v="16"/>
    <b v="1"/>
    <n v="1"/>
    <x v="1"/>
    <x v="2"/>
    <n v="0"/>
    <n v="0.28789999999999999"/>
    <n v="0.81"/>
    <n v="0"/>
    <n v="3"/>
    <n v="13"/>
    <n v="16"/>
    <x v="1"/>
    <x v="2"/>
  </r>
  <r>
    <n v="390"/>
    <d v="2011-01-17T00:00:00"/>
    <x v="0"/>
    <x v="0"/>
    <n v="17"/>
    <b v="1"/>
    <n v="1"/>
    <x v="0"/>
    <x v="2"/>
    <n v="0"/>
    <n v="0.28789999999999999"/>
    <n v="0.81"/>
    <n v="0"/>
    <n v="3"/>
    <n v="13"/>
    <n v="16"/>
    <x v="1"/>
    <x v="2"/>
  </r>
  <r>
    <n v="391"/>
    <d v="2011-01-17T00:00:00"/>
    <x v="0"/>
    <x v="0"/>
    <n v="18"/>
    <b v="1"/>
    <n v="1"/>
    <x v="1"/>
    <x v="15"/>
    <n v="0"/>
    <n v="0.28789999999999999"/>
    <n v="0.81"/>
    <n v="0"/>
    <n v="3"/>
    <n v="13"/>
    <n v="16"/>
    <x v="1"/>
    <x v="2"/>
  </r>
  <r>
    <n v="392"/>
    <d v="2011-01-17T00:00:00"/>
    <x v="0"/>
    <x v="0"/>
    <n v="19"/>
    <b v="1"/>
    <n v="1"/>
    <x v="2"/>
    <x v="15"/>
    <n v="0"/>
    <n v="0.28789999999999999"/>
    <n v="0.81"/>
    <n v="0"/>
    <n v="3"/>
    <n v="13"/>
    <n v="16"/>
    <x v="1"/>
    <x v="2"/>
  </r>
  <r>
    <n v="393"/>
    <d v="2011-01-17T00:00:00"/>
    <x v="0"/>
    <x v="0"/>
    <n v="20"/>
    <b v="1"/>
    <n v="1"/>
    <x v="2"/>
    <x v="13"/>
    <n v="0"/>
    <n v="0.28789999999999999"/>
    <n v="0.81"/>
    <n v="0"/>
    <n v="3"/>
    <n v="13"/>
    <n v="16"/>
    <x v="1"/>
    <x v="2"/>
  </r>
  <r>
    <n v="394"/>
    <d v="2011-01-17T00:00:00"/>
    <x v="0"/>
    <x v="0"/>
    <n v="21"/>
    <b v="1"/>
    <n v="1"/>
    <x v="2"/>
    <x v="13"/>
    <n v="0"/>
    <n v="0.28789999999999999"/>
    <n v="0.81"/>
    <n v="0"/>
    <n v="3"/>
    <n v="13"/>
    <n v="16"/>
    <x v="1"/>
    <x v="3"/>
  </r>
  <r>
    <n v="395"/>
    <d v="2011-01-17T00:00:00"/>
    <x v="0"/>
    <x v="0"/>
    <n v="22"/>
    <b v="1"/>
    <n v="1"/>
    <x v="2"/>
    <x v="14"/>
    <n v="0"/>
    <n v="0.28789999999999999"/>
    <n v="0.81"/>
    <n v="0"/>
    <n v="3"/>
    <n v="13"/>
    <n v="16"/>
    <x v="1"/>
    <x v="3"/>
  </r>
  <r>
    <n v="396"/>
    <d v="2011-01-17T00:00:00"/>
    <x v="0"/>
    <x v="0"/>
    <n v="23"/>
    <b v="1"/>
    <n v="1"/>
    <x v="2"/>
    <x v="13"/>
    <n v="0"/>
    <n v="0.28789999999999999"/>
    <n v="0.81"/>
    <n v="0"/>
    <n v="3"/>
    <n v="13"/>
    <n v="16"/>
    <x v="1"/>
    <x v="3"/>
  </r>
  <r>
    <n v="397"/>
    <d v="2011-01-18T00:00:00"/>
    <x v="0"/>
    <x v="0"/>
    <n v="12"/>
    <b v="0"/>
    <n v="2"/>
    <x v="1"/>
    <x v="2"/>
    <n v="0"/>
    <n v="0.28789999999999999"/>
    <n v="0.81"/>
    <n v="0"/>
    <n v="3"/>
    <n v="13"/>
    <n v="16"/>
    <x v="1"/>
    <x v="1"/>
  </r>
  <r>
    <n v="398"/>
    <d v="2011-01-18T00:00:00"/>
    <x v="0"/>
    <x v="0"/>
    <n v="13"/>
    <b v="0"/>
    <n v="2"/>
    <x v="1"/>
    <x v="2"/>
    <n v="0"/>
    <n v="0.28789999999999999"/>
    <n v="0.81"/>
    <n v="0"/>
    <n v="3"/>
    <n v="13"/>
    <n v="16"/>
    <x v="1"/>
    <x v="1"/>
  </r>
  <r>
    <n v="399"/>
    <d v="2011-01-18T00:00:00"/>
    <x v="0"/>
    <x v="0"/>
    <n v="14"/>
    <b v="0"/>
    <n v="2"/>
    <x v="1"/>
    <x v="1"/>
    <n v="0"/>
    <n v="0.28789999999999999"/>
    <n v="0.81"/>
    <n v="0"/>
    <n v="3"/>
    <n v="13"/>
    <n v="16"/>
    <x v="1"/>
    <x v="1"/>
  </r>
  <r>
    <n v="400"/>
    <d v="2011-01-18T00:00:00"/>
    <x v="0"/>
    <x v="0"/>
    <n v="15"/>
    <b v="0"/>
    <n v="2"/>
    <x v="1"/>
    <x v="1"/>
    <n v="0"/>
    <n v="0.28789999999999999"/>
    <n v="0.81"/>
    <n v="0"/>
    <n v="3"/>
    <n v="13"/>
    <n v="16"/>
    <x v="1"/>
    <x v="1"/>
  </r>
  <r>
    <n v="401"/>
    <d v="2011-01-18T00:00:00"/>
    <x v="0"/>
    <x v="0"/>
    <n v="16"/>
    <b v="0"/>
    <n v="2"/>
    <x v="1"/>
    <x v="1"/>
    <n v="0"/>
    <n v="0.28789999999999999"/>
    <n v="0.81"/>
    <n v="0"/>
    <n v="3"/>
    <n v="13"/>
    <n v="16"/>
    <x v="1"/>
    <x v="2"/>
  </r>
  <r>
    <n v="402"/>
    <d v="2011-01-18T00:00:00"/>
    <x v="0"/>
    <x v="0"/>
    <n v="17"/>
    <b v="0"/>
    <n v="2"/>
    <x v="1"/>
    <x v="1"/>
    <n v="0"/>
    <n v="0.28789999999999999"/>
    <n v="0.81"/>
    <n v="0"/>
    <n v="3"/>
    <n v="13"/>
    <n v="16"/>
    <x v="1"/>
    <x v="2"/>
  </r>
  <r>
    <n v="403"/>
    <d v="2011-01-18T00:00:00"/>
    <x v="0"/>
    <x v="0"/>
    <n v="18"/>
    <b v="0"/>
    <n v="2"/>
    <x v="1"/>
    <x v="1"/>
    <n v="0"/>
    <n v="0.28789999999999999"/>
    <n v="0.81"/>
    <n v="0"/>
    <n v="3"/>
    <n v="13"/>
    <n v="16"/>
    <x v="1"/>
    <x v="2"/>
  </r>
  <r>
    <n v="404"/>
    <d v="2011-01-18T00:00:00"/>
    <x v="0"/>
    <x v="0"/>
    <n v="19"/>
    <b v="0"/>
    <n v="2"/>
    <x v="1"/>
    <x v="1"/>
    <n v="0"/>
    <n v="0.28789999999999999"/>
    <n v="0.81"/>
    <n v="0"/>
    <n v="3"/>
    <n v="13"/>
    <n v="16"/>
    <x v="1"/>
    <x v="2"/>
  </r>
  <r>
    <n v="405"/>
    <d v="2011-01-18T00:00:00"/>
    <x v="0"/>
    <x v="0"/>
    <n v="20"/>
    <b v="0"/>
    <n v="2"/>
    <x v="1"/>
    <x v="1"/>
    <n v="0"/>
    <n v="0.28789999999999999"/>
    <n v="0.81"/>
    <n v="0"/>
    <n v="3"/>
    <n v="13"/>
    <n v="16"/>
    <x v="1"/>
    <x v="2"/>
  </r>
  <r>
    <n v="406"/>
    <d v="2011-01-18T00:00:00"/>
    <x v="0"/>
    <x v="0"/>
    <n v="21"/>
    <b v="0"/>
    <n v="2"/>
    <x v="1"/>
    <x v="1"/>
    <n v="0"/>
    <n v="0.28789999999999999"/>
    <n v="0.81"/>
    <n v="0"/>
    <n v="3"/>
    <n v="13"/>
    <n v="16"/>
    <x v="1"/>
    <x v="3"/>
  </r>
  <r>
    <n v="407"/>
    <d v="2011-01-18T00:00:00"/>
    <x v="0"/>
    <x v="0"/>
    <n v="22"/>
    <b v="0"/>
    <n v="2"/>
    <x v="1"/>
    <x v="1"/>
    <n v="0"/>
    <n v="0.28789999999999999"/>
    <n v="0.81"/>
    <n v="0"/>
    <n v="3"/>
    <n v="13"/>
    <n v="16"/>
    <x v="1"/>
    <x v="3"/>
  </r>
  <r>
    <n v="408"/>
    <d v="2011-01-18T00:00:00"/>
    <x v="0"/>
    <x v="0"/>
    <n v="23"/>
    <b v="0"/>
    <n v="2"/>
    <x v="1"/>
    <x v="1"/>
    <n v="0"/>
    <n v="0.28789999999999999"/>
    <n v="0.81"/>
    <n v="0"/>
    <n v="3"/>
    <n v="13"/>
    <n v="16"/>
    <x v="1"/>
    <x v="3"/>
  </r>
  <r>
    <n v="409"/>
    <d v="2011-01-19T00:00:00"/>
    <x v="0"/>
    <x v="0"/>
    <n v="0"/>
    <b v="0"/>
    <n v="3"/>
    <x v="1"/>
    <x v="1"/>
    <n v="0"/>
    <n v="0.28789999999999999"/>
    <n v="0.81"/>
    <n v="0"/>
    <n v="3"/>
    <n v="13"/>
    <n v="16"/>
    <x v="1"/>
    <x v="0"/>
  </r>
  <r>
    <n v="410"/>
    <d v="2011-01-19T00:00:00"/>
    <x v="0"/>
    <x v="0"/>
    <n v="1"/>
    <b v="0"/>
    <n v="3"/>
    <x v="2"/>
    <x v="1"/>
    <n v="0"/>
    <n v="0.28789999999999999"/>
    <n v="0.81"/>
    <n v="0"/>
    <n v="3"/>
    <n v="13"/>
    <n v="16"/>
    <x v="1"/>
    <x v="0"/>
  </r>
  <r>
    <n v="411"/>
    <d v="2011-01-19T00:00:00"/>
    <x v="0"/>
    <x v="0"/>
    <n v="2"/>
    <b v="0"/>
    <n v="3"/>
    <x v="2"/>
    <x v="1"/>
    <n v="0"/>
    <n v="0.28789999999999999"/>
    <n v="0.81"/>
    <n v="0"/>
    <n v="3"/>
    <n v="13"/>
    <n v="16"/>
    <x v="1"/>
    <x v="0"/>
  </r>
  <r>
    <n v="412"/>
    <d v="2011-01-19T00:00:00"/>
    <x v="0"/>
    <x v="0"/>
    <n v="4"/>
    <b v="0"/>
    <n v="3"/>
    <x v="2"/>
    <x v="1"/>
    <n v="0"/>
    <n v="0.28789999999999999"/>
    <n v="0.81"/>
    <n v="0"/>
    <n v="3"/>
    <n v="13"/>
    <n v="16"/>
    <x v="1"/>
    <x v="0"/>
  </r>
  <r>
    <n v="413"/>
    <d v="2011-01-19T00:00:00"/>
    <x v="0"/>
    <x v="0"/>
    <n v="5"/>
    <b v="0"/>
    <n v="3"/>
    <x v="1"/>
    <x v="1"/>
    <n v="0"/>
    <n v="0.28789999999999999"/>
    <n v="0.81"/>
    <n v="0"/>
    <n v="3"/>
    <n v="13"/>
    <n v="16"/>
    <x v="1"/>
    <x v="0"/>
  </r>
  <r>
    <n v="414"/>
    <d v="2011-01-19T00:00:00"/>
    <x v="0"/>
    <x v="0"/>
    <n v="6"/>
    <b v="0"/>
    <n v="3"/>
    <x v="1"/>
    <x v="1"/>
    <n v="0"/>
    <n v="0.28789999999999999"/>
    <n v="0.81"/>
    <n v="0"/>
    <n v="3"/>
    <n v="13"/>
    <n v="16"/>
    <x v="1"/>
    <x v="0"/>
  </r>
  <r>
    <n v="415"/>
    <d v="2011-01-19T00:00:00"/>
    <x v="0"/>
    <x v="0"/>
    <n v="7"/>
    <b v="0"/>
    <n v="3"/>
    <x v="1"/>
    <x v="0"/>
    <n v="0"/>
    <n v="0.28789999999999999"/>
    <n v="0.81"/>
    <n v="0"/>
    <n v="3"/>
    <n v="13"/>
    <n v="16"/>
    <x v="1"/>
    <x v="0"/>
  </r>
  <r>
    <n v="416"/>
    <d v="2011-01-19T00:00:00"/>
    <x v="0"/>
    <x v="0"/>
    <n v="8"/>
    <b v="0"/>
    <n v="3"/>
    <x v="1"/>
    <x v="0"/>
    <n v="0"/>
    <n v="0.28789999999999999"/>
    <n v="0.81"/>
    <n v="0"/>
    <n v="3"/>
    <n v="13"/>
    <n v="16"/>
    <x v="1"/>
    <x v="0"/>
  </r>
  <r>
    <n v="417"/>
    <d v="2011-01-19T00:00:00"/>
    <x v="0"/>
    <x v="0"/>
    <n v="9"/>
    <b v="0"/>
    <n v="3"/>
    <x v="1"/>
    <x v="0"/>
    <n v="0"/>
    <n v="0.28789999999999999"/>
    <n v="0.81"/>
    <n v="0"/>
    <n v="3"/>
    <n v="13"/>
    <n v="16"/>
    <x v="1"/>
    <x v="0"/>
  </r>
  <r>
    <n v="418"/>
    <d v="2011-01-19T00:00:00"/>
    <x v="0"/>
    <x v="0"/>
    <n v="10"/>
    <b v="0"/>
    <n v="3"/>
    <x v="1"/>
    <x v="12"/>
    <n v="0"/>
    <n v="0.28789999999999999"/>
    <n v="0.81"/>
    <n v="0"/>
    <n v="3"/>
    <n v="13"/>
    <n v="16"/>
    <x v="1"/>
    <x v="0"/>
  </r>
  <r>
    <n v="419"/>
    <d v="2011-01-19T00:00:00"/>
    <x v="0"/>
    <x v="0"/>
    <n v="11"/>
    <b v="0"/>
    <n v="3"/>
    <x v="1"/>
    <x v="17"/>
    <n v="0"/>
    <n v="0.28789999999999999"/>
    <n v="0.81"/>
    <n v="0"/>
    <n v="3"/>
    <n v="13"/>
    <n v="16"/>
    <x v="1"/>
    <x v="0"/>
  </r>
  <r>
    <n v="420"/>
    <d v="2011-01-19T00:00:00"/>
    <x v="0"/>
    <x v="0"/>
    <n v="12"/>
    <b v="0"/>
    <n v="3"/>
    <x v="1"/>
    <x v="11"/>
    <n v="0"/>
    <n v="0.28789999999999999"/>
    <n v="0.81"/>
    <n v="0"/>
    <n v="3"/>
    <n v="13"/>
    <n v="16"/>
    <x v="1"/>
    <x v="1"/>
  </r>
  <r>
    <n v="421"/>
    <d v="2011-01-19T00:00:00"/>
    <x v="0"/>
    <x v="0"/>
    <n v="13"/>
    <b v="0"/>
    <n v="3"/>
    <x v="0"/>
    <x v="9"/>
    <n v="0"/>
    <n v="0.28789999999999999"/>
    <n v="0.81"/>
    <n v="0"/>
    <n v="3"/>
    <n v="13"/>
    <n v="16"/>
    <x v="1"/>
    <x v="1"/>
  </r>
  <r>
    <n v="422"/>
    <d v="2011-01-19T00:00:00"/>
    <x v="0"/>
    <x v="0"/>
    <n v="14"/>
    <b v="0"/>
    <n v="3"/>
    <x v="0"/>
    <x v="9"/>
    <n v="0"/>
    <n v="0.28789999999999999"/>
    <n v="0.81"/>
    <n v="0"/>
    <n v="3"/>
    <n v="13"/>
    <n v="16"/>
    <x v="1"/>
    <x v="1"/>
  </r>
  <r>
    <n v="423"/>
    <d v="2011-01-19T00:00:00"/>
    <x v="0"/>
    <x v="0"/>
    <n v="15"/>
    <b v="0"/>
    <n v="3"/>
    <x v="0"/>
    <x v="9"/>
    <n v="0"/>
    <n v="0.28789999999999999"/>
    <n v="0.81"/>
    <n v="0"/>
    <n v="3"/>
    <n v="13"/>
    <n v="16"/>
    <x v="1"/>
    <x v="1"/>
  </r>
  <r>
    <n v="424"/>
    <d v="2011-01-19T00:00:00"/>
    <x v="0"/>
    <x v="0"/>
    <n v="16"/>
    <b v="0"/>
    <n v="3"/>
    <x v="0"/>
    <x v="4"/>
    <n v="0"/>
    <n v="0.28789999999999999"/>
    <n v="0.81"/>
    <n v="0"/>
    <n v="3"/>
    <n v="13"/>
    <n v="16"/>
    <x v="1"/>
    <x v="2"/>
  </r>
  <r>
    <n v="425"/>
    <d v="2011-01-19T00:00:00"/>
    <x v="0"/>
    <x v="0"/>
    <n v="17"/>
    <b v="0"/>
    <n v="3"/>
    <x v="0"/>
    <x v="5"/>
    <n v="0"/>
    <n v="0.28789999999999999"/>
    <n v="0.81"/>
    <n v="0"/>
    <n v="3"/>
    <n v="13"/>
    <n v="16"/>
    <x v="1"/>
    <x v="2"/>
  </r>
  <r>
    <n v="426"/>
    <d v="2011-01-19T00:00:00"/>
    <x v="0"/>
    <x v="0"/>
    <n v="18"/>
    <b v="0"/>
    <n v="3"/>
    <x v="0"/>
    <x v="10"/>
    <n v="0"/>
    <n v="0.28789999999999999"/>
    <n v="0.81"/>
    <n v="0"/>
    <n v="3"/>
    <n v="13"/>
    <n v="16"/>
    <x v="1"/>
    <x v="2"/>
  </r>
  <r>
    <n v="427"/>
    <d v="2011-01-19T00:00:00"/>
    <x v="0"/>
    <x v="0"/>
    <n v="19"/>
    <b v="0"/>
    <n v="3"/>
    <x v="0"/>
    <x v="3"/>
    <n v="0"/>
    <n v="0.28789999999999999"/>
    <n v="0.81"/>
    <n v="0"/>
    <n v="3"/>
    <n v="13"/>
    <n v="16"/>
    <x v="1"/>
    <x v="2"/>
  </r>
  <r>
    <n v="428"/>
    <d v="2011-01-19T00:00:00"/>
    <x v="0"/>
    <x v="0"/>
    <n v="20"/>
    <b v="0"/>
    <n v="3"/>
    <x v="0"/>
    <x v="3"/>
    <n v="0"/>
    <n v="0.28789999999999999"/>
    <n v="0.81"/>
    <n v="0"/>
    <n v="3"/>
    <n v="13"/>
    <n v="16"/>
    <x v="1"/>
    <x v="2"/>
  </r>
  <r>
    <n v="429"/>
    <d v="2011-01-19T00:00:00"/>
    <x v="0"/>
    <x v="0"/>
    <n v="21"/>
    <b v="0"/>
    <n v="3"/>
    <x v="0"/>
    <x v="3"/>
    <n v="0"/>
    <n v="0.28789999999999999"/>
    <n v="0.81"/>
    <n v="0"/>
    <n v="3"/>
    <n v="13"/>
    <n v="16"/>
    <x v="1"/>
    <x v="3"/>
  </r>
  <r>
    <n v="430"/>
    <d v="2011-01-19T00:00:00"/>
    <x v="0"/>
    <x v="0"/>
    <n v="22"/>
    <b v="0"/>
    <n v="3"/>
    <x v="0"/>
    <x v="11"/>
    <n v="0"/>
    <n v="0.28789999999999999"/>
    <n v="0.81"/>
    <n v="0"/>
    <n v="3"/>
    <n v="13"/>
    <n v="16"/>
    <x v="1"/>
    <x v="3"/>
  </r>
  <r>
    <n v="431"/>
    <d v="2011-01-19T00:00:00"/>
    <x v="0"/>
    <x v="0"/>
    <n v="23"/>
    <b v="0"/>
    <n v="3"/>
    <x v="0"/>
    <x v="11"/>
    <n v="0"/>
    <n v="0.28789999999999999"/>
    <n v="0.81"/>
    <n v="0"/>
    <n v="3"/>
    <n v="13"/>
    <n v="16"/>
    <x v="1"/>
    <x v="3"/>
  </r>
  <r>
    <n v="432"/>
    <d v="2011-01-20T00:00:00"/>
    <x v="0"/>
    <x v="0"/>
    <n v="0"/>
    <b v="0"/>
    <n v="4"/>
    <x v="0"/>
    <x v="12"/>
    <n v="0"/>
    <n v="0.28789999999999999"/>
    <n v="0.81"/>
    <n v="0"/>
    <n v="3"/>
    <n v="13"/>
    <n v="16"/>
    <x v="1"/>
    <x v="0"/>
  </r>
  <r>
    <n v="433"/>
    <d v="2011-01-20T00:00:00"/>
    <x v="0"/>
    <x v="0"/>
    <n v="1"/>
    <b v="0"/>
    <n v="4"/>
    <x v="0"/>
    <x v="12"/>
    <n v="0"/>
    <n v="0.28789999999999999"/>
    <n v="0.81"/>
    <n v="0"/>
    <n v="3"/>
    <n v="13"/>
    <n v="16"/>
    <x v="1"/>
    <x v="0"/>
  </r>
  <r>
    <n v="434"/>
    <d v="2011-01-20T00:00:00"/>
    <x v="0"/>
    <x v="0"/>
    <n v="2"/>
    <b v="0"/>
    <n v="4"/>
    <x v="0"/>
    <x v="12"/>
    <n v="0"/>
    <n v="0.28789999999999999"/>
    <n v="0.81"/>
    <n v="0"/>
    <n v="3"/>
    <n v="13"/>
    <n v="16"/>
    <x v="1"/>
    <x v="0"/>
  </r>
  <r>
    <n v="435"/>
    <d v="2011-01-20T00:00:00"/>
    <x v="0"/>
    <x v="0"/>
    <n v="3"/>
    <b v="0"/>
    <n v="4"/>
    <x v="0"/>
    <x v="12"/>
    <n v="0"/>
    <n v="0.28789999999999999"/>
    <n v="0.81"/>
    <n v="0"/>
    <n v="3"/>
    <n v="13"/>
    <n v="16"/>
    <x v="1"/>
    <x v="0"/>
  </r>
  <r>
    <n v="436"/>
    <d v="2011-01-20T00:00:00"/>
    <x v="0"/>
    <x v="0"/>
    <n v="4"/>
    <b v="0"/>
    <n v="4"/>
    <x v="0"/>
    <x v="12"/>
    <n v="0"/>
    <n v="0.28789999999999999"/>
    <n v="0.81"/>
    <n v="0"/>
    <n v="3"/>
    <n v="13"/>
    <n v="16"/>
    <x v="1"/>
    <x v="0"/>
  </r>
  <r>
    <n v="437"/>
    <d v="2011-01-20T00:00:00"/>
    <x v="0"/>
    <x v="0"/>
    <n v="5"/>
    <b v="0"/>
    <n v="4"/>
    <x v="0"/>
    <x v="0"/>
    <n v="0"/>
    <n v="0.28789999999999999"/>
    <n v="0.81"/>
    <n v="0"/>
    <n v="3"/>
    <n v="13"/>
    <n v="16"/>
    <x v="1"/>
    <x v="0"/>
  </r>
  <r>
    <n v="438"/>
    <d v="2011-01-20T00:00:00"/>
    <x v="0"/>
    <x v="0"/>
    <n v="6"/>
    <b v="0"/>
    <n v="4"/>
    <x v="0"/>
    <x v="1"/>
    <n v="0"/>
    <n v="0.28789999999999999"/>
    <n v="0.81"/>
    <n v="0"/>
    <n v="3"/>
    <n v="13"/>
    <n v="16"/>
    <x v="1"/>
    <x v="0"/>
  </r>
  <r>
    <n v="439"/>
    <d v="2011-01-20T00:00:00"/>
    <x v="0"/>
    <x v="0"/>
    <n v="7"/>
    <b v="0"/>
    <n v="4"/>
    <x v="0"/>
    <x v="1"/>
    <n v="0"/>
    <n v="0.28789999999999999"/>
    <n v="0.81"/>
    <n v="0"/>
    <n v="3"/>
    <n v="13"/>
    <n v="16"/>
    <x v="1"/>
    <x v="0"/>
  </r>
  <r>
    <n v="440"/>
    <d v="2011-01-20T00:00:00"/>
    <x v="0"/>
    <x v="0"/>
    <n v="8"/>
    <b v="0"/>
    <n v="4"/>
    <x v="0"/>
    <x v="1"/>
    <n v="0"/>
    <n v="0.28789999999999999"/>
    <n v="0.81"/>
    <n v="0"/>
    <n v="3"/>
    <n v="13"/>
    <n v="16"/>
    <x v="1"/>
    <x v="0"/>
  </r>
  <r>
    <n v="441"/>
    <d v="2011-01-20T00:00:00"/>
    <x v="0"/>
    <x v="0"/>
    <n v="9"/>
    <b v="0"/>
    <n v="4"/>
    <x v="1"/>
    <x v="0"/>
    <n v="0"/>
    <n v="0.28789999999999999"/>
    <n v="0.81"/>
    <n v="0"/>
    <n v="3"/>
    <n v="13"/>
    <n v="16"/>
    <x v="1"/>
    <x v="0"/>
  </r>
  <r>
    <n v="442"/>
    <d v="2011-01-20T00:00:00"/>
    <x v="0"/>
    <x v="0"/>
    <n v="10"/>
    <b v="0"/>
    <n v="4"/>
    <x v="0"/>
    <x v="12"/>
    <n v="0"/>
    <n v="0.28789999999999999"/>
    <n v="0.81"/>
    <n v="0"/>
    <n v="3"/>
    <n v="13"/>
    <n v="16"/>
    <x v="1"/>
    <x v="0"/>
  </r>
  <r>
    <n v="443"/>
    <d v="2011-01-20T00:00:00"/>
    <x v="0"/>
    <x v="0"/>
    <n v="11"/>
    <b v="0"/>
    <n v="4"/>
    <x v="1"/>
    <x v="17"/>
    <n v="0"/>
    <n v="0.28789999999999999"/>
    <n v="0.81"/>
    <n v="0"/>
    <n v="3"/>
    <n v="13"/>
    <n v="16"/>
    <x v="1"/>
    <x v="0"/>
  </r>
  <r>
    <n v="444"/>
    <d v="2011-01-20T00:00:00"/>
    <x v="0"/>
    <x v="0"/>
    <n v="12"/>
    <b v="0"/>
    <n v="4"/>
    <x v="1"/>
    <x v="11"/>
    <n v="0"/>
    <n v="0.28789999999999999"/>
    <n v="0.81"/>
    <n v="0"/>
    <n v="3"/>
    <n v="13"/>
    <n v="16"/>
    <x v="1"/>
    <x v="1"/>
  </r>
  <r>
    <n v="445"/>
    <d v="2011-01-20T00:00:00"/>
    <x v="0"/>
    <x v="0"/>
    <n v="13"/>
    <b v="0"/>
    <n v="4"/>
    <x v="1"/>
    <x v="17"/>
    <n v="0"/>
    <n v="0.28789999999999999"/>
    <n v="0.81"/>
    <n v="0"/>
    <n v="3"/>
    <n v="13"/>
    <n v="16"/>
    <x v="1"/>
    <x v="1"/>
  </r>
  <r>
    <n v="446"/>
    <d v="2011-01-20T00:00:00"/>
    <x v="0"/>
    <x v="0"/>
    <n v="14"/>
    <b v="0"/>
    <n v="4"/>
    <x v="1"/>
    <x v="11"/>
    <n v="0"/>
    <n v="0.28789999999999999"/>
    <n v="0.81"/>
    <n v="0"/>
    <n v="3"/>
    <n v="13"/>
    <n v="16"/>
    <x v="1"/>
    <x v="1"/>
  </r>
  <r>
    <n v="447"/>
    <d v="2011-01-20T00:00:00"/>
    <x v="0"/>
    <x v="0"/>
    <n v="15"/>
    <b v="0"/>
    <n v="4"/>
    <x v="1"/>
    <x v="3"/>
    <n v="0"/>
    <n v="0.28789999999999999"/>
    <n v="0.81"/>
    <n v="0"/>
    <n v="3"/>
    <n v="13"/>
    <n v="16"/>
    <x v="1"/>
    <x v="1"/>
  </r>
  <r>
    <n v="448"/>
    <d v="2011-01-20T00:00:00"/>
    <x v="0"/>
    <x v="0"/>
    <n v="16"/>
    <b v="0"/>
    <n v="4"/>
    <x v="1"/>
    <x v="11"/>
    <n v="0"/>
    <n v="0.28789999999999999"/>
    <n v="0.81"/>
    <n v="0"/>
    <n v="3"/>
    <n v="13"/>
    <n v="16"/>
    <x v="1"/>
    <x v="2"/>
  </r>
  <r>
    <n v="449"/>
    <d v="2011-01-20T00:00:00"/>
    <x v="0"/>
    <x v="0"/>
    <n v="17"/>
    <b v="0"/>
    <n v="4"/>
    <x v="1"/>
    <x v="11"/>
    <n v="0"/>
    <n v="0.28789999999999999"/>
    <n v="0.81"/>
    <n v="0"/>
    <n v="3"/>
    <n v="13"/>
    <n v="16"/>
    <x v="1"/>
    <x v="2"/>
  </r>
  <r>
    <n v="450"/>
    <d v="2011-01-20T00:00:00"/>
    <x v="0"/>
    <x v="0"/>
    <n v="18"/>
    <b v="0"/>
    <n v="4"/>
    <x v="1"/>
    <x v="12"/>
    <n v="0"/>
    <n v="0.28789999999999999"/>
    <n v="0.81"/>
    <n v="0"/>
    <n v="3"/>
    <n v="13"/>
    <n v="16"/>
    <x v="1"/>
    <x v="2"/>
  </r>
  <r>
    <n v="451"/>
    <d v="2011-01-20T00:00:00"/>
    <x v="0"/>
    <x v="0"/>
    <n v="19"/>
    <b v="0"/>
    <n v="4"/>
    <x v="0"/>
    <x v="12"/>
    <n v="0"/>
    <n v="0.28789999999999999"/>
    <n v="0.81"/>
    <n v="0"/>
    <n v="3"/>
    <n v="13"/>
    <n v="16"/>
    <x v="1"/>
    <x v="2"/>
  </r>
  <r>
    <n v="452"/>
    <d v="2011-01-20T00:00:00"/>
    <x v="0"/>
    <x v="0"/>
    <n v="20"/>
    <b v="0"/>
    <n v="4"/>
    <x v="1"/>
    <x v="12"/>
    <n v="0"/>
    <n v="0.28789999999999999"/>
    <n v="0.81"/>
    <n v="0"/>
    <n v="3"/>
    <n v="13"/>
    <n v="16"/>
    <x v="1"/>
    <x v="2"/>
  </r>
  <r>
    <n v="453"/>
    <d v="2011-01-20T00:00:00"/>
    <x v="0"/>
    <x v="0"/>
    <n v="21"/>
    <b v="0"/>
    <n v="4"/>
    <x v="1"/>
    <x v="0"/>
    <n v="0"/>
    <n v="0.28789999999999999"/>
    <n v="0.81"/>
    <n v="0"/>
    <n v="3"/>
    <n v="13"/>
    <n v="16"/>
    <x v="1"/>
    <x v="3"/>
  </r>
  <r>
    <n v="454"/>
    <d v="2011-01-20T00:00:00"/>
    <x v="0"/>
    <x v="0"/>
    <n v="22"/>
    <b v="0"/>
    <n v="4"/>
    <x v="1"/>
    <x v="0"/>
    <n v="0"/>
    <n v="0.28789999999999999"/>
    <n v="0.81"/>
    <n v="0"/>
    <n v="3"/>
    <n v="13"/>
    <n v="16"/>
    <x v="1"/>
    <x v="3"/>
  </r>
  <r>
    <n v="455"/>
    <d v="2011-01-20T00:00:00"/>
    <x v="0"/>
    <x v="0"/>
    <n v="23"/>
    <b v="0"/>
    <n v="4"/>
    <x v="1"/>
    <x v="0"/>
    <n v="0"/>
    <n v="0.28789999999999999"/>
    <n v="0.81"/>
    <n v="0"/>
    <n v="3"/>
    <n v="13"/>
    <n v="16"/>
    <x v="1"/>
    <x v="3"/>
  </r>
  <r>
    <n v="456"/>
    <d v="2011-01-21T00:00:00"/>
    <x v="0"/>
    <x v="0"/>
    <n v="0"/>
    <b v="0"/>
    <n v="5"/>
    <x v="1"/>
    <x v="0"/>
    <n v="0"/>
    <n v="0.28789999999999999"/>
    <n v="0.81"/>
    <n v="0"/>
    <n v="3"/>
    <n v="13"/>
    <n v="16"/>
    <x v="0"/>
    <x v="0"/>
  </r>
  <r>
    <n v="457"/>
    <d v="2011-01-21T00:00:00"/>
    <x v="0"/>
    <x v="0"/>
    <n v="1"/>
    <b v="0"/>
    <n v="5"/>
    <x v="1"/>
    <x v="0"/>
    <n v="0"/>
    <n v="0.28789999999999999"/>
    <n v="0.81"/>
    <n v="0"/>
    <n v="3"/>
    <n v="13"/>
    <n v="16"/>
    <x v="0"/>
    <x v="0"/>
  </r>
  <r>
    <n v="458"/>
    <d v="2011-01-21T00:00:00"/>
    <x v="0"/>
    <x v="0"/>
    <n v="2"/>
    <b v="0"/>
    <n v="5"/>
    <x v="2"/>
    <x v="0"/>
    <n v="0"/>
    <n v="0.28789999999999999"/>
    <n v="0.81"/>
    <n v="0"/>
    <n v="3"/>
    <n v="13"/>
    <n v="16"/>
    <x v="0"/>
    <x v="0"/>
  </r>
  <r>
    <n v="459"/>
    <d v="2011-01-21T00:00:00"/>
    <x v="0"/>
    <x v="0"/>
    <n v="3"/>
    <b v="0"/>
    <n v="5"/>
    <x v="2"/>
    <x v="1"/>
    <n v="0"/>
    <n v="0.28789999999999999"/>
    <n v="0.81"/>
    <n v="0"/>
    <n v="3"/>
    <n v="13"/>
    <n v="16"/>
    <x v="0"/>
    <x v="0"/>
  </r>
  <r>
    <n v="460"/>
    <d v="2011-01-21T00:00:00"/>
    <x v="0"/>
    <x v="0"/>
    <n v="4"/>
    <b v="0"/>
    <n v="5"/>
    <x v="1"/>
    <x v="1"/>
    <n v="0"/>
    <n v="0.28789999999999999"/>
    <n v="0.81"/>
    <n v="0"/>
    <n v="3"/>
    <n v="13"/>
    <n v="16"/>
    <x v="0"/>
    <x v="0"/>
  </r>
  <r>
    <n v="461"/>
    <d v="2011-01-21T00:00:00"/>
    <x v="0"/>
    <x v="0"/>
    <n v="5"/>
    <b v="0"/>
    <n v="5"/>
    <x v="0"/>
    <x v="0"/>
    <n v="0"/>
    <n v="0.28789999999999999"/>
    <n v="0.81"/>
    <n v="0"/>
    <n v="3"/>
    <n v="13"/>
    <n v="16"/>
    <x v="0"/>
    <x v="0"/>
  </r>
  <r>
    <n v="462"/>
    <d v="2011-01-21T00:00:00"/>
    <x v="0"/>
    <x v="0"/>
    <n v="6"/>
    <b v="0"/>
    <n v="5"/>
    <x v="0"/>
    <x v="1"/>
    <n v="0"/>
    <n v="0.28789999999999999"/>
    <n v="0.81"/>
    <n v="0"/>
    <n v="3"/>
    <n v="13"/>
    <n v="16"/>
    <x v="0"/>
    <x v="0"/>
  </r>
  <r>
    <n v="463"/>
    <d v="2011-01-21T00:00:00"/>
    <x v="0"/>
    <x v="0"/>
    <n v="7"/>
    <b v="0"/>
    <n v="5"/>
    <x v="0"/>
    <x v="2"/>
    <n v="0"/>
    <n v="0.28789999999999999"/>
    <n v="0.81"/>
    <n v="0"/>
    <n v="3"/>
    <n v="13"/>
    <n v="16"/>
    <x v="0"/>
    <x v="0"/>
  </r>
  <r>
    <n v="464"/>
    <d v="2011-01-21T00:00:00"/>
    <x v="0"/>
    <x v="0"/>
    <n v="8"/>
    <b v="0"/>
    <n v="5"/>
    <x v="0"/>
    <x v="2"/>
    <n v="0"/>
    <n v="0.28789999999999999"/>
    <n v="0.81"/>
    <n v="0"/>
    <n v="3"/>
    <n v="13"/>
    <n v="16"/>
    <x v="0"/>
    <x v="0"/>
  </r>
  <r>
    <n v="465"/>
    <d v="2011-01-21T00:00:00"/>
    <x v="0"/>
    <x v="0"/>
    <n v="9"/>
    <b v="0"/>
    <n v="5"/>
    <x v="0"/>
    <x v="2"/>
    <n v="0"/>
    <n v="0.28789999999999999"/>
    <n v="0.81"/>
    <n v="0"/>
    <n v="3"/>
    <n v="13"/>
    <n v="16"/>
    <x v="0"/>
    <x v="0"/>
  </r>
  <r>
    <n v="466"/>
    <d v="2011-01-21T00:00:00"/>
    <x v="0"/>
    <x v="0"/>
    <n v="10"/>
    <b v="0"/>
    <n v="5"/>
    <x v="0"/>
    <x v="2"/>
    <n v="0"/>
    <n v="0.28789999999999999"/>
    <n v="0.81"/>
    <n v="0"/>
    <n v="3"/>
    <n v="13"/>
    <n v="16"/>
    <x v="0"/>
    <x v="0"/>
  </r>
  <r>
    <n v="467"/>
    <d v="2011-01-21T00:00:00"/>
    <x v="0"/>
    <x v="0"/>
    <n v="11"/>
    <b v="0"/>
    <n v="5"/>
    <x v="0"/>
    <x v="1"/>
    <n v="0"/>
    <n v="0.28789999999999999"/>
    <n v="0.81"/>
    <n v="0"/>
    <n v="3"/>
    <n v="13"/>
    <n v="16"/>
    <x v="0"/>
    <x v="0"/>
  </r>
  <r>
    <n v="468"/>
    <d v="2011-01-21T00:00:00"/>
    <x v="0"/>
    <x v="0"/>
    <n v="12"/>
    <b v="0"/>
    <n v="5"/>
    <x v="0"/>
    <x v="1"/>
    <n v="0"/>
    <n v="0.28789999999999999"/>
    <n v="0.81"/>
    <n v="0"/>
    <n v="3"/>
    <n v="13"/>
    <n v="16"/>
    <x v="0"/>
    <x v="1"/>
  </r>
  <r>
    <n v="469"/>
    <d v="2011-01-21T00:00:00"/>
    <x v="0"/>
    <x v="0"/>
    <n v="13"/>
    <b v="0"/>
    <n v="5"/>
    <x v="0"/>
    <x v="2"/>
    <n v="0"/>
    <n v="0.28789999999999999"/>
    <n v="0.81"/>
    <n v="0"/>
    <n v="3"/>
    <n v="13"/>
    <n v="16"/>
    <x v="0"/>
    <x v="1"/>
  </r>
  <r>
    <n v="470"/>
    <d v="2011-01-21T00:00:00"/>
    <x v="0"/>
    <x v="0"/>
    <n v="14"/>
    <b v="0"/>
    <n v="5"/>
    <x v="0"/>
    <x v="2"/>
    <n v="0"/>
    <n v="0.28789999999999999"/>
    <n v="0.81"/>
    <n v="0"/>
    <n v="3"/>
    <n v="13"/>
    <n v="16"/>
    <x v="0"/>
    <x v="1"/>
  </r>
  <r>
    <n v="471"/>
    <d v="2011-01-21T00:00:00"/>
    <x v="0"/>
    <x v="0"/>
    <n v="15"/>
    <b v="0"/>
    <n v="5"/>
    <x v="0"/>
    <x v="13"/>
    <n v="0"/>
    <n v="0.28789999999999999"/>
    <n v="0.81"/>
    <n v="0"/>
    <n v="3"/>
    <n v="13"/>
    <n v="16"/>
    <x v="0"/>
    <x v="1"/>
  </r>
  <r>
    <n v="472"/>
    <d v="2011-01-21T00:00:00"/>
    <x v="0"/>
    <x v="0"/>
    <n v="16"/>
    <b v="0"/>
    <n v="5"/>
    <x v="0"/>
    <x v="13"/>
    <n v="0"/>
    <n v="0.28789999999999999"/>
    <n v="0.81"/>
    <n v="0"/>
    <n v="3"/>
    <n v="13"/>
    <n v="16"/>
    <x v="0"/>
    <x v="2"/>
  </r>
  <r>
    <n v="473"/>
    <d v="2011-01-21T00:00:00"/>
    <x v="0"/>
    <x v="0"/>
    <n v="17"/>
    <b v="0"/>
    <n v="5"/>
    <x v="0"/>
    <x v="14"/>
    <n v="0"/>
    <n v="0.28789999999999999"/>
    <n v="0.81"/>
    <n v="0"/>
    <n v="3"/>
    <n v="13"/>
    <n v="16"/>
    <x v="0"/>
    <x v="2"/>
  </r>
  <r>
    <n v="474"/>
    <d v="2011-01-21T00:00:00"/>
    <x v="0"/>
    <x v="0"/>
    <n v="18"/>
    <b v="0"/>
    <n v="5"/>
    <x v="0"/>
    <x v="16"/>
    <n v="0"/>
    <n v="0.28789999999999999"/>
    <n v="0.81"/>
    <n v="0"/>
    <n v="3"/>
    <n v="13"/>
    <n v="16"/>
    <x v="0"/>
    <x v="2"/>
  </r>
  <r>
    <n v="475"/>
    <d v="2011-01-21T00:00:00"/>
    <x v="0"/>
    <x v="0"/>
    <n v="19"/>
    <b v="0"/>
    <n v="5"/>
    <x v="0"/>
    <x v="16"/>
    <n v="0"/>
    <n v="0.28789999999999999"/>
    <n v="0.81"/>
    <n v="0"/>
    <n v="3"/>
    <n v="13"/>
    <n v="16"/>
    <x v="0"/>
    <x v="2"/>
  </r>
  <r>
    <n v="476"/>
    <d v="2011-01-21T00:00:00"/>
    <x v="0"/>
    <x v="0"/>
    <n v="20"/>
    <b v="0"/>
    <n v="5"/>
    <x v="0"/>
    <x v="18"/>
    <n v="0"/>
    <n v="0.28789999999999999"/>
    <n v="0.81"/>
    <n v="0"/>
    <n v="3"/>
    <n v="13"/>
    <n v="16"/>
    <x v="0"/>
    <x v="2"/>
  </r>
  <r>
    <n v="477"/>
    <d v="2011-01-21T00:00:00"/>
    <x v="0"/>
    <x v="0"/>
    <n v="21"/>
    <b v="0"/>
    <n v="5"/>
    <x v="0"/>
    <x v="19"/>
    <n v="0"/>
    <n v="0.28789999999999999"/>
    <n v="0.81"/>
    <n v="0"/>
    <n v="3"/>
    <n v="13"/>
    <n v="16"/>
    <x v="0"/>
    <x v="3"/>
  </r>
  <r>
    <n v="478"/>
    <d v="2011-01-21T00:00:00"/>
    <x v="0"/>
    <x v="0"/>
    <n v="22"/>
    <b v="0"/>
    <n v="5"/>
    <x v="0"/>
    <x v="20"/>
    <n v="0"/>
    <n v="0.28789999999999999"/>
    <n v="0.81"/>
    <n v="0"/>
    <n v="3"/>
    <n v="13"/>
    <n v="16"/>
    <x v="0"/>
    <x v="3"/>
  </r>
  <r>
    <n v="479"/>
    <d v="2011-01-21T00:00:00"/>
    <x v="0"/>
    <x v="0"/>
    <n v="23"/>
    <b v="0"/>
    <n v="5"/>
    <x v="0"/>
    <x v="20"/>
    <n v="0"/>
    <n v="0.28789999999999999"/>
    <n v="0.81"/>
    <n v="0"/>
    <n v="3"/>
    <n v="13"/>
    <n v="16"/>
    <x v="0"/>
    <x v="3"/>
  </r>
  <r>
    <n v="480"/>
    <d v="2011-01-22T00:00:00"/>
    <x v="0"/>
    <x v="0"/>
    <n v="0"/>
    <b v="0"/>
    <n v="6"/>
    <x v="0"/>
    <x v="21"/>
    <n v="0"/>
    <n v="0.28789999999999999"/>
    <n v="0.81"/>
    <n v="0"/>
    <n v="3"/>
    <n v="13"/>
    <n v="16"/>
    <x v="0"/>
    <x v="0"/>
  </r>
  <r>
    <n v="481"/>
    <d v="2011-01-22T00:00:00"/>
    <x v="0"/>
    <x v="0"/>
    <n v="1"/>
    <b v="0"/>
    <n v="6"/>
    <x v="1"/>
    <x v="21"/>
    <n v="0"/>
    <n v="0.28789999999999999"/>
    <n v="0.81"/>
    <n v="0"/>
    <n v="3"/>
    <n v="13"/>
    <n v="16"/>
    <x v="0"/>
    <x v="0"/>
  </r>
  <r>
    <n v="482"/>
    <d v="2011-01-22T00:00:00"/>
    <x v="0"/>
    <x v="0"/>
    <n v="2"/>
    <b v="0"/>
    <n v="6"/>
    <x v="1"/>
    <x v="21"/>
    <n v="0"/>
    <n v="0.28789999999999999"/>
    <n v="0.81"/>
    <n v="0"/>
    <n v="3"/>
    <n v="13"/>
    <n v="16"/>
    <x v="0"/>
    <x v="0"/>
  </r>
  <r>
    <n v="483"/>
    <d v="2011-01-22T00:00:00"/>
    <x v="0"/>
    <x v="0"/>
    <n v="3"/>
    <b v="0"/>
    <n v="6"/>
    <x v="1"/>
    <x v="21"/>
    <n v="0"/>
    <n v="0.28789999999999999"/>
    <n v="0.81"/>
    <n v="0"/>
    <n v="3"/>
    <n v="13"/>
    <n v="16"/>
    <x v="0"/>
    <x v="0"/>
  </r>
  <r>
    <n v="484"/>
    <d v="2011-01-22T00:00:00"/>
    <x v="0"/>
    <x v="0"/>
    <n v="4"/>
    <b v="0"/>
    <n v="6"/>
    <x v="1"/>
    <x v="22"/>
    <n v="0"/>
    <n v="0.28789999999999999"/>
    <n v="0.81"/>
    <n v="0"/>
    <n v="3"/>
    <n v="13"/>
    <n v="16"/>
    <x v="0"/>
    <x v="0"/>
  </r>
  <r>
    <n v="485"/>
    <d v="2011-01-22T00:00:00"/>
    <x v="0"/>
    <x v="0"/>
    <n v="6"/>
    <b v="0"/>
    <n v="6"/>
    <x v="1"/>
    <x v="22"/>
    <n v="0"/>
    <n v="0.28789999999999999"/>
    <n v="0.81"/>
    <n v="0"/>
    <n v="3"/>
    <n v="13"/>
    <n v="16"/>
    <x v="0"/>
    <x v="0"/>
  </r>
  <r>
    <n v="486"/>
    <d v="2011-01-22T00:00:00"/>
    <x v="0"/>
    <x v="0"/>
    <n v="7"/>
    <b v="0"/>
    <n v="6"/>
    <x v="0"/>
    <x v="22"/>
    <n v="0"/>
    <n v="0.28789999999999999"/>
    <n v="0.81"/>
    <n v="0"/>
    <n v="3"/>
    <n v="13"/>
    <n v="16"/>
    <x v="0"/>
    <x v="0"/>
  </r>
  <r>
    <n v="487"/>
    <d v="2011-01-22T00:00:00"/>
    <x v="0"/>
    <x v="0"/>
    <n v="8"/>
    <b v="0"/>
    <n v="6"/>
    <x v="0"/>
    <x v="22"/>
    <n v="0"/>
    <n v="0.28789999999999999"/>
    <n v="0.81"/>
    <n v="0"/>
    <n v="3"/>
    <n v="13"/>
    <n v="16"/>
    <x v="0"/>
    <x v="0"/>
  </r>
  <r>
    <n v="488"/>
    <d v="2011-01-22T00:00:00"/>
    <x v="0"/>
    <x v="0"/>
    <n v="9"/>
    <b v="0"/>
    <n v="6"/>
    <x v="0"/>
    <x v="21"/>
    <n v="0"/>
    <n v="0.28789999999999999"/>
    <n v="0.81"/>
    <n v="0"/>
    <n v="3"/>
    <n v="13"/>
    <n v="16"/>
    <x v="0"/>
    <x v="0"/>
  </r>
  <r>
    <n v="489"/>
    <d v="2011-01-22T00:00:00"/>
    <x v="0"/>
    <x v="0"/>
    <n v="10"/>
    <b v="0"/>
    <n v="6"/>
    <x v="1"/>
    <x v="21"/>
    <n v="0"/>
    <n v="0.28789999999999999"/>
    <n v="0.81"/>
    <n v="0"/>
    <n v="3"/>
    <n v="13"/>
    <n v="16"/>
    <x v="0"/>
    <x v="0"/>
  </r>
  <r>
    <n v="490"/>
    <d v="2011-01-22T00:00:00"/>
    <x v="0"/>
    <x v="0"/>
    <n v="11"/>
    <b v="0"/>
    <n v="6"/>
    <x v="1"/>
    <x v="20"/>
    <n v="0"/>
    <n v="0.28789999999999999"/>
    <n v="0.81"/>
    <n v="0"/>
    <n v="3"/>
    <n v="13"/>
    <n v="16"/>
    <x v="0"/>
    <x v="0"/>
  </r>
  <r>
    <n v="491"/>
    <d v="2011-01-22T00:00:00"/>
    <x v="0"/>
    <x v="0"/>
    <n v="12"/>
    <b v="0"/>
    <n v="6"/>
    <x v="1"/>
    <x v="20"/>
    <n v="0"/>
    <n v="0.28789999999999999"/>
    <n v="0.81"/>
    <n v="0"/>
    <n v="3"/>
    <n v="13"/>
    <n v="16"/>
    <x v="0"/>
    <x v="1"/>
  </r>
  <r>
    <n v="492"/>
    <d v="2011-01-22T00:00:00"/>
    <x v="0"/>
    <x v="0"/>
    <n v="13"/>
    <b v="0"/>
    <n v="6"/>
    <x v="0"/>
    <x v="19"/>
    <n v="0"/>
    <n v="0.28789999999999999"/>
    <n v="0.81"/>
    <n v="0"/>
    <n v="3"/>
    <n v="13"/>
    <n v="16"/>
    <x v="0"/>
    <x v="1"/>
  </r>
  <r>
    <n v="493"/>
    <d v="2011-01-22T00:00:00"/>
    <x v="0"/>
    <x v="0"/>
    <n v="14"/>
    <b v="0"/>
    <n v="6"/>
    <x v="0"/>
    <x v="18"/>
    <n v="0"/>
    <n v="0.28789999999999999"/>
    <n v="0.81"/>
    <n v="0"/>
    <n v="3"/>
    <n v="13"/>
    <n v="16"/>
    <x v="0"/>
    <x v="1"/>
  </r>
  <r>
    <n v="494"/>
    <d v="2011-01-22T00:00:00"/>
    <x v="0"/>
    <x v="0"/>
    <n v="15"/>
    <b v="0"/>
    <n v="6"/>
    <x v="0"/>
    <x v="16"/>
    <n v="0"/>
    <n v="0.28789999999999999"/>
    <n v="0.81"/>
    <n v="0"/>
    <n v="3"/>
    <n v="13"/>
    <n v="16"/>
    <x v="0"/>
    <x v="1"/>
  </r>
  <r>
    <n v="495"/>
    <d v="2011-01-22T00:00:00"/>
    <x v="0"/>
    <x v="0"/>
    <n v="16"/>
    <b v="0"/>
    <n v="6"/>
    <x v="0"/>
    <x v="16"/>
    <n v="0"/>
    <n v="0.28789999999999999"/>
    <n v="0.81"/>
    <n v="0"/>
    <n v="3"/>
    <n v="13"/>
    <n v="16"/>
    <x v="0"/>
    <x v="2"/>
  </r>
  <r>
    <n v="496"/>
    <d v="2011-01-22T00:00:00"/>
    <x v="0"/>
    <x v="0"/>
    <n v="17"/>
    <b v="0"/>
    <n v="6"/>
    <x v="0"/>
    <x v="16"/>
    <n v="0"/>
    <n v="0.28789999999999999"/>
    <n v="0.81"/>
    <n v="0"/>
    <n v="3"/>
    <n v="13"/>
    <n v="16"/>
    <x v="0"/>
    <x v="2"/>
  </r>
  <r>
    <n v="497"/>
    <d v="2011-01-22T00:00:00"/>
    <x v="0"/>
    <x v="0"/>
    <n v="18"/>
    <b v="0"/>
    <n v="6"/>
    <x v="0"/>
    <x v="19"/>
    <n v="0"/>
    <n v="0.28789999999999999"/>
    <n v="0.81"/>
    <n v="0"/>
    <n v="3"/>
    <n v="13"/>
    <n v="16"/>
    <x v="0"/>
    <x v="2"/>
  </r>
  <r>
    <n v="498"/>
    <d v="2011-01-22T00:00:00"/>
    <x v="0"/>
    <x v="0"/>
    <n v="19"/>
    <b v="0"/>
    <n v="6"/>
    <x v="0"/>
    <x v="19"/>
    <n v="0"/>
    <n v="0.28789999999999999"/>
    <n v="0.81"/>
    <n v="0"/>
    <n v="3"/>
    <n v="13"/>
    <n v="16"/>
    <x v="0"/>
    <x v="2"/>
  </r>
  <r>
    <n v="499"/>
    <d v="2011-01-22T00:00:00"/>
    <x v="0"/>
    <x v="0"/>
    <n v="20"/>
    <b v="0"/>
    <n v="6"/>
    <x v="0"/>
    <x v="20"/>
    <n v="0"/>
    <n v="0.28789999999999999"/>
    <n v="0.81"/>
    <n v="0"/>
    <n v="3"/>
    <n v="13"/>
    <n v="16"/>
    <x v="0"/>
    <x v="2"/>
  </r>
  <r>
    <n v="500"/>
    <d v="2011-01-22T00:00:00"/>
    <x v="0"/>
    <x v="0"/>
    <n v="21"/>
    <b v="0"/>
    <n v="6"/>
    <x v="0"/>
    <x v="20"/>
    <n v="0"/>
    <n v="0.28789999999999999"/>
    <n v="0.81"/>
    <n v="0"/>
    <n v="3"/>
    <n v="13"/>
    <n v="16"/>
    <x v="0"/>
    <x v="3"/>
  </r>
  <r>
    <n v="501"/>
    <d v="2011-01-22T00:00:00"/>
    <x v="0"/>
    <x v="0"/>
    <n v="22"/>
    <b v="0"/>
    <n v="6"/>
    <x v="0"/>
    <x v="20"/>
    <n v="0"/>
    <n v="0.28789999999999999"/>
    <n v="0.81"/>
    <n v="0"/>
    <n v="3"/>
    <n v="13"/>
    <n v="16"/>
    <x v="0"/>
    <x v="3"/>
  </r>
  <r>
    <n v="502"/>
    <d v="2011-01-22T00:00:00"/>
    <x v="0"/>
    <x v="0"/>
    <n v="23"/>
    <b v="0"/>
    <n v="6"/>
    <x v="0"/>
    <x v="21"/>
    <n v="0"/>
    <n v="0.28789999999999999"/>
    <n v="0.81"/>
    <n v="0"/>
    <n v="3"/>
    <n v="13"/>
    <n v="16"/>
    <x v="0"/>
    <x v="3"/>
  </r>
  <r>
    <n v="503"/>
    <d v="2011-01-23T00:00:00"/>
    <x v="0"/>
    <x v="0"/>
    <n v="0"/>
    <b v="0"/>
    <n v="0"/>
    <x v="0"/>
    <x v="21"/>
    <n v="0"/>
    <n v="0.28789999999999999"/>
    <n v="0.81"/>
    <n v="0"/>
    <n v="3"/>
    <n v="13"/>
    <n v="16"/>
    <x v="1"/>
    <x v="0"/>
  </r>
  <r>
    <n v="504"/>
    <d v="2011-01-23T00:00:00"/>
    <x v="0"/>
    <x v="0"/>
    <n v="1"/>
    <b v="0"/>
    <n v="0"/>
    <x v="0"/>
    <x v="21"/>
    <n v="0"/>
    <n v="0.28789999999999999"/>
    <n v="0.81"/>
    <n v="0"/>
    <n v="3"/>
    <n v="13"/>
    <n v="16"/>
    <x v="1"/>
    <x v="0"/>
  </r>
  <r>
    <n v="505"/>
    <d v="2011-01-23T00:00:00"/>
    <x v="0"/>
    <x v="0"/>
    <n v="2"/>
    <b v="0"/>
    <n v="0"/>
    <x v="0"/>
    <x v="22"/>
    <n v="0"/>
    <n v="0.28789999999999999"/>
    <n v="0.81"/>
    <n v="0"/>
    <n v="3"/>
    <n v="13"/>
    <n v="16"/>
    <x v="1"/>
    <x v="0"/>
  </r>
  <r>
    <n v="506"/>
    <d v="2011-01-23T00:00:00"/>
    <x v="0"/>
    <x v="0"/>
    <n v="3"/>
    <b v="0"/>
    <n v="0"/>
    <x v="0"/>
    <x v="22"/>
    <n v="0"/>
    <n v="0.28789999999999999"/>
    <n v="0.81"/>
    <n v="0"/>
    <n v="3"/>
    <n v="13"/>
    <n v="16"/>
    <x v="1"/>
    <x v="0"/>
  </r>
  <r>
    <n v="507"/>
    <d v="2011-01-23T00:00:00"/>
    <x v="0"/>
    <x v="0"/>
    <n v="5"/>
    <b v="0"/>
    <n v="0"/>
    <x v="1"/>
    <x v="21"/>
    <n v="0"/>
    <n v="0.28789999999999999"/>
    <n v="0.81"/>
    <n v="0"/>
    <n v="3"/>
    <n v="13"/>
    <n v="16"/>
    <x v="1"/>
    <x v="0"/>
  </r>
  <r>
    <n v="508"/>
    <d v="2011-01-23T00:00:00"/>
    <x v="0"/>
    <x v="0"/>
    <n v="6"/>
    <b v="0"/>
    <n v="0"/>
    <x v="1"/>
    <x v="21"/>
    <n v="0"/>
    <n v="0.28789999999999999"/>
    <n v="0.81"/>
    <n v="0"/>
    <n v="3"/>
    <n v="13"/>
    <n v="16"/>
    <x v="1"/>
    <x v="0"/>
  </r>
  <r>
    <n v="509"/>
    <d v="2011-01-23T00:00:00"/>
    <x v="0"/>
    <x v="0"/>
    <n v="7"/>
    <b v="0"/>
    <n v="0"/>
    <x v="0"/>
    <x v="19"/>
    <n v="0"/>
    <n v="0.28789999999999999"/>
    <n v="0.81"/>
    <n v="0"/>
    <n v="3"/>
    <n v="13"/>
    <n v="16"/>
    <x v="1"/>
    <x v="0"/>
  </r>
  <r>
    <n v="510"/>
    <d v="2011-01-23T00:00:00"/>
    <x v="0"/>
    <x v="0"/>
    <n v="8"/>
    <b v="0"/>
    <n v="0"/>
    <x v="0"/>
    <x v="20"/>
    <n v="0"/>
    <n v="0.28789999999999999"/>
    <n v="0.81"/>
    <n v="0"/>
    <n v="3"/>
    <n v="13"/>
    <n v="16"/>
    <x v="1"/>
    <x v="0"/>
  </r>
  <r>
    <n v="511"/>
    <d v="2011-01-23T00:00:00"/>
    <x v="0"/>
    <x v="0"/>
    <n v="9"/>
    <b v="0"/>
    <n v="0"/>
    <x v="0"/>
    <x v="18"/>
    <n v="0"/>
    <n v="0.28789999999999999"/>
    <n v="0.81"/>
    <n v="0"/>
    <n v="3"/>
    <n v="13"/>
    <n v="16"/>
    <x v="1"/>
    <x v="0"/>
  </r>
  <r>
    <n v="512"/>
    <d v="2011-01-23T00:00:00"/>
    <x v="0"/>
    <x v="0"/>
    <n v="10"/>
    <b v="0"/>
    <n v="0"/>
    <x v="0"/>
    <x v="14"/>
    <n v="0"/>
    <n v="0.28789999999999999"/>
    <n v="0.81"/>
    <n v="0"/>
    <n v="3"/>
    <n v="13"/>
    <n v="16"/>
    <x v="1"/>
    <x v="0"/>
  </r>
  <r>
    <n v="513"/>
    <d v="2011-01-23T00:00:00"/>
    <x v="0"/>
    <x v="0"/>
    <n v="11"/>
    <b v="0"/>
    <n v="0"/>
    <x v="0"/>
    <x v="14"/>
    <n v="0"/>
    <n v="0.28789999999999999"/>
    <n v="0.81"/>
    <n v="0"/>
    <n v="3"/>
    <n v="13"/>
    <n v="16"/>
    <x v="1"/>
    <x v="0"/>
  </r>
  <r>
    <n v="514"/>
    <d v="2011-01-23T00:00:00"/>
    <x v="0"/>
    <x v="0"/>
    <n v="12"/>
    <b v="0"/>
    <n v="0"/>
    <x v="0"/>
    <x v="13"/>
    <n v="0"/>
    <n v="0.28789999999999999"/>
    <n v="0.81"/>
    <n v="0"/>
    <n v="3"/>
    <n v="13"/>
    <n v="16"/>
    <x v="1"/>
    <x v="1"/>
  </r>
  <r>
    <n v="515"/>
    <d v="2011-01-23T00:00:00"/>
    <x v="0"/>
    <x v="0"/>
    <n v="13"/>
    <b v="0"/>
    <n v="0"/>
    <x v="0"/>
    <x v="14"/>
    <n v="0"/>
    <n v="0.28789999999999999"/>
    <n v="0.81"/>
    <n v="0"/>
    <n v="3"/>
    <n v="13"/>
    <n v="16"/>
    <x v="1"/>
    <x v="1"/>
  </r>
  <r>
    <n v="516"/>
    <d v="2011-01-23T00:00:00"/>
    <x v="0"/>
    <x v="0"/>
    <n v="14"/>
    <b v="0"/>
    <n v="0"/>
    <x v="0"/>
    <x v="13"/>
    <n v="0"/>
    <n v="0.28789999999999999"/>
    <n v="0.81"/>
    <n v="0"/>
    <n v="3"/>
    <n v="13"/>
    <n v="16"/>
    <x v="1"/>
    <x v="1"/>
  </r>
  <r>
    <n v="517"/>
    <d v="2011-01-23T00:00:00"/>
    <x v="0"/>
    <x v="0"/>
    <n v="15"/>
    <b v="0"/>
    <n v="0"/>
    <x v="0"/>
    <x v="13"/>
    <n v="0"/>
    <n v="0.28789999999999999"/>
    <n v="0.81"/>
    <n v="0"/>
    <n v="3"/>
    <n v="13"/>
    <n v="16"/>
    <x v="1"/>
    <x v="1"/>
  </r>
  <r>
    <n v="518"/>
    <d v="2011-01-23T00:00:00"/>
    <x v="0"/>
    <x v="0"/>
    <n v="16"/>
    <b v="0"/>
    <n v="0"/>
    <x v="0"/>
    <x v="13"/>
    <n v="0"/>
    <n v="0.28789999999999999"/>
    <n v="0.81"/>
    <n v="0"/>
    <n v="3"/>
    <n v="13"/>
    <n v="16"/>
    <x v="1"/>
    <x v="2"/>
  </r>
  <r>
    <n v="519"/>
    <d v="2011-01-23T00:00:00"/>
    <x v="0"/>
    <x v="0"/>
    <n v="17"/>
    <b v="0"/>
    <n v="0"/>
    <x v="0"/>
    <x v="14"/>
    <n v="0"/>
    <n v="0.28789999999999999"/>
    <n v="0.81"/>
    <n v="0"/>
    <n v="3"/>
    <n v="13"/>
    <n v="16"/>
    <x v="1"/>
    <x v="2"/>
  </r>
  <r>
    <n v="520"/>
    <d v="2011-01-23T00:00:00"/>
    <x v="0"/>
    <x v="0"/>
    <n v="18"/>
    <b v="0"/>
    <n v="0"/>
    <x v="0"/>
    <x v="16"/>
    <n v="0"/>
    <n v="0.28789999999999999"/>
    <n v="0.81"/>
    <n v="0"/>
    <n v="3"/>
    <n v="13"/>
    <n v="16"/>
    <x v="1"/>
    <x v="2"/>
  </r>
  <r>
    <n v="521"/>
    <d v="2011-01-23T00:00:00"/>
    <x v="0"/>
    <x v="0"/>
    <n v="19"/>
    <b v="0"/>
    <n v="0"/>
    <x v="0"/>
    <x v="16"/>
    <n v="0"/>
    <n v="0.28789999999999999"/>
    <n v="0.81"/>
    <n v="0"/>
    <n v="3"/>
    <n v="13"/>
    <n v="16"/>
    <x v="1"/>
    <x v="2"/>
  </r>
  <r>
    <n v="522"/>
    <d v="2011-01-23T00:00:00"/>
    <x v="0"/>
    <x v="0"/>
    <n v="20"/>
    <b v="0"/>
    <n v="0"/>
    <x v="0"/>
    <x v="18"/>
    <n v="0"/>
    <n v="0.28789999999999999"/>
    <n v="0.81"/>
    <n v="0"/>
    <n v="3"/>
    <n v="13"/>
    <n v="16"/>
    <x v="1"/>
    <x v="2"/>
  </r>
  <r>
    <n v="523"/>
    <d v="2011-01-23T00:00:00"/>
    <x v="0"/>
    <x v="0"/>
    <n v="21"/>
    <b v="0"/>
    <n v="0"/>
    <x v="0"/>
    <x v="18"/>
    <n v="0"/>
    <n v="0.28789999999999999"/>
    <n v="0.81"/>
    <n v="0"/>
    <n v="3"/>
    <n v="13"/>
    <n v="16"/>
    <x v="1"/>
    <x v="3"/>
  </r>
  <r>
    <n v="524"/>
    <d v="2011-01-23T00:00:00"/>
    <x v="0"/>
    <x v="0"/>
    <n v="22"/>
    <b v="0"/>
    <n v="0"/>
    <x v="0"/>
    <x v="19"/>
    <n v="0"/>
    <n v="0.28789999999999999"/>
    <n v="0.81"/>
    <n v="0"/>
    <n v="3"/>
    <n v="13"/>
    <n v="16"/>
    <x v="1"/>
    <x v="3"/>
  </r>
  <r>
    <n v="525"/>
    <d v="2011-01-23T00:00:00"/>
    <x v="0"/>
    <x v="0"/>
    <n v="23"/>
    <b v="0"/>
    <n v="0"/>
    <x v="0"/>
    <x v="20"/>
    <n v="0"/>
    <n v="0.28789999999999999"/>
    <n v="0.81"/>
    <n v="0"/>
    <n v="3"/>
    <n v="13"/>
    <n v="16"/>
    <x v="1"/>
    <x v="3"/>
  </r>
  <r>
    <n v="526"/>
    <d v="2011-01-24T00:00:00"/>
    <x v="0"/>
    <x v="0"/>
    <n v="0"/>
    <b v="0"/>
    <n v="1"/>
    <x v="0"/>
    <x v="20"/>
    <n v="0"/>
    <n v="0.28789999999999999"/>
    <n v="0.81"/>
    <n v="0"/>
    <n v="3"/>
    <n v="13"/>
    <n v="16"/>
    <x v="1"/>
    <x v="0"/>
  </r>
  <r>
    <n v="527"/>
    <d v="2011-01-24T00:00:00"/>
    <x v="0"/>
    <x v="0"/>
    <n v="1"/>
    <b v="0"/>
    <n v="1"/>
    <x v="0"/>
    <x v="21"/>
    <n v="0"/>
    <n v="0.28789999999999999"/>
    <n v="0.81"/>
    <n v="0"/>
    <n v="3"/>
    <n v="13"/>
    <n v="16"/>
    <x v="1"/>
    <x v="0"/>
  </r>
  <r>
    <n v="528"/>
    <d v="2011-01-24T00:00:00"/>
    <x v="0"/>
    <x v="0"/>
    <n v="3"/>
    <b v="0"/>
    <n v="1"/>
    <x v="0"/>
    <x v="21"/>
    <n v="0"/>
    <n v="0.28789999999999999"/>
    <n v="0.81"/>
    <n v="0"/>
    <n v="3"/>
    <n v="13"/>
    <n v="16"/>
    <x v="1"/>
    <x v="0"/>
  </r>
  <r>
    <n v="529"/>
    <d v="2011-01-24T00:00:00"/>
    <x v="0"/>
    <x v="0"/>
    <n v="4"/>
    <b v="0"/>
    <n v="1"/>
    <x v="0"/>
    <x v="22"/>
    <n v="0"/>
    <n v="0.28789999999999999"/>
    <n v="0.81"/>
    <n v="0"/>
    <n v="3"/>
    <n v="13"/>
    <n v="16"/>
    <x v="1"/>
    <x v="0"/>
  </r>
  <r>
    <n v="530"/>
    <d v="2011-01-24T00:00:00"/>
    <x v="0"/>
    <x v="0"/>
    <n v="5"/>
    <b v="0"/>
    <n v="1"/>
    <x v="0"/>
    <x v="22"/>
    <n v="0"/>
    <n v="0.28789999999999999"/>
    <n v="0.81"/>
    <n v="0"/>
    <n v="3"/>
    <n v="13"/>
    <n v="16"/>
    <x v="1"/>
    <x v="0"/>
  </r>
  <r>
    <n v="531"/>
    <d v="2011-01-24T00:00:00"/>
    <x v="0"/>
    <x v="0"/>
    <n v="6"/>
    <b v="0"/>
    <n v="1"/>
    <x v="0"/>
    <x v="22"/>
    <n v="0"/>
    <n v="0.28789999999999999"/>
    <n v="0.81"/>
    <n v="0"/>
    <n v="3"/>
    <n v="13"/>
    <n v="16"/>
    <x v="1"/>
    <x v="0"/>
  </r>
  <r>
    <n v="532"/>
    <d v="2011-01-24T00:00:00"/>
    <x v="0"/>
    <x v="0"/>
    <n v="7"/>
    <b v="0"/>
    <n v="1"/>
    <x v="0"/>
    <x v="22"/>
    <n v="0"/>
    <n v="0.28789999999999999"/>
    <n v="0.81"/>
    <n v="0"/>
    <n v="3"/>
    <n v="13"/>
    <n v="16"/>
    <x v="1"/>
    <x v="0"/>
  </r>
  <r>
    <n v="533"/>
    <d v="2011-01-24T00:00:00"/>
    <x v="0"/>
    <x v="0"/>
    <n v="8"/>
    <b v="0"/>
    <n v="1"/>
    <x v="0"/>
    <x v="21"/>
    <n v="0"/>
    <n v="0.28789999999999999"/>
    <n v="0.81"/>
    <n v="0"/>
    <n v="3"/>
    <n v="13"/>
    <n v="16"/>
    <x v="1"/>
    <x v="0"/>
  </r>
  <r>
    <n v="534"/>
    <d v="2011-01-24T00:00:00"/>
    <x v="0"/>
    <x v="0"/>
    <n v="9"/>
    <b v="0"/>
    <n v="1"/>
    <x v="0"/>
    <x v="20"/>
    <n v="0"/>
    <n v="0.28789999999999999"/>
    <n v="0.81"/>
    <n v="0"/>
    <n v="3"/>
    <n v="13"/>
    <n v="16"/>
    <x v="1"/>
    <x v="0"/>
  </r>
  <r>
    <n v="535"/>
    <d v="2011-01-24T00:00:00"/>
    <x v="0"/>
    <x v="0"/>
    <n v="10"/>
    <b v="0"/>
    <n v="1"/>
    <x v="0"/>
    <x v="18"/>
    <n v="0"/>
    <n v="0.28789999999999999"/>
    <n v="0.81"/>
    <n v="0"/>
    <n v="3"/>
    <n v="13"/>
    <n v="16"/>
    <x v="1"/>
    <x v="0"/>
  </r>
  <r>
    <n v="536"/>
    <d v="2011-01-24T00:00:00"/>
    <x v="0"/>
    <x v="0"/>
    <n v="11"/>
    <b v="0"/>
    <n v="1"/>
    <x v="0"/>
    <x v="18"/>
    <n v="0"/>
    <n v="0.28789999999999999"/>
    <n v="0.81"/>
    <n v="0"/>
    <n v="3"/>
    <n v="13"/>
    <n v="16"/>
    <x v="1"/>
    <x v="0"/>
  </r>
  <r>
    <n v="537"/>
    <d v="2011-01-24T00:00:00"/>
    <x v="0"/>
    <x v="0"/>
    <n v="12"/>
    <b v="0"/>
    <n v="1"/>
    <x v="1"/>
    <x v="16"/>
    <n v="0"/>
    <n v="0.28789999999999999"/>
    <n v="0.81"/>
    <n v="0"/>
    <n v="3"/>
    <n v="13"/>
    <n v="16"/>
    <x v="1"/>
    <x v="1"/>
  </r>
  <r>
    <n v="538"/>
    <d v="2011-01-24T00:00:00"/>
    <x v="0"/>
    <x v="0"/>
    <n v="13"/>
    <b v="0"/>
    <n v="1"/>
    <x v="1"/>
    <x v="14"/>
    <n v="0"/>
    <n v="0.28789999999999999"/>
    <n v="0.81"/>
    <n v="0"/>
    <n v="3"/>
    <n v="13"/>
    <n v="16"/>
    <x v="1"/>
    <x v="1"/>
  </r>
  <r>
    <n v="539"/>
    <d v="2011-01-24T00:00:00"/>
    <x v="0"/>
    <x v="0"/>
    <n v="14"/>
    <b v="0"/>
    <n v="1"/>
    <x v="1"/>
    <x v="14"/>
    <n v="0"/>
    <n v="0.28789999999999999"/>
    <n v="0.81"/>
    <n v="0"/>
    <n v="3"/>
    <n v="13"/>
    <n v="16"/>
    <x v="1"/>
    <x v="1"/>
  </r>
  <r>
    <n v="540"/>
    <d v="2011-01-24T00:00:00"/>
    <x v="0"/>
    <x v="0"/>
    <n v="15"/>
    <b v="0"/>
    <n v="1"/>
    <x v="0"/>
    <x v="13"/>
    <n v="0"/>
    <n v="0.28789999999999999"/>
    <n v="0.81"/>
    <n v="0"/>
    <n v="3"/>
    <n v="13"/>
    <n v="16"/>
    <x v="1"/>
    <x v="1"/>
  </r>
  <r>
    <n v="541"/>
    <d v="2011-01-24T00:00:00"/>
    <x v="0"/>
    <x v="0"/>
    <n v="16"/>
    <b v="0"/>
    <n v="1"/>
    <x v="0"/>
    <x v="13"/>
    <n v="0"/>
    <n v="0.28789999999999999"/>
    <n v="0.81"/>
    <n v="0"/>
    <n v="3"/>
    <n v="13"/>
    <n v="16"/>
    <x v="1"/>
    <x v="2"/>
  </r>
  <r>
    <n v="542"/>
    <d v="2011-01-24T00:00:00"/>
    <x v="0"/>
    <x v="0"/>
    <n v="17"/>
    <b v="0"/>
    <n v="1"/>
    <x v="0"/>
    <x v="14"/>
    <n v="0"/>
    <n v="0.28789999999999999"/>
    <n v="0.81"/>
    <n v="0"/>
    <n v="3"/>
    <n v="13"/>
    <n v="16"/>
    <x v="1"/>
    <x v="2"/>
  </r>
  <r>
    <n v="543"/>
    <d v="2011-01-24T00:00:00"/>
    <x v="0"/>
    <x v="0"/>
    <n v="18"/>
    <b v="0"/>
    <n v="1"/>
    <x v="0"/>
    <x v="14"/>
    <n v="0"/>
    <n v="0.28789999999999999"/>
    <n v="0.81"/>
    <n v="0"/>
    <n v="3"/>
    <n v="13"/>
    <n v="16"/>
    <x v="1"/>
    <x v="2"/>
  </r>
  <r>
    <n v="544"/>
    <d v="2011-01-24T00:00:00"/>
    <x v="0"/>
    <x v="0"/>
    <n v="19"/>
    <b v="0"/>
    <n v="1"/>
    <x v="0"/>
    <x v="14"/>
    <n v="0"/>
    <n v="0.28789999999999999"/>
    <n v="0.81"/>
    <n v="0"/>
    <n v="3"/>
    <n v="13"/>
    <n v="16"/>
    <x v="1"/>
    <x v="2"/>
  </r>
  <r>
    <n v="545"/>
    <d v="2011-01-24T00:00:00"/>
    <x v="0"/>
    <x v="0"/>
    <n v="20"/>
    <b v="0"/>
    <n v="1"/>
    <x v="0"/>
    <x v="14"/>
    <n v="0"/>
    <n v="0.28789999999999999"/>
    <n v="0.81"/>
    <n v="0"/>
    <n v="3"/>
    <n v="13"/>
    <n v="16"/>
    <x v="1"/>
    <x v="2"/>
  </r>
  <r>
    <n v="546"/>
    <d v="2011-01-24T00:00:00"/>
    <x v="0"/>
    <x v="0"/>
    <n v="21"/>
    <b v="0"/>
    <n v="1"/>
    <x v="0"/>
    <x v="14"/>
    <n v="0"/>
    <n v="0.28789999999999999"/>
    <n v="0.81"/>
    <n v="0"/>
    <n v="3"/>
    <n v="13"/>
    <n v="16"/>
    <x v="1"/>
    <x v="3"/>
  </r>
  <r>
    <n v="547"/>
    <d v="2011-01-24T00:00:00"/>
    <x v="0"/>
    <x v="0"/>
    <n v="22"/>
    <b v="0"/>
    <n v="1"/>
    <x v="1"/>
    <x v="14"/>
    <n v="0"/>
    <n v="0.28789999999999999"/>
    <n v="0.81"/>
    <n v="0"/>
    <n v="3"/>
    <n v="13"/>
    <n v="16"/>
    <x v="1"/>
    <x v="3"/>
  </r>
  <r>
    <n v="548"/>
    <d v="2011-01-24T00:00:00"/>
    <x v="0"/>
    <x v="0"/>
    <n v="23"/>
    <b v="0"/>
    <n v="1"/>
    <x v="1"/>
    <x v="13"/>
    <n v="0"/>
    <n v="0.28789999999999999"/>
    <n v="0.81"/>
    <n v="0"/>
    <n v="3"/>
    <n v="13"/>
    <n v="16"/>
    <x v="1"/>
    <x v="3"/>
  </r>
  <r>
    <n v="549"/>
    <d v="2011-01-25T00:00:00"/>
    <x v="0"/>
    <x v="0"/>
    <n v="0"/>
    <b v="0"/>
    <n v="2"/>
    <x v="1"/>
    <x v="13"/>
    <n v="0"/>
    <n v="0.28789999999999999"/>
    <n v="0.81"/>
    <n v="0"/>
    <n v="3"/>
    <n v="13"/>
    <n v="16"/>
    <x v="1"/>
    <x v="0"/>
  </r>
  <r>
    <n v="550"/>
    <d v="2011-01-25T00:00:00"/>
    <x v="0"/>
    <x v="0"/>
    <n v="1"/>
    <b v="0"/>
    <n v="2"/>
    <x v="1"/>
    <x v="13"/>
    <n v="0"/>
    <n v="0.28789999999999999"/>
    <n v="0.81"/>
    <n v="0"/>
    <n v="3"/>
    <n v="13"/>
    <n v="16"/>
    <x v="1"/>
    <x v="0"/>
  </r>
  <r>
    <n v="551"/>
    <d v="2011-01-25T00:00:00"/>
    <x v="0"/>
    <x v="0"/>
    <n v="2"/>
    <b v="0"/>
    <n v="2"/>
    <x v="0"/>
    <x v="13"/>
    <n v="0"/>
    <n v="0.28789999999999999"/>
    <n v="0.81"/>
    <n v="0"/>
    <n v="3"/>
    <n v="13"/>
    <n v="16"/>
    <x v="1"/>
    <x v="0"/>
  </r>
  <r>
    <n v="552"/>
    <d v="2011-01-25T00:00:00"/>
    <x v="0"/>
    <x v="0"/>
    <n v="4"/>
    <b v="0"/>
    <n v="2"/>
    <x v="0"/>
    <x v="14"/>
    <n v="0"/>
    <n v="0.28789999999999999"/>
    <n v="0.81"/>
    <n v="0"/>
    <n v="3"/>
    <n v="13"/>
    <n v="16"/>
    <x v="1"/>
    <x v="0"/>
  </r>
  <r>
    <n v="553"/>
    <d v="2011-01-25T00:00:00"/>
    <x v="0"/>
    <x v="0"/>
    <n v="5"/>
    <b v="0"/>
    <n v="2"/>
    <x v="0"/>
    <x v="14"/>
    <n v="0"/>
    <n v="0.28789999999999999"/>
    <n v="0.81"/>
    <n v="0"/>
    <n v="3"/>
    <n v="13"/>
    <n v="16"/>
    <x v="1"/>
    <x v="0"/>
  </r>
  <r>
    <n v="554"/>
    <d v="2011-01-25T00:00:00"/>
    <x v="0"/>
    <x v="0"/>
    <n v="6"/>
    <b v="0"/>
    <n v="2"/>
    <x v="0"/>
    <x v="13"/>
    <n v="0"/>
    <n v="0.28789999999999999"/>
    <n v="0.81"/>
    <n v="0"/>
    <n v="3"/>
    <n v="13"/>
    <n v="16"/>
    <x v="1"/>
    <x v="0"/>
  </r>
  <r>
    <n v="555"/>
    <d v="2011-01-25T00:00:00"/>
    <x v="0"/>
    <x v="0"/>
    <n v="7"/>
    <b v="0"/>
    <n v="2"/>
    <x v="0"/>
    <x v="13"/>
    <n v="0"/>
    <n v="0.28789999999999999"/>
    <n v="0.81"/>
    <n v="0"/>
    <n v="3"/>
    <n v="13"/>
    <n v="16"/>
    <x v="1"/>
    <x v="0"/>
  </r>
  <r>
    <n v="556"/>
    <d v="2011-01-25T00:00:00"/>
    <x v="0"/>
    <x v="0"/>
    <n v="8"/>
    <b v="0"/>
    <n v="2"/>
    <x v="1"/>
    <x v="13"/>
    <n v="0"/>
    <n v="0.28789999999999999"/>
    <n v="0.81"/>
    <n v="0"/>
    <n v="3"/>
    <n v="13"/>
    <n v="16"/>
    <x v="1"/>
    <x v="0"/>
  </r>
  <r>
    <n v="557"/>
    <d v="2011-01-25T00:00:00"/>
    <x v="0"/>
    <x v="0"/>
    <n v="9"/>
    <b v="0"/>
    <n v="2"/>
    <x v="1"/>
    <x v="2"/>
    <n v="0"/>
    <n v="0.28789999999999999"/>
    <n v="0.81"/>
    <n v="0"/>
    <n v="3"/>
    <n v="13"/>
    <n v="16"/>
    <x v="1"/>
    <x v="0"/>
  </r>
  <r>
    <n v="558"/>
    <d v="2011-01-25T00:00:00"/>
    <x v="0"/>
    <x v="0"/>
    <n v="10"/>
    <b v="0"/>
    <n v="2"/>
    <x v="1"/>
    <x v="1"/>
    <n v="0"/>
    <n v="0.28789999999999999"/>
    <n v="0.81"/>
    <n v="0"/>
    <n v="3"/>
    <n v="13"/>
    <n v="16"/>
    <x v="1"/>
    <x v="0"/>
  </r>
  <r>
    <n v="559"/>
    <d v="2011-01-25T00:00:00"/>
    <x v="0"/>
    <x v="0"/>
    <n v="11"/>
    <b v="0"/>
    <n v="2"/>
    <x v="1"/>
    <x v="0"/>
    <n v="0"/>
    <n v="0.28789999999999999"/>
    <n v="0.81"/>
    <n v="0"/>
    <n v="3"/>
    <n v="13"/>
    <n v="16"/>
    <x v="1"/>
    <x v="0"/>
  </r>
  <r>
    <n v="560"/>
    <d v="2011-01-25T00:00:00"/>
    <x v="0"/>
    <x v="0"/>
    <n v="12"/>
    <b v="0"/>
    <n v="2"/>
    <x v="1"/>
    <x v="12"/>
    <n v="0"/>
    <n v="0.28789999999999999"/>
    <n v="0.81"/>
    <n v="0"/>
    <n v="3"/>
    <n v="13"/>
    <n v="16"/>
    <x v="1"/>
    <x v="1"/>
  </r>
  <r>
    <n v="561"/>
    <d v="2011-01-25T00:00:00"/>
    <x v="0"/>
    <x v="0"/>
    <n v="13"/>
    <b v="0"/>
    <n v="2"/>
    <x v="1"/>
    <x v="12"/>
    <n v="0"/>
    <n v="0.28789999999999999"/>
    <n v="0.81"/>
    <n v="0"/>
    <n v="3"/>
    <n v="13"/>
    <n v="16"/>
    <x v="1"/>
    <x v="1"/>
  </r>
  <r>
    <n v="562"/>
    <d v="2011-01-25T00:00:00"/>
    <x v="0"/>
    <x v="0"/>
    <n v="14"/>
    <b v="0"/>
    <n v="2"/>
    <x v="1"/>
    <x v="11"/>
    <n v="0"/>
    <n v="0.28789999999999999"/>
    <n v="0.81"/>
    <n v="0"/>
    <n v="3"/>
    <n v="13"/>
    <n v="16"/>
    <x v="1"/>
    <x v="1"/>
  </r>
  <r>
    <n v="563"/>
    <d v="2011-01-25T00:00:00"/>
    <x v="0"/>
    <x v="0"/>
    <n v="15"/>
    <b v="0"/>
    <n v="2"/>
    <x v="1"/>
    <x v="3"/>
    <n v="0"/>
    <n v="0.28789999999999999"/>
    <n v="0.81"/>
    <n v="0"/>
    <n v="3"/>
    <n v="13"/>
    <n v="16"/>
    <x v="1"/>
    <x v="1"/>
  </r>
  <r>
    <n v="564"/>
    <d v="2011-01-25T00:00:00"/>
    <x v="0"/>
    <x v="0"/>
    <n v="16"/>
    <b v="0"/>
    <n v="2"/>
    <x v="1"/>
    <x v="3"/>
    <n v="0"/>
    <n v="0.28789999999999999"/>
    <n v="0.81"/>
    <n v="0"/>
    <n v="3"/>
    <n v="13"/>
    <n v="16"/>
    <x v="1"/>
    <x v="2"/>
  </r>
  <r>
    <n v="565"/>
    <d v="2011-01-25T00:00:00"/>
    <x v="0"/>
    <x v="0"/>
    <n v="17"/>
    <b v="0"/>
    <n v="2"/>
    <x v="0"/>
    <x v="11"/>
    <n v="0"/>
    <n v="0.28789999999999999"/>
    <n v="0.81"/>
    <n v="0"/>
    <n v="3"/>
    <n v="13"/>
    <n v="16"/>
    <x v="1"/>
    <x v="2"/>
  </r>
  <r>
    <n v="566"/>
    <d v="2011-01-25T00:00:00"/>
    <x v="0"/>
    <x v="0"/>
    <n v="18"/>
    <b v="0"/>
    <n v="2"/>
    <x v="1"/>
    <x v="11"/>
    <n v="0"/>
    <n v="0.28789999999999999"/>
    <n v="0.81"/>
    <n v="0"/>
    <n v="3"/>
    <n v="13"/>
    <n v="16"/>
    <x v="1"/>
    <x v="2"/>
  </r>
  <r>
    <n v="567"/>
    <d v="2011-01-25T00:00:00"/>
    <x v="0"/>
    <x v="0"/>
    <n v="19"/>
    <b v="0"/>
    <n v="2"/>
    <x v="1"/>
    <x v="12"/>
    <n v="0"/>
    <n v="0.28789999999999999"/>
    <n v="0.81"/>
    <n v="0"/>
    <n v="3"/>
    <n v="13"/>
    <n v="16"/>
    <x v="1"/>
    <x v="2"/>
  </r>
  <r>
    <n v="568"/>
    <d v="2011-01-25T00:00:00"/>
    <x v="0"/>
    <x v="0"/>
    <n v="20"/>
    <b v="0"/>
    <n v="2"/>
    <x v="0"/>
    <x v="0"/>
    <n v="0"/>
    <n v="0.28789999999999999"/>
    <n v="0.81"/>
    <n v="0"/>
    <n v="3"/>
    <n v="13"/>
    <n v="16"/>
    <x v="1"/>
    <x v="2"/>
  </r>
  <r>
    <n v="569"/>
    <d v="2011-01-25T00:00:00"/>
    <x v="0"/>
    <x v="0"/>
    <n v="21"/>
    <b v="0"/>
    <n v="2"/>
    <x v="0"/>
    <x v="0"/>
    <n v="0"/>
    <n v="0.28789999999999999"/>
    <n v="0.81"/>
    <n v="0"/>
    <n v="3"/>
    <n v="13"/>
    <n v="16"/>
    <x v="1"/>
    <x v="3"/>
  </r>
  <r>
    <n v="570"/>
    <d v="2011-01-25T00:00:00"/>
    <x v="0"/>
    <x v="0"/>
    <n v="22"/>
    <b v="0"/>
    <n v="2"/>
    <x v="0"/>
    <x v="1"/>
    <n v="0"/>
    <n v="0.28789999999999999"/>
    <n v="0.81"/>
    <n v="0"/>
    <n v="3"/>
    <n v="13"/>
    <n v="16"/>
    <x v="1"/>
    <x v="3"/>
  </r>
  <r>
    <n v="571"/>
    <d v="2011-01-25T00:00:00"/>
    <x v="0"/>
    <x v="0"/>
    <n v="23"/>
    <b v="0"/>
    <n v="2"/>
    <x v="1"/>
    <x v="1"/>
    <n v="0"/>
    <n v="0.28789999999999999"/>
    <n v="0.81"/>
    <n v="0"/>
    <n v="3"/>
    <n v="13"/>
    <n v="16"/>
    <x v="1"/>
    <x v="3"/>
  </r>
  <r>
    <n v="572"/>
    <d v="2011-01-26T00:00:00"/>
    <x v="0"/>
    <x v="0"/>
    <n v="0"/>
    <b v="0"/>
    <n v="3"/>
    <x v="1"/>
    <x v="1"/>
    <n v="0"/>
    <n v="0.28789999999999999"/>
    <n v="0.81"/>
    <n v="0"/>
    <n v="3"/>
    <n v="13"/>
    <n v="16"/>
    <x v="1"/>
    <x v="0"/>
  </r>
  <r>
    <n v="573"/>
    <d v="2011-01-26T00:00:00"/>
    <x v="0"/>
    <x v="0"/>
    <n v="1"/>
    <b v="0"/>
    <n v="3"/>
    <x v="1"/>
    <x v="0"/>
    <n v="0"/>
    <n v="0.28789999999999999"/>
    <n v="0.81"/>
    <n v="0"/>
    <n v="3"/>
    <n v="13"/>
    <n v="16"/>
    <x v="1"/>
    <x v="0"/>
  </r>
  <r>
    <n v="574"/>
    <d v="2011-01-26T00:00:00"/>
    <x v="0"/>
    <x v="0"/>
    <n v="2"/>
    <b v="0"/>
    <n v="3"/>
    <x v="2"/>
    <x v="1"/>
    <n v="0"/>
    <n v="0.28789999999999999"/>
    <n v="0.81"/>
    <n v="0"/>
    <n v="3"/>
    <n v="13"/>
    <n v="16"/>
    <x v="1"/>
    <x v="0"/>
  </r>
  <r>
    <n v="575"/>
    <d v="2011-01-26T00:00:00"/>
    <x v="0"/>
    <x v="0"/>
    <n v="5"/>
    <b v="0"/>
    <n v="3"/>
    <x v="2"/>
    <x v="2"/>
    <n v="0"/>
    <n v="0.28789999999999999"/>
    <n v="0.81"/>
    <n v="0"/>
    <n v="3"/>
    <n v="13"/>
    <n v="16"/>
    <x v="1"/>
    <x v="0"/>
  </r>
  <r>
    <n v="576"/>
    <d v="2011-01-26T00:00:00"/>
    <x v="0"/>
    <x v="0"/>
    <n v="6"/>
    <b v="0"/>
    <n v="3"/>
    <x v="2"/>
    <x v="2"/>
    <n v="0"/>
    <n v="0.28789999999999999"/>
    <n v="0.81"/>
    <n v="0"/>
    <n v="3"/>
    <n v="13"/>
    <n v="16"/>
    <x v="1"/>
    <x v="0"/>
  </r>
  <r>
    <n v="577"/>
    <d v="2011-01-26T00:00:00"/>
    <x v="0"/>
    <x v="0"/>
    <n v="7"/>
    <b v="0"/>
    <n v="3"/>
    <x v="2"/>
    <x v="1"/>
    <n v="0"/>
    <n v="0.28789999999999999"/>
    <n v="0.81"/>
    <n v="0"/>
    <n v="3"/>
    <n v="13"/>
    <n v="16"/>
    <x v="1"/>
    <x v="0"/>
  </r>
  <r>
    <n v="578"/>
    <d v="2011-01-26T00:00:00"/>
    <x v="0"/>
    <x v="0"/>
    <n v="8"/>
    <b v="0"/>
    <n v="3"/>
    <x v="2"/>
    <x v="1"/>
    <n v="0"/>
    <n v="0.28789999999999999"/>
    <n v="0.81"/>
    <n v="0"/>
    <n v="3"/>
    <n v="13"/>
    <n v="16"/>
    <x v="1"/>
    <x v="0"/>
  </r>
  <r>
    <n v="579"/>
    <d v="2011-01-26T00:00:00"/>
    <x v="0"/>
    <x v="0"/>
    <n v="9"/>
    <b v="0"/>
    <n v="3"/>
    <x v="2"/>
    <x v="1"/>
    <n v="0"/>
    <n v="0.28789999999999999"/>
    <n v="0.81"/>
    <n v="0"/>
    <n v="3"/>
    <n v="13"/>
    <n v="16"/>
    <x v="1"/>
    <x v="0"/>
  </r>
  <r>
    <n v="580"/>
    <d v="2011-01-26T00:00:00"/>
    <x v="0"/>
    <x v="0"/>
    <n v="10"/>
    <b v="0"/>
    <n v="3"/>
    <x v="2"/>
    <x v="1"/>
    <n v="0"/>
    <n v="0.28789999999999999"/>
    <n v="0.81"/>
    <n v="0"/>
    <n v="3"/>
    <n v="13"/>
    <n v="16"/>
    <x v="1"/>
    <x v="0"/>
  </r>
  <r>
    <n v="581"/>
    <d v="2011-01-26T00:00:00"/>
    <x v="0"/>
    <x v="0"/>
    <n v="11"/>
    <b v="0"/>
    <n v="3"/>
    <x v="2"/>
    <x v="1"/>
    <n v="0"/>
    <n v="0.28789999999999999"/>
    <n v="0.81"/>
    <n v="0"/>
    <n v="3"/>
    <n v="13"/>
    <n v="16"/>
    <x v="1"/>
    <x v="0"/>
  </r>
  <r>
    <n v="582"/>
    <d v="2011-01-26T00:00:00"/>
    <x v="0"/>
    <x v="0"/>
    <n v="12"/>
    <b v="0"/>
    <n v="3"/>
    <x v="2"/>
    <x v="1"/>
    <n v="0"/>
    <n v="0.28789999999999999"/>
    <n v="0.81"/>
    <n v="0"/>
    <n v="3"/>
    <n v="13"/>
    <n v="16"/>
    <x v="1"/>
    <x v="1"/>
  </r>
  <r>
    <n v="583"/>
    <d v="2011-01-26T00:00:00"/>
    <x v="0"/>
    <x v="0"/>
    <n v="13"/>
    <b v="0"/>
    <n v="3"/>
    <x v="2"/>
    <x v="1"/>
    <n v="0"/>
    <n v="0.28789999999999999"/>
    <n v="0.81"/>
    <n v="0"/>
    <n v="3"/>
    <n v="13"/>
    <n v="16"/>
    <x v="1"/>
    <x v="1"/>
  </r>
  <r>
    <n v="584"/>
    <d v="2011-01-26T00:00:00"/>
    <x v="0"/>
    <x v="0"/>
    <n v="14"/>
    <b v="0"/>
    <n v="3"/>
    <x v="2"/>
    <x v="1"/>
    <n v="0"/>
    <n v="0.28789999999999999"/>
    <n v="0.81"/>
    <n v="0"/>
    <n v="3"/>
    <n v="13"/>
    <n v="16"/>
    <x v="1"/>
    <x v="1"/>
  </r>
  <r>
    <n v="585"/>
    <d v="2011-01-26T00:00:00"/>
    <x v="0"/>
    <x v="0"/>
    <n v="15"/>
    <b v="0"/>
    <n v="3"/>
    <x v="2"/>
    <x v="1"/>
    <n v="0"/>
    <n v="0.28789999999999999"/>
    <n v="0.81"/>
    <n v="0"/>
    <n v="3"/>
    <n v="13"/>
    <n v="16"/>
    <x v="1"/>
    <x v="1"/>
  </r>
  <r>
    <n v="586"/>
    <d v="2011-01-26T00:00:00"/>
    <x v="0"/>
    <x v="0"/>
    <n v="16"/>
    <b v="0"/>
    <n v="3"/>
    <x v="3"/>
    <x v="1"/>
    <n v="0"/>
    <n v="0.28789999999999999"/>
    <n v="0.81"/>
    <n v="0"/>
    <n v="3"/>
    <n v="13"/>
    <n v="16"/>
    <x v="1"/>
    <x v="2"/>
  </r>
  <r>
    <n v="587"/>
    <d v="2011-01-26T00:00:00"/>
    <x v="0"/>
    <x v="0"/>
    <n v="17"/>
    <b v="0"/>
    <n v="3"/>
    <x v="2"/>
    <x v="2"/>
    <n v="0"/>
    <n v="0.28789999999999999"/>
    <n v="0.81"/>
    <n v="0"/>
    <n v="3"/>
    <n v="13"/>
    <n v="16"/>
    <x v="1"/>
    <x v="2"/>
  </r>
  <r>
    <n v="588"/>
    <d v="2011-01-27T00:00:00"/>
    <x v="0"/>
    <x v="0"/>
    <n v="16"/>
    <b v="0"/>
    <n v="4"/>
    <x v="0"/>
    <x v="1"/>
    <n v="0"/>
    <n v="0.28789999999999999"/>
    <n v="0.81"/>
    <n v="0"/>
    <n v="3"/>
    <n v="13"/>
    <n v="16"/>
    <x v="1"/>
    <x v="2"/>
  </r>
  <r>
    <n v="589"/>
    <d v="2011-01-27T00:00:00"/>
    <x v="0"/>
    <x v="0"/>
    <n v="17"/>
    <b v="0"/>
    <n v="4"/>
    <x v="0"/>
    <x v="1"/>
    <n v="0"/>
    <n v="0.28789999999999999"/>
    <n v="0.81"/>
    <n v="0"/>
    <n v="3"/>
    <n v="13"/>
    <n v="16"/>
    <x v="1"/>
    <x v="2"/>
  </r>
  <r>
    <n v="590"/>
    <d v="2011-01-27T00:00:00"/>
    <x v="0"/>
    <x v="0"/>
    <n v="18"/>
    <b v="0"/>
    <n v="4"/>
    <x v="0"/>
    <x v="2"/>
    <n v="0"/>
    <n v="0.28789999999999999"/>
    <n v="0.81"/>
    <n v="0"/>
    <n v="3"/>
    <n v="13"/>
    <n v="16"/>
    <x v="1"/>
    <x v="2"/>
  </r>
  <r>
    <n v="591"/>
    <d v="2011-01-27T00:00:00"/>
    <x v="0"/>
    <x v="0"/>
    <n v="19"/>
    <b v="0"/>
    <n v="4"/>
    <x v="0"/>
    <x v="2"/>
    <n v="0"/>
    <n v="0.28789999999999999"/>
    <n v="0.81"/>
    <n v="0"/>
    <n v="3"/>
    <n v="13"/>
    <n v="16"/>
    <x v="1"/>
    <x v="2"/>
  </r>
  <r>
    <n v="592"/>
    <d v="2011-01-27T00:00:00"/>
    <x v="0"/>
    <x v="0"/>
    <n v="20"/>
    <b v="0"/>
    <n v="4"/>
    <x v="0"/>
    <x v="15"/>
    <n v="0"/>
    <n v="0.28789999999999999"/>
    <n v="0.81"/>
    <n v="0"/>
    <n v="3"/>
    <n v="13"/>
    <n v="16"/>
    <x v="1"/>
    <x v="2"/>
  </r>
  <r>
    <n v="593"/>
    <d v="2011-01-27T00:00:00"/>
    <x v="0"/>
    <x v="0"/>
    <n v="21"/>
    <b v="0"/>
    <n v="4"/>
    <x v="0"/>
    <x v="15"/>
    <n v="0"/>
    <n v="0.28789999999999999"/>
    <n v="0.81"/>
    <n v="0"/>
    <n v="3"/>
    <n v="13"/>
    <n v="16"/>
    <x v="1"/>
    <x v="3"/>
  </r>
  <r>
    <n v="594"/>
    <d v="2011-01-27T00:00:00"/>
    <x v="0"/>
    <x v="0"/>
    <n v="22"/>
    <b v="0"/>
    <n v="4"/>
    <x v="0"/>
    <x v="15"/>
    <n v="0"/>
    <n v="0.28789999999999999"/>
    <n v="0.81"/>
    <n v="0"/>
    <n v="3"/>
    <n v="13"/>
    <n v="16"/>
    <x v="1"/>
    <x v="3"/>
  </r>
  <r>
    <n v="595"/>
    <d v="2011-01-27T00:00:00"/>
    <x v="0"/>
    <x v="0"/>
    <n v="23"/>
    <b v="0"/>
    <n v="4"/>
    <x v="0"/>
    <x v="15"/>
    <n v="0"/>
    <n v="0.28789999999999999"/>
    <n v="0.81"/>
    <n v="0"/>
    <n v="3"/>
    <n v="13"/>
    <n v="16"/>
    <x v="1"/>
    <x v="3"/>
  </r>
  <r>
    <n v="596"/>
    <d v="2011-01-28T00:00:00"/>
    <x v="0"/>
    <x v="0"/>
    <n v="0"/>
    <b v="0"/>
    <n v="5"/>
    <x v="1"/>
    <x v="2"/>
    <n v="0"/>
    <n v="0.28789999999999999"/>
    <n v="0.81"/>
    <n v="0"/>
    <n v="3"/>
    <n v="13"/>
    <n v="16"/>
    <x v="0"/>
    <x v="0"/>
  </r>
  <r>
    <n v="597"/>
    <d v="2011-01-28T00:00:00"/>
    <x v="0"/>
    <x v="0"/>
    <n v="1"/>
    <b v="0"/>
    <n v="5"/>
    <x v="1"/>
    <x v="2"/>
    <n v="0"/>
    <n v="0.28789999999999999"/>
    <n v="0.81"/>
    <n v="0"/>
    <n v="3"/>
    <n v="13"/>
    <n v="16"/>
    <x v="0"/>
    <x v="0"/>
  </r>
  <r>
    <n v="598"/>
    <d v="2011-01-28T00:00:00"/>
    <x v="0"/>
    <x v="0"/>
    <n v="2"/>
    <b v="0"/>
    <n v="5"/>
    <x v="1"/>
    <x v="2"/>
    <n v="0"/>
    <n v="0.28789999999999999"/>
    <n v="0.81"/>
    <n v="0"/>
    <n v="3"/>
    <n v="13"/>
    <n v="16"/>
    <x v="0"/>
    <x v="0"/>
  </r>
  <r>
    <n v="599"/>
    <d v="2011-01-28T00:00:00"/>
    <x v="0"/>
    <x v="0"/>
    <n v="3"/>
    <b v="0"/>
    <n v="5"/>
    <x v="1"/>
    <x v="2"/>
    <n v="0"/>
    <n v="0.28789999999999999"/>
    <n v="0.81"/>
    <n v="0"/>
    <n v="3"/>
    <n v="13"/>
    <n v="16"/>
    <x v="0"/>
    <x v="0"/>
  </r>
  <r>
    <n v="600"/>
    <d v="2011-01-28T00:00:00"/>
    <x v="0"/>
    <x v="0"/>
    <n v="5"/>
    <b v="0"/>
    <n v="5"/>
    <x v="1"/>
    <x v="15"/>
    <n v="0"/>
    <n v="0.28789999999999999"/>
    <n v="0.81"/>
    <n v="0"/>
    <n v="3"/>
    <n v="13"/>
    <n v="16"/>
    <x v="0"/>
    <x v="0"/>
  </r>
  <r>
    <n v="601"/>
    <d v="2011-01-28T00:00:00"/>
    <x v="0"/>
    <x v="0"/>
    <n v="6"/>
    <b v="0"/>
    <n v="5"/>
    <x v="1"/>
    <x v="15"/>
    <n v="0"/>
    <n v="0.28789999999999999"/>
    <n v="0.81"/>
    <n v="0"/>
    <n v="3"/>
    <n v="13"/>
    <n v="16"/>
    <x v="0"/>
    <x v="0"/>
  </r>
  <r>
    <n v="602"/>
    <d v="2011-01-28T00:00:00"/>
    <x v="0"/>
    <x v="0"/>
    <n v="7"/>
    <b v="0"/>
    <n v="5"/>
    <x v="1"/>
    <x v="13"/>
    <n v="0"/>
    <n v="0.28789999999999999"/>
    <n v="0.81"/>
    <n v="0"/>
    <n v="3"/>
    <n v="13"/>
    <n v="16"/>
    <x v="0"/>
    <x v="0"/>
  </r>
  <r>
    <n v="603"/>
    <d v="2011-01-28T00:00:00"/>
    <x v="0"/>
    <x v="0"/>
    <n v="8"/>
    <b v="0"/>
    <n v="5"/>
    <x v="1"/>
    <x v="13"/>
    <n v="0"/>
    <n v="0.28789999999999999"/>
    <n v="0.81"/>
    <n v="0"/>
    <n v="3"/>
    <n v="13"/>
    <n v="16"/>
    <x v="0"/>
    <x v="0"/>
  </r>
  <r>
    <n v="604"/>
    <d v="2011-01-28T00:00:00"/>
    <x v="0"/>
    <x v="0"/>
    <n v="9"/>
    <b v="0"/>
    <n v="5"/>
    <x v="2"/>
    <x v="15"/>
    <n v="0"/>
    <n v="0.28789999999999999"/>
    <n v="0.81"/>
    <n v="0"/>
    <n v="3"/>
    <n v="13"/>
    <n v="16"/>
    <x v="0"/>
    <x v="0"/>
  </r>
  <r>
    <n v="605"/>
    <d v="2011-01-28T00:00:00"/>
    <x v="0"/>
    <x v="0"/>
    <n v="10"/>
    <b v="0"/>
    <n v="5"/>
    <x v="2"/>
    <x v="15"/>
    <n v="0"/>
    <n v="0.28789999999999999"/>
    <n v="0.81"/>
    <n v="0"/>
    <n v="3"/>
    <n v="13"/>
    <n v="16"/>
    <x v="0"/>
    <x v="0"/>
  </r>
  <r>
    <n v="606"/>
    <d v="2011-01-28T00:00:00"/>
    <x v="0"/>
    <x v="0"/>
    <n v="11"/>
    <b v="0"/>
    <n v="5"/>
    <x v="2"/>
    <x v="15"/>
    <n v="0"/>
    <n v="0.28789999999999999"/>
    <n v="0.81"/>
    <n v="0"/>
    <n v="3"/>
    <n v="13"/>
    <n v="16"/>
    <x v="0"/>
    <x v="0"/>
  </r>
  <r>
    <n v="607"/>
    <d v="2011-01-28T00:00:00"/>
    <x v="0"/>
    <x v="0"/>
    <n v="12"/>
    <b v="0"/>
    <n v="5"/>
    <x v="2"/>
    <x v="15"/>
    <n v="0"/>
    <n v="0.28789999999999999"/>
    <n v="0.81"/>
    <n v="0"/>
    <n v="3"/>
    <n v="13"/>
    <n v="16"/>
    <x v="0"/>
    <x v="1"/>
  </r>
  <r>
    <n v="608"/>
    <d v="2011-01-28T00:00:00"/>
    <x v="0"/>
    <x v="0"/>
    <n v="13"/>
    <b v="0"/>
    <n v="5"/>
    <x v="2"/>
    <x v="15"/>
    <n v="0"/>
    <n v="0.28789999999999999"/>
    <n v="0.81"/>
    <n v="0"/>
    <n v="3"/>
    <n v="13"/>
    <n v="16"/>
    <x v="0"/>
    <x v="1"/>
  </r>
  <r>
    <n v="609"/>
    <d v="2011-01-28T00:00:00"/>
    <x v="0"/>
    <x v="0"/>
    <n v="14"/>
    <b v="0"/>
    <n v="5"/>
    <x v="2"/>
    <x v="1"/>
    <n v="0"/>
    <n v="0.28789999999999999"/>
    <n v="0.81"/>
    <n v="0"/>
    <n v="3"/>
    <n v="13"/>
    <n v="16"/>
    <x v="0"/>
    <x v="1"/>
  </r>
  <r>
    <n v="610"/>
    <d v="2011-01-28T00:00:00"/>
    <x v="0"/>
    <x v="0"/>
    <n v="15"/>
    <b v="0"/>
    <n v="5"/>
    <x v="1"/>
    <x v="2"/>
    <n v="0"/>
    <n v="0.28789999999999999"/>
    <n v="0.81"/>
    <n v="0"/>
    <n v="3"/>
    <n v="13"/>
    <n v="16"/>
    <x v="0"/>
    <x v="1"/>
  </r>
  <r>
    <n v="1"/>
    <d v="2011-01-28T00:00:00"/>
    <x v="0"/>
    <x v="0"/>
    <n v="15"/>
    <b v="0"/>
    <n v="5"/>
    <x v="1"/>
    <x v="2"/>
    <n v="0"/>
    <n v="0.28789999999999999"/>
    <n v="0.81"/>
    <n v="0"/>
    <n v="3"/>
    <n v="13"/>
    <n v="16"/>
    <x v="0"/>
    <x v="1"/>
  </r>
  <r>
    <n v="2"/>
    <d v="2011-01-28T00:00:00"/>
    <x v="0"/>
    <x v="0"/>
    <n v="15"/>
    <b v="0"/>
    <n v="5"/>
    <x v="1"/>
    <x v="2"/>
    <n v="1"/>
    <n v="0.2727"/>
    <n v="0.8"/>
    <n v="0"/>
    <n v="8"/>
    <n v="32"/>
    <n v="40"/>
    <x v="0"/>
    <x v="1"/>
  </r>
  <r>
    <n v="3"/>
    <d v="2011-01-28T00:00:00"/>
    <x v="0"/>
    <x v="0"/>
    <n v="15"/>
    <b v="0"/>
    <n v="5"/>
    <x v="1"/>
    <x v="2"/>
    <n v="2"/>
    <n v="0.2727"/>
    <n v="0.8"/>
    <n v="0"/>
    <n v="5"/>
    <n v="27"/>
    <n v="32"/>
    <x v="0"/>
    <x v="1"/>
  </r>
  <r>
    <n v="4"/>
    <d v="2011-01-28T00:00:00"/>
    <x v="0"/>
    <x v="0"/>
    <n v="15"/>
    <b v="0"/>
    <n v="5"/>
    <x v="1"/>
    <x v="2"/>
    <n v="3"/>
    <n v="0.28789999999999999"/>
    <n v="0.75"/>
    <n v="0"/>
    <n v="3"/>
    <n v="10"/>
    <n v="13"/>
    <x v="0"/>
    <x v="1"/>
  </r>
  <r>
    <n v="5"/>
    <d v="2011-01-28T00:00:00"/>
    <x v="0"/>
    <x v="0"/>
    <n v="15"/>
    <b v="0"/>
    <n v="5"/>
    <x v="1"/>
    <x v="2"/>
    <n v="4"/>
    <n v="0.28789999999999999"/>
    <n v="0.75"/>
    <n v="0"/>
    <n v="0"/>
    <n v="1"/>
    <n v="1"/>
    <x v="0"/>
    <x v="1"/>
  </r>
  <r>
    <n v="6"/>
    <d v="2011-01-28T00:00:00"/>
    <x v="0"/>
    <x v="0"/>
    <n v="15"/>
    <b v="0"/>
    <n v="5"/>
    <x v="1"/>
    <x v="2"/>
    <n v="5"/>
    <n v="0.2576"/>
    <n v="0.75"/>
    <n v="8.9599999999999999E-2"/>
    <n v="0"/>
    <n v="1"/>
    <n v="1"/>
    <x v="0"/>
    <x v="1"/>
  </r>
  <r>
    <n v="7"/>
    <d v="2011-01-28T00:00:00"/>
    <x v="0"/>
    <x v="0"/>
    <n v="15"/>
    <b v="0"/>
    <n v="5"/>
    <x v="1"/>
    <x v="2"/>
    <n v="6"/>
    <n v="0.2727"/>
    <n v="0.8"/>
    <n v="0"/>
    <n v="2"/>
    <n v="0"/>
    <n v="2"/>
    <x v="0"/>
    <x v="1"/>
  </r>
  <r>
    <n v="8"/>
    <d v="2011-01-28T00:00:00"/>
    <x v="0"/>
    <x v="0"/>
    <n v="15"/>
    <b v="0"/>
    <n v="5"/>
    <x v="1"/>
    <x v="2"/>
    <n v="7"/>
    <n v="0.2576"/>
    <n v="0.86"/>
    <n v="0"/>
    <n v="1"/>
    <n v="2"/>
    <n v="3"/>
    <x v="0"/>
    <x v="1"/>
  </r>
  <r>
    <n v="9"/>
    <d v="2011-01-28T00:00:00"/>
    <x v="0"/>
    <x v="0"/>
    <n v="15"/>
    <b v="0"/>
    <n v="5"/>
    <x v="1"/>
    <x v="2"/>
    <n v="8"/>
    <n v="0"/>
    <n v="0.75"/>
    <n v="0"/>
    <n v="1"/>
    <n v="7"/>
    <n v="8"/>
    <x v="0"/>
    <x v="1"/>
  </r>
  <r>
    <n v="10"/>
    <d v="2011-01-28T00:00:00"/>
    <x v="0"/>
    <x v="0"/>
    <n v="15"/>
    <b v="0"/>
    <n v="5"/>
    <x v="1"/>
    <x v="2"/>
    <n v="9"/>
    <n v="0.34849999999999998"/>
    <n v="0.76"/>
    <n v="0"/>
    <n v="8"/>
    <n v="6"/>
    <n v="14"/>
    <x v="0"/>
    <x v="1"/>
  </r>
  <r>
    <n v="11"/>
    <d v="2011-01-28T00:00:00"/>
    <x v="0"/>
    <x v="0"/>
    <n v="15"/>
    <b v="0"/>
    <n v="5"/>
    <x v="1"/>
    <x v="2"/>
    <n v="10"/>
    <n v="0.39389999999999997"/>
    <n v="0.76"/>
    <n v="0.25369999999999998"/>
    <n v="12"/>
    <n v="24"/>
    <n v="36"/>
    <x v="0"/>
    <x v="1"/>
  </r>
  <r>
    <n v="12"/>
    <d v="2011-01-28T00:00:00"/>
    <x v="0"/>
    <x v="0"/>
    <n v="15"/>
    <b v="0"/>
    <n v="5"/>
    <x v="1"/>
    <x v="2"/>
    <n v="11"/>
    <n v="0.33329999999999999"/>
    <n v="0.81"/>
    <n v="0.28360000000000002"/>
    <n v="26"/>
    <n v="30"/>
    <n v="56"/>
    <x v="0"/>
    <x v="1"/>
  </r>
  <r>
    <n v="13"/>
    <d v="2011-01-28T00:00:00"/>
    <x v="0"/>
    <x v="0"/>
    <n v="15"/>
    <b v="0"/>
    <n v="5"/>
    <x v="1"/>
    <x v="2"/>
    <n v="12"/>
    <n v="0.42420000000000002"/>
    <n v="0.77"/>
    <n v="0.28360000000000002"/>
    <n v="29"/>
    <n v="55"/>
    <n v="84"/>
    <x v="0"/>
    <x v="1"/>
  </r>
  <r>
    <n v="14"/>
    <d v="2011-01-28T00:00:00"/>
    <x v="0"/>
    <x v="0"/>
    <n v="15"/>
    <b v="0"/>
    <n v="5"/>
    <x v="1"/>
    <x v="2"/>
    <n v="13"/>
    <n v="0.45450000000000002"/>
    <n v="0.72"/>
    <n v="0.29849999999999999"/>
    <n v="47"/>
    <n v="47"/>
    <n v="94"/>
    <x v="0"/>
    <x v="1"/>
  </r>
  <r>
    <n v="15"/>
    <d v="2011-01-28T00:00:00"/>
    <x v="0"/>
    <x v="0"/>
    <n v="15"/>
    <b v="0"/>
    <n v="5"/>
    <x v="1"/>
    <x v="2"/>
    <n v="14"/>
    <n v="0.45450000000000002"/>
    <n v="0.72"/>
    <n v="0.28360000000000002"/>
    <n v="35"/>
    <n v="71"/>
    <n v="106"/>
    <x v="0"/>
    <x v="1"/>
  </r>
  <r>
    <n v="16"/>
    <d v="2011-01-28T00:00:00"/>
    <x v="0"/>
    <x v="0"/>
    <n v="15"/>
    <b v="0"/>
    <n v="5"/>
    <x v="1"/>
    <x v="2"/>
    <n v="15"/>
    <n v="0.43940000000000001"/>
    <n v="0.77"/>
    <n v="0.29849999999999999"/>
    <n v="40"/>
    <n v="70"/>
    <n v="110"/>
    <x v="0"/>
    <x v="1"/>
  </r>
  <r>
    <n v="17"/>
    <d v="2011-01-28T00:00:00"/>
    <x v="0"/>
    <x v="0"/>
    <n v="15"/>
    <b v="0"/>
    <n v="5"/>
    <x v="1"/>
    <x v="2"/>
    <n v="16"/>
    <n v="0.42420000000000002"/>
    <n v="0.82"/>
    <n v="0.29849999999999999"/>
    <n v="41"/>
    <n v="52"/>
    <n v="93"/>
    <x v="0"/>
    <x v="1"/>
  </r>
  <r>
    <n v="18"/>
    <d v="2011-01-28T00:00:00"/>
    <x v="0"/>
    <x v="0"/>
    <n v="15"/>
    <b v="0"/>
    <n v="5"/>
    <x v="1"/>
    <x v="2"/>
    <n v="17"/>
    <n v="0"/>
    <n v="0.82"/>
    <n v="0.28360000000000002"/>
    <n v="15"/>
    <n v="52"/>
    <n v="67"/>
    <x v="0"/>
    <x v="1"/>
  </r>
  <r>
    <n v="19"/>
    <d v="2011-01-28T00:00:00"/>
    <x v="0"/>
    <x v="0"/>
    <n v="15"/>
    <b v="0"/>
    <n v="5"/>
    <x v="1"/>
    <x v="2"/>
    <n v="18"/>
    <n v="0.42420000000000002"/>
    <n v="0.88"/>
    <n v="0.25369999999999998"/>
    <n v="9"/>
    <n v="26"/>
    <n v="35"/>
    <x v="0"/>
    <x v="1"/>
  </r>
  <r>
    <n v="20"/>
    <d v="2011-01-28T00:00:00"/>
    <x v="0"/>
    <x v="0"/>
    <n v="15"/>
    <b v="0"/>
    <n v="5"/>
    <x v="1"/>
    <x v="2"/>
    <n v="19"/>
    <n v="0.42420000000000002"/>
    <n v="0.88"/>
    <n v="0.25369999999999998"/>
    <n v="6"/>
    <n v="31"/>
    <n v="37"/>
    <x v="0"/>
    <x v="1"/>
  </r>
  <r>
    <n v="21"/>
    <d v="2011-01-28T00:00:00"/>
    <x v="0"/>
    <x v="0"/>
    <n v="15"/>
    <b v="0"/>
    <n v="5"/>
    <x v="1"/>
    <x v="2"/>
    <n v="20"/>
    <n v="0.40910000000000002"/>
    <n v="0.87"/>
    <n v="0.25369999999999998"/>
    <n v="11"/>
    <n v="25"/>
    <n v="36"/>
    <x v="0"/>
    <x v="1"/>
  </r>
  <r>
    <n v="22"/>
    <d v="2011-01-28T00:00:00"/>
    <x v="0"/>
    <x v="0"/>
    <n v="15"/>
    <b v="0"/>
    <n v="5"/>
    <x v="1"/>
    <x v="2"/>
    <n v="21"/>
    <n v="0.40910000000000002"/>
    <n v="0.87"/>
    <n v="0.19400000000000001"/>
    <n v="3"/>
    <n v="31"/>
    <n v="34"/>
    <x v="0"/>
    <x v="1"/>
  </r>
  <r>
    <n v="23"/>
    <d v="2011-01-28T00:00:00"/>
    <x v="0"/>
    <x v="0"/>
    <n v="15"/>
    <b v="0"/>
    <n v="5"/>
    <x v="1"/>
    <x v="2"/>
    <n v="22"/>
    <n v="0.40910000000000002"/>
    <n v="0.94"/>
    <n v="0.22389999999999999"/>
    <n v="11"/>
    <n v="17"/>
    <n v="28"/>
    <x v="0"/>
    <x v="1"/>
  </r>
  <r>
    <n v="24"/>
    <d v="2011-01-28T00:00:00"/>
    <x v="0"/>
    <x v="0"/>
    <n v="15"/>
    <b v="0"/>
    <n v="5"/>
    <x v="1"/>
    <x v="2"/>
    <n v="23"/>
    <n v="0"/>
    <n v="0.88"/>
    <n v="0.29849999999999999"/>
    <n v="15"/>
    <n v="24"/>
    <n v="39"/>
    <x v="0"/>
    <x v="1"/>
  </r>
  <r>
    <n v="25"/>
    <d v="2011-01-28T00:00:00"/>
    <x v="0"/>
    <x v="0"/>
    <n v="15"/>
    <b v="0"/>
    <n v="5"/>
    <x v="1"/>
    <x v="2"/>
    <n v="24"/>
    <n v="0.45450000000000002"/>
    <n v="0.88"/>
    <n v="0.29849999999999999"/>
    <n v="4"/>
    <n v="13"/>
    <n v="17"/>
    <x v="0"/>
    <x v="1"/>
  </r>
  <r>
    <n v="26"/>
    <d v="2011-01-28T00:00:00"/>
    <x v="0"/>
    <x v="0"/>
    <n v="15"/>
    <b v="0"/>
    <n v="5"/>
    <x v="1"/>
    <x v="2"/>
    <n v="25"/>
    <n v="0.43940000000000001"/>
    <n v="0.94"/>
    <n v="0.25369999999999998"/>
    <n v="1"/>
    <n v="16"/>
    <n v="17"/>
    <x v="0"/>
    <x v="1"/>
  </r>
  <r>
    <n v="27"/>
    <d v="2011-01-28T00:00:00"/>
    <x v="0"/>
    <x v="0"/>
    <n v="15"/>
    <b v="0"/>
    <n v="5"/>
    <x v="1"/>
    <x v="2"/>
    <n v="26"/>
    <n v="0.42420000000000002"/>
    <n v="1"/>
    <n v="0.28360000000000002"/>
    <n v="1"/>
    <n v="8"/>
    <n v="9"/>
    <x v="0"/>
    <x v="1"/>
  </r>
  <r>
    <n v="28"/>
    <d v="2011-01-28T00:00:00"/>
    <x v="0"/>
    <x v="0"/>
    <n v="15"/>
    <b v="0"/>
    <n v="5"/>
    <x v="1"/>
    <x v="2"/>
    <n v="27"/>
    <n v="0.45450000000000002"/>
    <n v="0.94"/>
    <n v="0.19400000000000001"/>
    <n v="2"/>
    <n v="4"/>
    <n v="6"/>
    <x v="0"/>
    <x v="1"/>
  </r>
  <r>
    <n v="29"/>
    <d v="2011-01-28T00:00:00"/>
    <x v="0"/>
    <x v="0"/>
    <n v="15"/>
    <b v="0"/>
    <n v="5"/>
    <x v="1"/>
    <x v="2"/>
    <n v="28"/>
    <n v="0"/>
    <n v="0.94"/>
    <n v="0.19400000000000001"/>
    <n v="2"/>
    <n v="1"/>
    <n v="3"/>
    <x v="0"/>
    <x v="1"/>
  </r>
  <r>
    <n v="30"/>
    <d v="2011-01-28T00:00:00"/>
    <x v="0"/>
    <x v="0"/>
    <n v="15"/>
    <b v="0"/>
    <n v="5"/>
    <x v="1"/>
    <x v="2"/>
    <n v="29"/>
    <n v="0.42420000000000002"/>
    <n v="0.77"/>
    <n v="0.29849999999999999"/>
    <n v="0"/>
    <n v="2"/>
    <n v="2"/>
    <x v="0"/>
    <x v="1"/>
  </r>
  <r>
    <n v="31"/>
    <d v="2011-01-28T00:00:00"/>
    <x v="0"/>
    <x v="0"/>
    <n v="15"/>
    <b v="0"/>
    <n v="5"/>
    <x v="1"/>
    <x v="2"/>
    <n v="30"/>
    <n v="0.40910000000000002"/>
    <n v="0.76"/>
    <n v="0.19400000000000001"/>
    <n v="0"/>
    <n v="1"/>
    <n v="1"/>
    <x v="0"/>
    <x v="1"/>
  </r>
  <r>
    <n v="32"/>
    <d v="2011-01-28T00:00:00"/>
    <x v="0"/>
    <x v="0"/>
    <n v="15"/>
    <b v="0"/>
    <n v="5"/>
    <x v="1"/>
    <x v="2"/>
    <n v="31"/>
    <n v="0.40910000000000002"/>
    <n v="0.71"/>
    <n v="0.22389999999999999"/>
    <n v="0"/>
    <n v="8"/>
    <n v="8"/>
    <x v="0"/>
    <x v="1"/>
  </r>
  <r>
    <n v="33"/>
    <d v="2011-01-28T00:00:00"/>
    <x v="0"/>
    <x v="0"/>
    <n v="15"/>
    <b v="0"/>
    <n v="5"/>
    <x v="1"/>
    <x v="2"/>
    <n v="32"/>
    <n v="0"/>
    <n v="0.76"/>
    <n v="0.22389999999999999"/>
    <n v="1"/>
    <n v="19"/>
    <n v="20"/>
    <x v="0"/>
    <x v="1"/>
  </r>
  <r>
    <n v="34"/>
    <d v="2011-01-28T00:00:00"/>
    <x v="0"/>
    <x v="0"/>
    <n v="15"/>
    <b v="0"/>
    <n v="5"/>
    <x v="1"/>
    <x v="2"/>
    <n v="33"/>
    <n v="0.34849999999999998"/>
    <n v="0.81"/>
    <n v="0.22389999999999999"/>
    <n v="7"/>
    <n v="46"/>
    <n v="53"/>
    <x v="0"/>
    <x v="1"/>
  </r>
  <r>
    <n v="35"/>
    <d v="2011-01-28T00:00:00"/>
    <x v="0"/>
    <x v="0"/>
    <n v="15"/>
    <b v="0"/>
    <n v="5"/>
    <x v="1"/>
    <x v="2"/>
    <n v="34"/>
    <n v="0.33329999999999999"/>
    <n v="0.71"/>
    <n v="0.25369999999999998"/>
    <n v="16"/>
    <n v="54"/>
    <n v="70"/>
    <x v="0"/>
    <x v="1"/>
  </r>
  <r>
    <n v="36"/>
    <d v="2011-01-28T00:00:00"/>
    <x v="0"/>
    <x v="0"/>
    <n v="15"/>
    <b v="0"/>
    <n v="5"/>
    <x v="1"/>
    <x v="2"/>
    <n v="35"/>
    <n v="0.33329999999999999"/>
    <n v="0.66"/>
    <n v="0.29849999999999999"/>
    <n v="20"/>
    <n v="73"/>
    <n v="93"/>
    <x v="0"/>
    <x v="1"/>
  </r>
  <r>
    <n v="37"/>
    <d v="2011-01-28T00:00:00"/>
    <x v="0"/>
    <x v="0"/>
    <n v="15"/>
    <b v="0"/>
    <n v="5"/>
    <x v="1"/>
    <x v="2"/>
    <n v="36"/>
    <n v="0.34849999999999998"/>
    <n v="0.66"/>
    <n v="0.1343"/>
    <n v="11"/>
    <n v="64"/>
    <n v="75"/>
    <x v="0"/>
    <x v="1"/>
  </r>
  <r>
    <n v="38"/>
    <d v="2011-01-28T00:00:00"/>
    <x v="0"/>
    <x v="0"/>
    <n v="15"/>
    <b v="0"/>
    <n v="5"/>
    <x v="1"/>
    <x v="2"/>
    <n v="37"/>
    <n v="0"/>
    <n v="0.76"/>
    <n v="0.19400000000000001"/>
    <n v="4"/>
    <n v="55"/>
    <n v="59"/>
    <x v="0"/>
    <x v="1"/>
  </r>
  <r>
    <n v="39"/>
    <d v="2011-01-28T00:00:00"/>
    <x v="0"/>
    <x v="0"/>
    <n v="15"/>
    <b v="0"/>
    <n v="5"/>
    <x v="1"/>
    <x v="2"/>
    <n v="38"/>
    <n v="0.33329999999999999"/>
    <n v="0.81"/>
    <n v="0.16420000000000001"/>
    <n v="19"/>
    <n v="55"/>
    <n v="74"/>
    <x v="0"/>
    <x v="1"/>
  </r>
  <r>
    <n v="40"/>
    <d v="2011-01-28T00:00:00"/>
    <x v="0"/>
    <x v="0"/>
    <n v="15"/>
    <b v="0"/>
    <n v="5"/>
    <x v="1"/>
    <x v="2"/>
    <n v="39"/>
    <n v="0.33329999999999999"/>
    <n v="0.71"/>
    <n v="0.16420000000000001"/>
    <n v="9"/>
    <n v="67"/>
    <n v="76"/>
    <x v="0"/>
    <x v="1"/>
  </r>
  <r>
    <n v="41"/>
    <d v="2011-01-28T00:00:00"/>
    <x v="0"/>
    <x v="0"/>
    <n v="15"/>
    <b v="0"/>
    <n v="5"/>
    <x v="1"/>
    <x v="2"/>
    <n v="40"/>
    <n v="0.33329999999999999"/>
    <n v="0.56999999999999995"/>
    <n v="0.19400000000000001"/>
    <n v="7"/>
    <n v="58"/>
    <n v="65"/>
    <x v="0"/>
    <x v="1"/>
  </r>
  <r>
    <n v="42"/>
    <d v="2011-01-28T00:00:00"/>
    <x v="0"/>
    <x v="0"/>
    <n v="15"/>
    <b v="0"/>
    <n v="5"/>
    <x v="1"/>
    <x v="2"/>
    <n v="41"/>
    <n v="0.33329999999999999"/>
    <n v="0.46"/>
    <n v="0.32840000000000003"/>
    <n v="10"/>
    <n v="43"/>
    <n v="53"/>
    <x v="0"/>
    <x v="1"/>
  </r>
  <r>
    <n v="43"/>
    <d v="2011-01-28T00:00:00"/>
    <x v="0"/>
    <x v="0"/>
    <n v="15"/>
    <b v="0"/>
    <n v="5"/>
    <x v="1"/>
    <x v="2"/>
    <n v="42"/>
    <n v="0.28789999999999999"/>
    <n v="0.42"/>
    <n v="0.44779999999999998"/>
    <n v="1"/>
    <n v="29"/>
    <n v="30"/>
    <x v="0"/>
    <x v="1"/>
  </r>
  <r>
    <n v="44"/>
    <d v="2011-01-28T00:00:00"/>
    <x v="0"/>
    <x v="0"/>
    <n v="15"/>
    <b v="0"/>
    <n v="5"/>
    <x v="1"/>
    <x v="2"/>
    <n v="43"/>
    <n v="0"/>
    <n v="0.39"/>
    <n v="0.35820000000000002"/>
    <n v="5"/>
    <n v="17"/>
    <n v="22"/>
    <x v="0"/>
    <x v="1"/>
  </r>
  <r>
    <n v="45"/>
    <d v="2011-01-28T00:00:00"/>
    <x v="0"/>
    <x v="0"/>
    <n v="15"/>
    <b v="0"/>
    <n v="5"/>
    <x v="1"/>
    <x v="2"/>
    <n v="44"/>
    <n v="0.2273"/>
    <n v="0.44"/>
    <n v="0.32840000000000003"/>
    <n v="11"/>
    <n v="20"/>
    <n v="31"/>
    <x v="0"/>
    <x v="1"/>
  </r>
  <r>
    <n v="46"/>
    <d v="2011-01-28T00:00:00"/>
    <x v="0"/>
    <x v="0"/>
    <n v="15"/>
    <b v="0"/>
    <n v="5"/>
    <x v="1"/>
    <x v="2"/>
    <n v="45"/>
    <n v="0.21210000000000001"/>
    <n v="0.44"/>
    <n v="0.29849999999999999"/>
    <n v="0"/>
    <n v="9"/>
    <n v="9"/>
    <x v="0"/>
    <x v="1"/>
  </r>
  <r>
    <n v="47"/>
    <d v="2011-01-28T00:00:00"/>
    <x v="0"/>
    <x v="0"/>
    <n v="15"/>
    <b v="0"/>
    <n v="5"/>
    <x v="1"/>
    <x v="2"/>
    <n v="46"/>
    <n v="0.2273"/>
    <n v="0.47"/>
    <n v="0.16420000000000001"/>
    <n v="0"/>
    <n v="8"/>
    <n v="8"/>
    <x v="0"/>
    <x v="1"/>
  </r>
  <r>
    <n v="48"/>
    <d v="2011-01-28T00:00:00"/>
    <x v="0"/>
    <x v="0"/>
    <n v="15"/>
    <b v="0"/>
    <n v="5"/>
    <x v="1"/>
    <x v="2"/>
    <n v="47"/>
    <n v="0.19700000000000001"/>
    <n v="0.44"/>
    <n v="0.35820000000000002"/>
    <n v="0"/>
    <n v="5"/>
    <n v="5"/>
    <x v="0"/>
    <x v="1"/>
  </r>
  <r>
    <n v="49"/>
    <d v="2011-01-28T00:00:00"/>
    <x v="0"/>
    <x v="0"/>
    <n v="15"/>
    <b v="0"/>
    <n v="5"/>
    <x v="1"/>
    <x v="2"/>
    <n v="48"/>
    <n v="0"/>
    <n v="0.44"/>
    <n v="0.41789999999999999"/>
    <n v="0"/>
    <n v="2"/>
    <n v="2"/>
    <x v="0"/>
    <x v="1"/>
  </r>
  <r>
    <n v="50"/>
    <d v="2011-01-28T00:00:00"/>
    <x v="0"/>
    <x v="0"/>
    <n v="15"/>
    <b v="0"/>
    <n v="5"/>
    <x v="1"/>
    <x v="2"/>
    <n v="49"/>
    <n v="0.13639999999999999"/>
    <n v="0.47"/>
    <n v="0.3881"/>
    <n v="0"/>
    <n v="1"/>
    <n v="1"/>
    <x v="0"/>
    <x v="1"/>
  </r>
  <r>
    <n v="51"/>
    <d v="2011-01-28T00:00:00"/>
    <x v="0"/>
    <x v="0"/>
    <n v="15"/>
    <b v="0"/>
    <n v="5"/>
    <x v="1"/>
    <x v="2"/>
    <n v="50"/>
    <n v="0.13639999999999999"/>
    <n v="0.47"/>
    <n v="0.28360000000000002"/>
    <n v="0"/>
    <n v="3"/>
    <n v="3"/>
    <x v="0"/>
    <x v="1"/>
  </r>
  <r>
    <n v="52"/>
    <d v="2011-01-28T00:00:00"/>
    <x v="0"/>
    <x v="0"/>
    <n v="15"/>
    <b v="0"/>
    <n v="5"/>
    <x v="1"/>
    <x v="2"/>
    <n v="51"/>
    <n v="0.1061"/>
    <n v="0.5"/>
    <n v="0.3881"/>
    <n v="0"/>
    <n v="30"/>
    <n v="30"/>
    <x v="0"/>
    <x v="1"/>
  </r>
  <r>
    <n v="53"/>
    <d v="2011-01-28T00:00:00"/>
    <x v="0"/>
    <x v="0"/>
    <n v="15"/>
    <b v="0"/>
    <n v="5"/>
    <x v="1"/>
    <x v="2"/>
    <n v="52"/>
    <n v="0.13639999999999999"/>
    <n v="0.5"/>
    <n v="0.19400000000000001"/>
    <n v="1"/>
    <n v="63"/>
    <n v="64"/>
    <x v="0"/>
    <x v="1"/>
  </r>
  <r>
    <n v="54"/>
    <d v="2011-01-28T00:00:00"/>
    <x v="0"/>
    <x v="0"/>
    <n v="15"/>
    <b v="0"/>
    <n v="5"/>
    <x v="1"/>
    <x v="2"/>
    <n v="53"/>
    <n v="0.1212"/>
    <n v="0.5"/>
    <n v="0.28360000000000002"/>
    <n v="1"/>
    <n v="153"/>
    <n v="154"/>
    <x v="0"/>
    <x v="1"/>
  </r>
  <r>
    <n v="55"/>
    <d v="2011-01-28T00:00:00"/>
    <x v="0"/>
    <x v="0"/>
    <n v="15"/>
    <b v="0"/>
    <n v="5"/>
    <x v="1"/>
    <x v="2"/>
    <n v="54"/>
    <n v="0.13639999999999999"/>
    <n v="0.43"/>
    <n v="0.3881"/>
    <n v="7"/>
    <n v="81"/>
    <n v="88"/>
    <x v="0"/>
    <x v="1"/>
  </r>
  <r>
    <n v="56"/>
    <d v="2011-01-28T00:00:00"/>
    <x v="0"/>
    <x v="0"/>
    <n v="15"/>
    <b v="0"/>
    <n v="5"/>
    <x v="1"/>
    <x v="2"/>
    <n v="55"/>
    <n v="0.16669999999999999"/>
    <n v="0.43"/>
    <n v="0.25369999999999998"/>
    <n v="11"/>
    <n v="33"/>
    <n v="44"/>
    <x v="0"/>
    <x v="1"/>
  </r>
  <r>
    <n v="57"/>
    <d v="2011-01-28T00:00:00"/>
    <x v="0"/>
    <x v="0"/>
    <n v="15"/>
    <b v="0"/>
    <n v="5"/>
    <x v="1"/>
    <x v="2"/>
    <n v="56"/>
    <n v="0.18179999999999999"/>
    <n v="0.4"/>
    <n v="0.32840000000000003"/>
    <n v="10"/>
    <n v="41"/>
    <n v="51"/>
    <x v="0"/>
    <x v="1"/>
  </r>
  <r>
    <n v="58"/>
    <d v="2011-01-28T00:00:00"/>
    <x v="0"/>
    <x v="0"/>
    <n v="15"/>
    <b v="0"/>
    <n v="5"/>
    <x v="1"/>
    <x v="2"/>
    <n v="57"/>
    <n v="0.21210000000000001"/>
    <n v="0.35"/>
    <n v="0.29849999999999999"/>
    <n v="13"/>
    <n v="48"/>
    <n v="61"/>
    <x v="0"/>
    <x v="1"/>
  </r>
  <r>
    <n v="59"/>
    <d v="2011-01-28T00:00:00"/>
    <x v="0"/>
    <x v="0"/>
    <n v="15"/>
    <b v="0"/>
    <n v="5"/>
    <x v="1"/>
    <x v="2"/>
    <n v="58"/>
    <n v="0"/>
    <n v="0.35"/>
    <n v="0.28360000000000002"/>
    <n v="8"/>
    <n v="53"/>
    <n v="61"/>
    <x v="0"/>
    <x v="1"/>
  </r>
  <r>
    <n v="60"/>
    <d v="2011-01-28T00:00:00"/>
    <x v="0"/>
    <x v="0"/>
    <n v="15"/>
    <b v="0"/>
    <n v="5"/>
    <x v="1"/>
    <x v="2"/>
    <n v="59"/>
    <n v="0.2424"/>
    <n v="0.3"/>
    <n v="0.28360000000000002"/>
    <n v="11"/>
    <n v="66"/>
    <n v="77"/>
    <x v="0"/>
    <x v="1"/>
  </r>
  <r>
    <n v="61"/>
    <d v="2011-01-28T00:00:00"/>
    <x v="0"/>
    <x v="0"/>
    <n v="15"/>
    <b v="0"/>
    <n v="5"/>
    <x v="1"/>
    <x v="2"/>
    <n v="60"/>
    <n v="0.2424"/>
    <n v="0.3"/>
    <n v="0.25369999999999998"/>
    <n v="14"/>
    <n v="58"/>
    <n v="72"/>
    <x v="0"/>
    <x v="1"/>
  </r>
  <r>
    <n v="62"/>
    <d v="2011-01-28T00:00:00"/>
    <x v="0"/>
    <x v="0"/>
    <n v="15"/>
    <b v="0"/>
    <n v="5"/>
    <x v="1"/>
    <x v="2"/>
    <n v="61"/>
    <n v="0.2424"/>
    <n v="0.3"/>
    <n v="0.25369999999999998"/>
    <n v="9"/>
    <n v="67"/>
    <n v="76"/>
    <x v="0"/>
    <x v="1"/>
  </r>
  <r>
    <n v="63"/>
    <d v="2011-01-28T00:00:00"/>
    <x v="0"/>
    <x v="0"/>
    <n v="15"/>
    <b v="0"/>
    <n v="5"/>
    <x v="1"/>
    <x v="2"/>
    <n v="62"/>
    <n v="0.2273"/>
    <n v="0.3"/>
    <n v="0.22389999999999999"/>
    <n v="11"/>
    <n v="146"/>
    <n v="157"/>
    <x v="0"/>
    <x v="1"/>
  </r>
  <r>
    <n v="64"/>
    <d v="2011-01-28T00:00:00"/>
    <x v="0"/>
    <x v="0"/>
    <n v="15"/>
    <b v="0"/>
    <n v="5"/>
    <x v="1"/>
    <x v="2"/>
    <n v="63"/>
    <n v="0.2576"/>
    <n v="0.32"/>
    <n v="0.1045"/>
    <n v="9"/>
    <n v="148"/>
    <n v="157"/>
    <x v="0"/>
    <x v="1"/>
  </r>
  <r>
    <n v="65"/>
    <d v="2011-01-28T00:00:00"/>
    <x v="0"/>
    <x v="0"/>
    <n v="15"/>
    <b v="0"/>
    <n v="5"/>
    <x v="1"/>
    <x v="2"/>
    <n v="64"/>
    <n v="0.2576"/>
    <n v="0.47"/>
    <n v="0"/>
    <n v="8"/>
    <n v="102"/>
    <n v="110"/>
    <x v="0"/>
    <x v="1"/>
  </r>
  <r>
    <n v="66"/>
    <d v="2011-01-28T00:00:00"/>
    <x v="0"/>
    <x v="0"/>
    <n v="15"/>
    <b v="0"/>
    <n v="5"/>
    <x v="1"/>
    <x v="2"/>
    <n v="65"/>
    <n v="0"/>
    <n v="0.47"/>
    <n v="0.1045"/>
    <n v="3"/>
    <n v="49"/>
    <n v="52"/>
    <x v="0"/>
    <x v="1"/>
  </r>
  <r>
    <n v="67"/>
    <d v="2011-01-28T00:00:00"/>
    <x v="0"/>
    <x v="0"/>
    <n v="15"/>
    <b v="0"/>
    <n v="5"/>
    <x v="1"/>
    <x v="2"/>
    <n v="66"/>
    <n v="0.19700000000000001"/>
    <n v="0.64"/>
    <n v="0.1343"/>
    <n v="3"/>
    <n v="49"/>
    <n v="52"/>
    <x v="0"/>
    <x v="1"/>
  </r>
  <r>
    <n v="68"/>
    <d v="2011-01-28T00:00:00"/>
    <x v="0"/>
    <x v="0"/>
    <n v="15"/>
    <b v="0"/>
    <n v="5"/>
    <x v="1"/>
    <x v="2"/>
    <n v="67"/>
    <n v="0.1515"/>
    <n v="0.69"/>
    <n v="0.1343"/>
    <n v="0"/>
    <n v="20"/>
    <n v="20"/>
    <x v="0"/>
    <x v="1"/>
  </r>
  <r>
    <n v="69"/>
    <d v="2011-01-28T00:00:00"/>
    <x v="0"/>
    <x v="0"/>
    <n v="15"/>
    <b v="0"/>
    <n v="5"/>
    <x v="1"/>
    <x v="2"/>
    <n v="68"/>
    <n v="0.21210000000000001"/>
    <n v="0.55000000000000004"/>
    <n v="0.1045"/>
    <n v="1"/>
    <n v="11"/>
    <n v="12"/>
    <x v="0"/>
    <x v="1"/>
  </r>
  <r>
    <n v="70"/>
    <d v="2011-01-28T00:00:00"/>
    <x v="0"/>
    <x v="0"/>
    <n v="15"/>
    <b v="0"/>
    <n v="5"/>
    <x v="1"/>
    <x v="2"/>
    <n v="69"/>
    <n v="0"/>
    <n v="0.55000000000000004"/>
    <n v="0.1045"/>
    <n v="0"/>
    <n v="5"/>
    <n v="5"/>
    <x v="0"/>
    <x v="1"/>
  </r>
  <r>
    <n v="71"/>
    <d v="2011-01-28T00:00:00"/>
    <x v="0"/>
    <x v="0"/>
    <n v="15"/>
    <b v="0"/>
    <n v="5"/>
    <x v="1"/>
    <x v="2"/>
    <n v="70"/>
    <n v="0.18179999999999999"/>
    <n v="0.59"/>
    <n v="0.1045"/>
    <n v="0"/>
    <n v="2"/>
    <n v="2"/>
    <x v="0"/>
    <x v="1"/>
  </r>
  <r>
    <n v="72"/>
    <d v="2011-01-28T00:00:00"/>
    <x v="0"/>
    <x v="0"/>
    <n v="15"/>
    <b v="0"/>
    <n v="5"/>
    <x v="1"/>
    <x v="2"/>
    <n v="71"/>
    <n v="0.1515"/>
    <n v="0.63"/>
    <n v="0.1343"/>
    <n v="0"/>
    <n v="1"/>
    <n v="1"/>
    <x v="0"/>
    <x v="1"/>
  </r>
  <r>
    <n v="73"/>
    <d v="2011-01-28T00:00:00"/>
    <x v="0"/>
    <x v="0"/>
    <n v="15"/>
    <b v="0"/>
    <n v="5"/>
    <x v="1"/>
    <x v="2"/>
    <n v="72"/>
    <n v="0.18179999999999999"/>
    <n v="0.63"/>
    <n v="8.9599999999999999E-2"/>
    <n v="0"/>
    <n v="2"/>
    <n v="2"/>
    <x v="0"/>
    <x v="1"/>
  </r>
  <r>
    <n v="74"/>
    <d v="2011-01-28T00:00:00"/>
    <x v="0"/>
    <x v="0"/>
    <n v="15"/>
    <b v="0"/>
    <n v="5"/>
    <x v="1"/>
    <x v="2"/>
    <n v="73"/>
    <n v="0.1515"/>
    <n v="0.68"/>
    <n v="0.1045"/>
    <n v="0"/>
    <n v="4"/>
    <n v="4"/>
    <x v="0"/>
    <x v="1"/>
  </r>
  <r>
    <n v="75"/>
    <d v="2011-01-28T00:00:00"/>
    <x v="0"/>
    <x v="0"/>
    <n v="15"/>
    <b v="0"/>
    <n v="5"/>
    <x v="1"/>
    <x v="2"/>
    <n v="74"/>
    <n v="0.1515"/>
    <n v="0.74"/>
    <n v="0.1045"/>
    <n v="0"/>
    <n v="36"/>
    <n v="36"/>
    <x v="0"/>
    <x v="1"/>
  </r>
  <r>
    <n v="76"/>
    <d v="2011-01-28T00:00:00"/>
    <x v="0"/>
    <x v="0"/>
    <n v="15"/>
    <b v="0"/>
    <n v="5"/>
    <x v="1"/>
    <x v="2"/>
    <n v="75"/>
    <n v="0.1515"/>
    <n v="0.74"/>
    <n v="0.1343"/>
    <n v="2"/>
    <n v="92"/>
    <n v="94"/>
    <x v="0"/>
    <x v="1"/>
  </r>
  <r>
    <n v="77"/>
    <d v="2011-01-28T00:00:00"/>
    <x v="0"/>
    <x v="0"/>
    <n v="15"/>
    <b v="0"/>
    <n v="5"/>
    <x v="1"/>
    <x v="2"/>
    <n v="76"/>
    <n v="0.1515"/>
    <n v="0.69"/>
    <n v="0.16420000000000001"/>
    <n v="2"/>
    <n v="177"/>
    <n v="179"/>
    <x v="0"/>
    <x v="1"/>
  </r>
  <r>
    <n v="78"/>
    <d v="2011-01-28T00:00:00"/>
    <x v="0"/>
    <x v="0"/>
    <n v="15"/>
    <b v="0"/>
    <n v="5"/>
    <x v="1"/>
    <x v="2"/>
    <n v="77"/>
    <n v="0.1515"/>
    <n v="0.64"/>
    <n v="0.22389999999999999"/>
    <n v="2"/>
    <n v="98"/>
    <n v="100"/>
    <x v="0"/>
    <x v="1"/>
  </r>
  <r>
    <n v="79"/>
    <d v="2011-01-28T00:00:00"/>
    <x v="0"/>
    <x v="0"/>
    <n v="15"/>
    <b v="0"/>
    <n v="5"/>
    <x v="1"/>
    <x v="2"/>
    <n v="78"/>
    <n v="0.13639999999999999"/>
    <n v="0.69"/>
    <n v="0.32840000000000003"/>
    <n v="5"/>
    <n v="37"/>
    <n v="42"/>
    <x v="0"/>
    <x v="1"/>
  </r>
  <r>
    <n v="80"/>
    <d v="2011-01-28T00:00:00"/>
    <x v="0"/>
    <x v="0"/>
    <n v="15"/>
    <b v="0"/>
    <n v="5"/>
    <x v="1"/>
    <x v="2"/>
    <n v="79"/>
    <n v="0.21210000000000001"/>
    <n v="0.51"/>
    <n v="0.29849999999999999"/>
    <n v="7"/>
    <n v="50"/>
    <n v="57"/>
    <x v="0"/>
    <x v="1"/>
  </r>
  <r>
    <n v="81"/>
    <d v="2011-01-28T00:00:00"/>
    <x v="0"/>
    <x v="0"/>
    <n v="15"/>
    <b v="0"/>
    <n v="5"/>
    <x v="1"/>
    <x v="2"/>
    <n v="80"/>
    <n v="0.2273"/>
    <n v="0.51"/>
    <n v="0.16420000000000001"/>
    <n v="12"/>
    <n v="66"/>
    <n v="78"/>
    <x v="0"/>
    <x v="1"/>
  </r>
  <r>
    <n v="82"/>
    <d v="2011-01-28T00:00:00"/>
    <x v="0"/>
    <x v="0"/>
    <n v="15"/>
    <b v="0"/>
    <n v="5"/>
    <x v="1"/>
    <x v="2"/>
    <n v="81"/>
    <n v="0.2273"/>
    <n v="0.56000000000000005"/>
    <n v="0.19400000000000001"/>
    <n v="18"/>
    <n v="79"/>
    <n v="97"/>
    <x v="0"/>
    <x v="1"/>
  </r>
  <r>
    <n v="83"/>
    <d v="2011-01-28T00:00:00"/>
    <x v="0"/>
    <x v="0"/>
    <n v="15"/>
    <b v="0"/>
    <n v="5"/>
    <x v="1"/>
    <x v="2"/>
    <n v="82"/>
    <n v="0.2576"/>
    <n v="0.52"/>
    <n v="0.22389999999999999"/>
    <n v="9"/>
    <n v="54"/>
    <n v="63"/>
    <x v="0"/>
    <x v="1"/>
  </r>
  <r>
    <n v="84"/>
    <d v="2011-01-28T00:00:00"/>
    <x v="0"/>
    <x v="0"/>
    <n v="15"/>
    <b v="0"/>
    <n v="5"/>
    <x v="1"/>
    <x v="2"/>
    <n v="83"/>
    <n v="0.2727"/>
    <n v="0.52"/>
    <n v="0.25369999999999998"/>
    <n v="17"/>
    <n v="48"/>
    <n v="65"/>
    <x v="0"/>
    <x v="1"/>
  </r>
  <r>
    <n v="85"/>
    <d v="2011-01-28T00:00:00"/>
    <x v="0"/>
    <x v="0"/>
    <n v="15"/>
    <b v="0"/>
    <n v="5"/>
    <x v="1"/>
    <x v="2"/>
    <n v="84"/>
    <n v="0.28789999999999999"/>
    <n v="0.49"/>
    <n v="0.25369999999999998"/>
    <n v="15"/>
    <n v="68"/>
    <n v="83"/>
    <x v="0"/>
    <x v="1"/>
  </r>
  <r>
    <n v="86"/>
    <d v="2011-01-28T00:00:00"/>
    <x v="0"/>
    <x v="0"/>
    <n v="15"/>
    <b v="0"/>
    <n v="5"/>
    <x v="1"/>
    <x v="2"/>
    <n v="85"/>
    <n v="0.2727"/>
    <n v="0.48"/>
    <n v="0.22389999999999999"/>
    <n v="10"/>
    <n v="202"/>
    <n v="212"/>
    <x v="0"/>
    <x v="1"/>
  </r>
  <r>
    <n v="87"/>
    <d v="2011-01-28T00:00:00"/>
    <x v="0"/>
    <x v="0"/>
    <n v="15"/>
    <b v="0"/>
    <n v="5"/>
    <x v="1"/>
    <x v="2"/>
    <n v="86"/>
    <n v="0.2576"/>
    <n v="0.48"/>
    <n v="0.19400000000000001"/>
    <n v="3"/>
    <n v="179"/>
    <n v="182"/>
    <x v="0"/>
    <x v="1"/>
  </r>
  <r>
    <n v="88"/>
    <d v="2011-01-28T00:00:00"/>
    <x v="0"/>
    <x v="0"/>
    <n v="15"/>
    <b v="0"/>
    <n v="5"/>
    <x v="1"/>
    <x v="2"/>
    <n v="87"/>
    <n v="0.2576"/>
    <n v="0.48"/>
    <n v="0.1045"/>
    <n v="2"/>
    <n v="110"/>
    <n v="112"/>
    <x v="0"/>
    <x v="1"/>
  </r>
  <r>
    <n v="89"/>
    <d v="2011-01-28T00:00:00"/>
    <x v="0"/>
    <x v="0"/>
    <n v="15"/>
    <b v="0"/>
    <n v="5"/>
    <x v="1"/>
    <x v="2"/>
    <n v="88"/>
    <n v="0.2576"/>
    <n v="0.48"/>
    <n v="0.1045"/>
    <n v="1"/>
    <n v="53"/>
    <n v="54"/>
    <x v="0"/>
    <x v="1"/>
  </r>
  <r>
    <n v="90"/>
    <d v="2011-01-28T00:00:00"/>
    <x v="0"/>
    <x v="0"/>
    <n v="15"/>
    <b v="0"/>
    <n v="5"/>
    <x v="1"/>
    <x v="2"/>
    <n v="89"/>
    <n v="0.2727"/>
    <n v="0.64"/>
    <n v="0"/>
    <n v="0"/>
    <n v="48"/>
    <n v="48"/>
    <x v="0"/>
    <x v="1"/>
  </r>
  <r>
    <n v="91"/>
    <d v="2011-01-28T00:00:00"/>
    <x v="0"/>
    <x v="0"/>
    <n v="15"/>
    <b v="0"/>
    <n v="5"/>
    <x v="1"/>
    <x v="2"/>
    <n v="90"/>
    <n v="0.2576"/>
    <n v="0.64"/>
    <n v="8.9599999999999999E-2"/>
    <n v="1"/>
    <n v="34"/>
    <n v="35"/>
    <x v="0"/>
    <x v="1"/>
  </r>
  <r>
    <n v="92"/>
    <d v="2011-01-28T00:00:00"/>
    <x v="0"/>
    <x v="0"/>
    <n v="15"/>
    <b v="0"/>
    <n v="5"/>
    <x v="1"/>
    <x v="2"/>
    <n v="91"/>
    <n v="0.2273"/>
    <n v="0.69"/>
    <n v="8.9599999999999999E-2"/>
    <n v="2"/>
    <n v="9"/>
    <n v="11"/>
    <x v="0"/>
    <x v="1"/>
  </r>
  <r>
    <n v="93"/>
    <d v="2011-01-28T00:00:00"/>
    <x v="0"/>
    <x v="0"/>
    <n v="15"/>
    <b v="0"/>
    <n v="5"/>
    <x v="1"/>
    <x v="2"/>
    <n v="92"/>
    <n v="0.2576"/>
    <n v="0.64"/>
    <n v="0"/>
    <n v="0"/>
    <n v="6"/>
    <n v="6"/>
    <x v="0"/>
    <x v="1"/>
  </r>
  <r>
    <n v="94"/>
    <d v="2011-01-28T00:00:00"/>
    <x v="0"/>
    <x v="0"/>
    <n v="15"/>
    <b v="0"/>
    <n v="5"/>
    <x v="1"/>
    <x v="2"/>
    <n v="93"/>
    <n v="0.19700000000000001"/>
    <n v="0.74"/>
    <n v="8.9599999999999999E-2"/>
    <n v="0"/>
    <n v="6"/>
    <n v="6"/>
    <x v="0"/>
    <x v="1"/>
  </r>
  <r>
    <n v="95"/>
    <d v="2011-01-28T00:00:00"/>
    <x v="0"/>
    <x v="0"/>
    <n v="15"/>
    <b v="0"/>
    <n v="5"/>
    <x v="1"/>
    <x v="2"/>
    <n v="94"/>
    <n v="0.19700000000000001"/>
    <n v="0.74"/>
    <n v="8.9599999999999999E-2"/>
    <n v="0"/>
    <n v="2"/>
    <n v="2"/>
    <x v="0"/>
    <x v="1"/>
  </r>
  <r>
    <n v="96"/>
    <d v="2011-01-28T00:00:00"/>
    <x v="0"/>
    <x v="0"/>
    <n v="15"/>
    <b v="0"/>
    <n v="5"/>
    <x v="1"/>
    <x v="2"/>
    <n v="95"/>
    <n v="0.2273"/>
    <n v="0.48"/>
    <n v="0.22389999999999999"/>
    <n v="0"/>
    <n v="2"/>
    <n v="2"/>
    <x v="0"/>
    <x v="1"/>
  </r>
  <r>
    <n v="97"/>
    <d v="2011-01-28T00:00:00"/>
    <x v="0"/>
    <x v="0"/>
    <n v="15"/>
    <b v="0"/>
    <n v="5"/>
    <x v="1"/>
    <x v="2"/>
    <n v="96"/>
    <n v="0.2273"/>
    <n v="0.47"/>
    <n v="0.16420000000000001"/>
    <n v="0"/>
    <n v="3"/>
    <n v="3"/>
    <x v="0"/>
    <x v="1"/>
  </r>
  <r>
    <n v="98"/>
    <d v="2011-01-28T00:00:00"/>
    <x v="0"/>
    <x v="0"/>
    <n v="15"/>
    <b v="0"/>
    <n v="5"/>
    <x v="1"/>
    <x v="2"/>
    <n v="97"/>
    <n v="0.19700000000000001"/>
    <n v="0.47"/>
    <n v="0.22389999999999999"/>
    <n v="0"/>
    <n v="33"/>
    <n v="33"/>
    <x v="0"/>
    <x v="1"/>
  </r>
  <r>
    <n v="99"/>
    <d v="2011-01-28T00:00:00"/>
    <x v="0"/>
    <x v="0"/>
    <n v="15"/>
    <b v="0"/>
    <n v="5"/>
    <x v="1"/>
    <x v="2"/>
    <n v="98"/>
    <n v="0.18179999999999999"/>
    <n v="0.43"/>
    <n v="0.19400000000000001"/>
    <n v="1"/>
    <n v="87"/>
    <n v="88"/>
    <x v="0"/>
    <x v="1"/>
  </r>
  <r>
    <n v="100"/>
    <d v="2011-01-28T00:00:00"/>
    <x v="0"/>
    <x v="0"/>
    <n v="15"/>
    <b v="0"/>
    <n v="5"/>
    <x v="1"/>
    <x v="2"/>
    <n v="99"/>
    <n v="0.18179999999999999"/>
    <n v="0.4"/>
    <n v="0.29849999999999999"/>
    <n v="3"/>
    <n v="192"/>
    <n v="195"/>
    <x v="0"/>
    <x v="1"/>
  </r>
  <r>
    <n v="101"/>
    <d v="2011-01-28T00:00:00"/>
    <x v="0"/>
    <x v="0"/>
    <n v="15"/>
    <b v="0"/>
    <n v="5"/>
    <x v="1"/>
    <x v="2"/>
    <n v="100"/>
    <n v="0.19700000000000001"/>
    <n v="0.37"/>
    <n v="0.32840000000000003"/>
    <n v="6"/>
    <n v="109"/>
    <n v="115"/>
    <x v="0"/>
    <x v="1"/>
  </r>
  <r>
    <n v="102"/>
    <d v="2011-01-28T00:00:00"/>
    <x v="0"/>
    <x v="0"/>
    <n v="15"/>
    <b v="0"/>
    <n v="5"/>
    <x v="1"/>
    <x v="2"/>
    <n v="101"/>
    <n v="0.19700000000000001"/>
    <n v="0.37"/>
    <n v="0.32840000000000003"/>
    <n v="4"/>
    <n v="53"/>
    <n v="57"/>
    <x v="0"/>
    <x v="1"/>
  </r>
  <r>
    <n v="103"/>
    <d v="2011-01-28T00:00:00"/>
    <x v="0"/>
    <x v="0"/>
    <n v="15"/>
    <b v="0"/>
    <n v="5"/>
    <x v="1"/>
    <x v="2"/>
    <n v="102"/>
    <n v="0.2273"/>
    <n v="0.33"/>
    <n v="0.32840000000000003"/>
    <n v="12"/>
    <n v="34"/>
    <n v="46"/>
    <x v="0"/>
    <x v="1"/>
  </r>
  <r>
    <n v="104"/>
    <d v="2011-01-28T00:00:00"/>
    <x v="0"/>
    <x v="0"/>
    <n v="15"/>
    <b v="0"/>
    <n v="5"/>
    <x v="1"/>
    <x v="2"/>
    <n v="103"/>
    <n v="0.2273"/>
    <n v="0.33"/>
    <n v="0.32840000000000003"/>
    <n v="5"/>
    <n v="74"/>
    <n v="79"/>
    <x v="0"/>
    <x v="1"/>
  </r>
  <r>
    <n v="105"/>
    <d v="2011-01-28T00:00:00"/>
    <x v="0"/>
    <x v="0"/>
    <n v="15"/>
    <b v="0"/>
    <n v="5"/>
    <x v="1"/>
    <x v="2"/>
    <n v="104"/>
    <n v="0.2576"/>
    <n v="0.3"/>
    <n v="0.29849999999999999"/>
    <n v="6"/>
    <n v="65"/>
    <n v="71"/>
    <x v="0"/>
    <x v="1"/>
  </r>
  <r>
    <n v="106"/>
    <d v="2011-01-28T00:00:00"/>
    <x v="0"/>
    <x v="0"/>
    <n v="15"/>
    <b v="0"/>
    <n v="5"/>
    <x v="1"/>
    <x v="2"/>
    <n v="105"/>
    <n v="0.28789999999999999"/>
    <n v="0.28000000000000003"/>
    <n v="0.19400000000000001"/>
    <n v="10"/>
    <n v="52"/>
    <n v="62"/>
    <x v="0"/>
    <x v="1"/>
  </r>
  <r>
    <n v="107"/>
    <d v="2011-01-28T00:00:00"/>
    <x v="0"/>
    <x v="0"/>
    <n v="15"/>
    <b v="0"/>
    <n v="5"/>
    <x v="1"/>
    <x v="2"/>
    <n v="106"/>
    <n v="0.28789999999999999"/>
    <n v="0.28000000000000003"/>
    <n v="0.19400000000000001"/>
    <n v="7"/>
    <n v="55"/>
    <n v="62"/>
    <x v="0"/>
    <x v="1"/>
  </r>
  <r>
    <n v="108"/>
    <d v="2011-01-28T00:00:00"/>
    <x v="0"/>
    <x v="0"/>
    <n v="15"/>
    <b v="0"/>
    <n v="5"/>
    <x v="1"/>
    <x v="2"/>
    <n v="107"/>
    <n v="0.31819999999999998"/>
    <n v="0.28000000000000003"/>
    <n v="8.9599999999999999E-2"/>
    <n v="4"/>
    <n v="85"/>
    <n v="89"/>
    <x v="0"/>
    <x v="1"/>
  </r>
  <r>
    <n v="109"/>
    <d v="2011-01-28T00:00:00"/>
    <x v="0"/>
    <x v="0"/>
    <n v="15"/>
    <b v="0"/>
    <n v="5"/>
    <x v="1"/>
    <x v="2"/>
    <n v="108"/>
    <n v="0.2273"/>
    <n v="0.38"/>
    <n v="0.19400000000000001"/>
    <n v="4"/>
    <n v="186"/>
    <n v="190"/>
    <x v="0"/>
    <x v="1"/>
  </r>
  <r>
    <n v="110"/>
    <d v="2011-01-28T00:00:00"/>
    <x v="0"/>
    <x v="0"/>
    <n v="15"/>
    <b v="0"/>
    <n v="5"/>
    <x v="1"/>
    <x v="2"/>
    <n v="109"/>
    <n v="0.2424"/>
    <n v="0.38"/>
    <n v="0.1343"/>
    <n v="3"/>
    <n v="166"/>
    <n v="169"/>
    <x v="0"/>
    <x v="1"/>
  </r>
  <r>
    <n v="111"/>
    <d v="2011-01-28T00:00:00"/>
    <x v="0"/>
    <x v="0"/>
    <n v="15"/>
    <b v="0"/>
    <n v="5"/>
    <x v="1"/>
    <x v="2"/>
    <n v="110"/>
    <n v="0.2576"/>
    <n v="0.38"/>
    <n v="0.1045"/>
    <n v="5"/>
    <n v="127"/>
    <n v="132"/>
    <x v="0"/>
    <x v="1"/>
  </r>
  <r>
    <n v="112"/>
    <d v="2011-01-28T00:00:00"/>
    <x v="0"/>
    <x v="0"/>
    <n v="15"/>
    <b v="0"/>
    <n v="5"/>
    <x v="1"/>
    <x v="2"/>
    <n v="111"/>
    <n v="0.2273"/>
    <n v="0.47"/>
    <n v="0.16420000000000001"/>
    <n v="7"/>
    <n v="82"/>
    <n v="89"/>
    <x v="0"/>
    <x v="1"/>
  </r>
  <r>
    <n v="113"/>
    <d v="2011-01-28T00:00:00"/>
    <x v="0"/>
    <x v="0"/>
    <n v="15"/>
    <b v="0"/>
    <n v="5"/>
    <x v="1"/>
    <x v="2"/>
    <n v="112"/>
    <n v="0.19700000000000001"/>
    <n v="0.51"/>
    <n v="0.19400000000000001"/>
    <n v="3"/>
    <n v="40"/>
    <n v="43"/>
    <x v="0"/>
    <x v="1"/>
  </r>
  <r>
    <n v="114"/>
    <d v="2011-01-28T00:00:00"/>
    <x v="0"/>
    <x v="0"/>
    <n v="15"/>
    <b v="0"/>
    <n v="5"/>
    <x v="1"/>
    <x v="2"/>
    <n v="113"/>
    <n v="0.19700000000000001"/>
    <n v="0.55000000000000004"/>
    <n v="0.1343"/>
    <n v="1"/>
    <n v="41"/>
    <n v="42"/>
    <x v="0"/>
    <x v="1"/>
  </r>
  <r>
    <n v="115"/>
    <d v="2011-01-28T00:00:00"/>
    <x v="0"/>
    <x v="0"/>
    <n v="15"/>
    <b v="0"/>
    <n v="5"/>
    <x v="1"/>
    <x v="2"/>
    <n v="114"/>
    <n v="0.2576"/>
    <n v="0.47"/>
    <n v="0"/>
    <n v="1"/>
    <n v="18"/>
    <n v="19"/>
    <x v="0"/>
    <x v="1"/>
  </r>
  <r>
    <n v="116"/>
    <d v="2011-01-28T00:00:00"/>
    <x v="0"/>
    <x v="0"/>
    <n v="15"/>
    <b v="0"/>
    <n v="5"/>
    <x v="1"/>
    <x v="2"/>
    <n v="115"/>
    <n v="0.2424"/>
    <n v="0.55000000000000004"/>
    <n v="0"/>
    <n v="0"/>
    <n v="11"/>
    <n v="11"/>
    <x v="0"/>
    <x v="1"/>
  </r>
  <r>
    <n v="117"/>
    <d v="2011-01-28T00:00:00"/>
    <x v="0"/>
    <x v="0"/>
    <n v="15"/>
    <b v="0"/>
    <n v="5"/>
    <x v="1"/>
    <x v="2"/>
    <n v="116"/>
    <n v="0.2273"/>
    <n v="0.64"/>
    <n v="0"/>
    <n v="0"/>
    <n v="4"/>
    <n v="4"/>
    <x v="0"/>
    <x v="1"/>
  </r>
  <r>
    <n v="118"/>
    <d v="2011-01-28T00:00:00"/>
    <x v="0"/>
    <x v="0"/>
    <n v="15"/>
    <b v="0"/>
    <n v="5"/>
    <x v="1"/>
    <x v="2"/>
    <n v="117"/>
    <n v="0.2273"/>
    <n v="0.64"/>
    <n v="0"/>
    <n v="0"/>
    <n v="2"/>
    <n v="2"/>
    <x v="0"/>
    <x v="1"/>
  </r>
  <r>
    <n v="119"/>
    <d v="2011-01-28T00:00:00"/>
    <x v="0"/>
    <x v="0"/>
    <n v="15"/>
    <b v="0"/>
    <n v="5"/>
    <x v="1"/>
    <x v="2"/>
    <n v="118"/>
    <n v="0.19700000000000001"/>
    <n v="0.64"/>
    <n v="8.9599999999999999E-2"/>
    <n v="0"/>
    <n v="1"/>
    <n v="1"/>
    <x v="0"/>
    <x v="1"/>
  </r>
  <r>
    <n v="120"/>
    <d v="2011-01-28T00:00:00"/>
    <x v="0"/>
    <x v="0"/>
    <n v="15"/>
    <b v="0"/>
    <n v="5"/>
    <x v="1"/>
    <x v="2"/>
    <n v="119"/>
    <n v="0.18179999999999999"/>
    <n v="0.69"/>
    <n v="8.9599999999999999E-2"/>
    <n v="0"/>
    <n v="4"/>
    <n v="4"/>
    <x v="0"/>
    <x v="1"/>
  </r>
  <r>
    <n v="121"/>
    <d v="2011-01-28T00:00:00"/>
    <x v="0"/>
    <x v="0"/>
    <n v="15"/>
    <b v="0"/>
    <n v="5"/>
    <x v="1"/>
    <x v="2"/>
    <n v="120"/>
    <n v="0.16669999999999999"/>
    <n v="0.63"/>
    <n v="0.1045"/>
    <n v="0"/>
    <n v="36"/>
    <n v="36"/>
    <x v="0"/>
    <x v="1"/>
  </r>
  <r>
    <n v="122"/>
    <d v="2011-01-28T00:00:00"/>
    <x v="0"/>
    <x v="0"/>
    <n v="15"/>
    <b v="0"/>
    <n v="5"/>
    <x v="1"/>
    <x v="2"/>
    <n v="121"/>
    <n v="0.2273"/>
    <n v="0.59"/>
    <n v="0"/>
    <n v="0"/>
    <n v="95"/>
    <n v="95"/>
    <x v="0"/>
    <x v="1"/>
  </r>
  <r>
    <n v="123"/>
    <d v="2011-01-28T00:00:00"/>
    <x v="0"/>
    <x v="0"/>
    <n v="15"/>
    <b v="0"/>
    <n v="5"/>
    <x v="1"/>
    <x v="2"/>
    <n v="122"/>
    <n v="0.2273"/>
    <n v="0.59"/>
    <n v="0"/>
    <n v="3"/>
    <n v="216"/>
    <n v="219"/>
    <x v="0"/>
    <x v="1"/>
  </r>
  <r>
    <n v="124"/>
    <d v="2011-01-28T00:00:00"/>
    <x v="0"/>
    <x v="0"/>
    <n v="15"/>
    <b v="0"/>
    <n v="5"/>
    <x v="1"/>
    <x v="2"/>
    <n v="123"/>
    <n v="0.2424"/>
    <n v="0.51"/>
    <n v="0"/>
    <n v="6"/>
    <n v="116"/>
    <n v="122"/>
    <x v="0"/>
    <x v="1"/>
  </r>
  <r>
    <n v="125"/>
    <d v="2011-01-28T00:00:00"/>
    <x v="0"/>
    <x v="0"/>
    <n v="15"/>
    <b v="0"/>
    <n v="5"/>
    <x v="1"/>
    <x v="2"/>
    <n v="124"/>
    <n v="0.2576"/>
    <n v="0.47"/>
    <n v="0"/>
    <n v="3"/>
    <n v="42"/>
    <n v="45"/>
    <x v="0"/>
    <x v="1"/>
  </r>
  <r>
    <n v="126"/>
    <d v="2011-01-28T00:00:00"/>
    <x v="0"/>
    <x v="0"/>
    <n v="15"/>
    <b v="0"/>
    <n v="5"/>
    <x v="1"/>
    <x v="2"/>
    <n v="125"/>
    <n v="0.2576"/>
    <n v="0.44"/>
    <n v="8.9599999999999999E-2"/>
    <n v="2"/>
    <n v="57"/>
    <n v="59"/>
    <x v="0"/>
    <x v="1"/>
  </r>
  <r>
    <n v="127"/>
    <d v="2011-01-28T00:00:00"/>
    <x v="0"/>
    <x v="0"/>
    <n v="15"/>
    <b v="0"/>
    <n v="5"/>
    <x v="1"/>
    <x v="2"/>
    <n v="126"/>
    <n v="0.28789999999999999"/>
    <n v="0.35"/>
    <n v="0"/>
    <n v="6"/>
    <n v="78"/>
    <n v="84"/>
    <x v="0"/>
    <x v="1"/>
  </r>
  <r>
    <n v="128"/>
    <d v="2011-01-28T00:00:00"/>
    <x v="0"/>
    <x v="0"/>
    <n v="15"/>
    <b v="0"/>
    <n v="5"/>
    <x v="1"/>
    <x v="2"/>
    <n v="127"/>
    <n v="0.2727"/>
    <n v="0.35"/>
    <n v="0.1045"/>
    <n v="12"/>
    <n v="55"/>
    <n v="67"/>
    <x v="0"/>
    <x v="1"/>
  </r>
  <r>
    <n v="129"/>
    <d v="2011-01-28T00:00:00"/>
    <x v="0"/>
    <x v="0"/>
    <n v="15"/>
    <b v="0"/>
    <n v="5"/>
    <x v="1"/>
    <x v="2"/>
    <n v="128"/>
    <n v="0.2727"/>
    <n v="0.36"/>
    <n v="0.16420000000000001"/>
    <n v="11"/>
    <n v="59"/>
    <n v="70"/>
    <x v="0"/>
    <x v="1"/>
  </r>
  <r>
    <n v="130"/>
    <d v="2011-01-28T00:00:00"/>
    <x v="0"/>
    <x v="0"/>
    <n v="15"/>
    <b v="0"/>
    <n v="5"/>
    <x v="1"/>
    <x v="2"/>
    <n v="129"/>
    <n v="0.2727"/>
    <n v="0.36"/>
    <n v="0"/>
    <n v="8"/>
    <n v="54"/>
    <n v="62"/>
    <x v="0"/>
    <x v="1"/>
  </r>
  <r>
    <n v="131"/>
    <d v="2011-01-28T00:00:00"/>
    <x v="0"/>
    <x v="0"/>
    <n v="15"/>
    <b v="0"/>
    <n v="5"/>
    <x v="1"/>
    <x v="2"/>
    <n v="130"/>
    <n v="0.2576"/>
    <n v="0.38"/>
    <n v="0.16420000000000001"/>
    <n v="12"/>
    <n v="74"/>
    <n v="86"/>
    <x v="0"/>
    <x v="1"/>
  </r>
  <r>
    <n v="132"/>
    <d v="2011-01-28T00:00:00"/>
    <x v="0"/>
    <x v="0"/>
    <n v="15"/>
    <b v="0"/>
    <n v="5"/>
    <x v="1"/>
    <x v="2"/>
    <n v="131"/>
    <n v="0.2273"/>
    <n v="0.51"/>
    <n v="0.16420000000000001"/>
    <n v="9"/>
    <n v="163"/>
    <n v="172"/>
    <x v="0"/>
    <x v="1"/>
  </r>
  <r>
    <n v="133"/>
    <d v="2011-01-28T00:00:00"/>
    <x v="0"/>
    <x v="0"/>
    <n v="15"/>
    <b v="0"/>
    <n v="5"/>
    <x v="1"/>
    <x v="2"/>
    <n v="132"/>
    <n v="0.2273"/>
    <n v="0.51"/>
    <n v="0.1343"/>
    <n v="5"/>
    <n v="158"/>
    <n v="163"/>
    <x v="0"/>
    <x v="1"/>
  </r>
  <r>
    <n v="134"/>
    <d v="2011-01-28T00:00:00"/>
    <x v="0"/>
    <x v="0"/>
    <n v="15"/>
    <b v="0"/>
    <n v="5"/>
    <x v="1"/>
    <x v="2"/>
    <n v="133"/>
    <n v="0.2576"/>
    <n v="0.55000000000000004"/>
    <n v="8.9599999999999999E-2"/>
    <n v="3"/>
    <n v="109"/>
    <n v="112"/>
    <x v="0"/>
    <x v="1"/>
  </r>
  <r>
    <n v="135"/>
    <d v="2011-01-28T00:00:00"/>
    <x v="0"/>
    <x v="0"/>
    <n v="15"/>
    <b v="0"/>
    <n v="5"/>
    <x v="1"/>
    <x v="2"/>
    <n v="134"/>
    <n v="0.21210000000000001"/>
    <n v="0.51"/>
    <n v="0.16420000000000001"/>
    <n v="3"/>
    <n v="66"/>
    <n v="69"/>
    <x v="0"/>
    <x v="1"/>
  </r>
  <r>
    <n v="136"/>
    <d v="2011-01-28T00:00:00"/>
    <x v="0"/>
    <x v="0"/>
    <n v="15"/>
    <b v="0"/>
    <n v="5"/>
    <x v="1"/>
    <x v="2"/>
    <n v="135"/>
    <n v="0.21210000000000001"/>
    <n v="0.55000000000000004"/>
    <n v="0.22389999999999999"/>
    <n v="0"/>
    <n v="48"/>
    <n v="48"/>
    <x v="0"/>
    <x v="1"/>
  </r>
  <r>
    <n v="137"/>
    <d v="2011-01-28T00:00:00"/>
    <x v="0"/>
    <x v="0"/>
    <n v="15"/>
    <b v="0"/>
    <n v="5"/>
    <x v="1"/>
    <x v="2"/>
    <n v="136"/>
    <n v="0.21210000000000001"/>
    <n v="0.51"/>
    <n v="0.28360000000000002"/>
    <n v="1"/>
    <n v="51"/>
    <n v="52"/>
    <x v="0"/>
    <x v="1"/>
  </r>
  <r>
    <n v="138"/>
    <d v="2011-01-28T00:00:00"/>
    <x v="0"/>
    <x v="0"/>
    <n v="15"/>
    <b v="0"/>
    <n v="5"/>
    <x v="1"/>
    <x v="2"/>
    <n v="137"/>
    <n v="0.19700000000000001"/>
    <n v="0.59"/>
    <n v="0.19400000000000001"/>
    <n v="4"/>
    <n v="19"/>
    <n v="23"/>
    <x v="0"/>
    <x v="1"/>
  </r>
  <r>
    <n v="139"/>
    <d v="2011-01-28T00:00:00"/>
    <x v="0"/>
    <x v="0"/>
    <n v="15"/>
    <b v="0"/>
    <n v="5"/>
    <x v="1"/>
    <x v="2"/>
    <n v="138"/>
    <n v="0.19700000000000001"/>
    <n v="0.64"/>
    <n v="0.19400000000000001"/>
    <n v="4"/>
    <n v="13"/>
    <n v="17"/>
    <x v="0"/>
    <x v="1"/>
  </r>
  <r>
    <n v="140"/>
    <d v="2011-01-28T00:00:00"/>
    <x v="0"/>
    <x v="0"/>
    <n v="15"/>
    <b v="0"/>
    <n v="5"/>
    <x v="1"/>
    <x v="2"/>
    <n v="139"/>
    <n v="0.19700000000000001"/>
    <n v="0.69"/>
    <n v="0.22389999999999999"/>
    <n v="2"/>
    <n v="5"/>
    <n v="7"/>
    <x v="0"/>
    <x v="1"/>
  </r>
  <r>
    <n v="141"/>
    <d v="2011-01-28T00:00:00"/>
    <x v="0"/>
    <x v="0"/>
    <n v="15"/>
    <b v="0"/>
    <n v="5"/>
    <x v="1"/>
    <x v="2"/>
    <n v="140"/>
    <n v="0.19700000000000001"/>
    <n v="0.69"/>
    <n v="0.22389999999999999"/>
    <n v="0"/>
    <n v="1"/>
    <n v="1"/>
    <x v="0"/>
    <x v="1"/>
  </r>
  <r>
    <n v="142"/>
    <d v="2011-01-28T00:00:00"/>
    <x v="0"/>
    <x v="0"/>
    <n v="15"/>
    <b v="0"/>
    <n v="5"/>
    <x v="1"/>
    <x v="2"/>
    <n v="141"/>
    <n v="0.21210000000000001"/>
    <n v="0.69"/>
    <n v="0.1343"/>
    <n v="0"/>
    <n v="1"/>
    <n v="1"/>
    <x v="0"/>
    <x v="1"/>
  </r>
  <r>
    <n v="143"/>
    <d v="2011-01-28T00:00:00"/>
    <x v="0"/>
    <x v="0"/>
    <n v="15"/>
    <b v="0"/>
    <n v="5"/>
    <x v="1"/>
    <x v="2"/>
    <n v="142"/>
    <n v="0.2727"/>
    <n v="0.55000000000000004"/>
    <n v="0"/>
    <n v="0"/>
    <n v="5"/>
    <n v="5"/>
    <x v="0"/>
    <x v="1"/>
  </r>
  <r>
    <n v="144"/>
    <d v="2011-01-28T00:00:00"/>
    <x v="0"/>
    <x v="0"/>
    <n v="15"/>
    <b v="0"/>
    <n v="5"/>
    <x v="1"/>
    <x v="2"/>
    <n v="143"/>
    <n v="0.2576"/>
    <n v="0.69"/>
    <n v="0"/>
    <n v="8"/>
    <n v="26"/>
    <n v="34"/>
    <x v="0"/>
    <x v="1"/>
  </r>
  <r>
    <n v="145"/>
    <d v="2011-01-28T00:00:00"/>
    <x v="0"/>
    <x v="0"/>
    <n v="15"/>
    <b v="0"/>
    <n v="5"/>
    <x v="1"/>
    <x v="2"/>
    <n v="144"/>
    <n v="0.21210000000000001"/>
    <n v="0.69"/>
    <n v="0.1343"/>
    <n v="8"/>
    <n v="76"/>
    <n v="84"/>
    <x v="0"/>
    <x v="1"/>
  </r>
  <r>
    <n v="146"/>
    <d v="2011-01-28T00:00:00"/>
    <x v="0"/>
    <x v="0"/>
    <n v="15"/>
    <b v="0"/>
    <n v="5"/>
    <x v="1"/>
    <x v="2"/>
    <n v="145"/>
    <n v="0.19700000000000001"/>
    <n v="0.51"/>
    <n v="0.25369999999999998"/>
    <n v="20"/>
    <n v="190"/>
    <n v="210"/>
    <x v="0"/>
    <x v="1"/>
  </r>
  <r>
    <n v="147"/>
    <d v="2011-01-28T00:00:00"/>
    <x v="0"/>
    <x v="0"/>
    <n v="15"/>
    <b v="0"/>
    <n v="5"/>
    <x v="1"/>
    <x v="2"/>
    <n v="146"/>
    <n v="0.18179999999999999"/>
    <n v="0.47"/>
    <n v="0.29849999999999999"/>
    <n v="9"/>
    <n v="125"/>
    <n v="134"/>
    <x v="0"/>
    <x v="1"/>
  </r>
  <r>
    <n v="148"/>
    <d v="2011-01-28T00:00:00"/>
    <x v="0"/>
    <x v="0"/>
    <n v="15"/>
    <b v="0"/>
    <n v="5"/>
    <x v="1"/>
    <x v="2"/>
    <n v="147"/>
    <n v="0.19700000000000001"/>
    <n v="0.37"/>
    <n v="0.32840000000000003"/>
    <n v="16"/>
    <n v="47"/>
    <n v="63"/>
    <x v="0"/>
    <x v="1"/>
  </r>
  <r>
    <n v="149"/>
    <d v="2011-01-28T00:00:00"/>
    <x v="0"/>
    <x v="0"/>
    <n v="15"/>
    <b v="0"/>
    <n v="5"/>
    <x v="1"/>
    <x v="2"/>
    <n v="148"/>
    <n v="0.19700000000000001"/>
    <n v="0.4"/>
    <n v="0.22389999999999999"/>
    <n v="19"/>
    <n v="48"/>
    <n v="67"/>
    <x v="0"/>
    <x v="1"/>
  </r>
  <r>
    <n v="150"/>
    <d v="2011-01-28T00:00:00"/>
    <x v="0"/>
    <x v="0"/>
    <n v="15"/>
    <b v="0"/>
    <n v="5"/>
    <x v="1"/>
    <x v="2"/>
    <n v="149"/>
    <n v="0.19700000000000001"/>
    <n v="0.37"/>
    <n v="0.25369999999999998"/>
    <n v="9"/>
    <n v="50"/>
    <n v="59"/>
    <x v="0"/>
    <x v="1"/>
  </r>
  <r>
    <n v="151"/>
    <d v="2011-01-28T00:00:00"/>
    <x v="0"/>
    <x v="0"/>
    <n v="15"/>
    <b v="0"/>
    <n v="5"/>
    <x v="1"/>
    <x v="2"/>
    <n v="150"/>
    <n v="0.18179999999999999"/>
    <n v="0.37"/>
    <n v="0.28360000000000002"/>
    <n v="9"/>
    <n v="64"/>
    <n v="73"/>
    <x v="0"/>
    <x v="1"/>
  </r>
  <r>
    <n v="152"/>
    <d v="2011-01-28T00:00:00"/>
    <x v="0"/>
    <x v="0"/>
    <n v="15"/>
    <b v="0"/>
    <n v="5"/>
    <x v="1"/>
    <x v="2"/>
    <n v="151"/>
    <n v="0.19700000000000001"/>
    <n v="0.4"/>
    <n v="0.25369999999999998"/>
    <n v="7"/>
    <n v="43"/>
    <n v="50"/>
    <x v="0"/>
    <x v="1"/>
  </r>
  <r>
    <n v="153"/>
    <d v="2011-01-28T00:00:00"/>
    <x v="0"/>
    <x v="0"/>
    <n v="15"/>
    <b v="0"/>
    <n v="5"/>
    <x v="1"/>
    <x v="2"/>
    <n v="152"/>
    <n v="0.21210000000000001"/>
    <n v="0.37"/>
    <n v="0.16420000000000001"/>
    <n v="9"/>
    <n v="63"/>
    <n v="72"/>
    <x v="0"/>
    <x v="1"/>
  </r>
  <r>
    <n v="154"/>
    <d v="2011-01-28T00:00:00"/>
    <x v="0"/>
    <x v="0"/>
    <n v="15"/>
    <b v="0"/>
    <n v="5"/>
    <x v="1"/>
    <x v="2"/>
    <n v="153"/>
    <n v="0.21210000000000001"/>
    <n v="0.37"/>
    <n v="0.16420000000000001"/>
    <n v="5"/>
    <n v="82"/>
    <n v="87"/>
    <x v="0"/>
    <x v="1"/>
  </r>
  <r>
    <n v="155"/>
    <d v="2011-01-28T00:00:00"/>
    <x v="0"/>
    <x v="0"/>
    <n v="15"/>
    <b v="0"/>
    <n v="5"/>
    <x v="1"/>
    <x v="2"/>
    <n v="154"/>
    <n v="0.2576"/>
    <n v="0.37"/>
    <n v="0"/>
    <n v="9"/>
    <n v="178"/>
    <n v="187"/>
    <x v="0"/>
    <x v="1"/>
  </r>
  <r>
    <n v="156"/>
    <d v="2011-01-28T00:00:00"/>
    <x v="0"/>
    <x v="0"/>
    <n v="15"/>
    <b v="0"/>
    <n v="5"/>
    <x v="1"/>
    <x v="2"/>
    <n v="155"/>
    <n v="0.2273"/>
    <n v="0.4"/>
    <n v="8.9599999999999999E-2"/>
    <n v="7"/>
    <n v="116"/>
    <n v="123"/>
    <x v="0"/>
    <x v="1"/>
  </r>
  <r>
    <n v="157"/>
    <d v="2011-01-28T00:00:00"/>
    <x v="0"/>
    <x v="0"/>
    <n v="15"/>
    <b v="0"/>
    <n v="5"/>
    <x v="1"/>
    <x v="2"/>
    <n v="156"/>
    <n v="0.19700000000000001"/>
    <n v="0.55000000000000004"/>
    <n v="8.9599999999999999E-2"/>
    <n v="3"/>
    <n v="92"/>
    <n v="95"/>
    <x v="0"/>
    <x v="1"/>
  </r>
  <r>
    <n v="158"/>
    <d v="2011-01-28T00:00:00"/>
    <x v="0"/>
    <x v="0"/>
    <n v="15"/>
    <b v="0"/>
    <n v="5"/>
    <x v="1"/>
    <x v="2"/>
    <n v="157"/>
    <n v="0.21210000000000001"/>
    <n v="0.47"/>
    <n v="0.1045"/>
    <n v="1"/>
    <n v="50"/>
    <n v="51"/>
    <x v="0"/>
    <x v="1"/>
  </r>
  <r>
    <n v="159"/>
    <d v="2011-01-28T00:00:00"/>
    <x v="0"/>
    <x v="0"/>
    <n v="15"/>
    <b v="0"/>
    <n v="5"/>
    <x v="1"/>
    <x v="2"/>
    <n v="158"/>
    <n v="0.19700000000000001"/>
    <n v="0.47"/>
    <n v="0.1343"/>
    <n v="0"/>
    <n v="39"/>
    <n v="39"/>
    <x v="0"/>
    <x v="1"/>
  </r>
  <r>
    <n v="160"/>
    <d v="2011-01-28T00:00:00"/>
    <x v="0"/>
    <x v="0"/>
    <n v="15"/>
    <b v="0"/>
    <n v="5"/>
    <x v="1"/>
    <x v="2"/>
    <n v="159"/>
    <n v="0.19700000000000001"/>
    <n v="0.43"/>
    <n v="0.16420000000000001"/>
    <n v="2"/>
    <n v="34"/>
    <n v="36"/>
    <x v="0"/>
    <x v="1"/>
  </r>
  <r>
    <n v="161"/>
    <d v="2011-01-28T00:00:00"/>
    <x v="0"/>
    <x v="0"/>
    <n v="15"/>
    <b v="0"/>
    <n v="5"/>
    <x v="1"/>
    <x v="2"/>
    <n v="160"/>
    <n v="0.19700000000000001"/>
    <n v="0.51"/>
    <n v="0.16420000000000001"/>
    <n v="1"/>
    <n v="14"/>
    <n v="15"/>
    <x v="0"/>
    <x v="1"/>
  </r>
  <r>
    <n v="162"/>
    <d v="2011-01-28T00:00:00"/>
    <x v="0"/>
    <x v="0"/>
    <n v="15"/>
    <b v="0"/>
    <n v="5"/>
    <x v="1"/>
    <x v="2"/>
    <n v="161"/>
    <n v="0.19700000000000001"/>
    <n v="0.51"/>
    <n v="0.16420000000000001"/>
    <n v="1"/>
    <n v="24"/>
    <n v="25"/>
    <x v="0"/>
    <x v="1"/>
  </r>
  <r>
    <n v="163"/>
    <d v="2011-01-28T00:00:00"/>
    <x v="0"/>
    <x v="0"/>
    <n v="15"/>
    <b v="0"/>
    <n v="5"/>
    <x v="1"/>
    <x v="2"/>
    <n v="162"/>
    <n v="0.21210000000000001"/>
    <n v="0.55000000000000004"/>
    <n v="8.9599999999999999E-2"/>
    <n v="1"/>
    <n v="15"/>
    <n v="16"/>
    <x v="0"/>
    <x v="1"/>
  </r>
  <r>
    <n v="164"/>
    <d v="2011-01-28T00:00:00"/>
    <x v="0"/>
    <x v="0"/>
    <n v="15"/>
    <b v="0"/>
    <n v="5"/>
    <x v="1"/>
    <x v="2"/>
    <n v="163"/>
    <n v="0.2424"/>
    <n v="0.55000000000000004"/>
    <n v="0"/>
    <n v="3"/>
    <n v="13"/>
    <n v="16"/>
    <x v="0"/>
    <x v="1"/>
  </r>
  <r>
    <n v="165"/>
    <d v="2011-01-28T00:00:00"/>
    <x v="0"/>
    <x v="0"/>
    <n v="15"/>
    <b v="0"/>
    <n v="5"/>
    <x v="1"/>
    <x v="2"/>
    <n v="164"/>
    <n v="0.19700000000000001"/>
    <n v="0.55000000000000004"/>
    <n v="0.16420000000000001"/>
    <n v="0"/>
    <n v="7"/>
    <n v="7"/>
    <x v="0"/>
    <x v="1"/>
  </r>
  <r>
    <n v="166"/>
    <d v="2011-01-28T00:00:00"/>
    <x v="0"/>
    <x v="0"/>
    <n v="15"/>
    <b v="0"/>
    <n v="5"/>
    <x v="1"/>
    <x v="2"/>
    <n v="165"/>
    <n v="0.19700000000000001"/>
    <n v="0.55000000000000004"/>
    <n v="0.16420000000000001"/>
    <n v="0"/>
    <n v="1"/>
    <n v="1"/>
    <x v="0"/>
    <x v="1"/>
  </r>
  <r>
    <n v="167"/>
    <d v="2011-01-28T00:00:00"/>
    <x v="0"/>
    <x v="0"/>
    <n v="15"/>
    <b v="0"/>
    <n v="5"/>
    <x v="1"/>
    <x v="2"/>
    <n v="166"/>
    <n v="0.16669999999999999"/>
    <n v="0.74"/>
    <n v="0.16420000000000001"/>
    <n v="0"/>
    <n v="5"/>
    <n v="5"/>
    <x v="0"/>
    <x v="1"/>
  </r>
  <r>
    <n v="168"/>
    <d v="2011-01-28T00:00:00"/>
    <x v="0"/>
    <x v="0"/>
    <n v="15"/>
    <b v="0"/>
    <n v="5"/>
    <x v="1"/>
    <x v="2"/>
    <n v="167"/>
    <n v="0.16669999999999999"/>
    <n v="0.74"/>
    <n v="0.16420000000000001"/>
    <n v="0"/>
    <n v="2"/>
    <n v="2"/>
    <x v="0"/>
    <x v="1"/>
  </r>
  <r>
    <n v="169"/>
    <d v="2011-01-28T00:00:00"/>
    <x v="0"/>
    <x v="0"/>
    <n v="15"/>
    <b v="0"/>
    <n v="5"/>
    <x v="1"/>
    <x v="2"/>
    <n v="168"/>
    <n v="0.18179999999999999"/>
    <n v="0.74"/>
    <n v="0.1045"/>
    <n v="1"/>
    <n v="8"/>
    <n v="9"/>
    <x v="0"/>
    <x v="1"/>
  </r>
  <r>
    <n v="170"/>
    <d v="2011-01-28T00:00:00"/>
    <x v="0"/>
    <x v="0"/>
    <n v="15"/>
    <b v="0"/>
    <n v="5"/>
    <x v="1"/>
    <x v="2"/>
    <n v="169"/>
    <n v="0.18179999999999999"/>
    <n v="0.93"/>
    <n v="0.1045"/>
    <n v="0"/>
    <n v="15"/>
    <n v="15"/>
    <x v="0"/>
    <x v="1"/>
  </r>
  <r>
    <n v="171"/>
    <d v="2011-01-28T00:00:00"/>
    <x v="0"/>
    <x v="0"/>
    <n v="15"/>
    <b v="0"/>
    <n v="5"/>
    <x v="1"/>
    <x v="2"/>
    <n v="170"/>
    <n v="0.18179999999999999"/>
    <n v="0.93"/>
    <n v="0.1045"/>
    <n v="0"/>
    <n v="20"/>
    <n v="20"/>
    <x v="0"/>
    <x v="1"/>
  </r>
  <r>
    <n v="172"/>
    <d v="2011-01-28T00:00:00"/>
    <x v="0"/>
    <x v="0"/>
    <n v="15"/>
    <b v="0"/>
    <n v="5"/>
    <x v="1"/>
    <x v="2"/>
    <n v="171"/>
    <n v="0.19700000000000001"/>
    <n v="0.8"/>
    <n v="0.16420000000000001"/>
    <n v="5"/>
    <n v="56"/>
    <n v="61"/>
    <x v="0"/>
    <x v="1"/>
  </r>
  <r>
    <n v="173"/>
    <d v="2011-01-28T00:00:00"/>
    <x v="0"/>
    <x v="0"/>
    <n v="15"/>
    <b v="0"/>
    <n v="5"/>
    <x v="1"/>
    <x v="2"/>
    <n v="172"/>
    <n v="0.18179999999999999"/>
    <n v="0.69"/>
    <n v="0.3881"/>
    <n v="2"/>
    <n v="60"/>
    <n v="62"/>
    <x v="0"/>
    <x v="1"/>
  </r>
  <r>
    <n v="174"/>
    <d v="2011-01-28T00:00:00"/>
    <x v="0"/>
    <x v="0"/>
    <n v="15"/>
    <b v="0"/>
    <n v="5"/>
    <x v="1"/>
    <x v="2"/>
    <n v="173"/>
    <n v="0.18179999999999999"/>
    <n v="0.59"/>
    <n v="0.35820000000000002"/>
    <n v="8"/>
    <n v="90"/>
    <n v="98"/>
    <x v="0"/>
    <x v="1"/>
  </r>
  <r>
    <n v="175"/>
    <d v="2011-01-28T00:00:00"/>
    <x v="0"/>
    <x v="0"/>
    <n v="15"/>
    <b v="0"/>
    <n v="5"/>
    <x v="1"/>
    <x v="2"/>
    <n v="174"/>
    <n v="0.18179999999999999"/>
    <n v="0.44"/>
    <n v="0.32840000000000003"/>
    <n v="7"/>
    <n v="95"/>
    <n v="102"/>
    <x v="0"/>
    <x v="1"/>
  </r>
  <r>
    <n v="176"/>
    <d v="2011-01-28T00:00:00"/>
    <x v="0"/>
    <x v="0"/>
    <n v="15"/>
    <b v="0"/>
    <n v="5"/>
    <x v="1"/>
    <x v="2"/>
    <n v="175"/>
    <n v="0.16669999999999999"/>
    <n v="0.32"/>
    <n v="0.49249999999999999"/>
    <n v="12"/>
    <n v="83"/>
    <n v="95"/>
    <x v="0"/>
    <x v="1"/>
  </r>
  <r>
    <n v="177"/>
    <d v="2011-01-28T00:00:00"/>
    <x v="0"/>
    <x v="0"/>
    <n v="15"/>
    <b v="0"/>
    <n v="5"/>
    <x v="1"/>
    <x v="2"/>
    <n v="176"/>
    <n v="0.16669999999999999"/>
    <n v="0.32"/>
    <n v="0.44779999999999998"/>
    <n v="5"/>
    <n v="69"/>
    <n v="74"/>
    <x v="0"/>
    <x v="1"/>
  </r>
  <r>
    <n v="178"/>
    <d v="2011-01-28T00:00:00"/>
    <x v="0"/>
    <x v="0"/>
    <n v="15"/>
    <b v="0"/>
    <n v="5"/>
    <x v="1"/>
    <x v="2"/>
    <n v="177"/>
    <n v="0.13639999999999999"/>
    <n v="0.28999999999999998"/>
    <n v="0.44779999999999998"/>
    <n v="8"/>
    <n v="68"/>
    <n v="76"/>
    <x v="0"/>
    <x v="1"/>
  </r>
  <r>
    <n v="179"/>
    <d v="2011-01-28T00:00:00"/>
    <x v="0"/>
    <x v="0"/>
    <n v="15"/>
    <b v="0"/>
    <n v="5"/>
    <x v="1"/>
    <x v="2"/>
    <n v="178"/>
    <n v="0.1212"/>
    <n v="0.37"/>
    <n v="0.55220000000000002"/>
    <n v="5"/>
    <n v="64"/>
    <n v="69"/>
    <x v="0"/>
    <x v="1"/>
  </r>
  <r>
    <n v="180"/>
    <d v="2011-01-28T00:00:00"/>
    <x v="0"/>
    <x v="0"/>
    <n v="15"/>
    <b v="0"/>
    <n v="5"/>
    <x v="1"/>
    <x v="2"/>
    <n v="179"/>
    <n v="0.1212"/>
    <n v="0.39"/>
    <n v="0.29849999999999999"/>
    <n v="3"/>
    <n v="52"/>
    <n v="55"/>
    <x v="0"/>
    <x v="1"/>
  </r>
  <r>
    <n v="181"/>
    <d v="2011-01-28T00:00:00"/>
    <x v="0"/>
    <x v="0"/>
    <n v="15"/>
    <b v="0"/>
    <n v="5"/>
    <x v="1"/>
    <x v="2"/>
    <n v="180"/>
    <n v="0.1212"/>
    <n v="0.36"/>
    <n v="0.25369999999999998"/>
    <n v="4"/>
    <n v="26"/>
    <n v="30"/>
    <x v="0"/>
    <x v="1"/>
  </r>
  <r>
    <n v="182"/>
    <d v="2011-01-28T00:00:00"/>
    <x v="0"/>
    <x v="0"/>
    <n v="15"/>
    <b v="0"/>
    <n v="5"/>
    <x v="1"/>
    <x v="2"/>
    <n v="181"/>
    <n v="0.1212"/>
    <n v="0.36"/>
    <n v="0.25369999999999998"/>
    <n v="0"/>
    <n v="28"/>
    <n v="28"/>
    <x v="0"/>
    <x v="1"/>
  </r>
  <r>
    <n v="183"/>
    <d v="2011-01-28T00:00:00"/>
    <x v="0"/>
    <x v="0"/>
    <n v="15"/>
    <b v="0"/>
    <n v="5"/>
    <x v="1"/>
    <x v="2"/>
    <n v="182"/>
    <n v="0.1061"/>
    <n v="0.39"/>
    <n v="0.35820000000000002"/>
    <n v="2"/>
    <n v="35"/>
    <n v="37"/>
    <x v="0"/>
    <x v="1"/>
  </r>
  <r>
    <n v="184"/>
    <d v="2011-01-28T00:00:00"/>
    <x v="0"/>
    <x v="0"/>
    <n v="15"/>
    <b v="0"/>
    <n v="5"/>
    <x v="1"/>
    <x v="2"/>
    <n v="183"/>
    <n v="0.1061"/>
    <n v="0.36"/>
    <n v="0.3881"/>
    <n v="1"/>
    <n v="33"/>
    <n v="34"/>
    <x v="0"/>
    <x v="1"/>
  </r>
  <r>
    <n v="185"/>
    <d v="2011-01-28T00:00:00"/>
    <x v="0"/>
    <x v="0"/>
    <n v="15"/>
    <b v="0"/>
    <n v="5"/>
    <x v="1"/>
    <x v="2"/>
    <n v="184"/>
    <n v="6.0600000000000001E-2"/>
    <n v="0.39"/>
    <n v="0.44779999999999998"/>
    <n v="0"/>
    <n v="22"/>
    <n v="22"/>
    <x v="0"/>
    <x v="1"/>
  </r>
  <r>
    <n v="186"/>
    <d v="2011-01-28T00:00:00"/>
    <x v="0"/>
    <x v="0"/>
    <n v="15"/>
    <b v="0"/>
    <n v="5"/>
    <x v="1"/>
    <x v="2"/>
    <n v="185"/>
    <n v="7.5800000000000006E-2"/>
    <n v="0.42"/>
    <n v="0.3881"/>
    <n v="1"/>
    <n v="24"/>
    <n v="25"/>
    <x v="0"/>
    <x v="1"/>
  </r>
  <r>
    <n v="187"/>
    <d v="2011-01-28T00:00:00"/>
    <x v="0"/>
    <x v="0"/>
    <n v="15"/>
    <b v="0"/>
    <n v="5"/>
    <x v="1"/>
    <x v="2"/>
    <n v="186"/>
    <n v="6.0600000000000001E-2"/>
    <n v="0.42"/>
    <n v="0.4627"/>
    <n v="0"/>
    <n v="12"/>
    <n v="12"/>
    <x v="0"/>
    <x v="1"/>
  </r>
  <r>
    <n v="188"/>
    <d v="2011-01-28T00:00:00"/>
    <x v="0"/>
    <x v="0"/>
    <n v="15"/>
    <b v="0"/>
    <n v="5"/>
    <x v="1"/>
    <x v="2"/>
    <n v="187"/>
    <n v="6.0600000000000001E-2"/>
    <n v="0.46"/>
    <n v="0.4627"/>
    <n v="0"/>
    <n v="11"/>
    <n v="11"/>
    <x v="0"/>
    <x v="1"/>
  </r>
  <r>
    <n v="189"/>
    <d v="2011-01-28T00:00:00"/>
    <x v="0"/>
    <x v="0"/>
    <n v="15"/>
    <b v="0"/>
    <n v="5"/>
    <x v="1"/>
    <x v="2"/>
    <n v="188"/>
    <n v="7.5800000000000006E-2"/>
    <n v="0.46"/>
    <n v="0.41789999999999999"/>
    <n v="0"/>
    <n v="4"/>
    <n v="4"/>
    <x v="0"/>
    <x v="1"/>
  </r>
  <r>
    <n v="190"/>
    <d v="2011-01-28T00:00:00"/>
    <x v="0"/>
    <x v="0"/>
    <n v="15"/>
    <b v="0"/>
    <n v="5"/>
    <x v="1"/>
    <x v="2"/>
    <n v="189"/>
    <n v="9.0899999999999995E-2"/>
    <n v="0.53"/>
    <n v="0.19400000000000001"/>
    <n v="0"/>
    <n v="1"/>
    <n v="1"/>
    <x v="0"/>
    <x v="1"/>
  </r>
  <r>
    <n v="191"/>
    <d v="2011-01-28T00:00:00"/>
    <x v="0"/>
    <x v="0"/>
    <n v="15"/>
    <b v="0"/>
    <n v="5"/>
    <x v="1"/>
    <x v="2"/>
    <n v="190"/>
    <n v="9.0899999999999995E-2"/>
    <n v="0.53"/>
    <n v="0.19400000000000001"/>
    <n v="0"/>
    <n v="1"/>
    <n v="1"/>
    <x v="0"/>
    <x v="1"/>
  </r>
  <r>
    <n v="192"/>
    <d v="2011-01-28T00:00:00"/>
    <x v="0"/>
    <x v="0"/>
    <n v="15"/>
    <b v="0"/>
    <n v="5"/>
    <x v="1"/>
    <x v="2"/>
    <n v="191"/>
    <n v="9.0899999999999995E-2"/>
    <n v="0.49"/>
    <n v="0.28360000000000002"/>
    <n v="0"/>
    <n v="1"/>
    <n v="1"/>
    <x v="0"/>
    <x v="1"/>
  </r>
  <r>
    <n v="193"/>
    <d v="2011-01-28T00:00:00"/>
    <x v="0"/>
    <x v="0"/>
    <n v="15"/>
    <b v="0"/>
    <n v="5"/>
    <x v="1"/>
    <x v="2"/>
    <n v="192"/>
    <n v="9.0899999999999995E-2"/>
    <n v="0.53"/>
    <n v="0.19400000000000001"/>
    <n v="1"/>
    <n v="5"/>
    <n v="6"/>
    <x v="0"/>
    <x v="1"/>
  </r>
  <r>
    <n v="194"/>
    <d v="2011-01-28T00:00:00"/>
    <x v="0"/>
    <x v="0"/>
    <n v="15"/>
    <b v="0"/>
    <n v="5"/>
    <x v="1"/>
    <x v="2"/>
    <n v="193"/>
    <n v="9.0899999999999995E-2"/>
    <n v="0.49"/>
    <n v="0.28360000000000002"/>
    <n v="0"/>
    <n v="10"/>
    <n v="10"/>
    <x v="0"/>
    <x v="1"/>
  </r>
  <r>
    <n v="195"/>
    <d v="2011-01-28T00:00:00"/>
    <x v="0"/>
    <x v="0"/>
    <n v="15"/>
    <b v="0"/>
    <n v="5"/>
    <x v="1"/>
    <x v="2"/>
    <n v="194"/>
    <n v="7.5800000000000006E-2"/>
    <n v="0.46"/>
    <n v="0.52239999999999998"/>
    <n v="0"/>
    <n v="19"/>
    <n v="19"/>
    <x v="0"/>
    <x v="1"/>
  </r>
  <r>
    <n v="196"/>
    <d v="2011-01-28T00:00:00"/>
    <x v="0"/>
    <x v="0"/>
    <n v="15"/>
    <b v="0"/>
    <n v="5"/>
    <x v="1"/>
    <x v="2"/>
    <n v="195"/>
    <n v="0.1061"/>
    <n v="0.43"/>
    <n v="0.3881"/>
    <n v="0"/>
    <n v="49"/>
    <n v="49"/>
    <x v="0"/>
    <x v="1"/>
  </r>
  <r>
    <n v="197"/>
    <d v="2011-01-28T00:00:00"/>
    <x v="0"/>
    <x v="0"/>
    <n v="15"/>
    <b v="0"/>
    <n v="5"/>
    <x v="1"/>
    <x v="2"/>
    <n v="196"/>
    <n v="0.1212"/>
    <n v="0.4"/>
    <n v="0.52239999999999998"/>
    <n v="2"/>
    <n v="47"/>
    <n v="49"/>
    <x v="0"/>
    <x v="1"/>
  </r>
  <r>
    <n v="198"/>
    <d v="2011-01-28T00:00:00"/>
    <x v="0"/>
    <x v="0"/>
    <n v="15"/>
    <b v="0"/>
    <n v="5"/>
    <x v="1"/>
    <x v="2"/>
    <n v="197"/>
    <n v="0.13639999999999999"/>
    <n v="0.37"/>
    <n v="0.44779999999999998"/>
    <n v="4"/>
    <n v="79"/>
    <n v="83"/>
    <x v="0"/>
    <x v="1"/>
  </r>
  <r>
    <n v="199"/>
    <d v="2011-01-28T00:00:00"/>
    <x v="0"/>
    <x v="0"/>
    <n v="15"/>
    <b v="0"/>
    <n v="5"/>
    <x v="1"/>
    <x v="2"/>
    <n v="198"/>
    <n v="0.16669999999999999"/>
    <n v="0.34"/>
    <n v="0.44779999999999998"/>
    <n v="6"/>
    <n v="69"/>
    <n v="75"/>
    <x v="0"/>
    <x v="1"/>
  </r>
  <r>
    <n v="200"/>
    <d v="2011-01-28T00:00:00"/>
    <x v="0"/>
    <x v="0"/>
    <n v="15"/>
    <b v="0"/>
    <n v="5"/>
    <x v="1"/>
    <x v="2"/>
    <n v="199"/>
    <n v="0.18179999999999999"/>
    <n v="0.32"/>
    <n v="0.4627"/>
    <n v="8"/>
    <n v="64"/>
    <n v="72"/>
    <x v="0"/>
    <x v="1"/>
  </r>
  <r>
    <n v="201"/>
    <d v="2011-01-28T00:00:00"/>
    <x v="0"/>
    <x v="0"/>
    <n v="15"/>
    <b v="0"/>
    <n v="5"/>
    <x v="1"/>
    <x v="2"/>
    <n v="200"/>
    <n v="0.19700000000000001"/>
    <n v="0.35"/>
    <n v="0.35820000000000002"/>
    <n v="5"/>
    <n v="77"/>
    <n v="82"/>
    <x v="0"/>
    <x v="1"/>
  </r>
  <r>
    <n v="202"/>
    <d v="2011-01-28T00:00:00"/>
    <x v="0"/>
    <x v="0"/>
    <n v="15"/>
    <b v="0"/>
    <n v="5"/>
    <x v="1"/>
    <x v="2"/>
    <n v="201"/>
    <n v="0.16669999999999999"/>
    <n v="0.34"/>
    <n v="0.44779999999999998"/>
    <n v="13"/>
    <n v="79"/>
    <n v="92"/>
    <x v="0"/>
    <x v="1"/>
  </r>
  <r>
    <n v="203"/>
    <d v="2011-01-28T00:00:00"/>
    <x v="0"/>
    <x v="0"/>
    <n v="15"/>
    <b v="0"/>
    <n v="5"/>
    <x v="1"/>
    <x v="2"/>
    <n v="202"/>
    <n v="0.1515"/>
    <n v="0.37"/>
    <n v="0.3881"/>
    <n v="3"/>
    <n v="59"/>
    <n v="62"/>
    <x v="0"/>
    <x v="1"/>
  </r>
  <r>
    <n v="204"/>
    <d v="2011-01-28T00:00:00"/>
    <x v="0"/>
    <x v="0"/>
    <n v="15"/>
    <b v="0"/>
    <n v="5"/>
    <x v="1"/>
    <x v="2"/>
    <n v="203"/>
    <n v="0.13639999999999999"/>
    <n v="0.4"/>
    <n v="0.32840000000000003"/>
    <n v="4"/>
    <n v="44"/>
    <n v="48"/>
    <x v="0"/>
    <x v="1"/>
  </r>
  <r>
    <n v="205"/>
    <d v="2011-01-28T00:00:00"/>
    <x v="0"/>
    <x v="0"/>
    <n v="15"/>
    <b v="0"/>
    <n v="5"/>
    <x v="1"/>
    <x v="2"/>
    <n v="204"/>
    <n v="0.13639999999999999"/>
    <n v="0.43"/>
    <n v="0.32840000000000003"/>
    <n v="1"/>
    <n v="40"/>
    <n v="41"/>
    <x v="0"/>
    <x v="1"/>
  </r>
  <r>
    <n v="206"/>
    <d v="2011-01-28T00:00:00"/>
    <x v="0"/>
    <x v="0"/>
    <n v="15"/>
    <b v="0"/>
    <n v="5"/>
    <x v="1"/>
    <x v="2"/>
    <n v="205"/>
    <n v="0.1212"/>
    <n v="0.46"/>
    <n v="0.25369999999999998"/>
    <n v="0"/>
    <n v="38"/>
    <n v="38"/>
    <x v="0"/>
    <x v="1"/>
  </r>
  <r>
    <n v="207"/>
    <d v="2011-01-28T00:00:00"/>
    <x v="0"/>
    <x v="0"/>
    <n v="15"/>
    <b v="0"/>
    <n v="5"/>
    <x v="1"/>
    <x v="2"/>
    <n v="206"/>
    <n v="0.1061"/>
    <n v="0.46"/>
    <n v="0.41789999999999999"/>
    <n v="1"/>
    <n v="19"/>
    <n v="20"/>
    <x v="0"/>
    <x v="1"/>
  </r>
  <r>
    <n v="208"/>
    <d v="2011-01-28T00:00:00"/>
    <x v="0"/>
    <x v="0"/>
    <n v="15"/>
    <b v="0"/>
    <n v="5"/>
    <x v="1"/>
    <x v="2"/>
    <n v="207"/>
    <n v="0.1212"/>
    <n v="0.46"/>
    <n v="0.29849999999999999"/>
    <n v="5"/>
    <n v="10"/>
    <n v="15"/>
    <x v="0"/>
    <x v="1"/>
  </r>
  <r>
    <n v="209"/>
    <d v="2011-01-28T00:00:00"/>
    <x v="0"/>
    <x v="0"/>
    <n v="15"/>
    <b v="0"/>
    <n v="5"/>
    <x v="1"/>
    <x v="2"/>
    <n v="208"/>
    <n v="0.13639999999999999"/>
    <n v="0.5"/>
    <n v="0.19400000000000001"/>
    <n v="0"/>
    <n v="6"/>
    <n v="6"/>
    <x v="0"/>
    <x v="1"/>
  </r>
  <r>
    <n v="210"/>
    <d v="2011-01-28T00:00:00"/>
    <x v="0"/>
    <x v="0"/>
    <n v="15"/>
    <b v="0"/>
    <n v="5"/>
    <x v="1"/>
    <x v="2"/>
    <n v="209"/>
    <n v="0.1212"/>
    <n v="0.5"/>
    <n v="0.28360000000000002"/>
    <n v="2"/>
    <n v="3"/>
    <n v="5"/>
    <x v="0"/>
    <x v="1"/>
  </r>
  <r>
    <n v="211"/>
    <d v="2011-01-28T00:00:00"/>
    <x v="0"/>
    <x v="0"/>
    <n v="15"/>
    <b v="0"/>
    <n v="5"/>
    <x v="1"/>
    <x v="2"/>
    <n v="210"/>
    <n v="0.1212"/>
    <n v="0.5"/>
    <n v="0.28360000000000002"/>
    <n v="1"/>
    <n v="0"/>
    <n v="1"/>
    <x v="0"/>
    <x v="1"/>
  </r>
  <r>
    <n v="212"/>
    <d v="2011-01-28T00:00:00"/>
    <x v="0"/>
    <x v="0"/>
    <n v="15"/>
    <b v="0"/>
    <n v="5"/>
    <x v="1"/>
    <x v="2"/>
    <n v="211"/>
    <n v="0.1212"/>
    <n v="0.5"/>
    <n v="0.22389999999999999"/>
    <n v="0"/>
    <n v="3"/>
    <n v="3"/>
    <x v="0"/>
    <x v="1"/>
  </r>
  <r>
    <n v="213"/>
    <d v="2011-01-28T00:00:00"/>
    <x v="0"/>
    <x v="0"/>
    <n v="15"/>
    <b v="0"/>
    <n v="5"/>
    <x v="1"/>
    <x v="2"/>
    <n v="212"/>
    <n v="0.1212"/>
    <n v="0.5"/>
    <n v="0.22389999999999999"/>
    <n v="0"/>
    <n v="1"/>
    <n v="1"/>
    <x v="0"/>
    <x v="1"/>
  </r>
  <r>
    <n v="214"/>
    <d v="2011-01-28T00:00:00"/>
    <x v="0"/>
    <x v="0"/>
    <n v="15"/>
    <b v="0"/>
    <n v="5"/>
    <x v="1"/>
    <x v="2"/>
    <n v="213"/>
    <n v="0.1212"/>
    <n v="0.54"/>
    <n v="0.1343"/>
    <n v="1"/>
    <n v="2"/>
    <n v="3"/>
    <x v="0"/>
    <x v="1"/>
  </r>
  <r>
    <n v="215"/>
    <d v="2011-01-28T00:00:00"/>
    <x v="0"/>
    <x v="0"/>
    <n v="15"/>
    <b v="0"/>
    <n v="5"/>
    <x v="1"/>
    <x v="2"/>
    <n v="214"/>
    <n v="0.1061"/>
    <n v="0.54"/>
    <n v="0.25369999999999998"/>
    <n v="0"/>
    <n v="3"/>
    <n v="3"/>
    <x v="0"/>
    <x v="1"/>
  </r>
  <r>
    <n v="216"/>
    <d v="2011-01-28T00:00:00"/>
    <x v="0"/>
    <x v="0"/>
    <n v="15"/>
    <b v="0"/>
    <n v="5"/>
    <x v="1"/>
    <x v="2"/>
    <n v="215"/>
    <n v="0.1212"/>
    <n v="0.5"/>
    <n v="0.28360000000000002"/>
    <n v="0"/>
    <n v="31"/>
    <n v="31"/>
    <x v="0"/>
    <x v="1"/>
  </r>
  <r>
    <n v="217"/>
    <d v="2011-01-28T00:00:00"/>
    <x v="0"/>
    <x v="0"/>
    <n v="15"/>
    <b v="0"/>
    <n v="5"/>
    <x v="1"/>
    <x v="2"/>
    <n v="216"/>
    <n v="0.1212"/>
    <n v="0.5"/>
    <n v="0.22389999999999999"/>
    <n v="2"/>
    <n v="75"/>
    <n v="77"/>
    <x v="0"/>
    <x v="1"/>
  </r>
  <r>
    <n v="218"/>
    <d v="2011-01-28T00:00:00"/>
    <x v="0"/>
    <x v="0"/>
    <n v="15"/>
    <b v="0"/>
    <n v="5"/>
    <x v="1"/>
    <x v="2"/>
    <n v="217"/>
    <n v="0.1212"/>
    <n v="0.5"/>
    <n v="0.28360000000000002"/>
    <n v="4"/>
    <n v="184"/>
    <n v="188"/>
    <x v="0"/>
    <x v="1"/>
  </r>
  <r>
    <n v="219"/>
    <d v="2011-01-28T00:00:00"/>
    <x v="0"/>
    <x v="0"/>
    <n v="15"/>
    <b v="0"/>
    <n v="5"/>
    <x v="1"/>
    <x v="2"/>
    <n v="218"/>
    <n v="0.1212"/>
    <n v="0.5"/>
    <n v="0.25369999999999998"/>
    <n v="2"/>
    <n v="92"/>
    <n v="94"/>
    <x v="0"/>
    <x v="1"/>
  </r>
  <r>
    <n v="220"/>
    <d v="2011-01-28T00:00:00"/>
    <x v="0"/>
    <x v="0"/>
    <n v="15"/>
    <b v="0"/>
    <n v="5"/>
    <x v="1"/>
    <x v="2"/>
    <n v="219"/>
    <n v="0.1212"/>
    <n v="0.5"/>
    <n v="0.29849999999999999"/>
    <n v="0"/>
    <n v="31"/>
    <n v="31"/>
    <x v="0"/>
    <x v="1"/>
  </r>
  <r>
    <n v="221"/>
    <d v="2011-01-28T00:00:00"/>
    <x v="0"/>
    <x v="0"/>
    <n v="15"/>
    <b v="0"/>
    <n v="5"/>
    <x v="1"/>
    <x v="2"/>
    <n v="220"/>
    <n v="0.13639999999999999"/>
    <n v="0.47"/>
    <n v="0.28360000000000002"/>
    <n v="2"/>
    <n v="28"/>
    <n v="30"/>
    <x v="0"/>
    <x v="1"/>
  </r>
  <r>
    <n v="222"/>
    <d v="2011-01-28T00:00:00"/>
    <x v="0"/>
    <x v="0"/>
    <n v="15"/>
    <b v="0"/>
    <n v="5"/>
    <x v="1"/>
    <x v="2"/>
    <n v="221"/>
    <n v="0.18179999999999999"/>
    <n v="0.4"/>
    <n v="0.28360000000000002"/>
    <n v="5"/>
    <n v="47"/>
    <n v="52"/>
    <x v="0"/>
    <x v="1"/>
  </r>
  <r>
    <n v="223"/>
    <d v="2011-01-28T00:00:00"/>
    <x v="0"/>
    <x v="0"/>
    <n v="15"/>
    <b v="0"/>
    <n v="5"/>
    <x v="1"/>
    <x v="2"/>
    <n v="222"/>
    <n v="0.18179999999999999"/>
    <n v="0.4"/>
    <n v="0.28360000000000002"/>
    <n v="4"/>
    <n v="50"/>
    <n v="54"/>
    <x v="0"/>
    <x v="1"/>
  </r>
  <r>
    <n v="224"/>
    <d v="2011-01-28T00:00:00"/>
    <x v="0"/>
    <x v="0"/>
    <n v="15"/>
    <b v="0"/>
    <n v="5"/>
    <x v="1"/>
    <x v="2"/>
    <n v="223"/>
    <n v="0.19700000000000001"/>
    <n v="0.4"/>
    <n v="0.22389999999999999"/>
    <n v="0"/>
    <n v="47"/>
    <n v="47"/>
    <x v="0"/>
    <x v="1"/>
  </r>
  <r>
    <n v="225"/>
    <d v="2011-01-28T00:00:00"/>
    <x v="0"/>
    <x v="0"/>
    <n v="15"/>
    <b v="0"/>
    <n v="5"/>
    <x v="1"/>
    <x v="2"/>
    <n v="224"/>
    <n v="0.19700000000000001"/>
    <n v="0.4"/>
    <n v="0.22389999999999999"/>
    <n v="2"/>
    <n v="43"/>
    <n v="45"/>
    <x v="0"/>
    <x v="1"/>
  </r>
  <r>
    <n v="226"/>
    <d v="2011-01-28T00:00:00"/>
    <x v="0"/>
    <x v="0"/>
    <n v="15"/>
    <b v="0"/>
    <n v="5"/>
    <x v="1"/>
    <x v="2"/>
    <n v="225"/>
    <n v="0.21210000000000001"/>
    <n v="0.4"/>
    <n v="0.1343"/>
    <n v="4"/>
    <n v="70"/>
    <n v="74"/>
    <x v="0"/>
    <x v="1"/>
  </r>
  <r>
    <n v="227"/>
    <d v="2011-01-28T00:00:00"/>
    <x v="0"/>
    <x v="0"/>
    <n v="15"/>
    <b v="0"/>
    <n v="5"/>
    <x v="1"/>
    <x v="2"/>
    <n v="226"/>
    <n v="0.2273"/>
    <n v="0.4"/>
    <n v="0.1045"/>
    <n v="4"/>
    <n v="174"/>
    <n v="178"/>
    <x v="0"/>
    <x v="1"/>
  </r>
  <r>
    <n v="228"/>
    <d v="2011-01-28T00:00:00"/>
    <x v="0"/>
    <x v="0"/>
    <n v="15"/>
    <b v="0"/>
    <n v="5"/>
    <x v="1"/>
    <x v="2"/>
    <n v="227"/>
    <n v="0.19700000000000001"/>
    <n v="0.4"/>
    <n v="0.22389999999999999"/>
    <n v="1"/>
    <n v="154"/>
    <n v="155"/>
    <x v="0"/>
    <x v="1"/>
  </r>
  <r>
    <n v="229"/>
    <d v="2011-01-28T00:00:00"/>
    <x v="0"/>
    <x v="0"/>
    <n v="15"/>
    <b v="0"/>
    <n v="5"/>
    <x v="1"/>
    <x v="2"/>
    <n v="228"/>
    <n v="0.16669999999999999"/>
    <n v="0.47"/>
    <n v="0.16420000000000001"/>
    <n v="3"/>
    <n v="92"/>
    <n v="95"/>
    <x v="0"/>
    <x v="1"/>
  </r>
  <r>
    <n v="230"/>
    <d v="2011-01-28T00:00:00"/>
    <x v="0"/>
    <x v="0"/>
    <n v="15"/>
    <b v="0"/>
    <n v="5"/>
    <x v="1"/>
    <x v="2"/>
    <n v="229"/>
    <n v="0.16669999999999999"/>
    <n v="0.5"/>
    <n v="0.16420000000000001"/>
    <n v="1"/>
    <n v="73"/>
    <n v="74"/>
    <x v="0"/>
    <x v="1"/>
  </r>
  <r>
    <n v="231"/>
    <d v="2011-01-28T00:00:00"/>
    <x v="0"/>
    <x v="0"/>
    <n v="15"/>
    <b v="0"/>
    <n v="5"/>
    <x v="1"/>
    <x v="2"/>
    <n v="230"/>
    <n v="0.13639999999999999"/>
    <n v="0.59"/>
    <n v="0.19400000000000001"/>
    <n v="1"/>
    <n v="37"/>
    <n v="38"/>
    <x v="0"/>
    <x v="1"/>
  </r>
  <r>
    <n v="232"/>
    <d v="2011-01-28T00:00:00"/>
    <x v="0"/>
    <x v="0"/>
    <n v="15"/>
    <b v="0"/>
    <n v="5"/>
    <x v="1"/>
    <x v="2"/>
    <n v="231"/>
    <n v="0.1515"/>
    <n v="0.59"/>
    <n v="0.16420000000000001"/>
    <n v="2"/>
    <n v="22"/>
    <n v="24"/>
    <x v="0"/>
    <x v="1"/>
  </r>
  <r>
    <n v="233"/>
    <d v="2011-01-28T00:00:00"/>
    <x v="0"/>
    <x v="0"/>
    <n v="15"/>
    <b v="0"/>
    <n v="5"/>
    <x v="1"/>
    <x v="2"/>
    <n v="232"/>
    <n v="0.1515"/>
    <n v="0.59"/>
    <n v="0.16420000000000001"/>
    <n v="0"/>
    <n v="18"/>
    <n v="18"/>
    <x v="0"/>
    <x v="1"/>
  </r>
  <r>
    <n v="234"/>
    <d v="2011-01-28T00:00:00"/>
    <x v="0"/>
    <x v="0"/>
    <n v="15"/>
    <b v="0"/>
    <n v="5"/>
    <x v="1"/>
    <x v="2"/>
    <n v="233"/>
    <n v="0.16669999999999999"/>
    <n v="0.59"/>
    <n v="0.1045"/>
    <n v="2"/>
    <n v="10"/>
    <n v="12"/>
    <x v="0"/>
    <x v="1"/>
  </r>
  <r>
    <n v="235"/>
    <d v="2011-01-28T00:00:00"/>
    <x v="0"/>
    <x v="0"/>
    <n v="15"/>
    <b v="0"/>
    <n v="5"/>
    <x v="1"/>
    <x v="2"/>
    <n v="234"/>
    <n v="0.1515"/>
    <n v="0.59"/>
    <n v="0.16420000000000001"/>
    <n v="0"/>
    <n v="3"/>
    <n v="3"/>
    <x v="0"/>
    <x v="1"/>
  </r>
  <r>
    <n v="236"/>
    <d v="2011-01-28T00:00:00"/>
    <x v="0"/>
    <x v="0"/>
    <n v="15"/>
    <b v="0"/>
    <n v="5"/>
    <x v="1"/>
    <x v="2"/>
    <n v="235"/>
    <n v="0.1515"/>
    <n v="0.55000000000000004"/>
    <n v="0.19400000000000001"/>
    <n v="0"/>
    <n v="3"/>
    <n v="3"/>
    <x v="0"/>
    <x v="1"/>
  </r>
  <r>
    <n v="237"/>
    <d v="2011-01-28T00:00:00"/>
    <x v="0"/>
    <x v="0"/>
    <n v="15"/>
    <b v="0"/>
    <n v="5"/>
    <x v="1"/>
    <x v="2"/>
    <n v="236"/>
    <n v="0.18179999999999999"/>
    <n v="0.55000000000000004"/>
    <n v="0.1343"/>
    <n v="0"/>
    <n v="6"/>
    <n v="6"/>
    <x v="0"/>
    <x v="1"/>
  </r>
  <r>
    <n v="238"/>
    <d v="2011-01-28T00:00:00"/>
    <x v="0"/>
    <x v="0"/>
    <n v="15"/>
    <b v="0"/>
    <n v="5"/>
    <x v="1"/>
    <x v="2"/>
    <n v="237"/>
    <n v="0.18179999999999999"/>
    <n v="0.55000000000000004"/>
    <n v="0.1343"/>
    <n v="0"/>
    <n v="27"/>
    <n v="27"/>
    <x v="0"/>
    <x v="1"/>
  </r>
  <r>
    <n v="239"/>
    <d v="2011-01-28T00:00:00"/>
    <x v="0"/>
    <x v="0"/>
    <n v="15"/>
    <b v="0"/>
    <n v="5"/>
    <x v="1"/>
    <x v="2"/>
    <n v="238"/>
    <n v="0.2273"/>
    <n v="0.55000000000000004"/>
    <n v="0"/>
    <n v="2"/>
    <n v="97"/>
    <n v="99"/>
    <x v="0"/>
    <x v="1"/>
  </r>
  <r>
    <n v="240"/>
    <d v="2011-01-28T00:00:00"/>
    <x v="0"/>
    <x v="0"/>
    <n v="15"/>
    <b v="0"/>
    <n v="5"/>
    <x v="1"/>
    <x v="2"/>
    <n v="239"/>
    <n v="0.21210000000000001"/>
    <n v="0.51"/>
    <n v="8.9599999999999999E-2"/>
    <n v="3"/>
    <n v="214"/>
    <n v="217"/>
    <x v="0"/>
    <x v="1"/>
  </r>
  <r>
    <n v="241"/>
    <d v="2011-01-28T00:00:00"/>
    <x v="0"/>
    <x v="0"/>
    <n v="15"/>
    <b v="0"/>
    <n v="5"/>
    <x v="1"/>
    <x v="2"/>
    <n v="240"/>
    <n v="0.19700000000000001"/>
    <n v="0.51"/>
    <n v="0.16420000000000001"/>
    <n v="3"/>
    <n v="127"/>
    <n v="130"/>
    <x v="0"/>
    <x v="1"/>
  </r>
  <r>
    <n v="242"/>
    <d v="2011-01-28T00:00:00"/>
    <x v="0"/>
    <x v="0"/>
    <n v="15"/>
    <b v="0"/>
    <n v="5"/>
    <x v="1"/>
    <x v="2"/>
    <n v="241"/>
    <n v="0.21210000000000001"/>
    <n v="0.51"/>
    <n v="0.16420000000000001"/>
    <n v="3"/>
    <n v="51"/>
    <n v="54"/>
    <x v="0"/>
    <x v="1"/>
  </r>
  <r>
    <n v="243"/>
    <d v="2011-01-28T00:00:00"/>
    <x v="0"/>
    <x v="0"/>
    <n v="15"/>
    <b v="0"/>
    <n v="5"/>
    <x v="1"/>
    <x v="2"/>
    <n v="242"/>
    <n v="0.21210000000000001"/>
    <n v="0.47"/>
    <n v="0.1343"/>
    <n v="4"/>
    <n v="31"/>
    <n v="35"/>
    <x v="0"/>
    <x v="1"/>
  </r>
  <r>
    <n v="244"/>
    <d v="2011-01-28T00:00:00"/>
    <x v="0"/>
    <x v="0"/>
    <n v="15"/>
    <b v="0"/>
    <n v="5"/>
    <x v="1"/>
    <x v="2"/>
    <n v="243"/>
    <n v="0.2273"/>
    <n v="0.51"/>
    <n v="0.1045"/>
    <n v="2"/>
    <n v="55"/>
    <n v="57"/>
    <x v="0"/>
    <x v="1"/>
  </r>
  <r>
    <n v="245"/>
    <d v="2011-01-28T00:00:00"/>
    <x v="0"/>
    <x v="0"/>
    <n v="15"/>
    <b v="0"/>
    <n v="5"/>
    <x v="1"/>
    <x v="2"/>
    <n v="244"/>
    <n v="0.2273"/>
    <n v="0.59"/>
    <n v="8.9599999999999999E-2"/>
    <n v="6"/>
    <n v="46"/>
    <n v="52"/>
    <x v="0"/>
    <x v="1"/>
  </r>
  <r>
    <n v="246"/>
    <d v="2011-01-28T00:00:00"/>
    <x v="0"/>
    <x v="0"/>
    <n v="15"/>
    <b v="0"/>
    <n v="5"/>
    <x v="1"/>
    <x v="2"/>
    <n v="245"/>
    <n v="0.2273"/>
    <n v="0.59"/>
    <n v="8.9599999999999999E-2"/>
    <n v="3"/>
    <n v="60"/>
    <n v="63"/>
    <x v="0"/>
    <x v="1"/>
  </r>
  <r>
    <n v="247"/>
    <d v="2011-01-28T00:00:00"/>
    <x v="0"/>
    <x v="0"/>
    <n v="15"/>
    <b v="0"/>
    <n v="5"/>
    <x v="1"/>
    <x v="2"/>
    <n v="246"/>
    <n v="0.19700000000000001"/>
    <n v="0.8"/>
    <n v="8.9599999999999999E-2"/>
    <n v="2"/>
    <n v="45"/>
    <n v="47"/>
    <x v="0"/>
    <x v="1"/>
  </r>
  <r>
    <n v="248"/>
    <d v="2011-01-28T00:00:00"/>
    <x v="0"/>
    <x v="0"/>
    <n v="15"/>
    <b v="0"/>
    <n v="5"/>
    <x v="1"/>
    <x v="2"/>
    <n v="247"/>
    <n v="0.1515"/>
    <n v="0.86"/>
    <n v="0.22389999999999999"/>
    <n v="4"/>
    <n v="72"/>
    <n v="76"/>
    <x v="0"/>
    <x v="1"/>
  </r>
  <r>
    <n v="249"/>
    <d v="2011-01-28T00:00:00"/>
    <x v="0"/>
    <x v="0"/>
    <n v="15"/>
    <b v="0"/>
    <n v="5"/>
    <x v="1"/>
    <x v="2"/>
    <n v="248"/>
    <n v="0.1515"/>
    <n v="0.86"/>
    <n v="0.22389999999999999"/>
    <n v="6"/>
    <n v="130"/>
    <n v="136"/>
    <x v="0"/>
    <x v="1"/>
  </r>
  <r>
    <n v="250"/>
    <d v="2011-01-28T00:00:00"/>
    <x v="0"/>
    <x v="0"/>
    <n v="15"/>
    <b v="0"/>
    <n v="5"/>
    <x v="1"/>
    <x v="2"/>
    <n v="249"/>
    <n v="0.18179999999999999"/>
    <n v="0.93"/>
    <n v="0.1045"/>
    <n v="1"/>
    <n v="94"/>
    <n v="95"/>
    <x v="0"/>
    <x v="1"/>
  </r>
  <r>
    <n v="251"/>
    <d v="2011-01-28T00:00:00"/>
    <x v="0"/>
    <x v="0"/>
    <n v="15"/>
    <b v="0"/>
    <n v="5"/>
    <x v="1"/>
    <x v="2"/>
    <n v="250"/>
    <n v="0.2273"/>
    <n v="0.93"/>
    <n v="0"/>
    <n v="0"/>
    <n v="51"/>
    <n v="51"/>
    <x v="0"/>
    <x v="1"/>
  </r>
  <r>
    <n v="252"/>
    <d v="2011-01-28T00:00:00"/>
    <x v="0"/>
    <x v="0"/>
    <n v="15"/>
    <b v="0"/>
    <n v="5"/>
    <x v="1"/>
    <x v="2"/>
    <n v="251"/>
    <n v="0.1515"/>
    <n v="0.93"/>
    <n v="0.19400000000000001"/>
    <n v="0"/>
    <n v="32"/>
    <n v="32"/>
    <x v="0"/>
    <x v="1"/>
  </r>
  <r>
    <n v="253"/>
    <d v="2011-01-28T00:00:00"/>
    <x v="0"/>
    <x v="0"/>
    <n v="15"/>
    <b v="0"/>
    <n v="5"/>
    <x v="1"/>
    <x v="2"/>
    <n v="252"/>
    <n v="0.19700000000000001"/>
    <n v="0.86"/>
    <n v="8.9599999999999999E-2"/>
    <n v="0"/>
    <n v="20"/>
    <n v="20"/>
    <x v="0"/>
    <x v="1"/>
  </r>
  <r>
    <n v="254"/>
    <d v="2011-01-28T00:00:00"/>
    <x v="0"/>
    <x v="0"/>
    <n v="15"/>
    <b v="0"/>
    <n v="5"/>
    <x v="1"/>
    <x v="2"/>
    <n v="253"/>
    <n v="0.18179999999999999"/>
    <n v="0.93"/>
    <n v="0.1045"/>
    <n v="1"/>
    <n v="28"/>
    <n v="29"/>
    <x v="0"/>
    <x v="1"/>
  </r>
  <r>
    <n v="255"/>
    <d v="2011-01-28T00:00:00"/>
    <x v="0"/>
    <x v="0"/>
    <n v="15"/>
    <b v="0"/>
    <n v="5"/>
    <x v="1"/>
    <x v="2"/>
    <n v="254"/>
    <n v="0.19700000000000001"/>
    <n v="0.93"/>
    <n v="8.9599999999999999E-2"/>
    <n v="1"/>
    <n v="18"/>
    <n v="19"/>
    <x v="0"/>
    <x v="1"/>
  </r>
  <r>
    <n v="256"/>
    <d v="2011-01-28T00:00:00"/>
    <x v="0"/>
    <x v="0"/>
    <n v="15"/>
    <b v="0"/>
    <n v="5"/>
    <x v="1"/>
    <x v="2"/>
    <n v="255"/>
    <n v="0.19700000000000001"/>
    <n v="0.86"/>
    <n v="8.9599999999999999E-2"/>
    <n v="0"/>
    <n v="7"/>
    <n v="7"/>
    <x v="0"/>
    <x v="1"/>
  </r>
  <r>
    <n v="257"/>
    <d v="2011-01-28T00:00:00"/>
    <x v="0"/>
    <x v="0"/>
    <n v="15"/>
    <b v="0"/>
    <n v="5"/>
    <x v="1"/>
    <x v="2"/>
    <n v="256"/>
    <n v="0.18179999999999999"/>
    <n v="0.86"/>
    <n v="0.1045"/>
    <n v="0"/>
    <n v="6"/>
    <n v="6"/>
    <x v="0"/>
    <x v="1"/>
  </r>
  <r>
    <n v="258"/>
    <d v="2011-01-28T00:00:00"/>
    <x v="0"/>
    <x v="0"/>
    <n v="15"/>
    <b v="0"/>
    <n v="5"/>
    <x v="1"/>
    <x v="2"/>
    <n v="257"/>
    <n v="0.1515"/>
    <n v="0.86"/>
    <n v="0.1343"/>
    <n v="0"/>
    <n v="1"/>
    <n v="1"/>
    <x v="0"/>
    <x v="1"/>
  </r>
  <r>
    <n v="259"/>
    <d v="2011-01-28T00:00:00"/>
    <x v="0"/>
    <x v="0"/>
    <n v="15"/>
    <b v="0"/>
    <n v="5"/>
    <x v="1"/>
    <x v="2"/>
    <n v="258"/>
    <n v="0.1515"/>
    <n v="0.86"/>
    <n v="0.16420000000000001"/>
    <n v="0"/>
    <n v="5"/>
    <n v="5"/>
    <x v="0"/>
    <x v="1"/>
  </r>
  <r>
    <n v="260"/>
    <d v="2011-01-28T00:00:00"/>
    <x v="0"/>
    <x v="0"/>
    <n v="15"/>
    <b v="0"/>
    <n v="5"/>
    <x v="1"/>
    <x v="2"/>
    <n v="259"/>
    <n v="0.1515"/>
    <n v="0.93"/>
    <n v="0.1343"/>
    <n v="0"/>
    <n v="16"/>
    <n v="16"/>
    <x v="0"/>
    <x v="1"/>
  </r>
  <r>
    <n v="261"/>
    <d v="2011-01-28T00:00:00"/>
    <x v="0"/>
    <x v="0"/>
    <n v="15"/>
    <b v="0"/>
    <n v="5"/>
    <x v="1"/>
    <x v="2"/>
    <n v="260"/>
    <n v="0.1515"/>
    <n v="0.69"/>
    <n v="0.1343"/>
    <n v="0"/>
    <n v="54"/>
    <n v="54"/>
    <x v="0"/>
    <x v="1"/>
  </r>
  <r>
    <n v="262"/>
    <d v="2011-01-28T00:00:00"/>
    <x v="0"/>
    <x v="0"/>
    <n v="15"/>
    <b v="0"/>
    <n v="5"/>
    <x v="1"/>
    <x v="2"/>
    <n v="261"/>
    <n v="0.16669999999999999"/>
    <n v="0.59"/>
    <n v="0.16420000000000001"/>
    <n v="3"/>
    <n v="125"/>
    <n v="128"/>
    <x v="0"/>
    <x v="1"/>
  </r>
  <r>
    <n v="263"/>
    <d v="2011-01-28T00:00:00"/>
    <x v="0"/>
    <x v="0"/>
    <n v="15"/>
    <b v="0"/>
    <n v="5"/>
    <x v="1"/>
    <x v="2"/>
    <n v="262"/>
    <n v="0.13639999999999999"/>
    <n v="0.59"/>
    <n v="0.32840000000000003"/>
    <n v="3"/>
    <n v="78"/>
    <n v="81"/>
    <x v="0"/>
    <x v="1"/>
  </r>
  <r>
    <n v="264"/>
    <d v="2011-01-28T00:00:00"/>
    <x v="0"/>
    <x v="0"/>
    <n v="15"/>
    <b v="0"/>
    <n v="5"/>
    <x v="1"/>
    <x v="2"/>
    <n v="263"/>
    <n v="0.18179999999999999"/>
    <n v="0.55000000000000004"/>
    <n v="0.22389999999999999"/>
    <n v="0"/>
    <n v="39"/>
    <n v="39"/>
    <x v="0"/>
    <x v="1"/>
  </r>
  <r>
    <n v="265"/>
    <d v="2011-01-28T00:00:00"/>
    <x v="0"/>
    <x v="0"/>
    <n v="15"/>
    <b v="0"/>
    <n v="5"/>
    <x v="1"/>
    <x v="2"/>
    <n v="264"/>
    <n v="0.18179999999999999"/>
    <n v="0.51"/>
    <n v="0.3881"/>
    <n v="3"/>
    <n v="32"/>
    <n v="35"/>
    <x v="0"/>
    <x v="1"/>
  </r>
  <r>
    <n v="266"/>
    <d v="2011-01-28T00:00:00"/>
    <x v="0"/>
    <x v="0"/>
    <n v="15"/>
    <b v="0"/>
    <n v="5"/>
    <x v="1"/>
    <x v="2"/>
    <n v="265"/>
    <n v="0.1515"/>
    <n v="0.47"/>
    <n v="0.58209999999999995"/>
    <n v="3"/>
    <n v="52"/>
    <n v="55"/>
    <x v="0"/>
    <x v="1"/>
  </r>
  <r>
    <n v="267"/>
    <d v="2011-01-28T00:00:00"/>
    <x v="0"/>
    <x v="0"/>
    <n v="15"/>
    <b v="0"/>
    <n v="5"/>
    <x v="1"/>
    <x v="2"/>
    <n v="266"/>
    <n v="0.19700000000000001"/>
    <n v="0.44"/>
    <n v="0.35820000000000002"/>
    <n v="0"/>
    <n v="49"/>
    <n v="49"/>
    <x v="0"/>
    <x v="1"/>
  </r>
  <r>
    <n v="268"/>
    <d v="2011-01-28T00:00:00"/>
    <x v="0"/>
    <x v="0"/>
    <n v="15"/>
    <b v="0"/>
    <n v="5"/>
    <x v="1"/>
    <x v="2"/>
    <n v="267"/>
    <n v="0.18179999999999999"/>
    <n v="0.47"/>
    <n v="0.32840000000000003"/>
    <n v="0"/>
    <n v="44"/>
    <n v="44"/>
    <x v="0"/>
    <x v="1"/>
  </r>
  <r>
    <n v="269"/>
    <d v="2011-01-28T00:00:00"/>
    <x v="0"/>
    <x v="0"/>
    <n v="15"/>
    <b v="0"/>
    <n v="5"/>
    <x v="1"/>
    <x v="2"/>
    <n v="268"/>
    <n v="0.16669999999999999"/>
    <n v="0.47"/>
    <n v="0.41789999999999999"/>
    <n v="1"/>
    <n v="48"/>
    <n v="49"/>
    <x v="0"/>
    <x v="1"/>
  </r>
  <r>
    <n v="270"/>
    <d v="2011-01-28T00:00:00"/>
    <x v="0"/>
    <x v="0"/>
    <n v="15"/>
    <b v="0"/>
    <n v="5"/>
    <x v="1"/>
    <x v="2"/>
    <n v="269"/>
    <n v="0.19700000000000001"/>
    <n v="0.44"/>
    <n v="0.32840000000000003"/>
    <n v="5"/>
    <n v="63"/>
    <n v="68"/>
    <x v="0"/>
    <x v="1"/>
  </r>
  <r>
    <n v="271"/>
    <d v="2011-01-28T00:00:00"/>
    <x v="0"/>
    <x v="0"/>
    <n v="15"/>
    <b v="0"/>
    <n v="5"/>
    <x v="1"/>
    <x v="2"/>
    <n v="270"/>
    <n v="0.18179999999999999"/>
    <n v="0.47"/>
    <n v="0.35820000000000002"/>
    <n v="0"/>
    <n v="139"/>
    <n v="139"/>
    <x v="0"/>
    <x v="1"/>
  </r>
  <r>
    <n v="272"/>
    <d v="2011-01-28T00:00:00"/>
    <x v="0"/>
    <x v="0"/>
    <n v="15"/>
    <b v="0"/>
    <n v="5"/>
    <x v="1"/>
    <x v="2"/>
    <n v="271"/>
    <n v="0.1515"/>
    <n v="0.47"/>
    <n v="0.52239999999999998"/>
    <n v="2"/>
    <n v="135"/>
    <n v="137"/>
    <x v="0"/>
    <x v="1"/>
  </r>
  <r>
    <n v="273"/>
    <d v="2011-01-28T00:00:00"/>
    <x v="0"/>
    <x v="0"/>
    <n v="15"/>
    <b v="0"/>
    <n v="5"/>
    <x v="1"/>
    <x v="2"/>
    <n v="272"/>
    <n v="0.1515"/>
    <n v="0.47"/>
    <n v="0.41789999999999999"/>
    <n v="1"/>
    <n v="82"/>
    <n v="83"/>
    <x v="0"/>
    <x v="1"/>
  </r>
  <r>
    <n v="274"/>
    <d v="2011-01-28T00:00:00"/>
    <x v="0"/>
    <x v="0"/>
    <n v="15"/>
    <b v="0"/>
    <n v="5"/>
    <x v="1"/>
    <x v="2"/>
    <n v="273"/>
    <n v="0.13639999999999999"/>
    <n v="0.5"/>
    <n v="0.32840000000000003"/>
    <n v="2"/>
    <n v="54"/>
    <n v="56"/>
    <x v="0"/>
    <x v="1"/>
  </r>
  <r>
    <n v="275"/>
    <d v="2011-01-28T00:00:00"/>
    <x v="0"/>
    <x v="0"/>
    <n v="15"/>
    <b v="0"/>
    <n v="5"/>
    <x v="1"/>
    <x v="2"/>
    <n v="274"/>
    <n v="0.13639999999999999"/>
    <n v="0.55000000000000004"/>
    <n v="0.32840000000000003"/>
    <n v="0"/>
    <n v="57"/>
    <n v="57"/>
    <x v="0"/>
    <x v="1"/>
  </r>
  <r>
    <n v="276"/>
    <d v="2011-01-28T00:00:00"/>
    <x v="0"/>
    <x v="0"/>
    <n v="15"/>
    <b v="0"/>
    <n v="5"/>
    <x v="1"/>
    <x v="2"/>
    <n v="275"/>
    <n v="0.1212"/>
    <n v="0.55000000000000004"/>
    <n v="0.44779999999999998"/>
    <n v="1"/>
    <n v="32"/>
    <n v="33"/>
    <x v="0"/>
    <x v="1"/>
  </r>
  <r>
    <n v="277"/>
    <d v="2011-01-28T00:00:00"/>
    <x v="0"/>
    <x v="0"/>
    <n v="15"/>
    <b v="0"/>
    <n v="5"/>
    <x v="1"/>
    <x v="2"/>
    <n v="276"/>
    <n v="0.1061"/>
    <n v="0.59"/>
    <n v="0.41789999999999999"/>
    <n v="1"/>
    <n v="19"/>
    <n v="20"/>
    <x v="0"/>
    <x v="1"/>
  </r>
  <r>
    <n v="278"/>
    <d v="2011-01-28T00:00:00"/>
    <x v="0"/>
    <x v="0"/>
    <n v="15"/>
    <b v="0"/>
    <n v="5"/>
    <x v="1"/>
    <x v="2"/>
    <n v="277"/>
    <n v="0.1212"/>
    <n v="0.59"/>
    <n v="0.28360000000000002"/>
    <n v="1"/>
    <n v="6"/>
    <n v="7"/>
    <x v="0"/>
    <x v="1"/>
  </r>
  <r>
    <n v="279"/>
    <d v="2011-01-28T00:00:00"/>
    <x v="0"/>
    <x v="0"/>
    <n v="15"/>
    <b v="0"/>
    <n v="5"/>
    <x v="1"/>
    <x v="2"/>
    <n v="278"/>
    <n v="0.1212"/>
    <n v="0.5"/>
    <n v="0.28360000000000002"/>
    <n v="0"/>
    <n v="2"/>
    <n v="2"/>
    <x v="0"/>
    <x v="1"/>
  </r>
  <r>
    <n v="280"/>
    <d v="2011-01-28T00:00:00"/>
    <x v="0"/>
    <x v="0"/>
    <n v="15"/>
    <b v="0"/>
    <n v="5"/>
    <x v="1"/>
    <x v="2"/>
    <n v="279"/>
    <n v="0.1212"/>
    <n v="0.5"/>
    <n v="0.35820000000000002"/>
    <n v="0"/>
    <n v="2"/>
    <n v="2"/>
    <x v="0"/>
    <x v="1"/>
  </r>
  <r>
    <n v="281"/>
    <d v="2011-01-28T00:00:00"/>
    <x v="0"/>
    <x v="0"/>
    <n v="15"/>
    <b v="0"/>
    <n v="5"/>
    <x v="1"/>
    <x v="2"/>
    <n v="280"/>
    <n v="0.1212"/>
    <n v="0.5"/>
    <n v="0.32840000000000003"/>
    <n v="0"/>
    <n v="3"/>
    <n v="3"/>
    <x v="0"/>
    <x v="1"/>
  </r>
  <r>
    <n v="282"/>
    <d v="2011-01-28T00:00:00"/>
    <x v="0"/>
    <x v="0"/>
    <n v="15"/>
    <b v="0"/>
    <n v="5"/>
    <x v="1"/>
    <x v="2"/>
    <n v="281"/>
    <n v="0.1212"/>
    <n v="0.5"/>
    <n v="0.25369999999999998"/>
    <n v="0"/>
    <n v="4"/>
    <n v="4"/>
    <x v="0"/>
    <x v="1"/>
  </r>
  <r>
    <n v="283"/>
    <d v="2011-01-28T00:00:00"/>
    <x v="0"/>
    <x v="0"/>
    <n v="15"/>
    <b v="0"/>
    <n v="5"/>
    <x v="1"/>
    <x v="2"/>
    <n v="282"/>
    <n v="0.1212"/>
    <n v="0.5"/>
    <n v="0.29849999999999999"/>
    <n v="0"/>
    <n v="3"/>
    <n v="3"/>
    <x v="0"/>
    <x v="1"/>
  </r>
  <r>
    <n v="284"/>
    <d v="2011-01-28T00:00:00"/>
    <x v="0"/>
    <x v="0"/>
    <n v="15"/>
    <b v="0"/>
    <n v="5"/>
    <x v="1"/>
    <x v="2"/>
    <n v="283"/>
    <n v="0.1515"/>
    <n v="0.54"/>
    <n v="0.1343"/>
    <n v="0"/>
    <n v="28"/>
    <n v="28"/>
    <x v="0"/>
    <x v="1"/>
  </r>
  <r>
    <n v="285"/>
    <d v="2011-01-28T00:00:00"/>
    <x v="0"/>
    <x v="0"/>
    <n v="15"/>
    <b v="0"/>
    <n v="5"/>
    <x v="1"/>
    <x v="2"/>
    <n v="284"/>
    <n v="0.1515"/>
    <n v="0.54"/>
    <n v="0.1343"/>
    <n v="0"/>
    <n v="72"/>
    <n v="72"/>
    <x v="0"/>
    <x v="1"/>
  </r>
  <r>
    <n v="286"/>
    <d v="2011-01-28T00:00:00"/>
    <x v="0"/>
    <x v="0"/>
    <n v="15"/>
    <b v="0"/>
    <n v="5"/>
    <x v="1"/>
    <x v="2"/>
    <n v="285"/>
    <n v="0.13639999999999999"/>
    <n v="0.5"/>
    <n v="0.19400000000000001"/>
    <n v="5"/>
    <n v="197"/>
    <n v="202"/>
    <x v="0"/>
    <x v="1"/>
  </r>
  <r>
    <n v="287"/>
    <d v="2011-01-28T00:00:00"/>
    <x v="0"/>
    <x v="0"/>
    <n v="15"/>
    <b v="0"/>
    <n v="5"/>
    <x v="1"/>
    <x v="2"/>
    <n v="286"/>
    <n v="0.1212"/>
    <n v="0.5"/>
    <n v="0.32840000000000003"/>
    <n v="2"/>
    <n v="137"/>
    <n v="139"/>
    <x v="0"/>
    <x v="1"/>
  </r>
  <r>
    <n v="288"/>
    <d v="2011-01-28T00:00:00"/>
    <x v="0"/>
    <x v="0"/>
    <n v="15"/>
    <b v="0"/>
    <n v="5"/>
    <x v="1"/>
    <x v="2"/>
    <n v="287"/>
    <n v="0.13639999999999999"/>
    <n v="0.5"/>
    <n v="0.35820000000000002"/>
    <n v="2"/>
    <n v="36"/>
    <n v="38"/>
    <x v="0"/>
    <x v="1"/>
  </r>
  <r>
    <n v="289"/>
    <d v="2011-01-28T00:00:00"/>
    <x v="0"/>
    <x v="0"/>
    <n v="15"/>
    <b v="0"/>
    <n v="5"/>
    <x v="1"/>
    <x v="2"/>
    <n v="288"/>
    <n v="0.16669999999999999"/>
    <n v="0.44"/>
    <n v="0.44779999999999998"/>
    <n v="4"/>
    <n v="33"/>
    <n v="37"/>
    <x v="0"/>
    <x v="1"/>
  </r>
  <r>
    <n v="290"/>
    <d v="2011-01-28T00:00:00"/>
    <x v="0"/>
    <x v="0"/>
    <n v="15"/>
    <b v="0"/>
    <n v="5"/>
    <x v="1"/>
    <x v="2"/>
    <n v="289"/>
    <n v="0.16669999999999999"/>
    <n v="0.44"/>
    <n v="0.41789999999999999"/>
    <n v="3"/>
    <n v="49"/>
    <n v="52"/>
    <x v="0"/>
    <x v="1"/>
  </r>
  <r>
    <n v="291"/>
    <d v="2011-01-28T00:00:00"/>
    <x v="0"/>
    <x v="0"/>
    <n v="15"/>
    <b v="0"/>
    <n v="5"/>
    <x v="1"/>
    <x v="2"/>
    <n v="290"/>
    <n v="0.19700000000000001"/>
    <n v="0.41"/>
    <n v="0.44779999999999998"/>
    <n v="2"/>
    <n v="81"/>
    <n v="83"/>
    <x v="0"/>
    <x v="1"/>
  </r>
  <r>
    <n v="292"/>
    <d v="2011-01-28T00:00:00"/>
    <x v="0"/>
    <x v="0"/>
    <n v="15"/>
    <b v="0"/>
    <n v="5"/>
    <x v="1"/>
    <x v="2"/>
    <n v="291"/>
    <n v="0.19700000000000001"/>
    <n v="0.41"/>
    <n v="0.3881"/>
    <n v="3"/>
    <n v="39"/>
    <n v="42"/>
    <x v="0"/>
    <x v="1"/>
  </r>
  <r>
    <n v="293"/>
    <d v="2011-01-28T00:00:00"/>
    <x v="0"/>
    <x v="0"/>
    <n v="15"/>
    <b v="0"/>
    <n v="5"/>
    <x v="1"/>
    <x v="2"/>
    <n v="292"/>
    <n v="0.21210000000000001"/>
    <n v="0.38"/>
    <n v="0.29849999999999999"/>
    <n v="5"/>
    <n v="55"/>
    <n v="60"/>
    <x v="0"/>
    <x v="1"/>
  </r>
  <r>
    <n v="294"/>
    <d v="2011-01-28T00:00:00"/>
    <x v="0"/>
    <x v="0"/>
    <n v="15"/>
    <b v="0"/>
    <n v="5"/>
    <x v="1"/>
    <x v="2"/>
    <n v="293"/>
    <n v="0.21210000000000001"/>
    <n v="0.38"/>
    <n v="0.35820000000000002"/>
    <n v="2"/>
    <n v="76"/>
    <n v="78"/>
    <x v="0"/>
    <x v="1"/>
  </r>
  <r>
    <n v="295"/>
    <d v="2011-01-28T00:00:00"/>
    <x v="0"/>
    <x v="0"/>
    <n v="15"/>
    <b v="0"/>
    <n v="5"/>
    <x v="1"/>
    <x v="2"/>
    <n v="294"/>
    <n v="0.18179999999999999"/>
    <n v="0.4"/>
    <n v="0.28360000000000002"/>
    <n v="4"/>
    <n v="158"/>
    <n v="162"/>
    <x v="0"/>
    <x v="1"/>
  </r>
  <r>
    <n v="296"/>
    <d v="2011-01-28T00:00:00"/>
    <x v="0"/>
    <x v="0"/>
    <n v="15"/>
    <b v="0"/>
    <n v="5"/>
    <x v="1"/>
    <x v="2"/>
    <n v="295"/>
    <n v="0.18179999999999999"/>
    <n v="0.4"/>
    <n v="0.32840000000000003"/>
    <n v="3"/>
    <n v="141"/>
    <n v="144"/>
    <x v="0"/>
    <x v="1"/>
  </r>
  <r>
    <n v="297"/>
    <d v="2011-01-28T00:00:00"/>
    <x v="0"/>
    <x v="0"/>
    <n v="15"/>
    <b v="0"/>
    <n v="5"/>
    <x v="1"/>
    <x v="2"/>
    <n v="296"/>
    <n v="0.1515"/>
    <n v="0.47"/>
    <n v="0.25369999999999998"/>
    <n v="1"/>
    <n v="98"/>
    <n v="99"/>
    <x v="0"/>
    <x v="1"/>
  </r>
  <r>
    <n v="298"/>
    <d v="2011-01-28T00:00:00"/>
    <x v="0"/>
    <x v="0"/>
    <n v="15"/>
    <b v="0"/>
    <n v="5"/>
    <x v="1"/>
    <x v="2"/>
    <n v="297"/>
    <n v="0.1515"/>
    <n v="0.47"/>
    <n v="0.22389999999999999"/>
    <n v="0"/>
    <n v="64"/>
    <n v="64"/>
    <x v="0"/>
    <x v="1"/>
  </r>
  <r>
    <n v="299"/>
    <d v="2011-01-28T00:00:00"/>
    <x v="0"/>
    <x v="0"/>
    <n v="15"/>
    <b v="0"/>
    <n v="5"/>
    <x v="1"/>
    <x v="2"/>
    <n v="298"/>
    <n v="0.1212"/>
    <n v="0.46"/>
    <n v="0.29849999999999999"/>
    <n v="0"/>
    <n v="40"/>
    <n v="40"/>
    <x v="0"/>
    <x v="1"/>
  </r>
  <r>
    <n v="300"/>
    <d v="2011-01-28T00:00:00"/>
    <x v="0"/>
    <x v="0"/>
    <n v="15"/>
    <b v="0"/>
    <n v="5"/>
    <x v="1"/>
    <x v="2"/>
    <n v="299"/>
    <n v="0.1212"/>
    <n v="0.46"/>
    <n v="0.32840000000000003"/>
    <n v="0"/>
    <n v="30"/>
    <n v="30"/>
    <x v="0"/>
    <x v="1"/>
  </r>
  <r>
    <n v="301"/>
    <d v="2011-01-28T00:00:00"/>
    <x v="0"/>
    <x v="0"/>
    <n v="15"/>
    <b v="0"/>
    <n v="5"/>
    <x v="1"/>
    <x v="2"/>
    <n v="300"/>
    <n v="0.13639999999999999"/>
    <n v="0.5"/>
    <n v="0.19400000000000001"/>
    <n v="1"/>
    <n v="14"/>
    <n v="15"/>
    <x v="0"/>
    <x v="1"/>
  </r>
  <r>
    <n v="302"/>
    <d v="2011-01-28T00:00:00"/>
    <x v="0"/>
    <x v="0"/>
    <n v="15"/>
    <b v="0"/>
    <n v="5"/>
    <x v="1"/>
    <x v="2"/>
    <n v="301"/>
    <n v="0.13639999999999999"/>
    <n v="0.5"/>
    <n v="0.19400000000000001"/>
    <n v="0"/>
    <n v="14"/>
    <n v="14"/>
    <x v="0"/>
    <x v="1"/>
  </r>
  <r>
    <n v="303"/>
    <d v="2011-01-28T00:00:00"/>
    <x v="0"/>
    <x v="0"/>
    <n v="15"/>
    <b v="0"/>
    <n v="5"/>
    <x v="1"/>
    <x v="2"/>
    <n v="302"/>
    <n v="0.1212"/>
    <n v="0.54"/>
    <n v="0.16420000000000001"/>
    <n v="0"/>
    <n v="5"/>
    <n v="5"/>
    <x v="0"/>
    <x v="1"/>
  </r>
  <r>
    <n v="304"/>
    <d v="2011-01-28T00:00:00"/>
    <x v="0"/>
    <x v="0"/>
    <n v="15"/>
    <b v="0"/>
    <n v="5"/>
    <x v="1"/>
    <x v="2"/>
    <n v="303"/>
    <n v="0.1212"/>
    <n v="0.54"/>
    <n v="0.1343"/>
    <n v="0"/>
    <n v="1"/>
    <n v="1"/>
    <x v="0"/>
    <x v="1"/>
  </r>
  <r>
    <n v="305"/>
    <d v="2011-01-28T00:00:00"/>
    <x v="0"/>
    <x v="0"/>
    <n v="15"/>
    <b v="0"/>
    <n v="5"/>
    <x v="1"/>
    <x v="2"/>
    <n v="304"/>
    <n v="0.13639999999999999"/>
    <n v="0.54"/>
    <n v="0.1045"/>
    <n v="0"/>
    <n v="1"/>
    <n v="1"/>
    <x v="0"/>
    <x v="1"/>
  </r>
  <r>
    <n v="306"/>
    <d v="2011-01-28T00:00:00"/>
    <x v="0"/>
    <x v="0"/>
    <n v="15"/>
    <b v="0"/>
    <n v="5"/>
    <x v="1"/>
    <x v="2"/>
    <n v="305"/>
    <n v="0.13639999999999999"/>
    <n v="0.54"/>
    <n v="8.9599999999999999E-2"/>
    <n v="0"/>
    <n v="8"/>
    <n v="8"/>
    <x v="0"/>
    <x v="1"/>
  </r>
  <r>
    <n v="307"/>
    <d v="2011-01-28T00:00:00"/>
    <x v="0"/>
    <x v="0"/>
    <n v="15"/>
    <b v="0"/>
    <n v="5"/>
    <x v="1"/>
    <x v="2"/>
    <n v="306"/>
    <n v="0.18179999999999999"/>
    <n v="0.54"/>
    <n v="0"/>
    <n v="0"/>
    <n v="17"/>
    <n v="17"/>
    <x v="0"/>
    <x v="1"/>
  </r>
  <r>
    <n v="308"/>
    <d v="2011-01-28T00:00:00"/>
    <x v="0"/>
    <x v="0"/>
    <n v="15"/>
    <b v="0"/>
    <n v="5"/>
    <x v="1"/>
    <x v="2"/>
    <n v="307"/>
    <n v="0.1212"/>
    <n v="0.74"/>
    <n v="0.16420000000000001"/>
    <n v="0"/>
    <n v="70"/>
    <n v="70"/>
    <x v="0"/>
    <x v="1"/>
  </r>
  <r>
    <n v="309"/>
    <d v="2011-01-28T00:00:00"/>
    <x v="0"/>
    <x v="0"/>
    <n v="15"/>
    <b v="0"/>
    <n v="5"/>
    <x v="1"/>
    <x v="2"/>
    <n v="308"/>
    <n v="0.16669999999999999"/>
    <n v="0.68"/>
    <n v="0"/>
    <n v="2"/>
    <n v="156"/>
    <n v="158"/>
    <x v="0"/>
    <x v="1"/>
  </r>
  <r>
    <n v="310"/>
    <d v="2011-01-28T00:00:00"/>
    <x v="0"/>
    <x v="0"/>
    <n v="15"/>
    <b v="0"/>
    <n v="5"/>
    <x v="1"/>
    <x v="2"/>
    <n v="309"/>
    <n v="0.1515"/>
    <n v="0.69"/>
    <n v="0.1343"/>
    <n v="0"/>
    <n v="117"/>
    <n v="117"/>
    <x v="0"/>
    <x v="1"/>
  </r>
  <r>
    <n v="311"/>
    <d v="2011-01-28T00:00:00"/>
    <x v="0"/>
    <x v="0"/>
    <n v="15"/>
    <b v="0"/>
    <n v="5"/>
    <x v="1"/>
    <x v="2"/>
    <n v="310"/>
    <n v="0.18179999999999999"/>
    <n v="0.55000000000000004"/>
    <n v="0.19400000000000001"/>
    <n v="4"/>
    <n v="40"/>
    <n v="44"/>
    <x v="0"/>
    <x v="1"/>
  </r>
  <r>
    <n v="312"/>
    <d v="2011-01-28T00:00:00"/>
    <x v="0"/>
    <x v="0"/>
    <n v="15"/>
    <b v="0"/>
    <n v="5"/>
    <x v="1"/>
    <x v="2"/>
    <n v="311"/>
    <n v="0.16669999999999999"/>
    <n v="0.51"/>
    <n v="0.28360000000000002"/>
    <n v="6"/>
    <n v="47"/>
    <n v="53"/>
    <x v="0"/>
    <x v="1"/>
  </r>
  <r>
    <n v="313"/>
    <d v="2011-01-28T00:00:00"/>
    <x v="0"/>
    <x v="0"/>
    <n v="15"/>
    <b v="0"/>
    <n v="5"/>
    <x v="1"/>
    <x v="2"/>
    <n v="312"/>
    <n v="0.19700000000000001"/>
    <n v="0.44"/>
    <n v="0.25369999999999998"/>
    <n v="2"/>
    <n v="59"/>
    <n v="61"/>
    <x v="0"/>
    <x v="1"/>
  </r>
  <r>
    <n v="314"/>
    <d v="2011-01-28T00:00:00"/>
    <x v="0"/>
    <x v="0"/>
    <n v="15"/>
    <b v="0"/>
    <n v="5"/>
    <x v="1"/>
    <x v="2"/>
    <n v="313"/>
    <n v="0.19700000000000001"/>
    <n v="0.37"/>
    <n v="0.3881"/>
    <n v="4"/>
    <n v="73"/>
    <n v="77"/>
    <x v="0"/>
    <x v="1"/>
  </r>
  <r>
    <n v="315"/>
    <d v="2011-01-28T00:00:00"/>
    <x v="0"/>
    <x v="0"/>
    <n v="15"/>
    <b v="0"/>
    <n v="5"/>
    <x v="1"/>
    <x v="2"/>
    <n v="314"/>
    <n v="0.21210000000000001"/>
    <n v="0.41"/>
    <n v="0.28360000000000002"/>
    <n v="5"/>
    <n v="59"/>
    <n v="64"/>
    <x v="0"/>
    <x v="1"/>
  </r>
  <r>
    <n v="316"/>
    <d v="2011-01-28T00:00:00"/>
    <x v="0"/>
    <x v="0"/>
    <n v="15"/>
    <b v="0"/>
    <n v="5"/>
    <x v="1"/>
    <x v="2"/>
    <n v="315"/>
    <n v="0.2424"/>
    <n v="0.38"/>
    <n v="0.16420000000000001"/>
    <n v="9"/>
    <n v="59"/>
    <n v="68"/>
    <x v="0"/>
    <x v="1"/>
  </r>
  <r>
    <n v="317"/>
    <d v="2011-01-28T00:00:00"/>
    <x v="0"/>
    <x v="0"/>
    <n v="15"/>
    <b v="0"/>
    <n v="5"/>
    <x v="1"/>
    <x v="2"/>
    <n v="316"/>
    <n v="0.2424"/>
    <n v="0.41"/>
    <n v="0.1045"/>
    <n v="3"/>
    <n v="87"/>
    <n v="90"/>
    <x v="0"/>
    <x v="1"/>
  </r>
  <r>
    <n v="318"/>
    <d v="2011-01-28T00:00:00"/>
    <x v="0"/>
    <x v="0"/>
    <n v="15"/>
    <b v="0"/>
    <n v="5"/>
    <x v="1"/>
    <x v="2"/>
    <n v="317"/>
    <n v="0.2273"/>
    <n v="0.41"/>
    <n v="0.16420000000000001"/>
    <n v="4"/>
    <n v="155"/>
    <n v="159"/>
    <x v="0"/>
    <x v="1"/>
  </r>
  <r>
    <n v="319"/>
    <d v="2011-01-28T00:00:00"/>
    <x v="0"/>
    <x v="0"/>
    <n v="15"/>
    <b v="0"/>
    <n v="5"/>
    <x v="1"/>
    <x v="2"/>
    <n v="318"/>
    <n v="0.2576"/>
    <n v="0.47"/>
    <n v="0"/>
    <n v="5"/>
    <n v="134"/>
    <n v="139"/>
    <x v="0"/>
    <x v="1"/>
  </r>
  <r>
    <n v="320"/>
    <d v="2011-01-28T00:00:00"/>
    <x v="0"/>
    <x v="0"/>
    <n v="15"/>
    <b v="0"/>
    <n v="5"/>
    <x v="1"/>
    <x v="2"/>
    <n v="319"/>
    <n v="0.19700000000000001"/>
    <n v="0.59"/>
    <n v="8.9599999999999999E-2"/>
    <n v="3"/>
    <n v="89"/>
    <n v="92"/>
    <x v="0"/>
    <x v="1"/>
  </r>
  <r>
    <n v="321"/>
    <d v="2011-01-28T00:00:00"/>
    <x v="0"/>
    <x v="0"/>
    <n v="15"/>
    <b v="0"/>
    <n v="5"/>
    <x v="1"/>
    <x v="2"/>
    <n v="320"/>
    <n v="0.2424"/>
    <n v="0.59"/>
    <n v="0"/>
    <n v="0"/>
    <n v="68"/>
    <n v="68"/>
    <x v="0"/>
    <x v="1"/>
  </r>
  <r>
    <n v="322"/>
    <d v="2011-01-28T00:00:00"/>
    <x v="0"/>
    <x v="0"/>
    <n v="15"/>
    <b v="0"/>
    <n v="5"/>
    <x v="1"/>
    <x v="2"/>
    <n v="321"/>
    <n v="0.2273"/>
    <n v="0.69"/>
    <n v="0"/>
    <n v="4"/>
    <n v="48"/>
    <n v="52"/>
    <x v="0"/>
    <x v="1"/>
  </r>
  <r>
    <n v="323"/>
    <d v="2011-01-28T00:00:00"/>
    <x v="0"/>
    <x v="0"/>
    <n v="15"/>
    <b v="0"/>
    <n v="5"/>
    <x v="1"/>
    <x v="2"/>
    <n v="322"/>
    <n v="0.2273"/>
    <n v="0.69"/>
    <n v="0"/>
    <n v="2"/>
    <n v="34"/>
    <n v="36"/>
    <x v="0"/>
    <x v="1"/>
  </r>
  <r>
    <n v="324"/>
    <d v="2011-01-28T00:00:00"/>
    <x v="0"/>
    <x v="0"/>
    <n v="15"/>
    <b v="0"/>
    <n v="5"/>
    <x v="1"/>
    <x v="2"/>
    <n v="323"/>
    <n v="0.2424"/>
    <n v="0.55000000000000004"/>
    <n v="0"/>
    <n v="1"/>
    <n v="26"/>
    <n v="27"/>
    <x v="0"/>
    <x v="1"/>
  </r>
  <r>
    <n v="325"/>
    <d v="2011-01-28T00:00:00"/>
    <x v="0"/>
    <x v="0"/>
    <n v="15"/>
    <b v="0"/>
    <n v="5"/>
    <x v="1"/>
    <x v="2"/>
    <n v="324"/>
    <n v="0.2424"/>
    <n v="0.55000000000000004"/>
    <n v="0"/>
    <n v="3"/>
    <n v="25"/>
    <n v="28"/>
    <x v="0"/>
    <x v="1"/>
  </r>
  <r>
    <n v="326"/>
    <d v="2011-01-28T00:00:00"/>
    <x v="0"/>
    <x v="0"/>
    <n v="15"/>
    <b v="0"/>
    <n v="5"/>
    <x v="1"/>
    <x v="2"/>
    <n v="325"/>
    <n v="0.19700000000000001"/>
    <n v="0.59"/>
    <n v="8.9599999999999999E-2"/>
    <n v="2"/>
    <n v="18"/>
    <n v="20"/>
    <x v="0"/>
    <x v="1"/>
  </r>
  <r>
    <n v="327"/>
    <d v="2011-01-28T00:00:00"/>
    <x v="0"/>
    <x v="0"/>
    <n v="15"/>
    <b v="0"/>
    <n v="5"/>
    <x v="1"/>
    <x v="2"/>
    <n v="326"/>
    <n v="0.19700000000000001"/>
    <n v="0.59"/>
    <n v="8.9599999999999999E-2"/>
    <n v="0"/>
    <n v="12"/>
    <n v="12"/>
    <x v="0"/>
    <x v="1"/>
  </r>
  <r>
    <n v="328"/>
    <d v="2011-01-28T00:00:00"/>
    <x v="0"/>
    <x v="0"/>
    <n v="15"/>
    <b v="0"/>
    <n v="5"/>
    <x v="1"/>
    <x v="2"/>
    <n v="327"/>
    <n v="0.2273"/>
    <n v="0.59"/>
    <n v="0"/>
    <n v="1"/>
    <n v="7"/>
    <n v="8"/>
    <x v="0"/>
    <x v="1"/>
  </r>
  <r>
    <n v="329"/>
    <d v="2011-01-28T00:00:00"/>
    <x v="0"/>
    <x v="0"/>
    <n v="15"/>
    <b v="0"/>
    <n v="5"/>
    <x v="1"/>
    <x v="2"/>
    <n v="328"/>
    <n v="0.2273"/>
    <n v="0.59"/>
    <n v="0"/>
    <n v="0"/>
    <n v="5"/>
    <n v="5"/>
    <x v="0"/>
    <x v="1"/>
  </r>
  <r>
    <n v="330"/>
    <d v="2011-01-28T00:00:00"/>
    <x v="0"/>
    <x v="0"/>
    <n v="15"/>
    <b v="0"/>
    <n v="5"/>
    <x v="1"/>
    <x v="2"/>
    <n v="329"/>
    <n v="0.2273"/>
    <n v="0.59"/>
    <n v="0"/>
    <n v="0"/>
    <n v="1"/>
    <n v="1"/>
    <x v="0"/>
    <x v="1"/>
  </r>
  <r>
    <n v="331"/>
    <d v="2011-01-28T00:00:00"/>
    <x v="0"/>
    <x v="0"/>
    <n v="15"/>
    <b v="0"/>
    <n v="5"/>
    <x v="1"/>
    <x v="2"/>
    <n v="330"/>
    <n v="0.16669999999999999"/>
    <n v="0.63"/>
    <n v="0.1045"/>
    <n v="1"/>
    <n v="2"/>
    <n v="3"/>
    <x v="0"/>
    <x v="1"/>
  </r>
  <r>
    <n v="332"/>
    <d v="2011-01-28T00:00:00"/>
    <x v="0"/>
    <x v="0"/>
    <n v="15"/>
    <b v="0"/>
    <n v="5"/>
    <x v="1"/>
    <x v="2"/>
    <n v="331"/>
    <n v="0.21210000000000001"/>
    <n v="0.63"/>
    <n v="0"/>
    <n v="1"/>
    <n v="9"/>
    <n v="10"/>
    <x v="0"/>
    <x v="1"/>
  </r>
  <r>
    <n v="333"/>
    <d v="2011-01-28T00:00:00"/>
    <x v="0"/>
    <x v="0"/>
    <n v="15"/>
    <b v="0"/>
    <n v="5"/>
    <x v="1"/>
    <x v="2"/>
    <n v="332"/>
    <n v="0.1515"/>
    <n v="0.63"/>
    <n v="0.1343"/>
    <n v="1"/>
    <n v="22"/>
    <n v="23"/>
    <x v="0"/>
    <x v="1"/>
  </r>
  <r>
    <n v="334"/>
    <d v="2011-01-28T00:00:00"/>
    <x v="0"/>
    <x v="0"/>
    <n v="15"/>
    <b v="0"/>
    <n v="5"/>
    <x v="1"/>
    <x v="2"/>
    <n v="333"/>
    <n v="0.18179999999999999"/>
    <n v="0.64"/>
    <n v="0.1343"/>
    <n v="2"/>
    <n v="31"/>
    <n v="33"/>
    <x v="0"/>
    <x v="1"/>
  </r>
  <r>
    <n v="335"/>
    <d v="2011-01-28T00:00:00"/>
    <x v="0"/>
    <x v="0"/>
    <n v="15"/>
    <b v="0"/>
    <n v="5"/>
    <x v="1"/>
    <x v="2"/>
    <n v="334"/>
    <n v="0.19700000000000001"/>
    <n v="0.59"/>
    <n v="0.16420000000000001"/>
    <n v="2"/>
    <n v="57"/>
    <n v="59"/>
    <x v="0"/>
    <x v="1"/>
  </r>
  <r>
    <n v="336"/>
    <d v="2011-01-28T00:00:00"/>
    <x v="0"/>
    <x v="0"/>
    <n v="15"/>
    <b v="0"/>
    <n v="5"/>
    <x v="1"/>
    <x v="2"/>
    <n v="335"/>
    <n v="0.19700000000000001"/>
    <n v="0.55000000000000004"/>
    <n v="0.22389999999999999"/>
    <n v="18"/>
    <n v="54"/>
    <n v="72"/>
    <x v="0"/>
    <x v="1"/>
  </r>
  <r>
    <n v="337"/>
    <d v="2011-01-28T00:00:00"/>
    <x v="0"/>
    <x v="0"/>
    <n v="15"/>
    <b v="0"/>
    <n v="5"/>
    <x v="1"/>
    <x v="2"/>
    <n v="336"/>
    <n v="0.2273"/>
    <n v="0.48"/>
    <n v="0.22389999999999999"/>
    <n v="15"/>
    <n v="74"/>
    <n v="89"/>
    <x v="0"/>
    <x v="1"/>
  </r>
  <r>
    <n v="338"/>
    <d v="2011-01-28T00:00:00"/>
    <x v="0"/>
    <x v="0"/>
    <n v="15"/>
    <b v="0"/>
    <n v="5"/>
    <x v="1"/>
    <x v="2"/>
    <n v="337"/>
    <n v="0.2576"/>
    <n v="0.38"/>
    <n v="0.29849999999999999"/>
    <n v="21"/>
    <n v="80"/>
    <n v="101"/>
    <x v="0"/>
    <x v="1"/>
  </r>
  <r>
    <n v="339"/>
    <d v="2011-01-28T00:00:00"/>
    <x v="0"/>
    <x v="0"/>
    <n v="15"/>
    <b v="0"/>
    <n v="5"/>
    <x v="1"/>
    <x v="2"/>
    <n v="338"/>
    <n v="0.28789999999999999"/>
    <n v="0.39"/>
    <n v="0.28360000000000002"/>
    <n v="26"/>
    <n v="92"/>
    <n v="118"/>
    <x v="0"/>
    <x v="1"/>
  </r>
  <r>
    <n v="340"/>
    <d v="2011-01-28T00:00:00"/>
    <x v="0"/>
    <x v="0"/>
    <n v="15"/>
    <b v="0"/>
    <n v="5"/>
    <x v="1"/>
    <x v="2"/>
    <n v="339"/>
    <n v="0.31819999999999998"/>
    <n v="0.36"/>
    <n v="0.19400000000000001"/>
    <n v="21"/>
    <n v="108"/>
    <n v="129"/>
    <x v="0"/>
    <x v="1"/>
  </r>
  <r>
    <n v="341"/>
    <d v="2011-01-28T00:00:00"/>
    <x v="0"/>
    <x v="0"/>
    <n v="15"/>
    <b v="0"/>
    <n v="5"/>
    <x v="1"/>
    <x v="2"/>
    <n v="340"/>
    <n v="0.33329999999999999"/>
    <n v="0.34"/>
    <n v="0.19400000000000001"/>
    <n v="33"/>
    <n v="95"/>
    <n v="128"/>
    <x v="0"/>
    <x v="1"/>
  </r>
  <r>
    <n v="342"/>
    <d v="2011-01-28T00:00:00"/>
    <x v="0"/>
    <x v="0"/>
    <n v="15"/>
    <b v="0"/>
    <n v="5"/>
    <x v="1"/>
    <x v="2"/>
    <n v="341"/>
    <n v="0.30299999999999999"/>
    <n v="0.36"/>
    <n v="0.28360000000000002"/>
    <n v="29"/>
    <n v="54"/>
    <n v="83"/>
    <x v="0"/>
    <x v="1"/>
  </r>
  <r>
    <n v="343"/>
    <d v="2011-01-28T00:00:00"/>
    <x v="0"/>
    <x v="0"/>
    <n v="15"/>
    <b v="0"/>
    <n v="5"/>
    <x v="1"/>
    <x v="2"/>
    <n v="342"/>
    <n v="0.28789999999999999"/>
    <n v="0.45"/>
    <n v="0.25369999999999998"/>
    <n v="15"/>
    <n v="69"/>
    <n v="84"/>
    <x v="0"/>
    <x v="1"/>
  </r>
  <r>
    <n v="344"/>
    <d v="2011-01-28T00:00:00"/>
    <x v="0"/>
    <x v="0"/>
    <n v="15"/>
    <b v="0"/>
    <n v="5"/>
    <x v="1"/>
    <x v="2"/>
    <n v="343"/>
    <n v="0.30299999999999999"/>
    <n v="0.39"/>
    <n v="0.25369999999999998"/>
    <n v="14"/>
    <n v="60"/>
    <n v="74"/>
    <x v="0"/>
    <x v="1"/>
  </r>
  <r>
    <n v="345"/>
    <d v="2011-01-28T00:00:00"/>
    <x v="0"/>
    <x v="0"/>
    <n v="15"/>
    <b v="0"/>
    <n v="5"/>
    <x v="1"/>
    <x v="2"/>
    <n v="344"/>
    <n v="0.30299999999999999"/>
    <n v="0.39"/>
    <n v="0.25369999999999998"/>
    <n v="6"/>
    <n v="35"/>
    <n v="41"/>
    <x v="0"/>
    <x v="1"/>
  </r>
  <r>
    <n v="346"/>
    <d v="2011-01-28T00:00:00"/>
    <x v="0"/>
    <x v="0"/>
    <n v="15"/>
    <b v="0"/>
    <n v="5"/>
    <x v="1"/>
    <x v="2"/>
    <n v="345"/>
    <n v="0.30299999999999999"/>
    <n v="0.39"/>
    <n v="0.22389999999999999"/>
    <n v="6"/>
    <n v="51"/>
    <n v="57"/>
    <x v="0"/>
    <x v="1"/>
  </r>
  <r>
    <n v="347"/>
    <d v="2011-01-28T00:00:00"/>
    <x v="0"/>
    <x v="0"/>
    <n v="15"/>
    <b v="0"/>
    <n v="5"/>
    <x v="1"/>
    <x v="2"/>
    <n v="346"/>
    <n v="0.31819999999999998"/>
    <n v="0.42"/>
    <n v="0.1045"/>
    <n v="0"/>
    <n v="26"/>
    <n v="26"/>
    <x v="0"/>
    <x v="1"/>
  </r>
  <r>
    <n v="348"/>
    <d v="2011-01-28T00:00:00"/>
    <x v="0"/>
    <x v="0"/>
    <n v="15"/>
    <b v="0"/>
    <n v="5"/>
    <x v="1"/>
    <x v="2"/>
    <n v="347"/>
    <n v="0.28789999999999999"/>
    <n v="0.45"/>
    <n v="0.28360000000000002"/>
    <n v="5"/>
    <n v="39"/>
    <n v="44"/>
    <x v="0"/>
    <x v="1"/>
  </r>
  <r>
    <n v="349"/>
    <d v="2011-01-28T00:00:00"/>
    <x v="0"/>
    <x v="0"/>
    <n v="15"/>
    <b v="0"/>
    <n v="5"/>
    <x v="1"/>
    <x v="2"/>
    <n v="348"/>
    <n v="0.30299999999999999"/>
    <n v="0.56000000000000005"/>
    <n v="0"/>
    <n v="6"/>
    <n v="33"/>
    <n v="39"/>
    <x v="0"/>
    <x v="1"/>
  </r>
  <r>
    <n v="350"/>
    <d v="2011-01-28T00:00:00"/>
    <x v="0"/>
    <x v="0"/>
    <n v="15"/>
    <b v="0"/>
    <n v="5"/>
    <x v="1"/>
    <x v="2"/>
    <n v="349"/>
    <n v="0.2727"/>
    <n v="0.56000000000000005"/>
    <n v="0.1343"/>
    <n v="4"/>
    <n v="19"/>
    <n v="23"/>
    <x v="0"/>
    <x v="1"/>
  </r>
  <r>
    <n v="351"/>
    <d v="2011-01-28T00:00:00"/>
    <x v="0"/>
    <x v="0"/>
    <n v="15"/>
    <b v="0"/>
    <n v="5"/>
    <x v="1"/>
    <x v="2"/>
    <n v="350"/>
    <n v="0.28789999999999999"/>
    <n v="0.56000000000000005"/>
    <n v="8.9599999999999999E-2"/>
    <n v="3"/>
    <n v="13"/>
    <n v="16"/>
    <x v="0"/>
    <x v="1"/>
  </r>
  <r>
    <n v="352"/>
    <d v="2011-01-28T00:00:00"/>
    <x v="0"/>
    <x v="0"/>
    <n v="15"/>
    <b v="0"/>
    <n v="5"/>
    <x v="1"/>
    <x v="2"/>
    <n v="351"/>
    <n v="0.2727"/>
    <n v="0.69"/>
    <n v="0"/>
    <n v="9"/>
    <n v="6"/>
    <n v="15"/>
    <x v="0"/>
    <x v="1"/>
  </r>
  <r>
    <n v="353"/>
    <d v="2011-01-28T00:00:00"/>
    <x v="0"/>
    <x v="0"/>
    <n v="15"/>
    <b v="0"/>
    <n v="5"/>
    <x v="1"/>
    <x v="2"/>
    <n v="352"/>
    <n v="0.2576"/>
    <n v="0.56000000000000005"/>
    <n v="0.16420000000000001"/>
    <n v="0"/>
    <n v="1"/>
    <n v="1"/>
    <x v="0"/>
    <x v="1"/>
  </r>
  <r>
    <n v="354"/>
    <d v="2011-01-28T00:00:00"/>
    <x v="0"/>
    <x v="0"/>
    <n v="15"/>
    <b v="0"/>
    <n v="5"/>
    <x v="1"/>
    <x v="2"/>
    <n v="353"/>
    <n v="0.2576"/>
    <n v="0.56000000000000005"/>
    <n v="0.16420000000000001"/>
    <n v="1"/>
    <n v="1"/>
    <n v="2"/>
    <x v="0"/>
    <x v="1"/>
  </r>
  <r>
    <n v="355"/>
    <d v="2011-01-28T00:00:00"/>
    <x v="0"/>
    <x v="0"/>
    <n v="15"/>
    <b v="0"/>
    <n v="5"/>
    <x v="1"/>
    <x v="2"/>
    <n v="354"/>
    <n v="0.2576"/>
    <n v="0.56000000000000005"/>
    <n v="0.16420000000000001"/>
    <n v="0"/>
    <n v="1"/>
    <n v="1"/>
    <x v="0"/>
    <x v="1"/>
  </r>
  <r>
    <n v="356"/>
    <d v="2011-01-28T00:00:00"/>
    <x v="0"/>
    <x v="0"/>
    <n v="15"/>
    <b v="0"/>
    <n v="5"/>
    <x v="1"/>
    <x v="2"/>
    <n v="355"/>
    <n v="0.21210000000000001"/>
    <n v="0.56000000000000005"/>
    <n v="0.29849999999999999"/>
    <n v="0"/>
    <n v="3"/>
    <n v="3"/>
    <x v="0"/>
    <x v="1"/>
  </r>
  <r>
    <n v="357"/>
    <d v="2011-01-28T00:00:00"/>
    <x v="0"/>
    <x v="0"/>
    <n v="15"/>
    <b v="0"/>
    <n v="5"/>
    <x v="1"/>
    <x v="2"/>
    <n v="356"/>
    <n v="0.21210000000000001"/>
    <n v="0.55000000000000004"/>
    <n v="0.28360000000000002"/>
    <n v="0"/>
    <n v="18"/>
    <n v="18"/>
    <x v="0"/>
    <x v="1"/>
  </r>
  <r>
    <n v="358"/>
    <d v="2011-01-28T00:00:00"/>
    <x v="0"/>
    <x v="0"/>
    <n v="15"/>
    <b v="0"/>
    <n v="5"/>
    <x v="1"/>
    <x v="2"/>
    <n v="357"/>
    <n v="0.21210000000000001"/>
    <n v="0.51"/>
    <n v="0.25369999999999998"/>
    <n v="3"/>
    <n v="29"/>
    <n v="32"/>
    <x v="0"/>
    <x v="1"/>
  </r>
  <r>
    <n v="359"/>
    <d v="2011-01-28T00:00:00"/>
    <x v="0"/>
    <x v="0"/>
    <n v="15"/>
    <b v="0"/>
    <n v="5"/>
    <x v="1"/>
    <x v="2"/>
    <n v="358"/>
    <n v="0.21210000000000001"/>
    <n v="0.51"/>
    <n v="0.28360000000000002"/>
    <n v="8"/>
    <n v="71"/>
    <n v="79"/>
    <x v="0"/>
    <x v="1"/>
  </r>
  <r>
    <n v="360"/>
    <d v="2011-01-28T00:00:00"/>
    <x v="0"/>
    <x v="0"/>
    <n v="15"/>
    <b v="0"/>
    <n v="5"/>
    <x v="1"/>
    <x v="2"/>
    <n v="359"/>
    <n v="0.2273"/>
    <n v="0.44"/>
    <n v="0.25369999999999998"/>
    <n v="23"/>
    <n v="70"/>
    <n v="93"/>
    <x v="0"/>
    <x v="1"/>
  </r>
  <r>
    <n v="361"/>
    <d v="2011-01-28T00:00:00"/>
    <x v="0"/>
    <x v="0"/>
    <n v="15"/>
    <b v="0"/>
    <n v="5"/>
    <x v="1"/>
    <x v="2"/>
    <n v="360"/>
    <n v="0.21210000000000001"/>
    <n v="0.41"/>
    <n v="0.28360000000000002"/>
    <n v="29"/>
    <n v="75"/>
    <n v="104"/>
    <x v="0"/>
    <x v="1"/>
  </r>
  <r>
    <n v="362"/>
    <d v="2011-01-28T00:00:00"/>
    <x v="0"/>
    <x v="0"/>
    <n v="15"/>
    <b v="0"/>
    <n v="5"/>
    <x v="1"/>
    <x v="2"/>
    <n v="361"/>
    <n v="0.2273"/>
    <n v="0.35"/>
    <n v="0.29849999999999999"/>
    <n v="23"/>
    <n v="95"/>
    <n v="118"/>
    <x v="0"/>
    <x v="1"/>
  </r>
  <r>
    <n v="363"/>
    <d v="2011-01-28T00:00:00"/>
    <x v="0"/>
    <x v="0"/>
    <n v="15"/>
    <b v="0"/>
    <n v="5"/>
    <x v="1"/>
    <x v="2"/>
    <n v="362"/>
    <n v="0.2727"/>
    <n v="0.36"/>
    <n v="0.25369999999999998"/>
    <n v="22"/>
    <n v="69"/>
    <n v="91"/>
    <x v="0"/>
    <x v="1"/>
  </r>
  <r>
    <n v="364"/>
    <d v="2011-01-28T00:00:00"/>
    <x v="0"/>
    <x v="0"/>
    <n v="15"/>
    <b v="0"/>
    <n v="5"/>
    <x v="1"/>
    <x v="2"/>
    <n v="363"/>
    <n v="0.2424"/>
    <n v="0.38"/>
    <n v="0.25369999999999998"/>
    <n v="35"/>
    <n v="78"/>
    <n v="113"/>
    <x v="0"/>
    <x v="1"/>
  </r>
  <r>
    <n v="365"/>
    <d v="2011-01-28T00:00:00"/>
    <x v="0"/>
    <x v="0"/>
    <n v="15"/>
    <b v="0"/>
    <n v="5"/>
    <x v="1"/>
    <x v="2"/>
    <n v="364"/>
    <n v="0.2273"/>
    <n v="0.38"/>
    <n v="0.22389999999999999"/>
    <n v="22"/>
    <n v="77"/>
    <n v="99"/>
    <x v="0"/>
    <x v="1"/>
  </r>
  <r>
    <n v="366"/>
    <d v="2011-01-28T00:00:00"/>
    <x v="0"/>
    <x v="0"/>
    <n v="15"/>
    <b v="0"/>
    <n v="5"/>
    <x v="1"/>
    <x v="2"/>
    <n v="365"/>
    <n v="0.21210000000000001"/>
    <n v="0.37"/>
    <n v="0.25369999999999998"/>
    <n v="23"/>
    <n v="82"/>
    <n v="105"/>
    <x v="0"/>
    <x v="1"/>
  </r>
  <r>
    <n v="367"/>
    <d v="2011-01-28T00:00:00"/>
    <x v="0"/>
    <x v="0"/>
    <n v="15"/>
    <b v="0"/>
    <n v="5"/>
    <x v="1"/>
    <x v="2"/>
    <n v="366"/>
    <n v="0.21210000000000001"/>
    <n v="0.4"/>
    <n v="0.16420000000000001"/>
    <n v="11"/>
    <n v="56"/>
    <n v="67"/>
    <x v="0"/>
    <x v="1"/>
  </r>
  <r>
    <n v="368"/>
    <d v="2011-01-28T00:00:00"/>
    <x v="0"/>
    <x v="0"/>
    <n v="15"/>
    <b v="0"/>
    <n v="5"/>
    <x v="1"/>
    <x v="2"/>
    <n v="367"/>
    <n v="0.19700000000000001"/>
    <n v="0.47"/>
    <n v="0.1343"/>
    <n v="14"/>
    <n v="47"/>
    <n v="61"/>
    <x v="0"/>
    <x v="1"/>
  </r>
  <r>
    <n v="369"/>
    <d v="2011-01-28T00:00:00"/>
    <x v="0"/>
    <x v="0"/>
    <n v="15"/>
    <b v="0"/>
    <n v="5"/>
    <x v="1"/>
    <x v="2"/>
    <n v="368"/>
    <n v="0.19700000000000001"/>
    <n v="0.47"/>
    <n v="0.16420000000000001"/>
    <n v="7"/>
    <n v="50"/>
    <n v="57"/>
    <x v="0"/>
    <x v="1"/>
  </r>
  <r>
    <n v="370"/>
    <d v="2011-01-28T00:00:00"/>
    <x v="0"/>
    <x v="0"/>
    <n v="15"/>
    <b v="0"/>
    <n v="5"/>
    <x v="1"/>
    <x v="2"/>
    <n v="369"/>
    <n v="0.19700000000000001"/>
    <n v="0.51"/>
    <n v="0.16420000000000001"/>
    <n v="6"/>
    <n v="22"/>
    <n v="28"/>
    <x v="0"/>
    <x v="1"/>
  </r>
  <r>
    <n v="371"/>
    <d v="2011-01-28T00:00:00"/>
    <x v="0"/>
    <x v="0"/>
    <n v="15"/>
    <b v="0"/>
    <n v="5"/>
    <x v="1"/>
    <x v="2"/>
    <n v="370"/>
    <n v="0.21210000000000001"/>
    <n v="0.49"/>
    <n v="0.1343"/>
    <n v="2"/>
    <n v="19"/>
    <n v="21"/>
    <x v="0"/>
    <x v="1"/>
  </r>
  <r>
    <n v="372"/>
    <d v="2011-01-28T00:00:00"/>
    <x v="0"/>
    <x v="0"/>
    <n v="15"/>
    <b v="0"/>
    <n v="5"/>
    <x v="1"/>
    <x v="2"/>
    <n v="371"/>
    <n v="0.2273"/>
    <n v="0.4"/>
    <n v="0.1045"/>
    <n v="0"/>
    <n v="18"/>
    <n v="18"/>
    <x v="0"/>
    <x v="1"/>
  </r>
  <r>
    <n v="373"/>
    <d v="2011-01-28T00:00:00"/>
    <x v="0"/>
    <x v="0"/>
    <n v="15"/>
    <b v="0"/>
    <n v="5"/>
    <x v="1"/>
    <x v="2"/>
    <n v="372"/>
    <n v="0.19700000000000001"/>
    <n v="0.47"/>
    <n v="0.22389999999999999"/>
    <n v="1"/>
    <n v="16"/>
    <n v="17"/>
    <x v="0"/>
    <x v="1"/>
  </r>
  <r>
    <n v="374"/>
    <d v="2011-01-28T00:00:00"/>
    <x v="0"/>
    <x v="0"/>
    <n v="15"/>
    <b v="0"/>
    <n v="5"/>
    <x v="1"/>
    <x v="2"/>
    <n v="373"/>
    <n v="0.19700000000000001"/>
    <n v="0.44"/>
    <n v="0.19400000000000001"/>
    <n v="1"/>
    <n v="15"/>
    <n v="16"/>
    <x v="0"/>
    <x v="1"/>
  </r>
  <r>
    <n v="375"/>
    <d v="2011-01-28T00:00:00"/>
    <x v="0"/>
    <x v="0"/>
    <n v="15"/>
    <b v="0"/>
    <n v="5"/>
    <x v="1"/>
    <x v="2"/>
    <n v="374"/>
    <n v="0.16669999999999999"/>
    <n v="0.43"/>
    <n v="0.25369999999999998"/>
    <n v="0"/>
    <n v="8"/>
    <n v="8"/>
    <x v="0"/>
    <x v="1"/>
  </r>
  <r>
    <n v="376"/>
    <d v="2011-01-28T00:00:00"/>
    <x v="0"/>
    <x v="0"/>
    <n v="15"/>
    <b v="0"/>
    <n v="5"/>
    <x v="1"/>
    <x v="2"/>
    <n v="375"/>
    <n v="0.18179999999999999"/>
    <n v="0.43"/>
    <n v="0.19400000000000001"/>
    <n v="0"/>
    <n v="2"/>
    <n v="2"/>
    <x v="0"/>
    <x v="1"/>
  </r>
  <r>
    <n v="377"/>
    <d v="2011-01-28T00:00:00"/>
    <x v="0"/>
    <x v="0"/>
    <n v="15"/>
    <b v="0"/>
    <n v="5"/>
    <x v="1"/>
    <x v="2"/>
    <n v="376"/>
    <n v="0.19700000000000001"/>
    <n v="0.43"/>
    <n v="0.1343"/>
    <n v="1"/>
    <n v="2"/>
    <n v="3"/>
    <x v="0"/>
    <x v="1"/>
  </r>
  <r>
    <n v="378"/>
    <d v="2011-01-28T00:00:00"/>
    <x v="0"/>
    <x v="0"/>
    <n v="15"/>
    <b v="0"/>
    <n v="5"/>
    <x v="1"/>
    <x v="2"/>
    <n v="377"/>
    <n v="0.19700000000000001"/>
    <n v="0.43"/>
    <n v="0.16420000000000001"/>
    <n v="0"/>
    <n v="1"/>
    <n v="1"/>
    <x v="0"/>
    <x v="1"/>
  </r>
  <r>
    <n v="379"/>
    <d v="2011-01-28T00:00:00"/>
    <x v="0"/>
    <x v="0"/>
    <n v="15"/>
    <b v="0"/>
    <n v="5"/>
    <x v="1"/>
    <x v="2"/>
    <n v="378"/>
    <n v="0.18179999999999999"/>
    <n v="0.43"/>
    <n v="0.19400000000000001"/>
    <n v="0"/>
    <n v="5"/>
    <n v="5"/>
    <x v="0"/>
    <x v="1"/>
  </r>
  <r>
    <n v="380"/>
    <d v="2011-01-28T00:00:00"/>
    <x v="0"/>
    <x v="0"/>
    <n v="15"/>
    <b v="0"/>
    <n v="5"/>
    <x v="1"/>
    <x v="2"/>
    <n v="379"/>
    <n v="0.18179999999999999"/>
    <n v="0.5"/>
    <n v="0.1343"/>
    <n v="4"/>
    <n v="9"/>
    <n v="13"/>
    <x v="0"/>
    <x v="1"/>
  </r>
  <r>
    <n v="381"/>
    <d v="2011-01-28T00:00:00"/>
    <x v="0"/>
    <x v="0"/>
    <n v="15"/>
    <b v="0"/>
    <n v="5"/>
    <x v="1"/>
    <x v="2"/>
    <n v="380"/>
    <n v="0.1515"/>
    <n v="0.47"/>
    <n v="0.22389999999999999"/>
    <n v="3"/>
    <n v="30"/>
    <n v="33"/>
    <x v="0"/>
    <x v="1"/>
  </r>
  <r>
    <n v="382"/>
    <d v="2011-01-28T00:00:00"/>
    <x v="0"/>
    <x v="0"/>
    <n v="15"/>
    <b v="0"/>
    <n v="5"/>
    <x v="1"/>
    <x v="2"/>
    <n v="381"/>
    <n v="0.1515"/>
    <n v="0.47"/>
    <n v="0.22389999999999999"/>
    <n v="8"/>
    <n v="39"/>
    <n v="47"/>
    <x v="0"/>
    <x v="1"/>
  </r>
  <r>
    <n v="383"/>
    <d v="2011-01-28T00:00:00"/>
    <x v="0"/>
    <x v="0"/>
    <n v="15"/>
    <b v="0"/>
    <n v="5"/>
    <x v="1"/>
    <x v="2"/>
    <n v="382"/>
    <n v="0.1515"/>
    <n v="0.5"/>
    <n v="0.25369999999999998"/>
    <n v="7"/>
    <n v="50"/>
    <n v="57"/>
    <x v="0"/>
    <x v="1"/>
  </r>
  <r>
    <n v="384"/>
    <d v="2011-01-28T00:00:00"/>
    <x v="0"/>
    <x v="0"/>
    <n v="15"/>
    <b v="0"/>
    <n v="5"/>
    <x v="1"/>
    <x v="2"/>
    <n v="383"/>
    <n v="0.1515"/>
    <n v="0.55000000000000004"/>
    <n v="0.19400000000000001"/>
    <n v="9"/>
    <n v="55"/>
    <n v="64"/>
    <x v="0"/>
    <x v="1"/>
  </r>
  <r>
    <n v="385"/>
    <d v="2011-01-28T00:00:00"/>
    <x v="0"/>
    <x v="0"/>
    <n v="15"/>
    <b v="0"/>
    <n v="5"/>
    <x v="1"/>
    <x v="2"/>
    <n v="384"/>
    <n v="0.19700000000000001"/>
    <n v="0.47"/>
    <n v="0.1343"/>
    <n v="10"/>
    <n v="70"/>
    <n v="80"/>
    <x v="0"/>
    <x v="1"/>
  </r>
  <r>
    <n v="386"/>
    <d v="2011-01-28T00:00:00"/>
    <x v="0"/>
    <x v="0"/>
    <n v="15"/>
    <b v="0"/>
    <n v="5"/>
    <x v="1"/>
    <x v="2"/>
    <n v="385"/>
    <n v="0.19700000000000001"/>
    <n v="0.47"/>
    <n v="0.1343"/>
    <n v="13"/>
    <n v="80"/>
    <n v="93"/>
    <x v="0"/>
    <x v="1"/>
  </r>
  <r>
    <n v="387"/>
    <d v="2011-01-28T00:00:00"/>
    <x v="0"/>
    <x v="0"/>
    <n v="15"/>
    <b v="0"/>
    <n v="5"/>
    <x v="1"/>
    <x v="2"/>
    <n v="386"/>
    <n v="0.21210000000000001"/>
    <n v="0.43"/>
    <n v="0.1045"/>
    <n v="12"/>
    <n v="74"/>
    <n v="86"/>
    <x v="0"/>
    <x v="1"/>
  </r>
  <r>
    <n v="388"/>
    <d v="2011-01-28T00:00:00"/>
    <x v="0"/>
    <x v="0"/>
    <n v="15"/>
    <b v="0"/>
    <n v="5"/>
    <x v="1"/>
    <x v="2"/>
    <n v="387"/>
    <n v="0.21210000000000001"/>
    <n v="0.47"/>
    <n v="0.16420000000000001"/>
    <n v="21"/>
    <n v="72"/>
    <n v="93"/>
    <x v="0"/>
    <x v="1"/>
  </r>
  <r>
    <n v="389"/>
    <d v="2011-01-28T00:00:00"/>
    <x v="0"/>
    <x v="0"/>
    <n v="15"/>
    <b v="0"/>
    <n v="5"/>
    <x v="1"/>
    <x v="2"/>
    <n v="388"/>
    <n v="0.21210000000000001"/>
    <n v="0.47"/>
    <n v="0.16420000000000001"/>
    <n v="6"/>
    <n v="76"/>
    <n v="82"/>
    <x v="0"/>
    <x v="1"/>
  </r>
  <r>
    <n v="390"/>
    <d v="2011-01-28T00:00:00"/>
    <x v="0"/>
    <x v="0"/>
    <n v="15"/>
    <b v="0"/>
    <n v="5"/>
    <x v="1"/>
    <x v="2"/>
    <n v="389"/>
    <n v="0.19700000000000001"/>
    <n v="0.51"/>
    <n v="0.19400000000000001"/>
    <n v="4"/>
    <n v="67"/>
    <n v="71"/>
    <x v="0"/>
    <x v="1"/>
  </r>
  <r>
    <n v="391"/>
    <d v="2011-01-28T00:00:00"/>
    <x v="0"/>
    <x v="0"/>
    <n v="15"/>
    <b v="0"/>
    <n v="5"/>
    <x v="1"/>
    <x v="2"/>
    <n v="390"/>
    <n v="0.16669999999999999"/>
    <n v="0.55000000000000004"/>
    <n v="0.25369999999999998"/>
    <n v="7"/>
    <n v="85"/>
    <n v="92"/>
    <x v="0"/>
    <x v="1"/>
  </r>
  <r>
    <n v="392"/>
    <d v="2011-01-28T00:00:00"/>
    <x v="0"/>
    <x v="0"/>
    <n v="15"/>
    <b v="0"/>
    <n v="5"/>
    <x v="1"/>
    <x v="2"/>
    <n v="391"/>
    <n v="0.18179999999999999"/>
    <n v="0.59"/>
    <n v="0.19400000000000001"/>
    <n v="2"/>
    <n v="58"/>
    <n v="60"/>
    <x v="0"/>
    <x v="1"/>
  </r>
  <r>
    <n v="393"/>
    <d v="2011-01-28T00:00:00"/>
    <x v="0"/>
    <x v="0"/>
    <n v="15"/>
    <b v="0"/>
    <n v="5"/>
    <x v="1"/>
    <x v="2"/>
    <n v="392"/>
    <n v="0.1515"/>
    <n v="0.8"/>
    <n v="0.19400000000000001"/>
    <n v="4"/>
    <n v="29"/>
    <n v="33"/>
    <x v="0"/>
    <x v="1"/>
  </r>
  <r>
    <n v="394"/>
    <d v="2011-01-28T00:00:00"/>
    <x v="0"/>
    <x v="0"/>
    <n v="15"/>
    <b v="0"/>
    <n v="5"/>
    <x v="1"/>
    <x v="2"/>
    <n v="393"/>
    <n v="0.1515"/>
    <n v="0.8"/>
    <n v="0.19400000000000001"/>
    <n v="3"/>
    <n v="24"/>
    <n v="27"/>
    <x v="0"/>
    <x v="1"/>
  </r>
  <r>
    <n v="395"/>
    <d v="2011-01-28T00:00:00"/>
    <x v="0"/>
    <x v="0"/>
    <n v="15"/>
    <b v="0"/>
    <n v="5"/>
    <x v="1"/>
    <x v="2"/>
    <n v="394"/>
    <n v="0.1212"/>
    <n v="0.93"/>
    <n v="0.25369999999999998"/>
    <n v="0"/>
    <n v="13"/>
    <n v="13"/>
    <x v="0"/>
    <x v="1"/>
  </r>
  <r>
    <n v="396"/>
    <d v="2011-01-28T00:00:00"/>
    <x v="0"/>
    <x v="0"/>
    <n v="15"/>
    <b v="0"/>
    <n v="5"/>
    <x v="1"/>
    <x v="2"/>
    <n v="395"/>
    <n v="0.13639999999999999"/>
    <n v="0.86"/>
    <n v="0.28360000000000002"/>
    <n v="1"/>
    <n v="3"/>
    <n v="4"/>
    <x v="0"/>
    <x v="1"/>
  </r>
  <r>
    <n v="397"/>
    <d v="2011-01-28T00:00:00"/>
    <x v="0"/>
    <x v="0"/>
    <n v="15"/>
    <b v="0"/>
    <n v="5"/>
    <x v="1"/>
    <x v="2"/>
    <n v="396"/>
    <n v="0.18179999999999999"/>
    <n v="0.86"/>
    <n v="0.32840000000000003"/>
    <n v="0"/>
    <n v="3"/>
    <n v="3"/>
    <x v="0"/>
    <x v="1"/>
  </r>
  <r>
    <n v="398"/>
    <d v="2011-01-28T00:00:00"/>
    <x v="0"/>
    <x v="0"/>
    <n v="15"/>
    <b v="0"/>
    <n v="5"/>
    <x v="1"/>
    <x v="2"/>
    <n v="397"/>
    <n v="0.19700000000000001"/>
    <n v="0.86"/>
    <n v="0.22389999999999999"/>
    <n v="0"/>
    <n v="22"/>
    <n v="22"/>
    <x v="0"/>
    <x v="1"/>
  </r>
  <r>
    <n v="399"/>
    <d v="2011-01-28T00:00:00"/>
    <x v="0"/>
    <x v="0"/>
    <n v="15"/>
    <b v="0"/>
    <n v="5"/>
    <x v="1"/>
    <x v="2"/>
    <n v="398"/>
    <n v="0.2273"/>
    <n v="0.8"/>
    <n v="0.16420000000000001"/>
    <n v="2"/>
    <n v="26"/>
    <n v="28"/>
    <x v="0"/>
    <x v="1"/>
  </r>
  <r>
    <n v="400"/>
    <d v="2011-01-28T00:00:00"/>
    <x v="0"/>
    <x v="0"/>
    <n v="15"/>
    <b v="0"/>
    <n v="5"/>
    <x v="1"/>
    <x v="2"/>
    <n v="399"/>
    <n v="0.2273"/>
    <n v="0.87"/>
    <n v="0.16420000000000001"/>
    <n v="3"/>
    <n v="32"/>
    <n v="35"/>
    <x v="0"/>
    <x v="1"/>
  </r>
  <r>
    <n v="401"/>
    <d v="2011-01-28T00:00:00"/>
    <x v="0"/>
    <x v="0"/>
    <n v="15"/>
    <b v="0"/>
    <n v="5"/>
    <x v="1"/>
    <x v="2"/>
    <n v="400"/>
    <n v="0.2273"/>
    <n v="0.87"/>
    <n v="0.19400000000000001"/>
    <n v="0"/>
    <n v="61"/>
    <n v="61"/>
    <x v="0"/>
    <x v="1"/>
  </r>
  <r>
    <n v="402"/>
    <d v="2011-01-28T00:00:00"/>
    <x v="0"/>
    <x v="0"/>
    <n v="15"/>
    <b v="0"/>
    <n v="5"/>
    <x v="1"/>
    <x v="2"/>
    <n v="401"/>
    <n v="0.2273"/>
    <n v="0.82"/>
    <n v="0.19400000000000001"/>
    <n v="1"/>
    <n v="124"/>
    <n v="125"/>
    <x v="0"/>
    <x v="1"/>
  </r>
  <r>
    <n v="403"/>
    <d v="2011-01-28T00:00:00"/>
    <x v="0"/>
    <x v="0"/>
    <n v="15"/>
    <b v="0"/>
    <n v="5"/>
    <x v="1"/>
    <x v="2"/>
    <n v="402"/>
    <n v="0.2273"/>
    <n v="0.8"/>
    <n v="0.16420000000000001"/>
    <n v="1"/>
    <n v="132"/>
    <n v="133"/>
    <x v="0"/>
    <x v="1"/>
  </r>
  <r>
    <n v="404"/>
    <d v="2011-01-28T00:00:00"/>
    <x v="0"/>
    <x v="0"/>
    <n v="15"/>
    <b v="0"/>
    <n v="5"/>
    <x v="1"/>
    <x v="2"/>
    <n v="403"/>
    <n v="0.2273"/>
    <n v="0.8"/>
    <n v="0.1343"/>
    <n v="1"/>
    <n v="98"/>
    <n v="99"/>
    <x v="0"/>
    <x v="1"/>
  </r>
  <r>
    <n v="405"/>
    <d v="2011-01-28T00:00:00"/>
    <x v="0"/>
    <x v="0"/>
    <n v="15"/>
    <b v="0"/>
    <n v="5"/>
    <x v="1"/>
    <x v="2"/>
    <n v="404"/>
    <n v="0.2727"/>
    <n v="0.87"/>
    <n v="0"/>
    <n v="0"/>
    <n v="83"/>
    <n v="83"/>
    <x v="0"/>
    <x v="1"/>
  </r>
  <r>
    <n v="406"/>
    <d v="2011-01-28T00:00:00"/>
    <x v="0"/>
    <x v="0"/>
    <n v="15"/>
    <b v="0"/>
    <n v="5"/>
    <x v="1"/>
    <x v="2"/>
    <n v="405"/>
    <n v="0.2424"/>
    <n v="0.93"/>
    <n v="0.1045"/>
    <n v="0"/>
    <n v="41"/>
    <n v="41"/>
    <x v="0"/>
    <x v="1"/>
  </r>
  <r>
    <n v="407"/>
    <d v="2011-01-28T00:00:00"/>
    <x v="0"/>
    <x v="0"/>
    <n v="15"/>
    <b v="0"/>
    <n v="5"/>
    <x v="1"/>
    <x v="2"/>
    <n v="406"/>
    <n v="0.2576"/>
    <n v="0.93"/>
    <n v="8.9599999999999999E-2"/>
    <n v="0"/>
    <n v="33"/>
    <n v="33"/>
    <x v="0"/>
    <x v="1"/>
  </r>
  <r>
    <n v="408"/>
    <d v="2011-01-28T00:00:00"/>
    <x v="0"/>
    <x v="0"/>
    <n v="15"/>
    <b v="0"/>
    <n v="5"/>
    <x v="1"/>
    <x v="2"/>
    <n v="407"/>
    <n v="0.2727"/>
    <n v="0.93"/>
    <n v="0"/>
    <n v="1"/>
    <n v="19"/>
    <n v="20"/>
    <x v="0"/>
    <x v="1"/>
  </r>
  <r>
    <n v="409"/>
    <d v="2011-01-28T00:00:00"/>
    <x v="0"/>
    <x v="0"/>
    <n v="15"/>
    <b v="0"/>
    <n v="5"/>
    <x v="1"/>
    <x v="2"/>
    <n v="408"/>
    <n v="0.2727"/>
    <n v="0.93"/>
    <n v="0"/>
    <n v="0"/>
    <n v="3"/>
    <n v="3"/>
    <x v="0"/>
    <x v="1"/>
  </r>
  <r>
    <n v="410"/>
    <d v="2011-01-28T00:00:00"/>
    <x v="0"/>
    <x v="0"/>
    <n v="15"/>
    <b v="0"/>
    <n v="5"/>
    <x v="1"/>
    <x v="2"/>
    <n v="409"/>
    <n v="0.2273"/>
    <n v="0.93"/>
    <n v="0.1343"/>
    <n v="1"/>
    <n v="6"/>
    <n v="7"/>
    <x v="0"/>
    <x v="1"/>
  </r>
  <r>
    <n v="411"/>
    <d v="2011-01-28T00:00:00"/>
    <x v="0"/>
    <x v="0"/>
    <n v="15"/>
    <b v="0"/>
    <n v="5"/>
    <x v="1"/>
    <x v="2"/>
    <n v="410"/>
    <n v="0.2273"/>
    <n v="0.93"/>
    <n v="0.1343"/>
    <n v="0"/>
    <n v="3"/>
    <n v="3"/>
    <x v="0"/>
    <x v="1"/>
  </r>
  <r>
    <n v="412"/>
    <d v="2011-01-28T00:00:00"/>
    <x v="0"/>
    <x v="0"/>
    <n v="15"/>
    <b v="0"/>
    <n v="5"/>
    <x v="1"/>
    <x v="2"/>
    <n v="411"/>
    <n v="0.2273"/>
    <n v="0.93"/>
    <n v="0.1343"/>
    <n v="1"/>
    <n v="1"/>
    <n v="2"/>
    <x v="0"/>
    <x v="1"/>
  </r>
  <r>
    <n v="413"/>
    <d v="2011-01-28T00:00:00"/>
    <x v="0"/>
    <x v="0"/>
    <n v="15"/>
    <b v="0"/>
    <n v="5"/>
    <x v="1"/>
    <x v="2"/>
    <n v="412"/>
    <n v="0.2576"/>
    <n v="0.93"/>
    <n v="8.9599999999999999E-2"/>
    <n v="0"/>
    <n v="7"/>
    <n v="7"/>
    <x v="0"/>
    <x v="1"/>
  </r>
  <r>
    <n v="414"/>
    <d v="2011-01-28T00:00:00"/>
    <x v="0"/>
    <x v="0"/>
    <n v="15"/>
    <b v="0"/>
    <n v="5"/>
    <x v="1"/>
    <x v="2"/>
    <n v="413"/>
    <n v="0.2576"/>
    <n v="0.93"/>
    <n v="8.9599999999999999E-2"/>
    <n v="0"/>
    <n v="32"/>
    <n v="32"/>
    <x v="0"/>
    <x v="1"/>
  </r>
  <r>
    <n v="415"/>
    <d v="2011-01-28T00:00:00"/>
    <x v="0"/>
    <x v="0"/>
    <n v="15"/>
    <b v="0"/>
    <n v="5"/>
    <x v="1"/>
    <x v="2"/>
    <n v="414"/>
    <n v="0.2576"/>
    <n v="0.92"/>
    <n v="0.1045"/>
    <n v="1"/>
    <n v="89"/>
    <n v="90"/>
    <x v="0"/>
    <x v="1"/>
  </r>
  <r>
    <n v="416"/>
    <d v="2011-01-28T00:00:00"/>
    <x v="0"/>
    <x v="0"/>
    <n v="15"/>
    <b v="0"/>
    <n v="5"/>
    <x v="1"/>
    <x v="2"/>
    <n v="415"/>
    <n v="0.2576"/>
    <n v="0.93"/>
    <n v="0.1045"/>
    <n v="1"/>
    <n v="196"/>
    <n v="197"/>
    <x v="0"/>
    <x v="1"/>
  </r>
  <r>
    <n v="417"/>
    <d v="2011-01-28T00:00:00"/>
    <x v="0"/>
    <x v="0"/>
    <n v="15"/>
    <b v="0"/>
    <n v="5"/>
    <x v="1"/>
    <x v="2"/>
    <n v="416"/>
    <n v="0.2576"/>
    <n v="0.93"/>
    <n v="0.1045"/>
    <n v="2"/>
    <n v="107"/>
    <n v="109"/>
    <x v="0"/>
    <x v="1"/>
  </r>
  <r>
    <n v="418"/>
    <d v="2011-01-28T00:00:00"/>
    <x v="0"/>
    <x v="0"/>
    <n v="15"/>
    <b v="0"/>
    <n v="5"/>
    <x v="1"/>
    <x v="2"/>
    <n v="417"/>
    <n v="0.2727"/>
    <n v="0.93"/>
    <n v="0.1343"/>
    <n v="1"/>
    <n v="46"/>
    <n v="47"/>
    <x v="0"/>
    <x v="1"/>
  </r>
  <r>
    <n v="419"/>
    <d v="2011-01-28T00:00:00"/>
    <x v="0"/>
    <x v="0"/>
    <n v="15"/>
    <b v="0"/>
    <n v="5"/>
    <x v="1"/>
    <x v="2"/>
    <n v="418"/>
    <n v="0.30299999999999999"/>
    <n v="0.87"/>
    <n v="8.9599999999999999E-2"/>
    <n v="5"/>
    <n v="47"/>
    <n v="52"/>
    <x v="0"/>
    <x v="1"/>
  </r>
  <r>
    <n v="420"/>
    <d v="2011-01-28T00:00:00"/>
    <x v="0"/>
    <x v="0"/>
    <n v="15"/>
    <b v="0"/>
    <n v="5"/>
    <x v="1"/>
    <x v="2"/>
    <n v="419"/>
    <n v="0.31819999999999998"/>
    <n v="0.81"/>
    <n v="8.9599999999999999E-2"/>
    <n v="5"/>
    <n v="65"/>
    <n v="70"/>
    <x v="0"/>
    <x v="1"/>
  </r>
  <r>
    <n v="421"/>
    <d v="2011-01-28T00:00:00"/>
    <x v="0"/>
    <x v="0"/>
    <n v="15"/>
    <b v="0"/>
    <n v="5"/>
    <x v="1"/>
    <x v="2"/>
    <n v="420"/>
    <n v="0.40910000000000002"/>
    <n v="0.62"/>
    <n v="0.28360000000000002"/>
    <n v="11"/>
    <n v="67"/>
    <n v="78"/>
    <x v="0"/>
    <x v="1"/>
  </r>
  <r>
    <n v="422"/>
    <d v="2011-01-28T00:00:00"/>
    <x v="0"/>
    <x v="0"/>
    <n v="15"/>
    <b v="0"/>
    <n v="5"/>
    <x v="1"/>
    <x v="2"/>
    <n v="421"/>
    <n v="0.40910000000000002"/>
    <n v="0.57999999999999996"/>
    <n v="0.25369999999999998"/>
    <n v="7"/>
    <n v="68"/>
    <n v="75"/>
    <x v="0"/>
    <x v="1"/>
  </r>
  <r>
    <n v="423"/>
    <d v="2011-01-28T00:00:00"/>
    <x v="0"/>
    <x v="0"/>
    <n v="15"/>
    <b v="0"/>
    <n v="5"/>
    <x v="1"/>
    <x v="2"/>
    <n v="422"/>
    <n v="0.40910000000000002"/>
    <n v="0.54"/>
    <n v="0.28360000000000002"/>
    <n v="4"/>
    <n v="78"/>
    <n v="82"/>
    <x v="0"/>
    <x v="1"/>
  </r>
  <r>
    <n v="424"/>
    <d v="2011-01-28T00:00:00"/>
    <x v="0"/>
    <x v="0"/>
    <n v="15"/>
    <b v="0"/>
    <n v="5"/>
    <x v="1"/>
    <x v="2"/>
    <n v="423"/>
    <n v="0.39389999999999997"/>
    <n v="0.57999999999999996"/>
    <n v="0.3881"/>
    <n v="10"/>
    <n v="94"/>
    <n v="104"/>
    <x v="0"/>
    <x v="1"/>
  </r>
  <r>
    <n v="425"/>
    <d v="2011-01-28T00:00:00"/>
    <x v="0"/>
    <x v="0"/>
    <n v="15"/>
    <b v="0"/>
    <n v="5"/>
    <x v="1"/>
    <x v="2"/>
    <n v="424"/>
    <n v="0.33329999999999999"/>
    <n v="0.56999999999999995"/>
    <n v="0.32840000000000003"/>
    <n v="7"/>
    <n v="190"/>
    <n v="197"/>
    <x v="0"/>
    <x v="1"/>
  </r>
  <r>
    <n v="426"/>
    <d v="2011-01-28T00:00:00"/>
    <x v="0"/>
    <x v="0"/>
    <n v="15"/>
    <b v="0"/>
    <n v="5"/>
    <x v="1"/>
    <x v="2"/>
    <n v="425"/>
    <n v="0.31819999999999998"/>
    <n v="0.61"/>
    <n v="0.28360000000000002"/>
    <n v="5"/>
    <n v="156"/>
    <n v="161"/>
    <x v="0"/>
    <x v="1"/>
  </r>
  <r>
    <n v="427"/>
    <d v="2011-01-28T00:00:00"/>
    <x v="0"/>
    <x v="0"/>
    <n v="15"/>
    <b v="0"/>
    <n v="5"/>
    <x v="1"/>
    <x v="2"/>
    <n v="426"/>
    <n v="0.28789999999999999"/>
    <n v="0.56999999999999995"/>
    <n v="0.41789999999999999"/>
    <n v="4"/>
    <n v="108"/>
    <n v="112"/>
    <x v="0"/>
    <x v="1"/>
  </r>
  <r>
    <n v="428"/>
    <d v="2011-01-28T00:00:00"/>
    <x v="0"/>
    <x v="0"/>
    <n v="15"/>
    <b v="0"/>
    <n v="5"/>
    <x v="1"/>
    <x v="2"/>
    <n v="427"/>
    <n v="0.30299999999999999"/>
    <n v="0.49"/>
    <n v="0.29849999999999999"/>
    <n v="2"/>
    <n v="74"/>
    <n v="76"/>
    <x v="0"/>
    <x v="1"/>
  </r>
  <r>
    <n v="429"/>
    <d v="2011-01-28T00:00:00"/>
    <x v="0"/>
    <x v="0"/>
    <n v="15"/>
    <b v="0"/>
    <n v="5"/>
    <x v="1"/>
    <x v="2"/>
    <n v="428"/>
    <n v="0.28789999999999999"/>
    <n v="0.49"/>
    <n v="0.41789999999999999"/>
    <n v="4"/>
    <n v="55"/>
    <n v="59"/>
    <x v="0"/>
    <x v="1"/>
  </r>
  <r>
    <n v="430"/>
    <d v="2011-01-28T00:00:00"/>
    <x v="0"/>
    <x v="0"/>
    <n v="15"/>
    <b v="0"/>
    <n v="5"/>
    <x v="1"/>
    <x v="2"/>
    <n v="429"/>
    <n v="0.30299999999999999"/>
    <n v="0.52"/>
    <n v="0.16420000000000001"/>
    <n v="6"/>
    <n v="53"/>
    <n v="59"/>
    <x v="0"/>
    <x v="1"/>
  </r>
  <r>
    <n v="431"/>
    <d v="2011-01-28T00:00:00"/>
    <x v="0"/>
    <x v="0"/>
    <n v="15"/>
    <b v="0"/>
    <n v="5"/>
    <x v="1"/>
    <x v="2"/>
    <n v="430"/>
    <n v="0.2727"/>
    <n v="0.52"/>
    <n v="0.4627"/>
    <n v="1"/>
    <n v="27"/>
    <n v="28"/>
    <x v="0"/>
    <x v="1"/>
  </r>
  <r>
    <n v="432"/>
    <d v="2011-01-28T00:00:00"/>
    <x v="0"/>
    <x v="0"/>
    <n v="15"/>
    <b v="0"/>
    <n v="5"/>
    <x v="1"/>
    <x v="2"/>
    <n v="431"/>
    <n v="0.2273"/>
    <n v="0.56000000000000005"/>
    <n v="0.3881"/>
    <n v="5"/>
    <n v="8"/>
    <n v="13"/>
    <x v="0"/>
    <x v="1"/>
  </r>
  <r>
    <n v="433"/>
    <d v="2011-01-28T00:00:00"/>
    <x v="0"/>
    <x v="0"/>
    <n v="15"/>
    <b v="0"/>
    <n v="5"/>
    <x v="1"/>
    <x v="2"/>
    <n v="432"/>
    <n v="0.2727"/>
    <n v="0.56000000000000005"/>
    <n v="0"/>
    <n v="2"/>
    <n v="3"/>
    <n v="5"/>
    <x v="0"/>
    <x v="1"/>
  </r>
  <r>
    <n v="434"/>
    <d v="2011-01-28T00:00:00"/>
    <x v="0"/>
    <x v="0"/>
    <n v="15"/>
    <b v="0"/>
    <n v="5"/>
    <x v="1"/>
    <x v="2"/>
    <n v="433"/>
    <n v="0.2727"/>
    <n v="0.56000000000000005"/>
    <n v="0"/>
    <n v="0"/>
    <n v="2"/>
    <n v="2"/>
    <x v="0"/>
    <x v="1"/>
  </r>
  <r>
    <n v="435"/>
    <d v="2011-01-28T00:00:00"/>
    <x v="0"/>
    <x v="0"/>
    <n v="15"/>
    <b v="0"/>
    <n v="5"/>
    <x v="1"/>
    <x v="2"/>
    <n v="434"/>
    <n v="0.2576"/>
    <n v="0.56000000000000005"/>
    <n v="0.16420000000000001"/>
    <n v="0"/>
    <n v="1"/>
    <n v="1"/>
    <x v="0"/>
    <x v="1"/>
  </r>
  <r>
    <n v="436"/>
    <d v="2011-01-28T00:00:00"/>
    <x v="0"/>
    <x v="0"/>
    <n v="15"/>
    <b v="0"/>
    <n v="5"/>
    <x v="1"/>
    <x v="2"/>
    <n v="435"/>
    <n v="0.2576"/>
    <n v="0.56000000000000005"/>
    <n v="0.16420000000000001"/>
    <n v="0"/>
    <n v="1"/>
    <n v="1"/>
    <x v="0"/>
    <x v="1"/>
  </r>
  <r>
    <n v="437"/>
    <d v="2011-01-28T00:00:00"/>
    <x v="0"/>
    <x v="0"/>
    <n v="15"/>
    <b v="0"/>
    <n v="5"/>
    <x v="1"/>
    <x v="2"/>
    <n v="436"/>
    <n v="0.2273"/>
    <n v="0.6"/>
    <n v="0.22389999999999999"/>
    <n v="0"/>
    <n v="6"/>
    <n v="6"/>
    <x v="0"/>
    <x v="1"/>
  </r>
  <r>
    <n v="438"/>
    <d v="2011-01-28T00:00:00"/>
    <x v="0"/>
    <x v="0"/>
    <n v="15"/>
    <b v="0"/>
    <n v="5"/>
    <x v="1"/>
    <x v="2"/>
    <n v="437"/>
    <n v="0.21210000000000001"/>
    <n v="0.6"/>
    <n v="0.22389999999999999"/>
    <n v="0"/>
    <n v="35"/>
    <n v="35"/>
    <x v="0"/>
    <x v="1"/>
  </r>
  <r>
    <n v="439"/>
    <d v="2011-01-28T00:00:00"/>
    <x v="0"/>
    <x v="0"/>
    <n v="15"/>
    <b v="0"/>
    <n v="5"/>
    <x v="1"/>
    <x v="2"/>
    <n v="438"/>
    <n v="0.21210000000000001"/>
    <n v="0.55000000000000004"/>
    <n v="0.22389999999999999"/>
    <n v="1"/>
    <n v="100"/>
    <n v="101"/>
    <x v="0"/>
    <x v="1"/>
  </r>
  <r>
    <n v="440"/>
    <d v="2011-01-28T00:00:00"/>
    <x v="0"/>
    <x v="0"/>
    <n v="15"/>
    <b v="0"/>
    <n v="5"/>
    <x v="1"/>
    <x v="2"/>
    <n v="439"/>
    <n v="0.21210000000000001"/>
    <n v="0.55000000000000004"/>
    <n v="0.28360000000000002"/>
    <n v="2"/>
    <n v="247"/>
    <n v="249"/>
    <x v="0"/>
    <x v="1"/>
  </r>
  <r>
    <n v="441"/>
    <d v="2011-01-28T00:00:00"/>
    <x v="0"/>
    <x v="0"/>
    <n v="15"/>
    <b v="0"/>
    <n v="5"/>
    <x v="1"/>
    <x v="2"/>
    <n v="440"/>
    <n v="0.2273"/>
    <n v="0.52"/>
    <n v="0.22389999999999999"/>
    <n v="3"/>
    <n v="140"/>
    <n v="143"/>
    <x v="0"/>
    <x v="1"/>
  </r>
  <r>
    <n v="442"/>
    <d v="2011-01-28T00:00:00"/>
    <x v="0"/>
    <x v="0"/>
    <n v="15"/>
    <b v="0"/>
    <n v="5"/>
    <x v="1"/>
    <x v="2"/>
    <n v="441"/>
    <n v="0.2273"/>
    <n v="0.48"/>
    <n v="0.29849999999999999"/>
    <n v="1"/>
    <n v="56"/>
    <n v="57"/>
    <x v="0"/>
    <x v="1"/>
  </r>
  <r>
    <n v="443"/>
    <d v="2011-01-28T00:00:00"/>
    <x v="0"/>
    <x v="0"/>
    <n v="15"/>
    <b v="0"/>
    <n v="5"/>
    <x v="1"/>
    <x v="2"/>
    <n v="442"/>
    <n v="0.2727"/>
    <n v="0.45"/>
    <n v="0.16420000000000001"/>
    <n v="5"/>
    <n v="63"/>
    <n v="68"/>
    <x v="0"/>
    <x v="1"/>
  </r>
  <r>
    <n v="444"/>
    <d v="2011-01-28T00:00:00"/>
    <x v="0"/>
    <x v="0"/>
    <n v="15"/>
    <b v="0"/>
    <n v="5"/>
    <x v="1"/>
    <x v="2"/>
    <n v="443"/>
    <n v="0.33329999999999999"/>
    <n v="0.42"/>
    <n v="0"/>
    <n v="7"/>
    <n v="77"/>
    <n v="84"/>
    <x v="0"/>
    <x v="1"/>
  </r>
  <r>
    <n v="445"/>
    <d v="2011-01-28T00:00:00"/>
    <x v="0"/>
    <x v="0"/>
    <n v="15"/>
    <b v="0"/>
    <n v="5"/>
    <x v="1"/>
    <x v="2"/>
    <n v="444"/>
    <n v="0.28789999999999999"/>
    <n v="0.45"/>
    <n v="0.1045"/>
    <n v="12"/>
    <n v="86"/>
    <n v="98"/>
    <x v="0"/>
    <x v="1"/>
  </r>
  <r>
    <n v="446"/>
    <d v="2011-01-28T00:00:00"/>
    <x v="0"/>
    <x v="0"/>
    <n v="15"/>
    <b v="0"/>
    <n v="5"/>
    <x v="1"/>
    <x v="2"/>
    <n v="445"/>
    <n v="0.30299999999999999"/>
    <n v="0.45"/>
    <n v="0.1343"/>
    <n v="6"/>
    <n v="75"/>
    <n v="81"/>
    <x v="0"/>
    <x v="1"/>
  </r>
  <r>
    <n v="447"/>
    <d v="2011-01-28T00:00:00"/>
    <x v="0"/>
    <x v="0"/>
    <n v="15"/>
    <b v="0"/>
    <n v="5"/>
    <x v="1"/>
    <x v="2"/>
    <n v="446"/>
    <n v="0.31819999999999998"/>
    <n v="0.45"/>
    <n v="0.19400000000000001"/>
    <n v="8"/>
    <n v="62"/>
    <n v="70"/>
    <x v="0"/>
    <x v="1"/>
  </r>
  <r>
    <n v="448"/>
    <d v="2011-01-28T00:00:00"/>
    <x v="0"/>
    <x v="0"/>
    <n v="15"/>
    <b v="0"/>
    <n v="5"/>
    <x v="1"/>
    <x v="2"/>
    <n v="447"/>
    <n v="0.30299999999999999"/>
    <n v="0.49"/>
    <n v="0.1343"/>
    <n v="8"/>
    <n v="83"/>
    <n v="91"/>
    <x v="0"/>
    <x v="1"/>
  </r>
  <r>
    <n v="449"/>
    <d v="2011-01-28T00:00:00"/>
    <x v="0"/>
    <x v="0"/>
    <n v="15"/>
    <b v="0"/>
    <n v="5"/>
    <x v="1"/>
    <x v="2"/>
    <n v="448"/>
    <n v="0.31819999999999998"/>
    <n v="0.49"/>
    <n v="0.1045"/>
    <n v="8"/>
    <n v="207"/>
    <n v="215"/>
    <x v="0"/>
    <x v="1"/>
  </r>
  <r>
    <n v="450"/>
    <d v="2011-01-28T00:00:00"/>
    <x v="0"/>
    <x v="0"/>
    <n v="15"/>
    <b v="0"/>
    <n v="5"/>
    <x v="1"/>
    <x v="2"/>
    <n v="449"/>
    <n v="0.2576"/>
    <n v="0.56000000000000005"/>
    <n v="0.19400000000000001"/>
    <n v="1"/>
    <n v="184"/>
    <n v="185"/>
    <x v="0"/>
    <x v="1"/>
  </r>
  <r>
    <n v="451"/>
    <d v="2011-01-28T00:00:00"/>
    <x v="0"/>
    <x v="0"/>
    <n v="15"/>
    <b v="0"/>
    <n v="5"/>
    <x v="1"/>
    <x v="2"/>
    <n v="450"/>
    <n v="0.2273"/>
    <n v="0.56000000000000005"/>
    <n v="0.32840000000000003"/>
    <n v="6"/>
    <n v="146"/>
    <n v="152"/>
    <x v="0"/>
    <x v="1"/>
  </r>
  <r>
    <n v="452"/>
    <d v="2011-01-28T00:00:00"/>
    <x v="0"/>
    <x v="0"/>
    <n v="15"/>
    <b v="0"/>
    <n v="5"/>
    <x v="1"/>
    <x v="2"/>
    <n v="451"/>
    <n v="0.2424"/>
    <n v="0.6"/>
    <n v="0.28360000000000002"/>
    <n v="2"/>
    <n v="124"/>
    <n v="126"/>
    <x v="0"/>
    <x v="1"/>
  </r>
  <r>
    <n v="453"/>
    <d v="2011-01-28T00:00:00"/>
    <x v="0"/>
    <x v="0"/>
    <n v="15"/>
    <b v="0"/>
    <n v="5"/>
    <x v="1"/>
    <x v="2"/>
    <n v="452"/>
    <n v="0.2273"/>
    <n v="0.6"/>
    <n v="0.25369999999999998"/>
    <n v="3"/>
    <n v="54"/>
    <n v="57"/>
    <x v="0"/>
    <x v="1"/>
  </r>
  <r>
    <n v="454"/>
    <d v="2011-01-28T00:00:00"/>
    <x v="0"/>
    <x v="0"/>
    <n v="15"/>
    <b v="0"/>
    <n v="5"/>
    <x v="1"/>
    <x v="2"/>
    <n v="453"/>
    <n v="0.21210000000000001"/>
    <n v="0.65"/>
    <n v="0.28360000000000002"/>
    <n v="0"/>
    <n v="56"/>
    <n v="56"/>
    <x v="0"/>
    <x v="1"/>
  </r>
  <r>
    <n v="455"/>
    <d v="2011-01-28T00:00:00"/>
    <x v="0"/>
    <x v="0"/>
    <n v="15"/>
    <b v="0"/>
    <n v="5"/>
    <x v="1"/>
    <x v="2"/>
    <n v="454"/>
    <n v="0.21210000000000001"/>
    <n v="0.65"/>
    <n v="0.32840000000000003"/>
    <n v="3"/>
    <n v="28"/>
    <n v="31"/>
    <x v="0"/>
    <x v="1"/>
  </r>
  <r>
    <n v="456"/>
    <d v="2011-01-28T00:00:00"/>
    <x v="0"/>
    <x v="0"/>
    <n v="15"/>
    <b v="0"/>
    <n v="5"/>
    <x v="1"/>
    <x v="2"/>
    <n v="455"/>
    <n v="0.2273"/>
    <n v="0.7"/>
    <n v="0.25369999999999998"/>
    <n v="1"/>
    <n v="20"/>
    <n v="21"/>
    <x v="0"/>
    <x v="1"/>
  </r>
  <r>
    <n v="457"/>
    <d v="2011-01-28T00:00:00"/>
    <x v="0"/>
    <x v="0"/>
    <n v="15"/>
    <b v="0"/>
    <n v="5"/>
    <x v="1"/>
    <x v="2"/>
    <n v="456"/>
    <n v="0.2273"/>
    <n v="0.7"/>
    <n v="0.25369999999999998"/>
    <n v="0"/>
    <n v="6"/>
    <n v="6"/>
    <x v="0"/>
    <x v="1"/>
  </r>
  <r>
    <n v="458"/>
    <d v="2011-01-28T00:00:00"/>
    <x v="0"/>
    <x v="0"/>
    <n v="15"/>
    <b v="0"/>
    <n v="5"/>
    <x v="1"/>
    <x v="2"/>
    <n v="457"/>
    <n v="0.2424"/>
    <n v="0.75"/>
    <n v="0.16420000000000001"/>
    <n v="0"/>
    <n v="2"/>
    <n v="2"/>
    <x v="0"/>
    <x v="1"/>
  </r>
  <r>
    <n v="459"/>
    <d v="2011-01-28T00:00:00"/>
    <x v="0"/>
    <x v="0"/>
    <n v="15"/>
    <b v="0"/>
    <n v="5"/>
    <x v="1"/>
    <x v="2"/>
    <n v="458"/>
    <n v="0.21210000000000001"/>
    <n v="0.8"/>
    <n v="0.29849999999999999"/>
    <n v="0"/>
    <n v="1"/>
    <n v="1"/>
    <x v="0"/>
    <x v="1"/>
  </r>
  <r>
    <n v="460"/>
    <d v="2011-01-28T00:00:00"/>
    <x v="0"/>
    <x v="0"/>
    <n v="15"/>
    <b v="0"/>
    <n v="5"/>
    <x v="1"/>
    <x v="2"/>
    <n v="459"/>
    <n v="0.2576"/>
    <n v="0.87"/>
    <n v="8.9599999999999999E-2"/>
    <n v="0"/>
    <n v="1"/>
    <n v="1"/>
    <x v="0"/>
    <x v="1"/>
  </r>
  <r>
    <n v="461"/>
    <d v="2011-01-28T00:00:00"/>
    <x v="0"/>
    <x v="0"/>
    <n v="15"/>
    <b v="0"/>
    <n v="5"/>
    <x v="1"/>
    <x v="2"/>
    <n v="460"/>
    <n v="0.19700000000000001"/>
    <n v="0.6"/>
    <n v="0.41789999999999999"/>
    <n v="1"/>
    <n v="4"/>
    <n v="5"/>
    <x v="0"/>
    <x v="1"/>
  </r>
  <r>
    <n v="462"/>
    <d v="2011-01-28T00:00:00"/>
    <x v="0"/>
    <x v="0"/>
    <n v="15"/>
    <b v="0"/>
    <n v="5"/>
    <x v="1"/>
    <x v="2"/>
    <n v="461"/>
    <n v="0.21210000000000001"/>
    <n v="0.55000000000000004"/>
    <n v="0.25369999999999998"/>
    <n v="0"/>
    <n v="27"/>
    <n v="27"/>
    <x v="0"/>
    <x v="1"/>
  </r>
  <r>
    <n v="463"/>
    <d v="2011-01-28T00:00:00"/>
    <x v="0"/>
    <x v="0"/>
    <n v="15"/>
    <b v="0"/>
    <n v="5"/>
    <x v="1"/>
    <x v="2"/>
    <n v="462"/>
    <n v="0.18179999999999999"/>
    <n v="0.51"/>
    <n v="0.28360000000000002"/>
    <n v="2"/>
    <n v="66"/>
    <n v="68"/>
    <x v="0"/>
    <x v="1"/>
  </r>
  <r>
    <n v="464"/>
    <d v="2011-01-28T00:00:00"/>
    <x v="0"/>
    <x v="0"/>
    <n v="15"/>
    <b v="0"/>
    <n v="5"/>
    <x v="1"/>
    <x v="2"/>
    <n v="463"/>
    <n v="0.18179999999999999"/>
    <n v="0.47"/>
    <n v="0.32840000000000003"/>
    <n v="7"/>
    <n v="210"/>
    <n v="217"/>
    <x v="0"/>
    <x v="1"/>
  </r>
  <r>
    <n v="465"/>
    <d v="2011-01-28T00:00:00"/>
    <x v="0"/>
    <x v="0"/>
    <n v="15"/>
    <b v="0"/>
    <n v="5"/>
    <x v="1"/>
    <x v="2"/>
    <n v="464"/>
    <n v="0.18179999999999999"/>
    <n v="0.51"/>
    <n v="0.35820000000000002"/>
    <n v="7"/>
    <n v="159"/>
    <n v="166"/>
    <x v="0"/>
    <x v="1"/>
  </r>
  <r>
    <n v="466"/>
    <d v="2011-01-28T00:00:00"/>
    <x v="0"/>
    <x v="0"/>
    <n v="15"/>
    <b v="0"/>
    <n v="5"/>
    <x v="1"/>
    <x v="2"/>
    <n v="465"/>
    <n v="0.16669999999999999"/>
    <n v="0.47"/>
    <n v="0.4627"/>
    <n v="6"/>
    <n v="57"/>
    <n v="63"/>
    <x v="0"/>
    <x v="1"/>
  </r>
  <r>
    <n v="467"/>
    <d v="2011-01-28T00:00:00"/>
    <x v="0"/>
    <x v="0"/>
    <n v="15"/>
    <b v="0"/>
    <n v="5"/>
    <x v="1"/>
    <x v="2"/>
    <n v="466"/>
    <n v="0.18179999999999999"/>
    <n v="0.41"/>
    <n v="0.4627"/>
    <n v="6"/>
    <n v="53"/>
    <n v="59"/>
    <x v="0"/>
    <x v="1"/>
  </r>
  <r>
    <n v="468"/>
    <d v="2011-01-28T00:00:00"/>
    <x v="0"/>
    <x v="0"/>
    <n v="15"/>
    <b v="0"/>
    <n v="5"/>
    <x v="1"/>
    <x v="2"/>
    <n v="467"/>
    <n v="0.18179999999999999"/>
    <n v="0.27"/>
    <n v="0.58209999999999995"/>
    <n v="11"/>
    <n v="67"/>
    <n v="78"/>
    <x v="0"/>
    <x v="1"/>
  </r>
  <r>
    <n v="469"/>
    <d v="2011-01-28T00:00:00"/>
    <x v="0"/>
    <x v="0"/>
    <n v="15"/>
    <b v="0"/>
    <n v="5"/>
    <x v="1"/>
    <x v="2"/>
    <n v="468"/>
    <n v="0.1515"/>
    <n v="0.21"/>
    <n v="0.58209999999999995"/>
    <n v="8"/>
    <n v="65"/>
    <n v="73"/>
    <x v="0"/>
    <x v="1"/>
  </r>
  <r>
    <n v="470"/>
    <d v="2011-01-28T00:00:00"/>
    <x v="0"/>
    <x v="0"/>
    <n v="15"/>
    <b v="0"/>
    <n v="5"/>
    <x v="1"/>
    <x v="2"/>
    <n v="469"/>
    <n v="0.1515"/>
    <n v="0.25"/>
    <n v="0.52239999999999998"/>
    <n v="6"/>
    <n v="56"/>
    <n v="62"/>
    <x v="0"/>
    <x v="1"/>
  </r>
  <r>
    <n v="471"/>
    <d v="2011-01-28T00:00:00"/>
    <x v="0"/>
    <x v="0"/>
    <n v="15"/>
    <b v="0"/>
    <n v="5"/>
    <x v="1"/>
    <x v="2"/>
    <n v="470"/>
    <n v="0.1212"/>
    <n v="0.26"/>
    <n v="0.44779999999999998"/>
    <n v="4"/>
    <n v="61"/>
    <n v="65"/>
    <x v="0"/>
    <x v="1"/>
  </r>
  <r>
    <n v="472"/>
    <d v="2011-01-28T00:00:00"/>
    <x v="0"/>
    <x v="0"/>
    <n v="15"/>
    <b v="0"/>
    <n v="5"/>
    <x v="1"/>
    <x v="2"/>
    <n v="471"/>
    <n v="0.13639999999999999"/>
    <n v="0.26"/>
    <n v="0.35820000000000002"/>
    <n v="0"/>
    <n v="97"/>
    <n v="97"/>
    <x v="0"/>
    <x v="1"/>
  </r>
  <r>
    <n v="473"/>
    <d v="2011-01-28T00:00:00"/>
    <x v="0"/>
    <x v="0"/>
    <n v="15"/>
    <b v="0"/>
    <n v="5"/>
    <x v="1"/>
    <x v="2"/>
    <n v="472"/>
    <n v="0.1212"/>
    <n v="0.28000000000000003"/>
    <n v="0.35820000000000002"/>
    <n v="10"/>
    <n v="151"/>
    <n v="161"/>
    <x v="0"/>
    <x v="1"/>
  </r>
  <r>
    <n v="474"/>
    <d v="2011-01-28T00:00:00"/>
    <x v="0"/>
    <x v="0"/>
    <n v="15"/>
    <b v="0"/>
    <n v="5"/>
    <x v="1"/>
    <x v="2"/>
    <n v="473"/>
    <n v="0.1212"/>
    <n v="0.3"/>
    <n v="0.25369999999999998"/>
    <n v="1"/>
    <n v="119"/>
    <n v="120"/>
    <x v="0"/>
    <x v="1"/>
  </r>
  <r>
    <n v="475"/>
    <d v="2011-01-28T00:00:00"/>
    <x v="0"/>
    <x v="0"/>
    <n v="15"/>
    <b v="0"/>
    <n v="5"/>
    <x v="1"/>
    <x v="2"/>
    <n v="474"/>
    <n v="0.1061"/>
    <n v="0.3"/>
    <n v="0.32840000000000003"/>
    <n v="3"/>
    <n v="93"/>
    <n v="96"/>
    <x v="0"/>
    <x v="1"/>
  </r>
  <r>
    <n v="476"/>
    <d v="2011-01-28T00:00:00"/>
    <x v="0"/>
    <x v="0"/>
    <n v="15"/>
    <b v="0"/>
    <n v="5"/>
    <x v="1"/>
    <x v="2"/>
    <n v="475"/>
    <n v="7.5800000000000006E-2"/>
    <n v="0.33"/>
    <n v="0.41789999999999999"/>
    <n v="1"/>
    <n v="52"/>
    <n v="53"/>
    <x v="0"/>
    <x v="1"/>
  </r>
  <r>
    <n v="477"/>
    <d v="2011-01-28T00:00:00"/>
    <x v="0"/>
    <x v="0"/>
    <n v="15"/>
    <b v="0"/>
    <n v="5"/>
    <x v="1"/>
    <x v="2"/>
    <n v="476"/>
    <n v="7.5800000000000006E-2"/>
    <n v="0.38"/>
    <n v="0.28360000000000002"/>
    <n v="0"/>
    <n v="41"/>
    <n v="41"/>
    <x v="0"/>
    <x v="1"/>
  </r>
  <r>
    <n v="478"/>
    <d v="2011-01-28T00:00:00"/>
    <x v="0"/>
    <x v="0"/>
    <n v="15"/>
    <b v="0"/>
    <n v="5"/>
    <x v="1"/>
    <x v="2"/>
    <n v="477"/>
    <n v="3.0300000000000001E-2"/>
    <n v="0.41"/>
    <n v="0.3881"/>
    <n v="1"/>
    <n v="33"/>
    <n v="34"/>
    <x v="0"/>
    <x v="1"/>
  </r>
  <r>
    <n v="479"/>
    <d v="2011-01-28T00:00:00"/>
    <x v="0"/>
    <x v="0"/>
    <n v="15"/>
    <b v="0"/>
    <n v="5"/>
    <x v="1"/>
    <x v="2"/>
    <n v="478"/>
    <n v="4.5499999999999999E-2"/>
    <n v="0.38"/>
    <n v="0.32840000000000003"/>
    <n v="0"/>
    <n v="27"/>
    <n v="27"/>
    <x v="0"/>
    <x v="1"/>
  </r>
  <r>
    <n v="480"/>
    <d v="2011-01-28T00:00:00"/>
    <x v="0"/>
    <x v="0"/>
    <n v="15"/>
    <b v="0"/>
    <n v="5"/>
    <x v="1"/>
    <x v="2"/>
    <n v="479"/>
    <n v="3.0300000000000001E-2"/>
    <n v="0.45"/>
    <n v="0.25369999999999998"/>
    <n v="0"/>
    <n v="13"/>
    <n v="13"/>
    <x v="0"/>
    <x v="1"/>
  </r>
  <r>
    <n v="481"/>
    <d v="2011-01-28T00:00:00"/>
    <x v="0"/>
    <x v="0"/>
    <n v="15"/>
    <b v="0"/>
    <n v="5"/>
    <x v="1"/>
    <x v="2"/>
    <n v="480"/>
    <n v="0"/>
    <n v="0.41"/>
    <n v="0.3881"/>
    <n v="3"/>
    <n v="9"/>
    <n v="12"/>
    <x v="0"/>
    <x v="1"/>
  </r>
  <r>
    <n v="482"/>
    <d v="2011-01-28T00:00:00"/>
    <x v="0"/>
    <x v="0"/>
    <n v="15"/>
    <b v="0"/>
    <n v="5"/>
    <x v="1"/>
    <x v="2"/>
    <n v="481"/>
    <n v="3.0300000000000001E-2"/>
    <n v="0.41"/>
    <n v="0.25369999999999998"/>
    <n v="0"/>
    <n v="11"/>
    <n v="11"/>
    <x v="0"/>
    <x v="1"/>
  </r>
  <r>
    <n v="483"/>
    <d v="2011-01-28T00:00:00"/>
    <x v="0"/>
    <x v="0"/>
    <n v="15"/>
    <b v="0"/>
    <n v="5"/>
    <x v="1"/>
    <x v="2"/>
    <n v="482"/>
    <n v="3.0300000000000001E-2"/>
    <n v="0.41"/>
    <n v="0.28360000000000002"/>
    <n v="1"/>
    <n v="6"/>
    <n v="7"/>
    <x v="0"/>
    <x v="1"/>
  </r>
  <r>
    <n v="484"/>
    <d v="2011-01-28T00:00:00"/>
    <x v="0"/>
    <x v="0"/>
    <n v="15"/>
    <b v="0"/>
    <n v="5"/>
    <x v="1"/>
    <x v="2"/>
    <n v="483"/>
    <n v="1.52E-2"/>
    <n v="0.48"/>
    <n v="0.29849999999999999"/>
    <n v="0"/>
    <n v="3"/>
    <n v="3"/>
    <x v="0"/>
    <x v="1"/>
  </r>
  <r>
    <n v="485"/>
    <d v="2011-01-28T00:00:00"/>
    <x v="0"/>
    <x v="0"/>
    <n v="15"/>
    <b v="0"/>
    <n v="5"/>
    <x v="1"/>
    <x v="2"/>
    <n v="484"/>
    <n v="3.0300000000000001E-2"/>
    <n v="0.44"/>
    <n v="0.22389999999999999"/>
    <n v="0"/>
    <n v="2"/>
    <n v="2"/>
    <x v="0"/>
    <x v="1"/>
  </r>
  <r>
    <n v="486"/>
    <d v="2011-01-28T00:00:00"/>
    <x v="0"/>
    <x v="0"/>
    <n v="15"/>
    <b v="0"/>
    <n v="5"/>
    <x v="1"/>
    <x v="2"/>
    <n v="485"/>
    <n v="1.52E-2"/>
    <n v="0.44"/>
    <n v="0.28360000000000002"/>
    <n v="0"/>
    <n v="8"/>
    <n v="8"/>
    <x v="0"/>
    <x v="1"/>
  </r>
  <r>
    <n v="487"/>
    <d v="2011-01-28T00:00:00"/>
    <x v="0"/>
    <x v="0"/>
    <n v="15"/>
    <b v="0"/>
    <n v="5"/>
    <x v="1"/>
    <x v="2"/>
    <n v="486"/>
    <n v="0"/>
    <n v="0.44"/>
    <n v="0.32840000000000003"/>
    <n v="1"/>
    <n v="26"/>
    <n v="27"/>
    <x v="0"/>
    <x v="1"/>
  </r>
  <r>
    <n v="488"/>
    <d v="2011-01-28T00:00:00"/>
    <x v="0"/>
    <x v="0"/>
    <n v="15"/>
    <b v="0"/>
    <n v="5"/>
    <x v="1"/>
    <x v="2"/>
    <n v="487"/>
    <n v="3.0300000000000001E-2"/>
    <n v="0.41"/>
    <n v="0.25369999999999998"/>
    <n v="3"/>
    <n v="37"/>
    <n v="40"/>
    <x v="0"/>
    <x v="1"/>
  </r>
  <r>
    <n v="489"/>
    <d v="2011-01-28T00:00:00"/>
    <x v="0"/>
    <x v="0"/>
    <n v="15"/>
    <b v="0"/>
    <n v="5"/>
    <x v="1"/>
    <x v="2"/>
    <n v="488"/>
    <n v="6.0600000000000001E-2"/>
    <n v="0.41"/>
    <n v="0.16420000000000001"/>
    <n v="3"/>
    <n v="50"/>
    <n v="53"/>
    <x v="0"/>
    <x v="1"/>
  </r>
  <r>
    <n v="490"/>
    <d v="2011-01-28T00:00:00"/>
    <x v="0"/>
    <x v="0"/>
    <n v="15"/>
    <b v="0"/>
    <n v="5"/>
    <x v="1"/>
    <x v="2"/>
    <n v="489"/>
    <n v="7.5800000000000006E-2"/>
    <n v="0.38"/>
    <n v="0.1343"/>
    <n v="4"/>
    <n v="59"/>
    <n v="63"/>
    <x v="0"/>
    <x v="1"/>
  </r>
  <r>
    <n v="491"/>
    <d v="2011-01-28T00:00:00"/>
    <x v="0"/>
    <x v="0"/>
    <n v="15"/>
    <b v="0"/>
    <n v="5"/>
    <x v="1"/>
    <x v="2"/>
    <n v="490"/>
    <n v="0.1061"/>
    <n v="0.38"/>
    <n v="0.1045"/>
    <n v="10"/>
    <n v="60"/>
    <n v="70"/>
    <x v="0"/>
    <x v="1"/>
  </r>
  <r>
    <n v="492"/>
    <d v="2011-01-28T00:00:00"/>
    <x v="0"/>
    <x v="0"/>
    <n v="15"/>
    <b v="0"/>
    <n v="5"/>
    <x v="1"/>
    <x v="2"/>
    <n v="491"/>
    <n v="0.16669999999999999"/>
    <n v="0.35"/>
    <n v="0"/>
    <n v="12"/>
    <n v="72"/>
    <n v="84"/>
    <x v="0"/>
    <x v="1"/>
  </r>
  <r>
    <n v="493"/>
    <d v="2011-01-28T00:00:00"/>
    <x v="0"/>
    <x v="0"/>
    <n v="15"/>
    <b v="0"/>
    <n v="5"/>
    <x v="1"/>
    <x v="2"/>
    <n v="492"/>
    <n v="0.13639999999999999"/>
    <n v="0.33"/>
    <n v="0.1045"/>
    <n v="11"/>
    <n v="64"/>
    <n v="75"/>
    <x v="0"/>
    <x v="1"/>
  </r>
  <r>
    <n v="494"/>
    <d v="2011-01-28T00:00:00"/>
    <x v="0"/>
    <x v="0"/>
    <n v="15"/>
    <b v="0"/>
    <n v="5"/>
    <x v="1"/>
    <x v="2"/>
    <n v="493"/>
    <n v="0.1515"/>
    <n v="0.28000000000000003"/>
    <n v="0"/>
    <n v="10"/>
    <n v="93"/>
    <n v="103"/>
    <x v="0"/>
    <x v="1"/>
  </r>
  <r>
    <n v="495"/>
    <d v="2011-01-28T00:00:00"/>
    <x v="0"/>
    <x v="0"/>
    <n v="15"/>
    <b v="0"/>
    <n v="5"/>
    <x v="1"/>
    <x v="2"/>
    <n v="494"/>
    <n v="0.13639999999999999"/>
    <n v="0.28000000000000003"/>
    <n v="0.19400000000000001"/>
    <n v="11"/>
    <n v="72"/>
    <n v="83"/>
    <x v="0"/>
    <x v="1"/>
  </r>
  <r>
    <n v="496"/>
    <d v="2011-01-28T00:00:00"/>
    <x v="0"/>
    <x v="0"/>
    <n v="15"/>
    <b v="0"/>
    <n v="5"/>
    <x v="1"/>
    <x v="2"/>
    <n v="495"/>
    <n v="0.19700000000000001"/>
    <n v="0.28000000000000003"/>
    <n v="0"/>
    <n v="8"/>
    <n v="59"/>
    <n v="67"/>
    <x v="0"/>
    <x v="1"/>
  </r>
  <r>
    <n v="497"/>
    <d v="2011-01-28T00:00:00"/>
    <x v="0"/>
    <x v="0"/>
    <n v="15"/>
    <b v="0"/>
    <n v="5"/>
    <x v="1"/>
    <x v="2"/>
    <n v="496"/>
    <n v="9.0899999999999995E-2"/>
    <n v="0.35"/>
    <n v="0.19400000000000001"/>
    <n v="0"/>
    <n v="54"/>
    <n v="54"/>
    <x v="0"/>
    <x v="1"/>
  </r>
  <r>
    <n v="498"/>
    <d v="2011-01-28T00:00:00"/>
    <x v="0"/>
    <x v="0"/>
    <n v="15"/>
    <b v="0"/>
    <n v="5"/>
    <x v="1"/>
    <x v="2"/>
    <n v="497"/>
    <n v="0.1061"/>
    <n v="0.35"/>
    <n v="0.1343"/>
    <n v="6"/>
    <n v="53"/>
    <n v="59"/>
    <x v="0"/>
    <x v="1"/>
  </r>
  <r>
    <n v="499"/>
    <d v="2011-01-28T00:00:00"/>
    <x v="0"/>
    <x v="0"/>
    <n v="15"/>
    <b v="0"/>
    <n v="5"/>
    <x v="1"/>
    <x v="2"/>
    <n v="498"/>
    <n v="7.5800000000000006E-2"/>
    <n v="0.45"/>
    <n v="0.16420000000000001"/>
    <n v="1"/>
    <n v="44"/>
    <n v="45"/>
    <x v="0"/>
    <x v="1"/>
  </r>
  <r>
    <n v="500"/>
    <d v="2011-01-28T00:00:00"/>
    <x v="0"/>
    <x v="0"/>
    <n v="15"/>
    <b v="0"/>
    <n v="5"/>
    <x v="1"/>
    <x v="2"/>
    <n v="499"/>
    <n v="0.1061"/>
    <n v="0.41"/>
    <n v="8.9599999999999999E-2"/>
    <n v="0"/>
    <n v="39"/>
    <n v="39"/>
    <x v="0"/>
    <x v="1"/>
  </r>
  <r>
    <n v="501"/>
    <d v="2011-01-28T00:00:00"/>
    <x v="0"/>
    <x v="0"/>
    <n v="15"/>
    <b v="0"/>
    <n v="5"/>
    <x v="1"/>
    <x v="2"/>
    <n v="500"/>
    <n v="0.1515"/>
    <n v="0.49"/>
    <n v="0"/>
    <n v="7"/>
    <n v="23"/>
    <n v="30"/>
    <x v="0"/>
    <x v="1"/>
  </r>
  <r>
    <n v="502"/>
    <d v="2011-01-28T00:00:00"/>
    <x v="0"/>
    <x v="0"/>
    <n v="15"/>
    <b v="0"/>
    <n v="5"/>
    <x v="1"/>
    <x v="2"/>
    <n v="501"/>
    <n v="7.5800000000000006E-2"/>
    <n v="0.56999999999999995"/>
    <n v="0.1045"/>
    <n v="2"/>
    <n v="31"/>
    <n v="33"/>
    <x v="0"/>
    <x v="1"/>
  </r>
  <r>
    <n v="503"/>
    <d v="2011-01-28T00:00:00"/>
    <x v="0"/>
    <x v="0"/>
    <n v="15"/>
    <b v="0"/>
    <n v="5"/>
    <x v="1"/>
    <x v="2"/>
    <n v="502"/>
    <n v="7.5800000000000006E-2"/>
    <n v="0.56999999999999995"/>
    <n v="0.1045"/>
    <n v="2"/>
    <n v="20"/>
    <n v="22"/>
    <x v="0"/>
    <x v="1"/>
  </r>
  <r>
    <n v="504"/>
    <d v="2011-01-28T00:00:00"/>
    <x v="0"/>
    <x v="0"/>
    <n v="15"/>
    <b v="0"/>
    <n v="5"/>
    <x v="1"/>
    <x v="2"/>
    <n v="503"/>
    <n v="7.5800000000000006E-2"/>
    <n v="0.56999999999999995"/>
    <n v="0.1045"/>
    <n v="1"/>
    <n v="12"/>
    <n v="13"/>
    <x v="0"/>
    <x v="1"/>
  </r>
  <r>
    <n v="505"/>
    <d v="2011-01-28T00:00:00"/>
    <x v="0"/>
    <x v="0"/>
    <n v="15"/>
    <b v="0"/>
    <n v="5"/>
    <x v="1"/>
    <x v="2"/>
    <n v="504"/>
    <n v="6.0600000000000001E-2"/>
    <n v="0.62"/>
    <n v="0.1343"/>
    <n v="3"/>
    <n v="15"/>
    <n v="18"/>
    <x v="0"/>
    <x v="1"/>
  </r>
  <r>
    <n v="506"/>
    <d v="2011-01-28T00:00:00"/>
    <x v="0"/>
    <x v="0"/>
    <n v="15"/>
    <b v="0"/>
    <n v="5"/>
    <x v="1"/>
    <x v="2"/>
    <n v="505"/>
    <n v="6.0600000000000001E-2"/>
    <n v="0.62"/>
    <n v="0.1343"/>
    <n v="1"/>
    <n v="4"/>
    <n v="5"/>
    <x v="0"/>
    <x v="1"/>
  </r>
  <r>
    <n v="507"/>
    <d v="2011-01-28T00:00:00"/>
    <x v="0"/>
    <x v="0"/>
    <n v="15"/>
    <b v="0"/>
    <n v="5"/>
    <x v="1"/>
    <x v="2"/>
    <n v="506"/>
    <n v="7.5800000000000006E-2"/>
    <n v="0.56999999999999995"/>
    <n v="0.1045"/>
    <n v="0"/>
    <n v="3"/>
    <n v="3"/>
    <x v="0"/>
    <x v="1"/>
  </r>
  <r>
    <n v="508"/>
    <d v="2011-01-28T00:00:00"/>
    <x v="0"/>
    <x v="0"/>
    <n v="15"/>
    <b v="0"/>
    <n v="5"/>
    <x v="1"/>
    <x v="2"/>
    <n v="507"/>
    <n v="7.5800000000000006E-2"/>
    <n v="0.56999999999999995"/>
    <n v="0.1045"/>
    <n v="0"/>
    <n v="1"/>
    <n v="1"/>
    <x v="0"/>
    <x v="1"/>
  </r>
  <r>
    <n v="509"/>
    <d v="2011-01-28T00:00:00"/>
    <x v="0"/>
    <x v="0"/>
    <n v="15"/>
    <b v="0"/>
    <n v="5"/>
    <x v="1"/>
    <x v="2"/>
    <n v="508"/>
    <n v="0.1061"/>
    <n v="0.57999999999999996"/>
    <n v="0.16420000000000001"/>
    <n v="1"/>
    <n v="1"/>
    <n v="2"/>
    <x v="0"/>
    <x v="1"/>
  </r>
  <r>
    <n v="510"/>
    <d v="2011-01-28T00:00:00"/>
    <x v="0"/>
    <x v="0"/>
    <n v="15"/>
    <b v="0"/>
    <n v="5"/>
    <x v="1"/>
    <x v="2"/>
    <n v="509"/>
    <n v="7.5800000000000006E-2"/>
    <n v="0.62"/>
    <n v="0.16420000000000001"/>
    <n v="2"/>
    <n v="17"/>
    <n v="19"/>
    <x v="0"/>
    <x v="1"/>
  </r>
  <r>
    <n v="511"/>
    <d v="2011-01-28T00:00:00"/>
    <x v="0"/>
    <x v="0"/>
    <n v="15"/>
    <b v="0"/>
    <n v="5"/>
    <x v="1"/>
    <x v="2"/>
    <n v="510"/>
    <n v="7.5800000000000006E-2"/>
    <n v="0.54"/>
    <n v="0.35820000000000002"/>
    <n v="3"/>
    <n v="25"/>
    <n v="28"/>
    <x v="0"/>
    <x v="1"/>
  </r>
  <r>
    <n v="512"/>
    <d v="2011-01-28T00:00:00"/>
    <x v="0"/>
    <x v="0"/>
    <n v="15"/>
    <b v="0"/>
    <n v="5"/>
    <x v="1"/>
    <x v="2"/>
    <n v="511"/>
    <n v="0.1061"/>
    <n v="0.46"/>
    <n v="0.3881"/>
    <n v="7"/>
    <n v="51"/>
    <n v="58"/>
    <x v="0"/>
    <x v="1"/>
  </r>
  <r>
    <n v="513"/>
    <d v="2011-01-28T00:00:00"/>
    <x v="0"/>
    <x v="0"/>
    <n v="15"/>
    <b v="0"/>
    <n v="5"/>
    <x v="1"/>
    <x v="2"/>
    <n v="512"/>
    <n v="0.13639999999999999"/>
    <n v="0.43"/>
    <n v="0.22389999999999999"/>
    <n v="22"/>
    <n v="77"/>
    <n v="99"/>
    <x v="0"/>
    <x v="1"/>
  </r>
  <r>
    <n v="514"/>
    <d v="2011-01-28T00:00:00"/>
    <x v="0"/>
    <x v="0"/>
    <n v="15"/>
    <b v="0"/>
    <n v="5"/>
    <x v="1"/>
    <x v="2"/>
    <n v="513"/>
    <n v="0.1212"/>
    <n v="0.37"/>
    <n v="0.4627"/>
    <n v="24"/>
    <n v="92"/>
    <n v="116"/>
    <x v="0"/>
    <x v="1"/>
  </r>
  <r>
    <n v="515"/>
    <d v="2011-01-28T00:00:00"/>
    <x v="0"/>
    <x v="0"/>
    <n v="15"/>
    <b v="0"/>
    <n v="5"/>
    <x v="1"/>
    <x v="2"/>
    <n v="514"/>
    <n v="0.1061"/>
    <n v="0.33"/>
    <n v="0.3881"/>
    <n v="12"/>
    <n v="75"/>
    <n v="87"/>
    <x v="0"/>
    <x v="1"/>
  </r>
  <r>
    <n v="516"/>
    <d v="2011-01-28T00:00:00"/>
    <x v="0"/>
    <x v="0"/>
    <n v="15"/>
    <b v="0"/>
    <n v="5"/>
    <x v="1"/>
    <x v="2"/>
    <n v="515"/>
    <n v="0.13639999999999999"/>
    <n v="0.28000000000000003"/>
    <n v="0.35820000000000002"/>
    <n v="17"/>
    <n v="93"/>
    <n v="110"/>
    <x v="0"/>
    <x v="1"/>
  </r>
  <r>
    <n v="517"/>
    <d v="2011-01-28T00:00:00"/>
    <x v="0"/>
    <x v="0"/>
    <n v="15"/>
    <b v="0"/>
    <n v="5"/>
    <x v="1"/>
    <x v="2"/>
    <n v="516"/>
    <n v="0.13639999999999999"/>
    <n v="0.28000000000000003"/>
    <n v="0.35820000000000002"/>
    <n v="13"/>
    <n v="64"/>
    <n v="77"/>
    <x v="0"/>
    <x v="1"/>
  </r>
  <r>
    <n v="518"/>
    <d v="2011-01-28T00:00:00"/>
    <x v="0"/>
    <x v="0"/>
    <n v="15"/>
    <b v="0"/>
    <n v="5"/>
    <x v="1"/>
    <x v="2"/>
    <n v="517"/>
    <n v="0.13639999999999999"/>
    <n v="0.26"/>
    <n v="0.32840000000000003"/>
    <n v="9"/>
    <n v="56"/>
    <n v="65"/>
    <x v="0"/>
    <x v="1"/>
  </r>
  <r>
    <n v="519"/>
    <d v="2011-01-28T00:00:00"/>
    <x v="0"/>
    <x v="0"/>
    <n v="15"/>
    <b v="0"/>
    <n v="5"/>
    <x v="1"/>
    <x v="2"/>
    <n v="518"/>
    <n v="0.1061"/>
    <n v="0.26"/>
    <n v="0.3881"/>
    <n v="5"/>
    <n v="50"/>
    <n v="55"/>
    <x v="0"/>
    <x v="1"/>
  </r>
  <r>
    <n v="520"/>
    <d v="2011-01-28T00:00:00"/>
    <x v="0"/>
    <x v="0"/>
    <n v="15"/>
    <b v="0"/>
    <n v="5"/>
    <x v="1"/>
    <x v="2"/>
    <n v="519"/>
    <n v="0.1212"/>
    <n v="0.3"/>
    <n v="0.25369999999999998"/>
    <n v="5"/>
    <n v="44"/>
    <n v="49"/>
    <x v="0"/>
    <x v="1"/>
  </r>
  <r>
    <n v="521"/>
    <d v="2011-01-28T00:00:00"/>
    <x v="0"/>
    <x v="0"/>
    <n v="15"/>
    <b v="0"/>
    <n v="5"/>
    <x v="1"/>
    <x v="2"/>
    <n v="520"/>
    <n v="0.1212"/>
    <n v="0.3"/>
    <n v="0.28360000000000002"/>
    <n v="5"/>
    <n v="45"/>
    <n v="50"/>
    <x v="0"/>
    <x v="1"/>
  </r>
  <r>
    <n v="522"/>
    <d v="2011-01-28T00:00:00"/>
    <x v="0"/>
    <x v="0"/>
    <n v="15"/>
    <b v="0"/>
    <n v="5"/>
    <x v="1"/>
    <x v="2"/>
    <n v="521"/>
    <n v="0.1061"/>
    <n v="0.36"/>
    <n v="0.25369999999999998"/>
    <n v="4"/>
    <n v="31"/>
    <n v="35"/>
    <x v="0"/>
    <x v="1"/>
  </r>
  <r>
    <n v="523"/>
    <d v="2011-01-28T00:00:00"/>
    <x v="0"/>
    <x v="0"/>
    <n v="15"/>
    <b v="0"/>
    <n v="5"/>
    <x v="1"/>
    <x v="2"/>
    <n v="522"/>
    <n v="0.1061"/>
    <n v="0.36"/>
    <n v="0.19400000000000001"/>
    <n v="5"/>
    <n v="20"/>
    <n v="25"/>
    <x v="0"/>
    <x v="1"/>
  </r>
  <r>
    <n v="524"/>
    <d v="2011-01-28T00:00:00"/>
    <x v="0"/>
    <x v="0"/>
    <n v="15"/>
    <b v="0"/>
    <n v="5"/>
    <x v="1"/>
    <x v="2"/>
    <n v="523"/>
    <n v="9.0899999999999995E-2"/>
    <n v="0.38"/>
    <n v="0.19400000000000001"/>
    <n v="5"/>
    <n v="23"/>
    <n v="28"/>
    <x v="0"/>
    <x v="1"/>
  </r>
  <r>
    <n v="525"/>
    <d v="2011-01-28T00:00:00"/>
    <x v="0"/>
    <x v="0"/>
    <n v="15"/>
    <b v="0"/>
    <n v="5"/>
    <x v="1"/>
    <x v="2"/>
    <n v="524"/>
    <n v="6.0600000000000001E-2"/>
    <n v="0.41"/>
    <n v="0.22389999999999999"/>
    <n v="4"/>
    <n v="17"/>
    <n v="21"/>
    <x v="0"/>
    <x v="1"/>
  </r>
  <r>
    <n v="526"/>
    <d v="2011-01-28T00:00:00"/>
    <x v="0"/>
    <x v="0"/>
    <n v="15"/>
    <b v="0"/>
    <n v="5"/>
    <x v="1"/>
    <x v="2"/>
    <n v="525"/>
    <n v="6.0600000000000001E-2"/>
    <n v="0.41"/>
    <n v="0.19400000000000001"/>
    <n v="0"/>
    <n v="7"/>
    <n v="7"/>
    <x v="0"/>
    <x v="1"/>
  </r>
  <r>
    <n v="527"/>
    <d v="2011-01-28T00:00:00"/>
    <x v="0"/>
    <x v="0"/>
    <n v="15"/>
    <b v="0"/>
    <n v="5"/>
    <x v="1"/>
    <x v="2"/>
    <n v="526"/>
    <n v="4.5499999999999999E-2"/>
    <n v="0.45"/>
    <n v="0.19400000000000001"/>
    <n v="0"/>
    <n v="1"/>
    <n v="1"/>
    <x v="0"/>
    <x v="1"/>
  </r>
  <r>
    <n v="528"/>
    <d v="2011-01-28T00:00:00"/>
    <x v="0"/>
    <x v="0"/>
    <n v="15"/>
    <b v="0"/>
    <n v="5"/>
    <x v="1"/>
    <x v="2"/>
    <n v="527"/>
    <n v="3.0300000000000001E-2"/>
    <n v="0.45"/>
    <n v="0.25369999999999998"/>
    <n v="0"/>
    <n v="1"/>
    <n v="1"/>
    <x v="0"/>
    <x v="1"/>
  </r>
  <r>
    <n v="529"/>
    <d v="2011-01-28T00:00:00"/>
    <x v="0"/>
    <x v="0"/>
    <n v="15"/>
    <b v="0"/>
    <n v="5"/>
    <x v="1"/>
    <x v="2"/>
    <n v="528"/>
    <n v="6.0600000000000001E-2"/>
    <n v="0.48"/>
    <n v="0.1343"/>
    <n v="0"/>
    <n v="1"/>
    <n v="1"/>
    <x v="0"/>
    <x v="1"/>
  </r>
  <r>
    <n v="530"/>
    <d v="2011-01-28T00:00:00"/>
    <x v="0"/>
    <x v="0"/>
    <n v="15"/>
    <b v="0"/>
    <n v="5"/>
    <x v="1"/>
    <x v="2"/>
    <n v="529"/>
    <n v="6.0600000000000001E-2"/>
    <n v="0.48"/>
    <n v="0.1343"/>
    <n v="0"/>
    <n v="5"/>
    <n v="5"/>
    <x v="0"/>
    <x v="1"/>
  </r>
  <r>
    <n v="531"/>
    <d v="2011-01-28T00:00:00"/>
    <x v="0"/>
    <x v="0"/>
    <n v="15"/>
    <b v="0"/>
    <n v="5"/>
    <x v="1"/>
    <x v="2"/>
    <n v="530"/>
    <n v="7.5800000000000006E-2"/>
    <n v="0.48"/>
    <n v="8.9599999999999999E-2"/>
    <n v="0"/>
    <n v="15"/>
    <n v="15"/>
    <x v="0"/>
    <x v="1"/>
  </r>
  <r>
    <n v="532"/>
    <d v="2011-01-28T00:00:00"/>
    <x v="0"/>
    <x v="0"/>
    <n v="15"/>
    <b v="0"/>
    <n v="5"/>
    <x v="1"/>
    <x v="2"/>
    <n v="531"/>
    <n v="0.1212"/>
    <n v="0.48"/>
    <n v="0"/>
    <n v="5"/>
    <n v="79"/>
    <n v="84"/>
    <x v="0"/>
    <x v="1"/>
  </r>
  <r>
    <n v="533"/>
    <d v="2011-01-28T00:00:00"/>
    <x v="0"/>
    <x v="0"/>
    <n v="15"/>
    <b v="0"/>
    <n v="5"/>
    <x v="1"/>
    <x v="2"/>
    <n v="532"/>
    <n v="0.13639999999999999"/>
    <n v="0.49"/>
    <n v="0"/>
    <n v="6"/>
    <n v="171"/>
    <n v="177"/>
    <x v="0"/>
    <x v="1"/>
  </r>
  <r>
    <n v="534"/>
    <d v="2011-01-28T00:00:00"/>
    <x v="0"/>
    <x v="0"/>
    <n v="15"/>
    <b v="0"/>
    <n v="5"/>
    <x v="1"/>
    <x v="2"/>
    <n v="533"/>
    <n v="0.1515"/>
    <n v="0.41"/>
    <n v="0"/>
    <n v="4"/>
    <n v="98"/>
    <n v="102"/>
    <x v="0"/>
    <x v="1"/>
  </r>
  <r>
    <n v="535"/>
    <d v="2011-01-28T00:00:00"/>
    <x v="0"/>
    <x v="0"/>
    <n v="15"/>
    <b v="0"/>
    <n v="5"/>
    <x v="1"/>
    <x v="2"/>
    <n v="534"/>
    <n v="0.13639999999999999"/>
    <n v="0.42"/>
    <n v="0"/>
    <n v="6"/>
    <n v="34"/>
    <n v="40"/>
    <x v="0"/>
    <x v="1"/>
  </r>
  <r>
    <n v="536"/>
    <d v="2011-01-28T00:00:00"/>
    <x v="0"/>
    <x v="0"/>
    <n v="15"/>
    <b v="0"/>
    <n v="5"/>
    <x v="1"/>
    <x v="2"/>
    <n v="535"/>
    <n v="0.1212"/>
    <n v="0.46"/>
    <n v="0.1343"/>
    <n v="3"/>
    <n v="43"/>
    <n v="46"/>
    <x v="0"/>
    <x v="1"/>
  </r>
  <r>
    <n v="537"/>
    <d v="2011-01-28T00:00:00"/>
    <x v="0"/>
    <x v="0"/>
    <n v="15"/>
    <b v="0"/>
    <n v="5"/>
    <x v="1"/>
    <x v="2"/>
    <n v="536"/>
    <n v="0.13639999999999999"/>
    <n v="0.42"/>
    <n v="0.19400000000000001"/>
    <n v="11"/>
    <n v="52"/>
    <n v="63"/>
    <x v="0"/>
    <x v="1"/>
  </r>
  <r>
    <n v="538"/>
    <d v="2011-01-28T00:00:00"/>
    <x v="0"/>
    <x v="0"/>
    <n v="15"/>
    <b v="0"/>
    <n v="5"/>
    <x v="1"/>
    <x v="2"/>
    <n v="537"/>
    <n v="0.13639999999999999"/>
    <n v="0.43"/>
    <n v="0.22389999999999999"/>
    <n v="6"/>
    <n v="54"/>
    <n v="60"/>
    <x v="0"/>
    <x v="1"/>
  </r>
  <r>
    <n v="539"/>
    <d v="2011-01-28T00:00:00"/>
    <x v="0"/>
    <x v="0"/>
    <n v="15"/>
    <b v="0"/>
    <n v="5"/>
    <x v="1"/>
    <x v="2"/>
    <n v="538"/>
    <n v="0.13639999999999999"/>
    <n v="0.46"/>
    <n v="0.22389999999999999"/>
    <n v="2"/>
    <n v="43"/>
    <n v="45"/>
    <x v="0"/>
    <x v="1"/>
  </r>
  <r>
    <n v="540"/>
    <d v="2011-01-28T00:00:00"/>
    <x v="0"/>
    <x v="0"/>
    <n v="15"/>
    <b v="0"/>
    <n v="5"/>
    <x v="1"/>
    <x v="2"/>
    <n v="539"/>
    <n v="0.16669999999999999"/>
    <n v="0.4"/>
    <n v="0.16420000000000001"/>
    <n v="7"/>
    <n v="50"/>
    <n v="57"/>
    <x v="0"/>
    <x v="1"/>
  </r>
  <r>
    <n v="541"/>
    <d v="2011-01-28T00:00:00"/>
    <x v="0"/>
    <x v="0"/>
    <n v="15"/>
    <b v="0"/>
    <n v="5"/>
    <x v="1"/>
    <x v="2"/>
    <n v="540"/>
    <n v="0.1515"/>
    <n v="0.47"/>
    <n v="0.25369999999999998"/>
    <n v="4"/>
    <n v="66"/>
    <n v="70"/>
    <x v="0"/>
    <x v="1"/>
  </r>
  <r>
    <n v="542"/>
    <d v="2011-01-28T00:00:00"/>
    <x v="0"/>
    <x v="0"/>
    <n v="15"/>
    <b v="0"/>
    <n v="5"/>
    <x v="1"/>
    <x v="2"/>
    <n v="541"/>
    <n v="0.1212"/>
    <n v="0.5"/>
    <n v="0.25369999999999998"/>
    <n v="6"/>
    <n v="178"/>
    <n v="184"/>
    <x v="0"/>
    <x v="1"/>
  </r>
  <r>
    <n v="543"/>
    <d v="2011-01-28T00:00:00"/>
    <x v="0"/>
    <x v="0"/>
    <n v="15"/>
    <b v="0"/>
    <n v="5"/>
    <x v="1"/>
    <x v="2"/>
    <n v="542"/>
    <n v="0.13639999999999999"/>
    <n v="0.59"/>
    <n v="0.19400000000000001"/>
    <n v="8"/>
    <n v="145"/>
    <n v="153"/>
    <x v="0"/>
    <x v="1"/>
  </r>
  <r>
    <n v="544"/>
    <d v="2011-01-28T00:00:00"/>
    <x v="0"/>
    <x v="0"/>
    <n v="15"/>
    <b v="0"/>
    <n v="5"/>
    <x v="1"/>
    <x v="2"/>
    <n v="543"/>
    <n v="0.1515"/>
    <n v="0.54"/>
    <n v="0.16420000000000001"/>
    <n v="5"/>
    <n v="101"/>
    <n v="106"/>
    <x v="0"/>
    <x v="1"/>
  </r>
  <r>
    <n v="545"/>
    <d v="2011-01-28T00:00:00"/>
    <x v="0"/>
    <x v="0"/>
    <n v="15"/>
    <b v="0"/>
    <n v="5"/>
    <x v="1"/>
    <x v="2"/>
    <n v="544"/>
    <n v="0.13639999999999999"/>
    <n v="0.59"/>
    <n v="0.19400000000000001"/>
    <n v="1"/>
    <n v="80"/>
    <n v="81"/>
    <x v="0"/>
    <x v="1"/>
  </r>
  <r>
    <n v="546"/>
    <d v="2011-01-28T00:00:00"/>
    <x v="0"/>
    <x v="0"/>
    <n v="15"/>
    <b v="0"/>
    <n v="5"/>
    <x v="1"/>
    <x v="2"/>
    <n v="545"/>
    <n v="0.1515"/>
    <n v="0.63"/>
    <n v="0.16420000000000001"/>
    <n v="6"/>
    <n v="53"/>
    <n v="59"/>
    <x v="0"/>
    <x v="1"/>
  </r>
  <r>
    <n v="547"/>
    <d v="2011-01-28T00:00:00"/>
    <x v="0"/>
    <x v="0"/>
    <n v="15"/>
    <b v="0"/>
    <n v="5"/>
    <x v="1"/>
    <x v="2"/>
    <n v="546"/>
    <n v="0.13639999999999999"/>
    <n v="0.63"/>
    <n v="0.22389999999999999"/>
    <n v="3"/>
    <n v="32"/>
    <n v="35"/>
    <x v="0"/>
    <x v="1"/>
  </r>
  <r>
    <n v="548"/>
    <d v="2011-01-28T00:00:00"/>
    <x v="0"/>
    <x v="0"/>
    <n v="15"/>
    <b v="0"/>
    <n v="5"/>
    <x v="1"/>
    <x v="2"/>
    <n v="547"/>
    <n v="0.1515"/>
    <n v="0.64"/>
    <n v="0.25369999999999998"/>
    <n v="3"/>
    <n v="21"/>
    <n v="24"/>
    <x v="0"/>
    <x v="1"/>
  </r>
  <r>
    <n v="549"/>
    <d v="2011-01-28T00:00:00"/>
    <x v="0"/>
    <x v="0"/>
    <n v="15"/>
    <b v="0"/>
    <n v="5"/>
    <x v="1"/>
    <x v="2"/>
    <n v="548"/>
    <n v="0.13639999999999999"/>
    <n v="0.69"/>
    <n v="0.28360000000000002"/>
    <n v="3"/>
    <n v="6"/>
    <n v="9"/>
    <x v="0"/>
    <x v="1"/>
  </r>
  <r>
    <n v="550"/>
    <d v="2011-01-28T00:00:00"/>
    <x v="0"/>
    <x v="0"/>
    <n v="15"/>
    <b v="0"/>
    <n v="5"/>
    <x v="1"/>
    <x v="2"/>
    <n v="549"/>
    <n v="0.16669999999999999"/>
    <n v="0.69"/>
    <n v="0.16420000000000001"/>
    <n v="0"/>
    <n v="5"/>
    <n v="5"/>
    <x v="0"/>
    <x v="1"/>
  </r>
  <r>
    <n v="551"/>
    <d v="2011-01-28T00:00:00"/>
    <x v="0"/>
    <x v="0"/>
    <n v="15"/>
    <b v="0"/>
    <n v="5"/>
    <x v="1"/>
    <x v="2"/>
    <n v="550"/>
    <n v="0.1515"/>
    <n v="0.69"/>
    <n v="0.22389999999999999"/>
    <n v="0"/>
    <n v="2"/>
    <n v="2"/>
    <x v="0"/>
    <x v="1"/>
  </r>
  <r>
    <n v="552"/>
    <d v="2011-01-28T00:00:00"/>
    <x v="0"/>
    <x v="0"/>
    <n v="15"/>
    <b v="0"/>
    <n v="5"/>
    <x v="1"/>
    <x v="2"/>
    <n v="551"/>
    <n v="0.16669999999999999"/>
    <n v="0.74"/>
    <n v="0.1045"/>
    <n v="0"/>
    <n v="1"/>
    <n v="1"/>
    <x v="0"/>
    <x v="1"/>
  </r>
  <r>
    <n v="553"/>
    <d v="2011-01-28T00:00:00"/>
    <x v="0"/>
    <x v="0"/>
    <n v="15"/>
    <b v="0"/>
    <n v="5"/>
    <x v="1"/>
    <x v="2"/>
    <n v="552"/>
    <n v="0.13639999999999999"/>
    <n v="0.74"/>
    <n v="0.22389999999999999"/>
    <n v="0"/>
    <n v="9"/>
    <n v="9"/>
    <x v="0"/>
    <x v="1"/>
  </r>
  <r>
    <n v="554"/>
    <d v="2011-01-28T00:00:00"/>
    <x v="0"/>
    <x v="0"/>
    <n v="15"/>
    <b v="0"/>
    <n v="5"/>
    <x v="1"/>
    <x v="2"/>
    <n v="553"/>
    <n v="0.18179999999999999"/>
    <n v="0.74"/>
    <n v="0.1045"/>
    <n v="1"/>
    <n v="35"/>
    <n v="36"/>
    <x v="0"/>
    <x v="1"/>
  </r>
  <r>
    <n v="555"/>
    <d v="2011-01-28T00:00:00"/>
    <x v="0"/>
    <x v="0"/>
    <n v="15"/>
    <b v="0"/>
    <n v="5"/>
    <x v="1"/>
    <x v="2"/>
    <n v="554"/>
    <n v="0.1515"/>
    <n v="0.74"/>
    <n v="0.22389999999999999"/>
    <n v="5"/>
    <n v="103"/>
    <n v="108"/>
    <x v="0"/>
    <x v="1"/>
  </r>
  <r>
    <n v="556"/>
    <d v="2011-01-28T00:00:00"/>
    <x v="0"/>
    <x v="0"/>
    <n v="15"/>
    <b v="0"/>
    <n v="5"/>
    <x v="1"/>
    <x v="2"/>
    <n v="555"/>
    <n v="0.18179999999999999"/>
    <n v="0.74"/>
    <n v="0.1343"/>
    <n v="5"/>
    <n v="233"/>
    <n v="238"/>
    <x v="0"/>
    <x v="1"/>
  </r>
  <r>
    <n v="557"/>
    <d v="2011-01-28T00:00:00"/>
    <x v="0"/>
    <x v="0"/>
    <n v="15"/>
    <b v="0"/>
    <n v="5"/>
    <x v="1"/>
    <x v="2"/>
    <n v="556"/>
    <n v="0.2273"/>
    <n v="0.64"/>
    <n v="8.9599999999999999E-2"/>
    <n v="10"/>
    <n v="134"/>
    <n v="144"/>
    <x v="0"/>
    <x v="1"/>
  </r>
  <r>
    <n v="558"/>
    <d v="2011-01-28T00:00:00"/>
    <x v="0"/>
    <x v="0"/>
    <n v="15"/>
    <b v="0"/>
    <n v="5"/>
    <x v="1"/>
    <x v="2"/>
    <n v="557"/>
    <n v="0.2424"/>
    <n v="0.6"/>
    <n v="0.1045"/>
    <n v="6"/>
    <n v="49"/>
    <n v="55"/>
    <x v="0"/>
    <x v="1"/>
  </r>
  <r>
    <n v="559"/>
    <d v="2011-01-28T00:00:00"/>
    <x v="0"/>
    <x v="0"/>
    <n v="15"/>
    <b v="0"/>
    <n v="5"/>
    <x v="1"/>
    <x v="2"/>
    <n v="558"/>
    <n v="0.2424"/>
    <n v="0.6"/>
    <n v="0.1343"/>
    <n v="6"/>
    <n v="55"/>
    <n v="61"/>
    <x v="0"/>
    <x v="1"/>
  </r>
  <r>
    <n v="560"/>
    <d v="2011-01-28T00:00:00"/>
    <x v="0"/>
    <x v="0"/>
    <n v="15"/>
    <b v="0"/>
    <n v="5"/>
    <x v="1"/>
    <x v="2"/>
    <n v="559"/>
    <n v="0.28789999999999999"/>
    <n v="0.56000000000000005"/>
    <n v="8.9599999999999999E-2"/>
    <n v="21"/>
    <n v="85"/>
    <n v="106"/>
    <x v="0"/>
    <x v="1"/>
  </r>
  <r>
    <n v="561"/>
    <d v="2011-01-28T00:00:00"/>
    <x v="0"/>
    <x v="0"/>
    <n v="15"/>
    <b v="0"/>
    <n v="5"/>
    <x v="1"/>
    <x v="2"/>
    <n v="560"/>
    <n v="0.2727"/>
    <n v="0.56000000000000005"/>
    <n v="0.1343"/>
    <n v="21"/>
    <n v="72"/>
    <n v="93"/>
    <x v="0"/>
    <x v="1"/>
  </r>
  <r>
    <n v="562"/>
    <d v="2011-01-28T00:00:00"/>
    <x v="0"/>
    <x v="0"/>
    <n v="15"/>
    <b v="0"/>
    <n v="5"/>
    <x v="1"/>
    <x v="2"/>
    <n v="561"/>
    <n v="0.33329999999999999"/>
    <n v="0.45"/>
    <n v="0"/>
    <n v="11"/>
    <n v="57"/>
    <n v="68"/>
    <x v="0"/>
    <x v="1"/>
  </r>
  <r>
    <n v="563"/>
    <d v="2011-01-28T00:00:00"/>
    <x v="0"/>
    <x v="0"/>
    <n v="15"/>
    <b v="0"/>
    <n v="5"/>
    <x v="1"/>
    <x v="2"/>
    <n v="562"/>
    <n v="0.34849999999999998"/>
    <n v="0.42"/>
    <n v="0"/>
    <n v="21"/>
    <n v="63"/>
    <n v="84"/>
    <x v="0"/>
    <x v="1"/>
  </r>
  <r>
    <n v="564"/>
    <d v="2011-01-28T00:00:00"/>
    <x v="0"/>
    <x v="0"/>
    <n v="15"/>
    <b v="0"/>
    <n v="5"/>
    <x v="1"/>
    <x v="2"/>
    <n v="563"/>
    <n v="0.34849999999999998"/>
    <n v="0.42"/>
    <n v="0"/>
    <n v="14"/>
    <n v="102"/>
    <n v="116"/>
    <x v="0"/>
    <x v="1"/>
  </r>
  <r>
    <n v="565"/>
    <d v="2011-01-28T00:00:00"/>
    <x v="0"/>
    <x v="0"/>
    <n v="15"/>
    <b v="0"/>
    <n v="5"/>
    <x v="1"/>
    <x v="2"/>
    <n v="564"/>
    <n v="0.33329999999999999"/>
    <n v="0.45"/>
    <n v="0"/>
    <n v="14"/>
    <n v="208"/>
    <n v="222"/>
    <x v="0"/>
    <x v="1"/>
  </r>
  <r>
    <n v="566"/>
    <d v="2011-01-28T00:00:00"/>
    <x v="0"/>
    <x v="0"/>
    <n v="15"/>
    <b v="0"/>
    <n v="5"/>
    <x v="1"/>
    <x v="2"/>
    <n v="565"/>
    <n v="0.31819999999999998"/>
    <n v="0.49"/>
    <n v="8.9599999999999999E-2"/>
    <n v="7"/>
    <n v="218"/>
    <n v="225"/>
    <x v="0"/>
    <x v="1"/>
  </r>
  <r>
    <n v="567"/>
    <d v="2011-01-28T00:00:00"/>
    <x v="0"/>
    <x v="0"/>
    <n v="15"/>
    <b v="0"/>
    <n v="5"/>
    <x v="1"/>
    <x v="2"/>
    <n v="566"/>
    <n v="0.2576"/>
    <n v="0.65"/>
    <n v="0.16420000000000001"/>
    <n v="13"/>
    <n v="133"/>
    <n v="146"/>
    <x v="0"/>
    <x v="1"/>
  </r>
  <r>
    <n v="568"/>
    <d v="2011-01-28T00:00:00"/>
    <x v="0"/>
    <x v="0"/>
    <n v="15"/>
    <b v="0"/>
    <n v="5"/>
    <x v="1"/>
    <x v="2"/>
    <n v="567"/>
    <n v="0.2273"/>
    <n v="0.65"/>
    <n v="0.19400000000000001"/>
    <n v="16"/>
    <n v="103"/>
    <n v="119"/>
    <x v="0"/>
    <x v="1"/>
  </r>
  <r>
    <n v="569"/>
    <d v="2011-01-28T00:00:00"/>
    <x v="0"/>
    <x v="0"/>
    <n v="15"/>
    <b v="0"/>
    <n v="5"/>
    <x v="1"/>
    <x v="2"/>
    <n v="568"/>
    <n v="0.2273"/>
    <n v="0.65"/>
    <n v="0.19400000000000001"/>
    <n v="5"/>
    <n v="40"/>
    <n v="45"/>
    <x v="0"/>
    <x v="1"/>
  </r>
  <r>
    <n v="570"/>
    <d v="2011-01-28T00:00:00"/>
    <x v="0"/>
    <x v="0"/>
    <n v="15"/>
    <b v="0"/>
    <n v="5"/>
    <x v="1"/>
    <x v="2"/>
    <n v="569"/>
    <n v="0.2273"/>
    <n v="0.64"/>
    <n v="0.16420000000000001"/>
    <n v="4"/>
    <n v="49"/>
    <n v="53"/>
    <x v="0"/>
    <x v="1"/>
  </r>
  <r>
    <n v="571"/>
    <d v="2011-01-28T00:00:00"/>
    <x v="0"/>
    <x v="0"/>
    <n v="15"/>
    <b v="0"/>
    <n v="5"/>
    <x v="1"/>
    <x v="2"/>
    <n v="570"/>
    <n v="0.2273"/>
    <n v="0.64"/>
    <n v="0.16420000000000001"/>
    <n v="3"/>
    <n v="37"/>
    <n v="40"/>
    <x v="0"/>
    <x v="1"/>
  </r>
  <r>
    <n v="572"/>
    <d v="2011-01-28T00:00:00"/>
    <x v="0"/>
    <x v="0"/>
    <n v="15"/>
    <b v="0"/>
    <n v="5"/>
    <x v="1"/>
    <x v="2"/>
    <n v="571"/>
    <n v="0.2273"/>
    <n v="0.69"/>
    <n v="0.1343"/>
    <n v="3"/>
    <n v="14"/>
    <n v="17"/>
    <x v="0"/>
    <x v="1"/>
  </r>
  <r>
    <n v="573"/>
    <d v="2011-01-28T00:00:00"/>
    <x v="0"/>
    <x v="0"/>
    <n v="15"/>
    <b v="0"/>
    <n v="5"/>
    <x v="1"/>
    <x v="2"/>
    <n v="572"/>
    <n v="0.2424"/>
    <n v="0.65"/>
    <n v="0.1343"/>
    <n v="0"/>
    <n v="5"/>
    <n v="5"/>
    <x v="0"/>
    <x v="1"/>
  </r>
  <r>
    <n v="574"/>
    <d v="2011-01-28T00:00:00"/>
    <x v="0"/>
    <x v="0"/>
    <n v="15"/>
    <b v="0"/>
    <n v="5"/>
    <x v="1"/>
    <x v="2"/>
    <n v="573"/>
    <n v="0.2273"/>
    <n v="0.69"/>
    <n v="0.19400000000000001"/>
    <n v="3"/>
    <n v="7"/>
    <n v="10"/>
    <x v="0"/>
    <x v="1"/>
  </r>
  <r>
    <n v="575"/>
    <d v="2011-01-28T00:00:00"/>
    <x v="0"/>
    <x v="0"/>
    <n v="15"/>
    <b v="0"/>
    <n v="5"/>
    <x v="1"/>
    <x v="2"/>
    <n v="574"/>
    <n v="0.18179999999999999"/>
    <n v="0.86"/>
    <n v="0.28360000000000002"/>
    <n v="0"/>
    <n v="1"/>
    <n v="1"/>
    <x v="0"/>
    <x v="1"/>
  </r>
  <r>
    <n v="576"/>
    <d v="2011-01-28T00:00:00"/>
    <x v="0"/>
    <x v="0"/>
    <n v="15"/>
    <b v="0"/>
    <n v="5"/>
    <x v="1"/>
    <x v="2"/>
    <n v="575"/>
    <n v="0.18179999999999999"/>
    <n v="0.86"/>
    <n v="0.28360000000000002"/>
    <n v="0"/>
    <n v="8"/>
    <n v="8"/>
    <x v="0"/>
    <x v="1"/>
  </r>
  <r>
    <n v="577"/>
    <d v="2011-01-28T00:00:00"/>
    <x v="0"/>
    <x v="0"/>
    <n v="15"/>
    <b v="0"/>
    <n v="5"/>
    <x v="1"/>
    <x v="2"/>
    <n v="576"/>
    <n v="0.21210000000000001"/>
    <n v="0.87"/>
    <n v="0.29849999999999999"/>
    <n v="1"/>
    <n v="29"/>
    <n v="30"/>
    <x v="0"/>
    <x v="1"/>
  </r>
  <r>
    <n v="578"/>
    <d v="2011-01-28T00:00:00"/>
    <x v="0"/>
    <x v="0"/>
    <n v="15"/>
    <b v="0"/>
    <n v="5"/>
    <x v="1"/>
    <x v="2"/>
    <n v="577"/>
    <n v="0.21210000000000001"/>
    <n v="0.87"/>
    <n v="0.29849999999999999"/>
    <n v="3"/>
    <n v="69"/>
    <n v="72"/>
    <x v="0"/>
    <x v="1"/>
  </r>
  <r>
    <n v="579"/>
    <d v="2011-01-28T00:00:00"/>
    <x v="0"/>
    <x v="0"/>
    <n v="15"/>
    <b v="0"/>
    <n v="5"/>
    <x v="1"/>
    <x v="2"/>
    <n v="578"/>
    <n v="0.21210000000000001"/>
    <n v="0.87"/>
    <n v="0.29849999999999999"/>
    <n v="3"/>
    <n v="55"/>
    <n v="58"/>
    <x v="0"/>
    <x v="1"/>
  </r>
  <r>
    <n v="580"/>
    <d v="2011-01-28T00:00:00"/>
    <x v="0"/>
    <x v="0"/>
    <n v="15"/>
    <b v="0"/>
    <n v="5"/>
    <x v="1"/>
    <x v="2"/>
    <n v="579"/>
    <n v="0.21210000000000001"/>
    <n v="0.93"/>
    <n v="0.28360000000000002"/>
    <n v="2"/>
    <n v="26"/>
    <n v="28"/>
    <x v="0"/>
    <x v="1"/>
  </r>
  <r>
    <n v="581"/>
    <d v="2011-01-28T00:00:00"/>
    <x v="0"/>
    <x v="0"/>
    <n v="15"/>
    <b v="0"/>
    <n v="5"/>
    <x v="1"/>
    <x v="2"/>
    <n v="580"/>
    <n v="0.19700000000000001"/>
    <n v="0.93"/>
    <n v="0.32840000000000003"/>
    <n v="6"/>
    <n v="35"/>
    <n v="41"/>
    <x v="0"/>
    <x v="1"/>
  </r>
  <r>
    <n v="582"/>
    <d v="2011-01-28T00:00:00"/>
    <x v="0"/>
    <x v="0"/>
    <n v="15"/>
    <b v="0"/>
    <n v="5"/>
    <x v="1"/>
    <x v="2"/>
    <n v="581"/>
    <n v="0.19700000000000001"/>
    <n v="0.93"/>
    <n v="0.32840000000000003"/>
    <n v="7"/>
    <n v="41"/>
    <n v="48"/>
    <x v="0"/>
    <x v="1"/>
  </r>
  <r>
    <n v="583"/>
    <d v="2011-01-28T00:00:00"/>
    <x v="0"/>
    <x v="0"/>
    <n v="15"/>
    <b v="0"/>
    <n v="5"/>
    <x v="1"/>
    <x v="2"/>
    <n v="582"/>
    <n v="0.19700000000000001"/>
    <n v="0.93"/>
    <n v="0.32840000000000003"/>
    <n v="4"/>
    <n v="43"/>
    <n v="47"/>
    <x v="0"/>
    <x v="1"/>
  </r>
  <r>
    <n v="584"/>
    <d v="2011-01-28T00:00:00"/>
    <x v="0"/>
    <x v="0"/>
    <n v="15"/>
    <b v="0"/>
    <n v="5"/>
    <x v="1"/>
    <x v="2"/>
    <n v="583"/>
    <n v="0.19700000000000001"/>
    <n v="0.93"/>
    <n v="0.35820000000000002"/>
    <n v="0"/>
    <n v="36"/>
    <n v="36"/>
    <x v="0"/>
    <x v="1"/>
  </r>
  <r>
    <n v="585"/>
    <d v="2011-01-28T00:00:00"/>
    <x v="0"/>
    <x v="0"/>
    <n v="15"/>
    <b v="0"/>
    <n v="5"/>
    <x v="1"/>
    <x v="2"/>
    <n v="584"/>
    <n v="0.18179999999999999"/>
    <n v="0.93"/>
    <n v="0.4627"/>
    <n v="1"/>
    <n v="42"/>
    <n v="43"/>
    <x v="0"/>
    <x v="1"/>
  </r>
  <r>
    <n v="586"/>
    <d v="2011-01-28T00:00:00"/>
    <x v="0"/>
    <x v="0"/>
    <n v="15"/>
    <b v="0"/>
    <n v="5"/>
    <x v="1"/>
    <x v="2"/>
    <n v="585"/>
    <n v="0.19700000000000001"/>
    <n v="0.93"/>
    <n v="0.32840000000000003"/>
    <n v="1"/>
    <n v="35"/>
    <n v="36"/>
    <x v="0"/>
    <x v="1"/>
  </r>
  <r>
    <n v="587"/>
    <d v="2011-01-28T00:00:00"/>
    <x v="0"/>
    <x v="0"/>
    <n v="15"/>
    <b v="0"/>
    <n v="5"/>
    <x v="1"/>
    <x v="2"/>
    <n v="586"/>
    <n v="0.18179999999999999"/>
    <n v="0.93"/>
    <n v="0.35820000000000002"/>
    <n v="0"/>
    <n v="26"/>
    <n v="26"/>
    <x v="0"/>
    <x v="1"/>
  </r>
  <r>
    <n v="588"/>
    <d v="2011-01-28T00:00:00"/>
    <x v="0"/>
    <x v="0"/>
    <n v="15"/>
    <b v="0"/>
    <n v="5"/>
    <x v="1"/>
    <x v="2"/>
    <n v="587"/>
    <n v="0.2273"/>
    <n v="0.55000000000000004"/>
    <n v="0.19400000000000001"/>
    <n v="1"/>
    <n v="23"/>
    <n v="24"/>
    <x v="0"/>
    <x v="1"/>
  </r>
  <r>
    <n v="589"/>
    <d v="2011-01-28T00:00:00"/>
    <x v="0"/>
    <x v="0"/>
    <n v="15"/>
    <b v="0"/>
    <n v="5"/>
    <x v="1"/>
    <x v="2"/>
    <n v="588"/>
    <n v="0.2424"/>
    <n v="0.55000000000000004"/>
    <n v="0.1045"/>
    <n v="2"/>
    <n v="82"/>
    <n v="84"/>
    <x v="0"/>
    <x v="1"/>
  </r>
  <r>
    <n v="590"/>
    <d v="2011-01-28T00:00:00"/>
    <x v="0"/>
    <x v="0"/>
    <n v="15"/>
    <b v="0"/>
    <n v="5"/>
    <x v="1"/>
    <x v="2"/>
    <n v="589"/>
    <n v="0.2273"/>
    <n v="0.69"/>
    <n v="8.9599999999999999E-2"/>
    <n v="3"/>
    <n v="101"/>
    <n v="104"/>
    <x v="0"/>
    <x v="1"/>
  </r>
  <r>
    <n v="591"/>
    <d v="2011-01-28T00:00:00"/>
    <x v="0"/>
    <x v="0"/>
    <n v="15"/>
    <b v="0"/>
    <n v="5"/>
    <x v="1"/>
    <x v="2"/>
    <n v="590"/>
    <n v="0.2273"/>
    <n v="0.69"/>
    <n v="8.9599999999999999E-2"/>
    <n v="3"/>
    <n v="76"/>
    <n v="79"/>
    <x v="0"/>
    <x v="1"/>
  </r>
  <r>
    <n v="592"/>
    <d v="2011-01-28T00:00:00"/>
    <x v="0"/>
    <x v="0"/>
    <n v="15"/>
    <b v="0"/>
    <n v="5"/>
    <x v="1"/>
    <x v="2"/>
    <n v="591"/>
    <n v="0.21210000000000001"/>
    <n v="0.74"/>
    <n v="8.9599999999999999E-2"/>
    <n v="4"/>
    <n v="55"/>
    <n v="59"/>
    <x v="0"/>
    <x v="1"/>
  </r>
  <r>
    <n v="593"/>
    <d v="2011-01-28T00:00:00"/>
    <x v="0"/>
    <x v="0"/>
    <n v="15"/>
    <b v="0"/>
    <n v="5"/>
    <x v="1"/>
    <x v="2"/>
    <n v="592"/>
    <n v="0.21210000000000001"/>
    <n v="0.74"/>
    <n v="8.9599999999999999E-2"/>
    <n v="2"/>
    <n v="36"/>
    <n v="38"/>
    <x v="0"/>
    <x v="1"/>
  </r>
  <r>
    <n v="594"/>
    <d v="2011-01-28T00:00:00"/>
    <x v="0"/>
    <x v="0"/>
    <n v="15"/>
    <b v="0"/>
    <n v="5"/>
    <x v="1"/>
    <x v="2"/>
    <n v="593"/>
    <n v="0.21210000000000001"/>
    <n v="0.74"/>
    <n v="8.9599999999999999E-2"/>
    <n v="0"/>
    <n v="27"/>
    <n v="27"/>
    <x v="0"/>
    <x v="1"/>
  </r>
  <r>
    <n v="595"/>
    <d v="2011-01-28T00:00:00"/>
    <x v="0"/>
    <x v="0"/>
    <n v="15"/>
    <b v="0"/>
    <n v="5"/>
    <x v="1"/>
    <x v="2"/>
    <n v="594"/>
    <n v="0.19700000000000001"/>
    <n v="0.8"/>
    <n v="0.16420000000000001"/>
    <n v="0"/>
    <n v="16"/>
    <n v="16"/>
    <x v="0"/>
    <x v="1"/>
  </r>
  <r>
    <n v="596"/>
    <d v="2011-01-28T00:00:00"/>
    <x v="0"/>
    <x v="0"/>
    <n v="15"/>
    <b v="0"/>
    <n v="5"/>
    <x v="1"/>
    <x v="2"/>
    <n v="595"/>
    <n v="0.21210000000000001"/>
    <n v="0.75"/>
    <n v="0.1343"/>
    <n v="0"/>
    <n v="9"/>
    <n v="9"/>
    <x v="0"/>
    <x v="1"/>
  </r>
  <r>
    <n v="597"/>
    <d v="2011-01-28T00:00:00"/>
    <x v="0"/>
    <x v="0"/>
    <n v="15"/>
    <b v="0"/>
    <n v="5"/>
    <x v="1"/>
    <x v="2"/>
    <n v="596"/>
    <n v="0.21210000000000001"/>
    <n v="0.75"/>
    <n v="0.1343"/>
    <n v="1"/>
    <n v="2"/>
    <n v="3"/>
    <x v="0"/>
    <x v="1"/>
  </r>
  <r>
    <n v="598"/>
    <d v="2011-01-28T00:00:00"/>
    <x v="0"/>
    <x v="0"/>
    <n v="15"/>
    <b v="0"/>
    <n v="5"/>
    <x v="1"/>
    <x v="2"/>
    <n v="597"/>
    <n v="0.21210000000000001"/>
    <n v="0.75"/>
    <n v="0.16420000000000001"/>
    <n v="0"/>
    <n v="2"/>
    <n v="2"/>
    <x v="0"/>
    <x v="1"/>
  </r>
  <r>
    <n v="599"/>
    <d v="2011-01-28T00:00:00"/>
    <x v="0"/>
    <x v="0"/>
    <n v="15"/>
    <b v="0"/>
    <n v="5"/>
    <x v="1"/>
    <x v="2"/>
    <n v="598"/>
    <n v="0.2273"/>
    <n v="0.75"/>
    <n v="0.1045"/>
    <n v="1"/>
    <n v="0"/>
    <n v="1"/>
    <x v="0"/>
    <x v="1"/>
  </r>
  <r>
    <n v="600"/>
    <d v="2011-01-28T00:00:00"/>
    <x v="0"/>
    <x v="0"/>
    <n v="15"/>
    <b v="0"/>
    <n v="5"/>
    <x v="1"/>
    <x v="2"/>
    <n v="599"/>
    <n v="0.21210000000000001"/>
    <n v="0.8"/>
    <n v="0.1045"/>
    <n v="0"/>
    <n v="4"/>
    <n v="4"/>
    <x v="0"/>
    <x v="1"/>
  </r>
  <r>
    <n v="601"/>
    <d v="2011-01-28T00:00:00"/>
    <x v="0"/>
    <x v="0"/>
    <n v="15"/>
    <b v="0"/>
    <n v="5"/>
    <x v="1"/>
    <x v="2"/>
    <n v="600"/>
    <n v="0.19700000000000001"/>
    <n v="0.8"/>
    <n v="0.1343"/>
    <n v="0"/>
    <n v="16"/>
    <n v="16"/>
    <x v="0"/>
    <x v="1"/>
  </r>
  <r>
    <n v="602"/>
    <d v="2011-01-28T00:00:00"/>
    <x v="0"/>
    <x v="0"/>
    <n v="15"/>
    <b v="0"/>
    <n v="5"/>
    <x v="1"/>
    <x v="2"/>
    <n v="601"/>
    <n v="0.19700000000000001"/>
    <n v="0.86"/>
    <n v="8.9599999999999999E-2"/>
    <n v="2"/>
    <n v="58"/>
    <n v="60"/>
    <x v="0"/>
    <x v="1"/>
  </r>
  <r>
    <n v="603"/>
    <d v="2011-01-28T00:00:00"/>
    <x v="0"/>
    <x v="0"/>
    <n v="15"/>
    <b v="0"/>
    <n v="5"/>
    <x v="1"/>
    <x v="2"/>
    <n v="602"/>
    <n v="0.19700000000000001"/>
    <n v="0.86"/>
    <n v="8.9599999999999999E-2"/>
    <n v="2"/>
    <n v="155"/>
    <n v="157"/>
    <x v="0"/>
    <x v="1"/>
  </r>
  <r>
    <n v="604"/>
    <d v="2011-01-28T00:00:00"/>
    <x v="0"/>
    <x v="0"/>
    <n v="15"/>
    <b v="0"/>
    <n v="5"/>
    <x v="1"/>
    <x v="2"/>
    <n v="603"/>
    <n v="0.21210000000000001"/>
    <n v="0.86"/>
    <n v="8.9599999999999999E-2"/>
    <n v="6"/>
    <n v="95"/>
    <n v="101"/>
    <x v="0"/>
    <x v="1"/>
  </r>
  <r>
    <n v="605"/>
    <d v="2011-01-28T00:00:00"/>
    <x v="0"/>
    <x v="0"/>
    <n v="15"/>
    <b v="0"/>
    <n v="5"/>
    <x v="1"/>
    <x v="2"/>
    <n v="604"/>
    <n v="0.21210000000000001"/>
    <n v="0.86"/>
    <n v="0.1045"/>
    <n v="0"/>
    <n v="49"/>
    <n v="49"/>
    <x v="0"/>
    <x v="1"/>
  </r>
  <r>
    <n v="606"/>
    <d v="2011-01-28T00:00:00"/>
    <x v="0"/>
    <x v="0"/>
    <n v="15"/>
    <b v="0"/>
    <n v="5"/>
    <x v="1"/>
    <x v="2"/>
    <n v="605"/>
    <n v="0.21210000000000001"/>
    <n v="0.93"/>
    <n v="0.1045"/>
    <n v="0"/>
    <n v="30"/>
    <n v="30"/>
    <x v="0"/>
    <x v="1"/>
  </r>
  <r>
    <n v="607"/>
    <d v="2011-01-28T00:00:00"/>
    <x v="0"/>
    <x v="0"/>
    <n v="15"/>
    <b v="0"/>
    <n v="5"/>
    <x v="1"/>
    <x v="2"/>
    <n v="606"/>
    <n v="0.21210000000000001"/>
    <n v="0.93"/>
    <n v="0.1045"/>
    <n v="1"/>
    <n v="28"/>
    <n v="29"/>
    <x v="0"/>
    <x v="1"/>
  </r>
  <r>
    <n v="608"/>
    <d v="2011-01-28T00:00:00"/>
    <x v="0"/>
    <x v="0"/>
    <n v="15"/>
    <b v="0"/>
    <n v="5"/>
    <x v="1"/>
    <x v="2"/>
    <n v="607"/>
    <n v="0.21210000000000001"/>
    <n v="0.93"/>
    <n v="0.1045"/>
    <n v="0"/>
    <n v="31"/>
    <n v="31"/>
    <x v="0"/>
    <x v="1"/>
  </r>
  <r>
    <n v="609"/>
    <d v="2011-01-28T00:00:00"/>
    <x v="0"/>
    <x v="0"/>
    <n v="15"/>
    <b v="0"/>
    <n v="5"/>
    <x v="1"/>
    <x v="2"/>
    <n v="608"/>
    <n v="0.2727"/>
    <n v="0.8"/>
    <n v="0"/>
    <n v="2"/>
    <n v="36"/>
    <n v="38"/>
    <x v="0"/>
    <x v="1"/>
  </r>
  <r>
    <n v="610"/>
    <d v="2011-01-28T00:00:00"/>
    <x v="0"/>
    <x v="0"/>
    <n v="15"/>
    <b v="0"/>
    <n v="5"/>
    <x v="1"/>
    <x v="2"/>
    <n v="609"/>
    <n v="0.2576"/>
    <n v="0.86"/>
    <n v="0"/>
    <n v="1"/>
    <n v="40"/>
    <n v="41"/>
    <x v="0"/>
    <x v="1"/>
  </r>
  <r>
    <n v="611"/>
    <d v="2011-01-28T00:00:00"/>
    <x v="0"/>
    <x v="0"/>
    <n v="15"/>
    <b v="0"/>
    <n v="5"/>
    <x v="1"/>
    <x v="2"/>
    <n v="0"/>
    <n v="0"/>
    <n v="0"/>
    <n v="0"/>
    <n v="0"/>
    <n v="0"/>
    <n v="0"/>
    <x v="0"/>
    <x v="1"/>
  </r>
  <r>
    <n v="620"/>
    <d v="2011-01-29T00:00:00"/>
    <x v="0"/>
    <x v="0"/>
    <n v="1"/>
    <b v="0"/>
    <n v="6"/>
    <x v="0"/>
    <x v="1"/>
    <m/>
    <n v="0.2273"/>
    <n v="0.64"/>
    <n v="0.19400000000000001"/>
    <n v="0"/>
    <n v="20"/>
    <n v="20"/>
    <x v="0"/>
    <x v="0"/>
  </r>
  <r>
    <n v="621"/>
    <d v="2011-01-29T00:00:00"/>
    <x v="0"/>
    <x v="0"/>
    <n v="2"/>
    <b v="0"/>
    <n v="6"/>
    <x v="0"/>
    <x v="1"/>
    <m/>
    <n v="0.2273"/>
    <n v="0.64"/>
    <n v="0.16420000000000001"/>
    <n v="0"/>
    <n v="15"/>
    <n v="15"/>
    <x v="0"/>
    <x v="0"/>
  </r>
  <r>
    <n v="622"/>
    <d v="2011-01-29T00:00:00"/>
    <x v="0"/>
    <x v="0"/>
    <n v="3"/>
    <b v="0"/>
    <n v="6"/>
    <x v="0"/>
    <x v="2"/>
    <m/>
    <n v="0.21210000000000001"/>
    <n v="0.64"/>
    <n v="0.1343"/>
    <n v="3"/>
    <n v="5"/>
    <n v="8"/>
    <x v="0"/>
    <x v="0"/>
  </r>
  <r>
    <n v="623"/>
    <d v="2011-01-29T00:00:00"/>
    <x v="0"/>
    <x v="0"/>
    <n v="4"/>
    <b v="0"/>
    <n v="6"/>
    <x v="0"/>
    <x v="13"/>
    <m/>
    <n v="0.18179999999999999"/>
    <n v="0.69"/>
    <n v="0.1045"/>
    <n v="1"/>
    <n v="2"/>
    <n v="3"/>
    <x v="0"/>
    <x v="0"/>
  </r>
  <r>
    <n v="624"/>
    <d v="2011-01-29T00:00:00"/>
    <x v="0"/>
    <x v="0"/>
    <n v="6"/>
    <b v="0"/>
    <n v="6"/>
    <x v="0"/>
    <x v="13"/>
    <m/>
    <n v="0.18179999999999999"/>
    <n v="0.64"/>
    <n v="0.1343"/>
    <n v="0"/>
    <n v="2"/>
    <n v="2"/>
    <x v="0"/>
    <x v="0"/>
  </r>
  <r>
    <n v="625"/>
    <d v="2011-01-29T00:00:00"/>
    <x v="0"/>
    <x v="0"/>
    <n v="7"/>
    <b v="0"/>
    <n v="6"/>
    <x v="0"/>
    <x v="13"/>
    <m/>
    <n v="0.18179999999999999"/>
    <n v="0.59"/>
    <n v="0.1045"/>
    <n v="1"/>
    <n v="4"/>
    <n v="5"/>
    <x v="0"/>
    <x v="0"/>
  </r>
  <r>
    <n v="626"/>
    <d v="2011-01-29T00:00:00"/>
    <x v="0"/>
    <x v="0"/>
    <n v="8"/>
    <b v="0"/>
    <n v="6"/>
    <x v="0"/>
    <x v="15"/>
    <m/>
    <n v="0.19700000000000001"/>
    <n v="0.55000000000000004"/>
    <n v="0.16420000000000001"/>
    <n v="3"/>
    <n v="31"/>
    <n v="34"/>
    <x v="0"/>
    <x v="0"/>
  </r>
  <r>
    <n v="627"/>
    <d v="2011-01-29T00:00:00"/>
    <x v="0"/>
    <x v="0"/>
    <n v="9"/>
    <b v="0"/>
    <n v="6"/>
    <x v="0"/>
    <x v="15"/>
    <m/>
    <n v="0.21210000000000001"/>
    <n v="0.59"/>
    <n v="8.9599999999999999E-2"/>
    <n v="0"/>
    <n v="34"/>
    <n v="34"/>
    <x v="0"/>
    <x v="0"/>
  </r>
  <r>
    <n v="628"/>
    <d v="2011-01-29T00:00:00"/>
    <x v="0"/>
    <x v="0"/>
    <n v="10"/>
    <b v="0"/>
    <n v="6"/>
    <x v="1"/>
    <x v="15"/>
    <m/>
    <n v="0.21210000000000001"/>
    <n v="0.64"/>
    <n v="0.1045"/>
    <n v="4"/>
    <n v="51"/>
    <n v="55"/>
    <x v="0"/>
    <x v="0"/>
  </r>
  <r>
    <n v="629"/>
    <d v="2011-01-29T00:00:00"/>
    <x v="0"/>
    <x v="0"/>
    <n v="11"/>
    <b v="0"/>
    <n v="6"/>
    <x v="1"/>
    <x v="15"/>
    <m/>
    <n v="0.19700000000000001"/>
    <n v="0.64"/>
    <n v="0.1343"/>
    <n v="4"/>
    <n v="60"/>
    <n v="64"/>
    <x v="0"/>
    <x v="0"/>
  </r>
  <r>
    <n v="630"/>
    <d v="2011-01-29T00:00:00"/>
    <x v="0"/>
    <x v="0"/>
    <n v="12"/>
    <b v="0"/>
    <n v="6"/>
    <x v="1"/>
    <x v="2"/>
    <m/>
    <n v="0.19700000000000001"/>
    <n v="0.59"/>
    <n v="0.19400000000000001"/>
    <n v="12"/>
    <n v="66"/>
    <n v="78"/>
    <x v="0"/>
    <x v="1"/>
  </r>
  <r>
    <n v="631"/>
    <d v="2011-01-29T00:00:00"/>
    <x v="0"/>
    <x v="0"/>
    <n v="13"/>
    <b v="0"/>
    <n v="6"/>
    <x v="1"/>
    <x v="1"/>
    <m/>
    <n v="0.2273"/>
    <n v="0.55000000000000004"/>
    <n v="0.16420000000000001"/>
    <n v="9"/>
    <n v="56"/>
    <n v="65"/>
    <x v="0"/>
    <x v="1"/>
  </r>
  <r>
    <n v="632"/>
    <d v="2011-01-29T00:00:00"/>
    <x v="0"/>
    <x v="0"/>
    <n v="14"/>
    <b v="0"/>
    <n v="6"/>
    <x v="1"/>
    <x v="1"/>
    <m/>
    <n v="0.2273"/>
    <n v="0.6"/>
    <n v="0.1343"/>
    <n v="10"/>
    <n v="89"/>
    <n v="99"/>
    <x v="0"/>
    <x v="1"/>
  </r>
  <r>
    <n v="633"/>
    <d v="2011-01-29T00:00:00"/>
    <x v="0"/>
    <x v="0"/>
    <n v="15"/>
    <b v="0"/>
    <n v="6"/>
    <x v="0"/>
    <x v="1"/>
    <m/>
    <n v="0.21210000000000001"/>
    <n v="0.69"/>
    <n v="0.25369999999999998"/>
    <n v="22"/>
    <n v="98"/>
    <n v="120"/>
    <x v="0"/>
    <x v="1"/>
  </r>
  <r>
    <n v="634"/>
    <d v="2011-01-29T00:00:00"/>
    <x v="0"/>
    <x v="0"/>
    <n v="16"/>
    <b v="0"/>
    <n v="6"/>
    <x v="0"/>
    <x v="0"/>
    <m/>
    <n v="0.2424"/>
    <n v="0.6"/>
    <n v="0.16420000000000001"/>
    <n v="19"/>
    <n v="88"/>
    <n v="107"/>
    <x v="0"/>
    <x v="2"/>
  </r>
  <r>
    <n v="635"/>
    <d v="2011-01-29T00:00:00"/>
    <x v="0"/>
    <x v="0"/>
    <n v="17"/>
    <b v="0"/>
    <n v="6"/>
    <x v="0"/>
    <x v="0"/>
    <m/>
    <n v="0.28789999999999999"/>
    <n v="0.6"/>
    <n v="0"/>
    <n v="9"/>
    <n v="82"/>
    <n v="91"/>
    <x v="0"/>
    <x v="2"/>
  </r>
  <r>
    <n v="636"/>
    <d v="2011-01-29T00:00:00"/>
    <x v="0"/>
    <x v="0"/>
    <n v="18"/>
    <b v="0"/>
    <n v="6"/>
    <x v="0"/>
    <x v="1"/>
    <m/>
    <n v="0.2273"/>
    <n v="0.69"/>
    <n v="0.1343"/>
    <n v="9"/>
    <n v="59"/>
    <n v="68"/>
    <x v="0"/>
    <x v="2"/>
  </r>
  <r>
    <n v="637"/>
    <d v="2011-01-29T00:00:00"/>
    <x v="0"/>
    <x v="0"/>
    <n v="19"/>
    <b v="0"/>
    <n v="6"/>
    <x v="1"/>
    <x v="1"/>
    <m/>
    <n v="0.21210000000000001"/>
    <n v="0.69"/>
    <n v="0.25369999999999998"/>
    <n v="6"/>
    <n v="52"/>
    <n v="58"/>
    <x v="0"/>
    <x v="2"/>
  </r>
  <r>
    <n v="638"/>
    <d v="2011-01-29T00:00:00"/>
    <x v="0"/>
    <x v="0"/>
    <n v="20"/>
    <b v="0"/>
    <n v="6"/>
    <x v="0"/>
    <x v="15"/>
    <m/>
    <n v="0.21210000000000001"/>
    <n v="0.74"/>
    <n v="8.9599999999999999E-2"/>
    <n v="1"/>
    <n v="42"/>
    <n v="43"/>
    <x v="0"/>
    <x v="2"/>
  </r>
  <r>
    <n v="639"/>
    <d v="2011-01-29T00:00:00"/>
    <x v="0"/>
    <x v="0"/>
    <n v="21"/>
    <b v="0"/>
    <n v="6"/>
    <x v="0"/>
    <x v="15"/>
    <m/>
    <n v="0.21210000000000001"/>
    <n v="0.74"/>
    <n v="8.9599999999999999E-2"/>
    <n v="1"/>
    <n v="35"/>
    <n v="36"/>
    <x v="0"/>
    <x v="3"/>
  </r>
  <r>
    <n v="640"/>
    <d v="2011-01-29T00:00:00"/>
    <x v="0"/>
    <x v="0"/>
    <n v="22"/>
    <b v="0"/>
    <n v="6"/>
    <x v="0"/>
    <x v="13"/>
    <m/>
    <n v="0.19700000000000001"/>
    <n v="0.8"/>
    <n v="8.9599999999999999E-2"/>
    <n v="4"/>
    <n v="28"/>
    <n v="32"/>
    <x v="0"/>
    <x v="3"/>
  </r>
  <r>
    <n v="641"/>
    <d v="2011-01-29T00:00:00"/>
    <x v="0"/>
    <x v="0"/>
    <n v="23"/>
    <b v="0"/>
    <n v="6"/>
    <x v="0"/>
    <x v="13"/>
    <m/>
    <n v="0.19700000000000001"/>
    <n v="0.8"/>
    <n v="8.9599999999999999E-2"/>
    <n v="3"/>
    <n v="30"/>
    <n v="33"/>
    <x v="0"/>
    <x v="3"/>
  </r>
  <r>
    <n v="642"/>
    <d v="2011-01-30T00:00:00"/>
    <x v="0"/>
    <x v="0"/>
    <n v="0"/>
    <b v="0"/>
    <n v="0"/>
    <x v="0"/>
    <x v="13"/>
    <m/>
    <n v="0.18179999999999999"/>
    <n v="0.8"/>
    <n v="0.1045"/>
    <n v="0"/>
    <n v="33"/>
    <n v="33"/>
    <x v="1"/>
    <x v="0"/>
  </r>
  <r>
    <n v="643"/>
    <d v="2011-01-30T00:00:00"/>
    <x v="0"/>
    <x v="0"/>
    <n v="1"/>
    <b v="0"/>
    <n v="0"/>
    <x v="0"/>
    <x v="14"/>
    <m/>
    <n v="0.21210000000000001"/>
    <n v="0.8"/>
    <n v="0"/>
    <n v="7"/>
    <n v="22"/>
    <n v="29"/>
    <x v="1"/>
    <x v="0"/>
  </r>
  <r>
    <n v="644"/>
    <d v="2011-01-30T00:00:00"/>
    <x v="0"/>
    <x v="0"/>
    <n v="2"/>
    <b v="0"/>
    <n v="0"/>
    <x v="0"/>
    <x v="13"/>
    <m/>
    <n v="0.2273"/>
    <n v="0.8"/>
    <n v="0"/>
    <n v="1"/>
    <n v="10"/>
    <n v="11"/>
    <x v="1"/>
    <x v="0"/>
  </r>
  <r>
    <n v="645"/>
    <d v="2011-01-30T00:00:00"/>
    <x v="0"/>
    <x v="0"/>
    <n v="3"/>
    <b v="0"/>
    <n v="0"/>
    <x v="0"/>
    <x v="14"/>
    <m/>
    <n v="0.21210000000000001"/>
    <n v="0.93"/>
    <n v="0"/>
    <n v="1"/>
    <n v="7"/>
    <n v="8"/>
    <x v="1"/>
    <x v="0"/>
  </r>
  <r>
    <n v="646"/>
    <d v="2011-01-30T00:00:00"/>
    <x v="0"/>
    <x v="0"/>
    <n v="4"/>
    <b v="0"/>
    <n v="0"/>
    <x v="0"/>
    <x v="14"/>
    <m/>
    <n v="0.21210000000000001"/>
    <n v="0.93"/>
    <n v="0"/>
    <n v="0"/>
    <n v="1"/>
    <n v="1"/>
    <x v="1"/>
    <x v="0"/>
  </r>
  <r>
    <n v="647"/>
    <d v="2011-01-30T00:00:00"/>
    <x v="0"/>
    <x v="0"/>
    <n v="5"/>
    <b v="0"/>
    <n v="0"/>
    <x v="0"/>
    <x v="14"/>
    <m/>
    <n v="0.21210000000000001"/>
    <n v="0.86"/>
    <n v="0"/>
    <n v="0"/>
    <n v="3"/>
    <n v="3"/>
    <x v="1"/>
    <x v="0"/>
  </r>
  <r>
    <n v="648"/>
    <d v="2011-01-30T00:00:00"/>
    <x v="0"/>
    <x v="0"/>
    <n v="7"/>
    <b v="0"/>
    <n v="0"/>
    <x v="0"/>
    <x v="14"/>
    <m/>
    <n v="0.21210000000000001"/>
    <n v="0.86"/>
    <n v="0"/>
    <n v="0"/>
    <n v="3"/>
    <n v="3"/>
    <x v="1"/>
    <x v="0"/>
  </r>
  <r>
    <n v="649"/>
    <d v="2011-01-30T00:00:00"/>
    <x v="0"/>
    <x v="0"/>
    <n v="8"/>
    <b v="0"/>
    <n v="0"/>
    <x v="1"/>
    <x v="14"/>
    <m/>
    <n v="0.21210000000000001"/>
    <n v="0.86"/>
    <n v="0"/>
    <n v="1"/>
    <n v="11"/>
    <n v="12"/>
    <x v="1"/>
    <x v="0"/>
  </r>
  <r>
    <n v="650"/>
    <d v="2011-01-30T00:00:00"/>
    <x v="0"/>
    <x v="0"/>
    <n v="9"/>
    <b v="0"/>
    <n v="0"/>
    <x v="1"/>
    <x v="13"/>
    <m/>
    <n v="0.2273"/>
    <n v="0.8"/>
    <n v="0"/>
    <n v="4"/>
    <n v="34"/>
    <n v="38"/>
    <x v="1"/>
    <x v="0"/>
  </r>
  <r>
    <n v="651"/>
    <d v="2011-01-30T00:00:00"/>
    <x v="0"/>
    <x v="0"/>
    <n v="10"/>
    <b v="0"/>
    <n v="0"/>
    <x v="1"/>
    <x v="15"/>
    <m/>
    <n v="0.2424"/>
    <n v="0.8"/>
    <n v="0"/>
    <n v="7"/>
    <n v="57"/>
    <n v="64"/>
    <x v="1"/>
    <x v="0"/>
  </r>
  <r>
    <n v="652"/>
    <d v="2011-01-30T00:00:00"/>
    <x v="0"/>
    <x v="0"/>
    <n v="11"/>
    <b v="0"/>
    <n v="0"/>
    <x v="0"/>
    <x v="1"/>
    <m/>
    <n v="0.2727"/>
    <n v="0.75"/>
    <n v="0"/>
    <n v="9"/>
    <n v="50"/>
    <n v="59"/>
    <x v="1"/>
    <x v="0"/>
  </r>
  <r>
    <n v="653"/>
    <d v="2011-01-30T00:00:00"/>
    <x v="0"/>
    <x v="0"/>
    <n v="12"/>
    <b v="0"/>
    <n v="0"/>
    <x v="0"/>
    <x v="11"/>
    <m/>
    <n v="0.31819999999999998"/>
    <n v="0.52"/>
    <n v="0.1045"/>
    <n v="10"/>
    <n v="87"/>
    <n v="97"/>
    <x v="1"/>
    <x v="1"/>
  </r>
  <r>
    <n v="654"/>
    <d v="2011-01-30T00:00:00"/>
    <x v="0"/>
    <x v="0"/>
    <n v="13"/>
    <b v="0"/>
    <n v="0"/>
    <x v="0"/>
    <x v="17"/>
    <m/>
    <n v="0.28789999999999999"/>
    <n v="0.61"/>
    <n v="0.1045"/>
    <n v="13"/>
    <n v="71"/>
    <n v="84"/>
    <x v="1"/>
    <x v="1"/>
  </r>
  <r>
    <n v="655"/>
    <d v="2011-01-30T00:00:00"/>
    <x v="0"/>
    <x v="0"/>
    <n v="14"/>
    <b v="0"/>
    <n v="0"/>
    <x v="0"/>
    <x v="17"/>
    <m/>
    <n v="0.30299999999999999"/>
    <n v="0.61"/>
    <n v="8.9599999999999999E-2"/>
    <n v="18"/>
    <n v="104"/>
    <n v="122"/>
    <x v="1"/>
    <x v="1"/>
  </r>
  <r>
    <n v="656"/>
    <d v="2011-01-30T00:00:00"/>
    <x v="0"/>
    <x v="0"/>
    <n v="15"/>
    <b v="0"/>
    <n v="0"/>
    <x v="0"/>
    <x v="11"/>
    <m/>
    <n v="0.33329999999999999"/>
    <n v="0.56000000000000005"/>
    <n v="0"/>
    <n v="14"/>
    <n v="95"/>
    <n v="109"/>
    <x v="1"/>
    <x v="1"/>
  </r>
  <r>
    <n v="657"/>
    <d v="2011-01-30T00:00:00"/>
    <x v="0"/>
    <x v="0"/>
    <n v="16"/>
    <b v="0"/>
    <n v="0"/>
    <x v="0"/>
    <x v="11"/>
    <m/>
    <n v="0.33329999999999999"/>
    <n v="0.56000000000000005"/>
    <n v="0"/>
    <n v="19"/>
    <n v="104"/>
    <n v="123"/>
    <x v="1"/>
    <x v="2"/>
  </r>
  <r>
    <n v="658"/>
    <d v="2011-01-30T00:00:00"/>
    <x v="0"/>
    <x v="0"/>
    <n v="17"/>
    <b v="0"/>
    <n v="0"/>
    <x v="0"/>
    <x v="11"/>
    <m/>
    <n v="0.28789999999999999"/>
    <n v="0.56000000000000005"/>
    <n v="0.19400000000000001"/>
    <n v="6"/>
    <n v="71"/>
    <n v="77"/>
    <x v="1"/>
    <x v="2"/>
  </r>
  <r>
    <n v="659"/>
    <d v="2011-01-30T00:00:00"/>
    <x v="0"/>
    <x v="0"/>
    <n v="18"/>
    <b v="0"/>
    <n v="0"/>
    <x v="0"/>
    <x v="12"/>
    <m/>
    <n v="0.2576"/>
    <n v="0.65"/>
    <n v="0.16420000000000001"/>
    <n v="8"/>
    <n v="57"/>
    <n v="65"/>
    <x v="1"/>
    <x v="2"/>
  </r>
  <r>
    <n v="660"/>
    <d v="2011-01-30T00:00:00"/>
    <x v="0"/>
    <x v="0"/>
    <n v="19"/>
    <b v="0"/>
    <n v="0"/>
    <x v="0"/>
    <x v="12"/>
    <m/>
    <n v="0.2576"/>
    <n v="0.65"/>
    <n v="0.19400000000000001"/>
    <n v="9"/>
    <n v="46"/>
    <n v="55"/>
    <x v="1"/>
    <x v="2"/>
  </r>
  <r>
    <n v="661"/>
    <d v="2011-01-30T00:00:00"/>
    <x v="0"/>
    <x v="0"/>
    <n v="20"/>
    <b v="0"/>
    <n v="0"/>
    <x v="1"/>
    <x v="12"/>
    <m/>
    <n v="0.2727"/>
    <n v="0.65"/>
    <n v="0.1045"/>
    <n v="3"/>
    <n v="30"/>
    <n v="33"/>
    <x v="1"/>
    <x v="2"/>
  </r>
  <r>
    <n v="662"/>
    <d v="2011-01-30T00:00:00"/>
    <x v="0"/>
    <x v="0"/>
    <n v="21"/>
    <b v="0"/>
    <n v="0"/>
    <x v="1"/>
    <x v="0"/>
    <m/>
    <n v="0.2424"/>
    <n v="0.7"/>
    <n v="0.16420000000000001"/>
    <n v="3"/>
    <n v="25"/>
    <n v="28"/>
    <x v="1"/>
    <x v="3"/>
  </r>
  <r>
    <n v="663"/>
    <d v="2011-01-30T00:00:00"/>
    <x v="0"/>
    <x v="0"/>
    <n v="22"/>
    <b v="0"/>
    <n v="0"/>
    <x v="1"/>
    <x v="0"/>
    <m/>
    <n v="0.2273"/>
    <n v="0.7"/>
    <n v="0.19400000000000001"/>
    <n v="2"/>
    <n v="19"/>
    <n v="21"/>
    <x v="1"/>
    <x v="3"/>
  </r>
  <r>
    <n v="664"/>
    <d v="2011-01-30T00:00:00"/>
    <x v="0"/>
    <x v="0"/>
    <n v="23"/>
    <b v="0"/>
    <n v="0"/>
    <x v="1"/>
    <x v="0"/>
    <m/>
    <n v="0.21210000000000001"/>
    <n v="0.65"/>
    <n v="0.28360000000000002"/>
    <n v="5"/>
    <n v="16"/>
    <n v="21"/>
    <x v="1"/>
    <x v="3"/>
  </r>
  <r>
    <n v="665"/>
    <d v="2011-01-31T00:00:00"/>
    <x v="0"/>
    <x v="0"/>
    <n v="0"/>
    <b v="0"/>
    <n v="1"/>
    <x v="1"/>
    <x v="0"/>
    <m/>
    <n v="0.2273"/>
    <n v="0.65"/>
    <n v="0.22389999999999999"/>
    <n v="1"/>
    <n v="6"/>
    <n v="7"/>
    <x v="1"/>
    <x v="0"/>
  </r>
  <r>
    <n v="666"/>
    <d v="2011-01-31T00:00:00"/>
    <x v="0"/>
    <x v="0"/>
    <n v="1"/>
    <b v="0"/>
    <n v="1"/>
    <x v="0"/>
    <x v="1"/>
    <m/>
    <n v="0.21210000000000001"/>
    <n v="0.64"/>
    <n v="0.25369999999999998"/>
    <n v="2"/>
    <n v="5"/>
    <n v="7"/>
    <x v="1"/>
    <x v="0"/>
  </r>
  <r>
    <n v="667"/>
    <d v="2011-01-31T00:00:00"/>
    <x v="0"/>
    <x v="0"/>
    <n v="2"/>
    <b v="0"/>
    <n v="1"/>
    <x v="0"/>
    <x v="1"/>
    <m/>
    <n v="0.2273"/>
    <n v="0.64"/>
    <n v="0.19400000000000001"/>
    <n v="0"/>
    <n v="1"/>
    <n v="1"/>
    <x v="1"/>
    <x v="0"/>
  </r>
  <r>
    <n v="668"/>
    <d v="2011-01-31T00:00:00"/>
    <x v="0"/>
    <x v="0"/>
    <n v="3"/>
    <b v="0"/>
    <n v="1"/>
    <x v="0"/>
    <x v="1"/>
    <m/>
    <n v="0.2273"/>
    <n v="0.64"/>
    <n v="0.19400000000000001"/>
    <n v="0"/>
    <n v="2"/>
    <n v="2"/>
    <x v="1"/>
    <x v="0"/>
  </r>
  <r>
    <n v="669"/>
    <d v="2011-01-31T00:00:00"/>
    <x v="0"/>
    <x v="0"/>
    <n v="4"/>
    <b v="0"/>
    <n v="1"/>
    <x v="0"/>
    <x v="2"/>
    <m/>
    <n v="0.19700000000000001"/>
    <n v="0.59"/>
    <n v="0.22389999999999999"/>
    <n v="0"/>
    <n v="2"/>
    <n v="2"/>
    <x v="1"/>
    <x v="0"/>
  </r>
  <r>
    <n v="670"/>
    <d v="2011-01-31T00:00:00"/>
    <x v="0"/>
    <x v="0"/>
    <n v="5"/>
    <b v="0"/>
    <n v="1"/>
    <x v="0"/>
    <x v="15"/>
    <m/>
    <n v="0.16669999999999999"/>
    <n v="0.64"/>
    <n v="0.28360000000000002"/>
    <n v="0"/>
    <n v="8"/>
    <n v="8"/>
    <x v="1"/>
    <x v="0"/>
  </r>
  <r>
    <n v="671"/>
    <d v="2011-01-31T00:00:00"/>
    <x v="0"/>
    <x v="0"/>
    <n v="6"/>
    <b v="0"/>
    <n v="1"/>
    <x v="0"/>
    <x v="13"/>
    <m/>
    <n v="0.13639999999999999"/>
    <n v="0.69"/>
    <n v="0.32840000000000003"/>
    <n v="0"/>
    <n v="37"/>
    <n v="37"/>
    <x v="1"/>
    <x v="0"/>
  </r>
  <r>
    <n v="672"/>
    <d v="2011-01-31T00:00:00"/>
    <x v="0"/>
    <x v="0"/>
    <n v="7"/>
    <b v="0"/>
    <n v="1"/>
    <x v="1"/>
    <x v="13"/>
    <m/>
    <n v="0.13639999999999999"/>
    <n v="0.64"/>
    <n v="0.28360000000000002"/>
    <n v="1"/>
    <n v="71"/>
    <n v="72"/>
    <x v="1"/>
    <x v="0"/>
  </r>
  <r>
    <n v="673"/>
    <d v="2011-01-31T00:00:00"/>
    <x v="0"/>
    <x v="0"/>
    <n v="8"/>
    <b v="0"/>
    <n v="1"/>
    <x v="1"/>
    <x v="13"/>
    <m/>
    <n v="0.13639999999999999"/>
    <n v="0.59"/>
    <n v="0.28360000000000002"/>
    <n v="3"/>
    <n v="182"/>
    <n v="185"/>
    <x v="1"/>
    <x v="0"/>
  </r>
  <r>
    <n v="674"/>
    <d v="2011-01-31T00:00:00"/>
    <x v="0"/>
    <x v="0"/>
    <n v="9"/>
    <b v="0"/>
    <n v="1"/>
    <x v="1"/>
    <x v="13"/>
    <m/>
    <n v="0.13639999999999999"/>
    <n v="0.59"/>
    <n v="0.29849999999999999"/>
    <n v="0"/>
    <n v="112"/>
    <n v="112"/>
    <x v="1"/>
    <x v="0"/>
  </r>
  <r>
    <n v="675"/>
    <d v="2011-01-31T00:00:00"/>
    <x v="0"/>
    <x v="0"/>
    <n v="10"/>
    <b v="0"/>
    <n v="1"/>
    <x v="1"/>
    <x v="13"/>
    <m/>
    <n v="0.1515"/>
    <n v="0.59"/>
    <n v="0.19400000000000001"/>
    <n v="1"/>
    <n v="68"/>
    <n v="69"/>
    <x v="1"/>
    <x v="0"/>
  </r>
  <r>
    <n v="676"/>
    <d v="2011-01-31T00:00:00"/>
    <x v="0"/>
    <x v="0"/>
    <n v="11"/>
    <b v="0"/>
    <n v="1"/>
    <x v="1"/>
    <x v="13"/>
    <m/>
    <n v="0.1515"/>
    <n v="0.59"/>
    <n v="0.19400000000000001"/>
    <n v="2"/>
    <n v="46"/>
    <n v="48"/>
    <x v="1"/>
    <x v="0"/>
  </r>
  <r>
    <n v="677"/>
    <d v="2011-01-31T00:00:00"/>
    <x v="0"/>
    <x v="0"/>
    <n v="12"/>
    <b v="0"/>
    <n v="1"/>
    <x v="1"/>
    <x v="15"/>
    <m/>
    <n v="0.21210000000000001"/>
    <n v="0.55000000000000004"/>
    <n v="0.1045"/>
    <n v="6"/>
    <n v="62"/>
    <n v="68"/>
    <x v="1"/>
    <x v="1"/>
  </r>
  <r>
    <n v="678"/>
    <d v="2011-01-31T00:00:00"/>
    <x v="0"/>
    <x v="0"/>
    <n v="13"/>
    <b v="0"/>
    <n v="1"/>
    <x v="1"/>
    <x v="13"/>
    <m/>
    <n v="0.2273"/>
    <n v="0.59"/>
    <n v="0"/>
    <n v="2"/>
    <n v="52"/>
    <n v="54"/>
    <x v="1"/>
    <x v="1"/>
  </r>
  <r>
    <n v="679"/>
    <d v="2011-01-31T00:00:00"/>
    <x v="0"/>
    <x v="0"/>
    <n v="14"/>
    <b v="0"/>
    <n v="1"/>
    <x v="1"/>
    <x v="15"/>
    <m/>
    <n v="0.19700000000000001"/>
    <n v="0.55000000000000004"/>
    <n v="0.1343"/>
    <n v="1"/>
    <n v="85"/>
    <n v="86"/>
    <x v="1"/>
    <x v="1"/>
  </r>
  <r>
    <n v="680"/>
    <d v="2011-01-31T00:00:00"/>
    <x v="0"/>
    <x v="0"/>
    <n v="15"/>
    <b v="0"/>
    <n v="1"/>
    <x v="1"/>
    <x v="13"/>
    <m/>
    <n v="0.18179999999999999"/>
    <n v="0.59"/>
    <n v="0.1343"/>
    <n v="3"/>
    <n v="41"/>
    <n v="44"/>
    <x v="1"/>
    <x v="1"/>
  </r>
  <r>
    <n v="681"/>
    <d v="2011-01-31T00:00:00"/>
    <x v="0"/>
    <x v="0"/>
    <n v="16"/>
    <b v="0"/>
    <n v="1"/>
    <x v="1"/>
    <x v="13"/>
    <m/>
    <n v="0.18179999999999999"/>
    <n v="0.56000000000000005"/>
    <n v="0.19400000000000001"/>
    <n v="3"/>
    <n v="83"/>
    <n v="86"/>
    <x v="1"/>
    <x v="2"/>
  </r>
  <r>
    <n v="682"/>
    <d v="2011-01-31T00:00:00"/>
    <x v="0"/>
    <x v="0"/>
    <n v="17"/>
    <b v="0"/>
    <n v="1"/>
    <x v="1"/>
    <x v="13"/>
    <m/>
    <n v="0.1515"/>
    <n v="0.59"/>
    <n v="0.19400000000000001"/>
    <n v="6"/>
    <n v="155"/>
    <n v="161"/>
    <x v="1"/>
    <x v="2"/>
  </r>
  <r>
    <n v="683"/>
    <d v="2011-01-31T00:00:00"/>
    <x v="0"/>
    <x v="0"/>
    <n v="18"/>
    <b v="0"/>
    <n v="1"/>
    <x v="1"/>
    <x v="13"/>
    <m/>
    <n v="0.1515"/>
    <n v="0.55000000000000004"/>
    <n v="0.22389999999999999"/>
    <n v="3"/>
    <n v="153"/>
    <n v="156"/>
    <x v="1"/>
    <x v="2"/>
  </r>
  <r>
    <n v="684"/>
    <d v="2011-01-31T00:00:00"/>
    <x v="0"/>
    <x v="0"/>
    <n v="19"/>
    <b v="0"/>
    <n v="1"/>
    <x v="0"/>
    <x v="11"/>
    <m/>
    <n v="0.31819999999999998"/>
    <n v="0.61"/>
    <n v="0.1045"/>
    <n v="3"/>
    <n v="108"/>
    <n v="111"/>
    <x v="1"/>
    <x v="2"/>
  </r>
  <r>
    <n v="685"/>
    <d v="2011-01-31T00:00:00"/>
    <x v="0"/>
    <x v="0"/>
    <n v="20"/>
    <b v="0"/>
    <n v="1"/>
    <x v="2"/>
    <x v="13"/>
    <m/>
    <n v="0.16669999999999999"/>
    <n v="0.59"/>
    <n v="0.16420000000000001"/>
    <n v="0"/>
    <n v="78"/>
    <n v="78"/>
    <x v="1"/>
    <x v="2"/>
  </r>
  <r>
    <n v="686"/>
    <d v="2011-01-31T00:00:00"/>
    <x v="0"/>
    <x v="0"/>
    <n v="21"/>
    <b v="0"/>
    <n v="1"/>
    <x v="2"/>
    <x v="13"/>
    <m/>
    <n v="0.19700000000000001"/>
    <n v="0.59"/>
    <n v="8.9599999999999999E-2"/>
    <n v="3"/>
    <n v="53"/>
    <n v="56"/>
    <x v="1"/>
    <x v="3"/>
  </r>
  <r>
    <n v="687"/>
    <d v="2011-01-31T00:00:00"/>
    <x v="0"/>
    <x v="0"/>
    <n v="22"/>
    <b v="0"/>
    <n v="1"/>
    <x v="1"/>
    <x v="13"/>
    <m/>
    <n v="0.18179999999999999"/>
    <n v="0.59"/>
    <n v="0.1045"/>
    <n v="0"/>
    <n v="34"/>
    <n v="34"/>
    <x v="1"/>
    <x v="3"/>
  </r>
  <r>
    <n v="688"/>
    <d v="2011-01-31T00:00:00"/>
    <x v="0"/>
    <x v="0"/>
    <n v="23"/>
    <b v="0"/>
    <n v="1"/>
    <x v="1"/>
    <x v="13"/>
    <m/>
    <n v="0.19700000000000001"/>
    <n v="0.64"/>
    <n v="8.9599999999999999E-2"/>
    <n v="2"/>
    <n v="15"/>
    <n v="17"/>
    <x v="1"/>
    <x v="3"/>
  </r>
  <r>
    <n v="689"/>
    <d v="2011-02-01T00:00:00"/>
    <x v="0"/>
    <x v="1"/>
    <n v="0"/>
    <b v="0"/>
    <n v="2"/>
    <x v="1"/>
    <x v="13"/>
    <m/>
    <n v="0.18179999999999999"/>
    <n v="0.64"/>
    <n v="0.1045"/>
    <n v="2"/>
    <n v="6"/>
    <n v="8"/>
    <x v="1"/>
    <x v="0"/>
  </r>
  <r>
    <n v="690"/>
    <d v="2011-02-01T00:00:00"/>
    <x v="0"/>
    <x v="1"/>
    <n v="1"/>
    <b v="0"/>
    <n v="2"/>
    <x v="1"/>
    <x v="13"/>
    <m/>
    <n v="0.18179999999999999"/>
    <n v="0.69"/>
    <n v="0.1045"/>
    <n v="0"/>
    <n v="3"/>
    <n v="3"/>
    <x v="1"/>
    <x v="0"/>
  </r>
  <r>
    <n v="691"/>
    <d v="2011-02-01T00:00:00"/>
    <x v="0"/>
    <x v="1"/>
    <n v="2"/>
    <b v="0"/>
    <n v="2"/>
    <x v="1"/>
    <x v="13"/>
    <m/>
    <n v="0.2273"/>
    <n v="0.69"/>
    <n v="0"/>
    <n v="0"/>
    <n v="2"/>
    <n v="2"/>
    <x v="1"/>
    <x v="0"/>
  </r>
  <r>
    <n v="692"/>
    <d v="2011-02-01T00:00:00"/>
    <x v="0"/>
    <x v="1"/>
    <n v="3"/>
    <b v="0"/>
    <n v="2"/>
    <x v="1"/>
    <x v="13"/>
    <m/>
    <n v="0.2273"/>
    <n v="0.69"/>
    <n v="0"/>
    <n v="0"/>
    <n v="2"/>
    <n v="2"/>
    <x v="1"/>
    <x v="0"/>
  </r>
  <r>
    <n v="693"/>
    <d v="2011-02-01T00:00:00"/>
    <x v="0"/>
    <x v="1"/>
    <n v="5"/>
    <b v="0"/>
    <n v="2"/>
    <x v="2"/>
    <x v="14"/>
    <m/>
    <n v="0.21210000000000001"/>
    <n v="0.93"/>
    <n v="0"/>
    <n v="0"/>
    <n v="3"/>
    <n v="3"/>
    <x v="1"/>
    <x v="0"/>
  </r>
  <r>
    <n v="694"/>
    <d v="2011-02-01T00:00:00"/>
    <x v="0"/>
    <x v="1"/>
    <n v="6"/>
    <b v="0"/>
    <n v="2"/>
    <x v="2"/>
    <x v="14"/>
    <m/>
    <n v="0.21210000000000001"/>
    <n v="0.93"/>
    <n v="0"/>
    <n v="0"/>
    <n v="22"/>
    <n v="22"/>
    <x v="1"/>
    <x v="0"/>
  </r>
  <r>
    <n v="695"/>
    <d v="2011-02-01T00:00:00"/>
    <x v="0"/>
    <x v="1"/>
    <n v="7"/>
    <b v="0"/>
    <n v="2"/>
    <x v="2"/>
    <x v="13"/>
    <m/>
    <n v="0.2273"/>
    <n v="0.93"/>
    <n v="0"/>
    <n v="0"/>
    <n v="52"/>
    <n v="52"/>
    <x v="1"/>
    <x v="0"/>
  </r>
  <r>
    <n v="696"/>
    <d v="2011-02-01T00:00:00"/>
    <x v="0"/>
    <x v="1"/>
    <n v="8"/>
    <b v="0"/>
    <n v="2"/>
    <x v="2"/>
    <x v="13"/>
    <m/>
    <n v="0.2273"/>
    <n v="0.93"/>
    <n v="0"/>
    <n v="3"/>
    <n v="132"/>
    <n v="135"/>
    <x v="1"/>
    <x v="0"/>
  </r>
  <r>
    <n v="697"/>
    <d v="2011-02-01T00:00:00"/>
    <x v="0"/>
    <x v="1"/>
    <n v="9"/>
    <b v="0"/>
    <n v="2"/>
    <x v="1"/>
    <x v="13"/>
    <m/>
    <n v="0.2273"/>
    <n v="0.93"/>
    <n v="0"/>
    <n v="2"/>
    <n v="114"/>
    <n v="116"/>
    <x v="1"/>
    <x v="0"/>
  </r>
  <r>
    <n v="698"/>
    <d v="2011-02-01T00:00:00"/>
    <x v="0"/>
    <x v="1"/>
    <n v="10"/>
    <b v="0"/>
    <n v="2"/>
    <x v="1"/>
    <x v="13"/>
    <m/>
    <n v="0.2273"/>
    <n v="0.93"/>
    <n v="0"/>
    <n v="0"/>
    <n v="47"/>
    <n v="47"/>
    <x v="1"/>
    <x v="0"/>
  </r>
  <r>
    <n v="699"/>
    <d v="2011-02-01T00:00:00"/>
    <x v="0"/>
    <x v="1"/>
    <n v="11"/>
    <b v="0"/>
    <n v="2"/>
    <x v="1"/>
    <x v="15"/>
    <m/>
    <n v="0.2424"/>
    <n v="0.86"/>
    <n v="0"/>
    <n v="2"/>
    <n v="49"/>
    <n v="51"/>
    <x v="1"/>
    <x v="0"/>
  </r>
  <r>
    <n v="700"/>
    <d v="2011-02-01T00:00:00"/>
    <x v="0"/>
    <x v="1"/>
    <n v="12"/>
    <b v="0"/>
    <n v="2"/>
    <x v="1"/>
    <x v="2"/>
    <m/>
    <n v="0.2576"/>
    <n v="0.86"/>
    <n v="0"/>
    <n v="2"/>
    <n v="53"/>
    <n v="55"/>
    <x v="1"/>
    <x v="1"/>
  </r>
  <r>
    <n v="701"/>
    <d v="2011-02-01T00:00:00"/>
    <x v="0"/>
    <x v="1"/>
    <n v="13"/>
    <b v="0"/>
    <n v="2"/>
    <x v="1"/>
    <x v="2"/>
    <m/>
    <n v="0.2576"/>
    <n v="0.86"/>
    <n v="0"/>
    <n v="3"/>
    <n v="49"/>
    <n v="52"/>
    <x v="1"/>
    <x v="1"/>
  </r>
  <r>
    <n v="702"/>
    <d v="2011-02-01T00:00:00"/>
    <x v="0"/>
    <x v="1"/>
    <n v="14"/>
    <b v="0"/>
    <n v="2"/>
    <x v="1"/>
    <x v="1"/>
    <m/>
    <n v="0.2576"/>
    <n v="0.8"/>
    <n v="8.9599999999999999E-2"/>
    <n v="5"/>
    <n v="49"/>
    <n v="54"/>
    <x v="1"/>
    <x v="1"/>
  </r>
  <r>
    <n v="703"/>
    <d v="2011-02-01T00:00:00"/>
    <x v="0"/>
    <x v="1"/>
    <n v="15"/>
    <b v="0"/>
    <n v="2"/>
    <x v="1"/>
    <x v="0"/>
    <m/>
    <n v="0.28789999999999999"/>
    <n v="0.75"/>
    <n v="0"/>
    <n v="7"/>
    <n v="45"/>
    <n v="52"/>
    <x v="1"/>
    <x v="1"/>
  </r>
  <r>
    <n v="704"/>
    <d v="2011-02-01T00:00:00"/>
    <x v="0"/>
    <x v="1"/>
    <n v="16"/>
    <b v="0"/>
    <n v="2"/>
    <x v="1"/>
    <x v="0"/>
    <m/>
    <n v="0.2424"/>
    <n v="0.75"/>
    <n v="0.1343"/>
    <n v="3"/>
    <n v="61"/>
    <n v="64"/>
    <x v="1"/>
    <x v="2"/>
  </r>
  <r>
    <n v="705"/>
    <d v="2011-02-01T00:00:00"/>
    <x v="0"/>
    <x v="1"/>
    <n v="17"/>
    <b v="0"/>
    <n v="2"/>
    <x v="1"/>
    <x v="0"/>
    <m/>
    <n v="0.28789999999999999"/>
    <n v="0.75"/>
    <n v="0"/>
    <n v="4"/>
    <n v="172"/>
    <n v="176"/>
    <x v="1"/>
    <x v="2"/>
  </r>
  <r>
    <n v="706"/>
    <d v="2011-02-01T00:00:00"/>
    <x v="0"/>
    <x v="1"/>
    <n v="18"/>
    <b v="0"/>
    <n v="2"/>
    <x v="1"/>
    <x v="0"/>
    <m/>
    <n v="0.2576"/>
    <n v="0.81"/>
    <n v="0.1045"/>
    <n v="3"/>
    <n v="165"/>
    <n v="168"/>
    <x v="1"/>
    <x v="2"/>
  </r>
  <r>
    <n v="707"/>
    <d v="2011-02-01T00:00:00"/>
    <x v="0"/>
    <x v="1"/>
    <n v="19"/>
    <b v="0"/>
    <n v="2"/>
    <x v="1"/>
    <x v="0"/>
    <m/>
    <n v="0.2424"/>
    <n v="0.81"/>
    <n v="0.1343"/>
    <n v="3"/>
    <n v="105"/>
    <n v="108"/>
    <x v="1"/>
    <x v="2"/>
  </r>
  <r>
    <n v="708"/>
    <d v="2011-02-01T00:00:00"/>
    <x v="0"/>
    <x v="1"/>
    <n v="20"/>
    <b v="0"/>
    <n v="2"/>
    <x v="1"/>
    <x v="1"/>
    <m/>
    <n v="0.2273"/>
    <n v="0.87"/>
    <n v="0.1343"/>
    <n v="5"/>
    <n v="69"/>
    <n v="74"/>
    <x v="1"/>
    <x v="2"/>
  </r>
  <r>
    <n v="709"/>
    <d v="2011-02-01T00:00:00"/>
    <x v="0"/>
    <x v="1"/>
    <n v="21"/>
    <b v="0"/>
    <n v="2"/>
    <x v="1"/>
    <x v="1"/>
    <m/>
    <n v="0.2273"/>
    <n v="0.87"/>
    <n v="0.1343"/>
    <n v="0"/>
    <n v="64"/>
    <n v="64"/>
    <x v="1"/>
    <x v="3"/>
  </r>
  <r>
    <n v="710"/>
    <d v="2011-02-01T00:00:00"/>
    <x v="0"/>
    <x v="1"/>
    <n v="22"/>
    <b v="0"/>
    <n v="2"/>
    <x v="1"/>
    <x v="1"/>
    <m/>
    <n v="0.2576"/>
    <n v="0.87"/>
    <n v="8.9599999999999999E-2"/>
    <n v="2"/>
    <n v="34"/>
    <n v="36"/>
    <x v="1"/>
    <x v="3"/>
  </r>
  <r>
    <n v="711"/>
    <d v="2011-02-01T00:00:00"/>
    <x v="0"/>
    <x v="1"/>
    <n v="23"/>
    <b v="0"/>
    <n v="2"/>
    <x v="2"/>
    <x v="2"/>
    <m/>
    <n v="0.19700000000000001"/>
    <n v="0.93"/>
    <n v="0.19400000000000001"/>
    <n v="1"/>
    <n v="15"/>
    <n v="16"/>
    <x v="1"/>
    <x v="3"/>
  </r>
  <r>
    <n v="712"/>
    <d v="2011-02-02T00:00:00"/>
    <x v="0"/>
    <x v="1"/>
    <n v="0"/>
    <b v="0"/>
    <n v="3"/>
    <x v="2"/>
    <x v="1"/>
    <m/>
    <n v="0.2424"/>
    <n v="0.93"/>
    <n v="0.1045"/>
    <n v="0"/>
    <n v="2"/>
    <n v="2"/>
    <x v="1"/>
    <x v="0"/>
  </r>
  <r>
    <n v="713"/>
    <d v="2011-02-02T00:00:00"/>
    <x v="0"/>
    <x v="1"/>
    <n v="1"/>
    <b v="0"/>
    <n v="3"/>
    <x v="2"/>
    <x v="1"/>
    <m/>
    <n v="0.2273"/>
    <n v="0.93"/>
    <n v="0.19400000000000001"/>
    <n v="0"/>
    <n v="3"/>
    <n v="3"/>
    <x v="1"/>
    <x v="0"/>
  </r>
  <r>
    <n v="714"/>
    <d v="2011-02-02T00:00:00"/>
    <x v="0"/>
    <x v="1"/>
    <n v="2"/>
    <b v="0"/>
    <n v="3"/>
    <x v="2"/>
    <x v="1"/>
    <m/>
    <n v="0.2273"/>
    <n v="0.93"/>
    <n v="0.1343"/>
    <n v="4"/>
    <n v="0"/>
    <n v="4"/>
    <x v="1"/>
    <x v="0"/>
  </r>
  <r>
    <n v="715"/>
    <d v="2011-02-02T00:00:00"/>
    <x v="0"/>
    <x v="1"/>
    <n v="3"/>
    <b v="0"/>
    <n v="3"/>
    <x v="2"/>
    <x v="1"/>
    <m/>
    <n v="0.2273"/>
    <n v="0.93"/>
    <n v="0.1343"/>
    <n v="0"/>
    <n v="1"/>
    <n v="1"/>
    <x v="1"/>
    <x v="0"/>
  </r>
  <r>
    <n v="716"/>
    <d v="2011-02-02T00:00:00"/>
    <x v="0"/>
    <x v="1"/>
    <n v="4"/>
    <b v="0"/>
    <n v="3"/>
    <x v="2"/>
    <x v="1"/>
    <m/>
    <n v="0.21210000000000001"/>
    <n v="0.93"/>
    <n v="0.28360000000000002"/>
    <n v="0"/>
    <n v="1"/>
    <n v="1"/>
    <x v="1"/>
    <x v="0"/>
  </r>
  <r>
    <n v="717"/>
    <d v="2011-02-02T00:00:00"/>
    <x v="0"/>
    <x v="1"/>
    <n v="5"/>
    <b v="0"/>
    <n v="3"/>
    <x v="2"/>
    <x v="1"/>
    <m/>
    <n v="0.2424"/>
    <n v="0.93"/>
    <n v="0.1045"/>
    <n v="0"/>
    <n v="3"/>
    <n v="3"/>
    <x v="1"/>
    <x v="0"/>
  </r>
  <r>
    <n v="718"/>
    <d v="2011-02-02T00:00:00"/>
    <x v="0"/>
    <x v="1"/>
    <n v="6"/>
    <b v="0"/>
    <n v="3"/>
    <x v="2"/>
    <x v="1"/>
    <m/>
    <n v="0.2424"/>
    <n v="0.93"/>
    <n v="0.1045"/>
    <n v="1"/>
    <n v="17"/>
    <n v="18"/>
    <x v="1"/>
    <x v="0"/>
  </r>
  <r>
    <n v="719"/>
    <d v="2011-02-02T00:00:00"/>
    <x v="0"/>
    <x v="1"/>
    <n v="7"/>
    <b v="0"/>
    <n v="3"/>
    <x v="2"/>
    <x v="1"/>
    <m/>
    <n v="0.21210000000000001"/>
    <n v="0.93"/>
    <n v="0.22389999999999999"/>
    <n v="1"/>
    <n v="48"/>
    <n v="49"/>
    <x v="1"/>
    <x v="0"/>
  </r>
  <r>
    <n v="720"/>
    <d v="2011-02-02T00:00:00"/>
    <x v="0"/>
    <x v="1"/>
    <n v="8"/>
    <b v="0"/>
    <n v="3"/>
    <x v="2"/>
    <x v="1"/>
    <m/>
    <n v="0.21210000000000001"/>
    <n v="0.93"/>
    <n v="0.22389999999999999"/>
    <n v="1"/>
    <n v="154"/>
    <n v="155"/>
    <x v="1"/>
    <x v="0"/>
  </r>
  <r>
    <n v="721"/>
    <d v="2011-02-02T00:00:00"/>
    <x v="0"/>
    <x v="1"/>
    <n v="9"/>
    <b v="0"/>
    <n v="3"/>
    <x v="1"/>
    <x v="0"/>
    <m/>
    <n v="0.2576"/>
    <n v="0.93"/>
    <n v="8.9599999999999999E-2"/>
    <n v="4"/>
    <n v="119"/>
    <n v="123"/>
    <x v="1"/>
    <x v="0"/>
  </r>
  <r>
    <n v="722"/>
    <d v="2011-02-02T00:00:00"/>
    <x v="0"/>
    <x v="1"/>
    <n v="10"/>
    <b v="0"/>
    <n v="3"/>
    <x v="1"/>
    <x v="1"/>
    <m/>
    <n v="0.2727"/>
    <n v="1"/>
    <n v="0"/>
    <n v="2"/>
    <n v="59"/>
    <n v="61"/>
    <x v="1"/>
    <x v="0"/>
  </r>
  <r>
    <n v="723"/>
    <d v="2011-02-02T00:00:00"/>
    <x v="0"/>
    <x v="1"/>
    <n v="11"/>
    <b v="0"/>
    <n v="3"/>
    <x v="1"/>
    <x v="0"/>
    <m/>
    <n v="0.2273"/>
    <n v="0.93"/>
    <n v="0.19400000000000001"/>
    <n v="5"/>
    <n v="47"/>
    <n v="52"/>
    <x v="1"/>
    <x v="0"/>
  </r>
  <r>
    <n v="724"/>
    <d v="2011-02-02T00:00:00"/>
    <x v="0"/>
    <x v="1"/>
    <n v="12"/>
    <b v="0"/>
    <n v="3"/>
    <x v="1"/>
    <x v="0"/>
    <m/>
    <n v="0.2273"/>
    <n v="0.93"/>
    <n v="0.22389999999999999"/>
    <n v="3"/>
    <n v="61"/>
    <n v="64"/>
    <x v="1"/>
    <x v="1"/>
  </r>
  <r>
    <n v="725"/>
    <d v="2011-02-02T00:00:00"/>
    <x v="0"/>
    <x v="1"/>
    <n v="13"/>
    <b v="0"/>
    <n v="3"/>
    <x v="0"/>
    <x v="10"/>
    <m/>
    <n v="0.33329999999999999"/>
    <n v="0.93"/>
    <n v="0.16420000000000001"/>
    <n v="1"/>
    <n v="74"/>
    <n v="75"/>
    <x v="1"/>
    <x v="1"/>
  </r>
  <r>
    <n v="726"/>
    <d v="2011-02-02T00:00:00"/>
    <x v="0"/>
    <x v="1"/>
    <n v="14"/>
    <b v="0"/>
    <n v="3"/>
    <x v="0"/>
    <x v="4"/>
    <m/>
    <n v="0.39389999999999997"/>
    <n v="0.82"/>
    <n v="0.3881"/>
    <n v="2"/>
    <n v="61"/>
    <n v="63"/>
    <x v="1"/>
    <x v="1"/>
  </r>
  <r>
    <n v="727"/>
    <d v="2011-02-02T00:00:00"/>
    <x v="0"/>
    <x v="1"/>
    <n v="15"/>
    <b v="0"/>
    <n v="3"/>
    <x v="0"/>
    <x v="4"/>
    <m/>
    <n v="0.39389999999999997"/>
    <n v="0.76"/>
    <n v="0.32840000000000003"/>
    <n v="10"/>
    <n v="66"/>
    <n v="76"/>
    <x v="1"/>
    <x v="1"/>
  </r>
  <r>
    <n v="728"/>
    <d v="2011-02-02T00:00:00"/>
    <x v="0"/>
    <x v="1"/>
    <n v="16"/>
    <b v="0"/>
    <n v="3"/>
    <x v="0"/>
    <x v="5"/>
    <m/>
    <n v="0.33329999999999999"/>
    <n v="0.71"/>
    <n v="0.29849999999999999"/>
    <n v="8"/>
    <n v="95"/>
    <n v="103"/>
    <x v="1"/>
    <x v="2"/>
  </r>
  <r>
    <n v="729"/>
    <d v="2011-02-02T00:00:00"/>
    <x v="0"/>
    <x v="1"/>
    <n v="17"/>
    <b v="0"/>
    <n v="3"/>
    <x v="0"/>
    <x v="5"/>
    <m/>
    <n v="0.31819999999999998"/>
    <n v="0.53"/>
    <n v="0.52239999999999998"/>
    <n v="7"/>
    <n v="183"/>
    <n v="190"/>
    <x v="1"/>
    <x v="2"/>
  </r>
  <r>
    <n v="730"/>
    <d v="2011-02-02T00:00:00"/>
    <x v="0"/>
    <x v="1"/>
    <n v="18"/>
    <b v="0"/>
    <n v="3"/>
    <x v="0"/>
    <x v="10"/>
    <m/>
    <n v="0.28789999999999999"/>
    <n v="0.42"/>
    <n v="0.55220000000000002"/>
    <n v="7"/>
    <n v="175"/>
    <n v="182"/>
    <x v="1"/>
    <x v="2"/>
  </r>
  <r>
    <n v="731"/>
    <d v="2011-02-02T00:00:00"/>
    <x v="0"/>
    <x v="1"/>
    <n v="19"/>
    <b v="0"/>
    <n v="3"/>
    <x v="0"/>
    <x v="17"/>
    <m/>
    <n v="0.2424"/>
    <n v="0.45"/>
    <n v="0.49249999999999999"/>
    <n v="3"/>
    <n v="88"/>
    <n v="91"/>
    <x v="1"/>
    <x v="2"/>
  </r>
  <r>
    <n v="732"/>
    <d v="2011-02-02T00:00:00"/>
    <x v="0"/>
    <x v="1"/>
    <n v="20"/>
    <b v="0"/>
    <n v="3"/>
    <x v="0"/>
    <x v="0"/>
    <m/>
    <n v="0.19700000000000001"/>
    <n v="0.48"/>
    <n v="0.55220000000000002"/>
    <n v="4"/>
    <n v="71"/>
    <n v="75"/>
    <x v="1"/>
    <x v="2"/>
  </r>
  <r>
    <n v="733"/>
    <d v="2011-02-02T00:00:00"/>
    <x v="0"/>
    <x v="1"/>
    <n v="21"/>
    <b v="0"/>
    <n v="3"/>
    <x v="0"/>
    <x v="1"/>
    <m/>
    <n v="0.19700000000000001"/>
    <n v="0.47"/>
    <n v="0.32840000000000003"/>
    <n v="1"/>
    <n v="62"/>
    <n v="63"/>
    <x v="1"/>
    <x v="3"/>
  </r>
  <r>
    <n v="734"/>
    <d v="2011-02-02T00:00:00"/>
    <x v="0"/>
    <x v="1"/>
    <n v="22"/>
    <b v="0"/>
    <n v="3"/>
    <x v="0"/>
    <x v="1"/>
    <m/>
    <n v="0.21210000000000001"/>
    <n v="0.44"/>
    <n v="0.25369999999999998"/>
    <n v="5"/>
    <n v="35"/>
    <n v="40"/>
    <x v="1"/>
    <x v="3"/>
  </r>
  <r>
    <n v="735"/>
    <d v="2011-02-02T00:00:00"/>
    <x v="0"/>
    <x v="1"/>
    <n v="23"/>
    <b v="0"/>
    <n v="3"/>
    <x v="0"/>
    <x v="2"/>
    <m/>
    <n v="0.16669999999999999"/>
    <n v="0.44"/>
    <n v="0.44779999999999998"/>
    <n v="3"/>
    <n v="29"/>
    <n v="32"/>
    <x v="1"/>
    <x v="3"/>
  </r>
  <r>
    <n v="736"/>
    <d v="2011-02-03T00:00:00"/>
    <x v="0"/>
    <x v="1"/>
    <n v="0"/>
    <b v="0"/>
    <n v="4"/>
    <x v="0"/>
    <x v="2"/>
    <m/>
    <n v="0.16669999999999999"/>
    <n v="0.4"/>
    <n v="0.44779999999999998"/>
    <n v="1"/>
    <n v="11"/>
    <n v="12"/>
    <x v="1"/>
    <x v="0"/>
  </r>
  <r>
    <n v="737"/>
    <d v="2011-02-03T00:00:00"/>
    <x v="0"/>
    <x v="1"/>
    <n v="1"/>
    <b v="0"/>
    <n v="4"/>
    <x v="0"/>
    <x v="2"/>
    <m/>
    <n v="0.1515"/>
    <n v="0.44"/>
    <n v="0.52239999999999998"/>
    <n v="0"/>
    <n v="5"/>
    <n v="5"/>
    <x v="1"/>
    <x v="0"/>
  </r>
  <r>
    <n v="738"/>
    <d v="2011-02-03T00:00:00"/>
    <x v="0"/>
    <x v="1"/>
    <n v="2"/>
    <b v="0"/>
    <n v="4"/>
    <x v="0"/>
    <x v="15"/>
    <m/>
    <n v="0.16669999999999999"/>
    <n v="0.43"/>
    <n v="0.25369999999999998"/>
    <n v="0"/>
    <n v="2"/>
    <n v="2"/>
    <x v="1"/>
    <x v="0"/>
  </r>
  <r>
    <n v="739"/>
    <d v="2011-02-03T00:00:00"/>
    <x v="0"/>
    <x v="1"/>
    <n v="3"/>
    <b v="0"/>
    <n v="4"/>
    <x v="0"/>
    <x v="15"/>
    <m/>
    <n v="0.16669999999999999"/>
    <n v="0.43"/>
    <n v="0.25369999999999998"/>
    <n v="0"/>
    <n v="1"/>
    <n v="1"/>
    <x v="1"/>
    <x v="0"/>
  </r>
  <r>
    <n v="740"/>
    <d v="2011-02-03T00:00:00"/>
    <x v="0"/>
    <x v="1"/>
    <n v="5"/>
    <b v="0"/>
    <n v="4"/>
    <x v="0"/>
    <x v="13"/>
    <m/>
    <n v="0.13639999999999999"/>
    <n v="0.5"/>
    <n v="0.29849999999999999"/>
    <n v="0"/>
    <n v="2"/>
    <n v="2"/>
    <x v="1"/>
    <x v="0"/>
  </r>
  <r>
    <n v="741"/>
    <d v="2011-02-03T00:00:00"/>
    <x v="0"/>
    <x v="1"/>
    <n v="6"/>
    <b v="0"/>
    <n v="4"/>
    <x v="0"/>
    <x v="13"/>
    <m/>
    <n v="0.13639999999999999"/>
    <n v="0.43"/>
    <n v="0.35820000000000002"/>
    <n v="0"/>
    <n v="39"/>
    <n v="39"/>
    <x v="1"/>
    <x v="0"/>
  </r>
  <r>
    <n v="742"/>
    <d v="2011-02-03T00:00:00"/>
    <x v="0"/>
    <x v="1"/>
    <n v="7"/>
    <b v="0"/>
    <n v="4"/>
    <x v="0"/>
    <x v="14"/>
    <m/>
    <n v="0.1212"/>
    <n v="0.5"/>
    <n v="0.32840000000000003"/>
    <n v="1"/>
    <n v="86"/>
    <n v="87"/>
    <x v="1"/>
    <x v="0"/>
  </r>
  <r>
    <n v="743"/>
    <d v="2011-02-03T00:00:00"/>
    <x v="0"/>
    <x v="1"/>
    <n v="8"/>
    <b v="0"/>
    <n v="4"/>
    <x v="0"/>
    <x v="14"/>
    <m/>
    <n v="0.1212"/>
    <n v="0.5"/>
    <n v="0.35820000000000002"/>
    <n v="4"/>
    <n v="184"/>
    <n v="188"/>
    <x v="1"/>
    <x v="0"/>
  </r>
  <r>
    <n v="744"/>
    <d v="2011-02-03T00:00:00"/>
    <x v="0"/>
    <x v="1"/>
    <n v="9"/>
    <b v="0"/>
    <n v="4"/>
    <x v="0"/>
    <x v="13"/>
    <m/>
    <n v="0.13639999999999999"/>
    <n v="0.47"/>
    <n v="0.29849999999999999"/>
    <n v="6"/>
    <n v="127"/>
    <n v="133"/>
    <x v="1"/>
    <x v="0"/>
  </r>
  <r>
    <n v="745"/>
    <d v="2011-02-03T00:00:00"/>
    <x v="0"/>
    <x v="1"/>
    <n v="10"/>
    <b v="0"/>
    <n v="4"/>
    <x v="0"/>
    <x v="15"/>
    <m/>
    <n v="0.1515"/>
    <n v="0.43"/>
    <n v="0.32840000000000003"/>
    <n v="2"/>
    <n v="50"/>
    <n v="52"/>
    <x v="1"/>
    <x v="0"/>
  </r>
  <r>
    <n v="746"/>
    <d v="2011-02-03T00:00:00"/>
    <x v="0"/>
    <x v="1"/>
    <n v="11"/>
    <b v="0"/>
    <n v="4"/>
    <x v="0"/>
    <x v="15"/>
    <m/>
    <n v="0.13639999999999999"/>
    <n v="0.43"/>
    <n v="0.44779999999999998"/>
    <n v="9"/>
    <n v="55"/>
    <n v="64"/>
    <x v="1"/>
    <x v="0"/>
  </r>
  <r>
    <n v="747"/>
    <d v="2011-02-03T00:00:00"/>
    <x v="0"/>
    <x v="1"/>
    <n v="12"/>
    <b v="0"/>
    <n v="4"/>
    <x v="0"/>
    <x v="2"/>
    <m/>
    <n v="0.18179999999999999"/>
    <n v="0.4"/>
    <n v="0.35820000000000002"/>
    <n v="2"/>
    <n v="67"/>
    <n v="69"/>
    <x v="1"/>
    <x v="1"/>
  </r>
  <r>
    <n v="748"/>
    <d v="2011-02-03T00:00:00"/>
    <x v="0"/>
    <x v="1"/>
    <n v="13"/>
    <b v="0"/>
    <n v="4"/>
    <x v="0"/>
    <x v="2"/>
    <m/>
    <n v="0.16669999999999999"/>
    <n v="0.4"/>
    <n v="0.41789999999999999"/>
    <n v="4"/>
    <n v="47"/>
    <n v="51"/>
    <x v="1"/>
    <x v="1"/>
  </r>
  <r>
    <n v="749"/>
    <d v="2011-02-03T00:00:00"/>
    <x v="0"/>
    <x v="1"/>
    <n v="14"/>
    <b v="0"/>
    <n v="4"/>
    <x v="0"/>
    <x v="1"/>
    <m/>
    <n v="0.19700000000000001"/>
    <n v="0.37"/>
    <n v="0.3881"/>
    <n v="4"/>
    <n v="43"/>
    <n v="47"/>
    <x v="1"/>
    <x v="1"/>
  </r>
  <r>
    <n v="750"/>
    <d v="2011-02-03T00:00:00"/>
    <x v="0"/>
    <x v="1"/>
    <n v="15"/>
    <b v="0"/>
    <n v="4"/>
    <x v="0"/>
    <x v="1"/>
    <m/>
    <n v="0.19700000000000001"/>
    <n v="0.37"/>
    <n v="0.32840000000000003"/>
    <n v="4"/>
    <n v="56"/>
    <n v="60"/>
    <x v="1"/>
    <x v="1"/>
  </r>
  <r>
    <n v="751"/>
    <d v="2011-02-03T00:00:00"/>
    <x v="0"/>
    <x v="1"/>
    <n v="16"/>
    <b v="0"/>
    <n v="4"/>
    <x v="0"/>
    <x v="1"/>
    <m/>
    <n v="0.21210000000000001"/>
    <n v="0.37"/>
    <n v="0.25369999999999998"/>
    <n v="5"/>
    <n v="73"/>
    <n v="78"/>
    <x v="1"/>
    <x v="2"/>
  </r>
  <r>
    <n v="752"/>
    <d v="2011-02-03T00:00:00"/>
    <x v="0"/>
    <x v="1"/>
    <n v="17"/>
    <b v="0"/>
    <n v="4"/>
    <x v="0"/>
    <x v="2"/>
    <m/>
    <n v="0.19700000000000001"/>
    <n v="0.4"/>
    <n v="0.19400000000000001"/>
    <n v="5"/>
    <n v="170"/>
    <n v="175"/>
    <x v="1"/>
    <x v="2"/>
  </r>
  <r>
    <n v="753"/>
    <d v="2011-02-03T00:00:00"/>
    <x v="0"/>
    <x v="1"/>
    <n v="18"/>
    <b v="0"/>
    <n v="4"/>
    <x v="0"/>
    <x v="2"/>
    <m/>
    <n v="0.21210000000000001"/>
    <n v="0.4"/>
    <n v="0.16420000000000001"/>
    <n v="2"/>
    <n v="145"/>
    <n v="147"/>
    <x v="1"/>
    <x v="2"/>
  </r>
  <r>
    <n v="754"/>
    <d v="2011-02-03T00:00:00"/>
    <x v="0"/>
    <x v="1"/>
    <n v="19"/>
    <b v="0"/>
    <n v="4"/>
    <x v="0"/>
    <x v="2"/>
    <m/>
    <n v="0.2576"/>
    <n v="0.4"/>
    <n v="0"/>
    <n v="4"/>
    <n v="92"/>
    <n v="96"/>
    <x v="1"/>
    <x v="2"/>
  </r>
  <r>
    <n v="755"/>
    <d v="2011-02-03T00:00:00"/>
    <x v="0"/>
    <x v="1"/>
    <n v="20"/>
    <b v="0"/>
    <n v="4"/>
    <x v="0"/>
    <x v="2"/>
    <m/>
    <n v="0.2273"/>
    <n v="0.47"/>
    <n v="8.9599999999999999E-2"/>
    <n v="1"/>
    <n v="108"/>
    <n v="109"/>
    <x v="1"/>
    <x v="2"/>
  </r>
  <r>
    <n v="756"/>
    <d v="2011-02-03T00:00:00"/>
    <x v="0"/>
    <x v="1"/>
    <n v="21"/>
    <b v="0"/>
    <n v="4"/>
    <x v="0"/>
    <x v="15"/>
    <m/>
    <n v="0.21210000000000001"/>
    <n v="0.55000000000000004"/>
    <n v="0.1045"/>
    <n v="1"/>
    <n v="53"/>
    <n v="54"/>
    <x v="1"/>
    <x v="3"/>
  </r>
  <r>
    <n v="757"/>
    <d v="2011-02-03T00:00:00"/>
    <x v="0"/>
    <x v="1"/>
    <n v="22"/>
    <b v="0"/>
    <n v="4"/>
    <x v="0"/>
    <x v="15"/>
    <m/>
    <n v="0.21210000000000001"/>
    <n v="0.51"/>
    <n v="8.9599999999999999E-2"/>
    <n v="2"/>
    <n v="39"/>
    <n v="41"/>
    <x v="1"/>
    <x v="3"/>
  </r>
  <r>
    <n v="758"/>
    <d v="2011-02-03T00:00:00"/>
    <x v="0"/>
    <x v="1"/>
    <n v="23"/>
    <b v="0"/>
    <n v="4"/>
    <x v="0"/>
    <x v="2"/>
    <m/>
    <n v="0.2273"/>
    <n v="0.47"/>
    <n v="0.1045"/>
    <n v="4"/>
    <n v="34"/>
    <n v="38"/>
    <x v="1"/>
    <x v="3"/>
  </r>
  <r>
    <n v="759"/>
    <d v="2011-02-04T00:00:00"/>
    <x v="0"/>
    <x v="1"/>
    <n v="0"/>
    <b v="0"/>
    <n v="5"/>
    <x v="1"/>
    <x v="2"/>
    <m/>
    <n v="0.2576"/>
    <n v="0.44"/>
    <n v="0"/>
    <n v="3"/>
    <n v="10"/>
    <n v="13"/>
    <x v="0"/>
    <x v="0"/>
  </r>
  <r>
    <n v="760"/>
    <d v="2011-02-04T00:00:00"/>
    <x v="0"/>
    <x v="1"/>
    <n v="1"/>
    <b v="0"/>
    <n v="5"/>
    <x v="1"/>
    <x v="13"/>
    <m/>
    <n v="0.2273"/>
    <n v="0.59"/>
    <n v="0"/>
    <n v="0"/>
    <n v="7"/>
    <n v="7"/>
    <x v="0"/>
    <x v="0"/>
  </r>
  <r>
    <n v="761"/>
    <d v="2011-02-04T00:00:00"/>
    <x v="0"/>
    <x v="1"/>
    <n v="2"/>
    <b v="0"/>
    <n v="5"/>
    <x v="1"/>
    <x v="14"/>
    <m/>
    <n v="0.16669999999999999"/>
    <n v="0.63"/>
    <n v="0.1045"/>
    <n v="0"/>
    <n v="1"/>
    <n v="1"/>
    <x v="0"/>
    <x v="0"/>
  </r>
  <r>
    <n v="762"/>
    <d v="2011-02-04T00:00:00"/>
    <x v="0"/>
    <x v="1"/>
    <n v="3"/>
    <b v="0"/>
    <n v="5"/>
    <x v="1"/>
    <x v="14"/>
    <m/>
    <n v="0.16669999999999999"/>
    <n v="0.63"/>
    <n v="0.1045"/>
    <n v="0"/>
    <n v="1"/>
    <n v="1"/>
    <x v="0"/>
    <x v="0"/>
  </r>
  <r>
    <n v="763"/>
    <d v="2011-02-04T00:00:00"/>
    <x v="0"/>
    <x v="1"/>
    <n v="5"/>
    <b v="0"/>
    <n v="5"/>
    <x v="1"/>
    <x v="14"/>
    <m/>
    <n v="0.1515"/>
    <n v="0.63"/>
    <n v="0.1343"/>
    <n v="0"/>
    <n v="7"/>
    <n v="7"/>
    <x v="0"/>
    <x v="0"/>
  </r>
  <r>
    <n v="764"/>
    <d v="2011-02-04T00:00:00"/>
    <x v="0"/>
    <x v="1"/>
    <n v="6"/>
    <b v="0"/>
    <n v="5"/>
    <x v="1"/>
    <x v="13"/>
    <m/>
    <n v="0.2273"/>
    <n v="0.55000000000000004"/>
    <n v="0"/>
    <n v="2"/>
    <n v="26"/>
    <n v="28"/>
    <x v="0"/>
    <x v="0"/>
  </r>
  <r>
    <n v="765"/>
    <d v="2011-02-04T00:00:00"/>
    <x v="0"/>
    <x v="1"/>
    <n v="7"/>
    <b v="0"/>
    <n v="5"/>
    <x v="0"/>
    <x v="14"/>
    <m/>
    <n v="0.21210000000000001"/>
    <n v="0.59"/>
    <n v="0"/>
    <n v="0"/>
    <n v="87"/>
    <n v="87"/>
    <x v="0"/>
    <x v="0"/>
  </r>
  <r>
    <n v="766"/>
    <d v="2011-02-04T00:00:00"/>
    <x v="0"/>
    <x v="1"/>
    <n v="8"/>
    <b v="0"/>
    <n v="5"/>
    <x v="0"/>
    <x v="14"/>
    <m/>
    <n v="0.1515"/>
    <n v="0.74"/>
    <n v="0.1343"/>
    <n v="3"/>
    <n v="217"/>
    <n v="220"/>
    <x v="0"/>
    <x v="0"/>
  </r>
  <r>
    <n v="767"/>
    <d v="2011-02-04T00:00:00"/>
    <x v="0"/>
    <x v="1"/>
    <n v="9"/>
    <b v="0"/>
    <n v="5"/>
    <x v="1"/>
    <x v="13"/>
    <m/>
    <n v="0.18179999999999999"/>
    <n v="0.8"/>
    <n v="0.1343"/>
    <n v="3"/>
    <n v="124"/>
    <n v="127"/>
    <x v="0"/>
    <x v="0"/>
  </r>
  <r>
    <n v="768"/>
    <d v="2011-02-04T00:00:00"/>
    <x v="0"/>
    <x v="1"/>
    <n v="10"/>
    <b v="0"/>
    <n v="5"/>
    <x v="1"/>
    <x v="2"/>
    <m/>
    <n v="0.21210000000000001"/>
    <n v="0.51"/>
    <n v="0.1343"/>
    <n v="5"/>
    <n v="46"/>
    <n v="51"/>
    <x v="0"/>
    <x v="0"/>
  </r>
  <r>
    <n v="769"/>
    <d v="2011-02-04T00:00:00"/>
    <x v="0"/>
    <x v="1"/>
    <n v="11"/>
    <b v="0"/>
    <n v="5"/>
    <x v="0"/>
    <x v="1"/>
    <m/>
    <n v="0.2273"/>
    <n v="0.51"/>
    <n v="0.16420000000000001"/>
    <n v="3"/>
    <n v="61"/>
    <n v="64"/>
    <x v="0"/>
    <x v="0"/>
  </r>
  <r>
    <n v="770"/>
    <d v="2011-02-04T00:00:00"/>
    <x v="0"/>
    <x v="1"/>
    <n v="12"/>
    <b v="0"/>
    <n v="5"/>
    <x v="1"/>
    <x v="0"/>
    <m/>
    <n v="0.2424"/>
    <n v="0.48"/>
    <n v="0.16420000000000001"/>
    <n v="8"/>
    <n v="78"/>
    <n v="86"/>
    <x v="0"/>
    <x v="1"/>
  </r>
  <r>
    <n v="771"/>
    <d v="2011-02-04T00:00:00"/>
    <x v="0"/>
    <x v="1"/>
    <n v="13"/>
    <b v="0"/>
    <n v="5"/>
    <x v="1"/>
    <x v="12"/>
    <m/>
    <n v="0.2576"/>
    <n v="0.5"/>
    <n v="0.22389999999999999"/>
    <n v="9"/>
    <n v="73"/>
    <n v="82"/>
    <x v="0"/>
    <x v="1"/>
  </r>
  <r>
    <n v="772"/>
    <d v="2011-02-04T00:00:00"/>
    <x v="0"/>
    <x v="1"/>
    <n v="14"/>
    <b v="0"/>
    <n v="5"/>
    <x v="1"/>
    <x v="17"/>
    <m/>
    <n v="0.2727"/>
    <n v="0.45"/>
    <n v="0.16420000000000001"/>
    <n v="15"/>
    <n v="76"/>
    <n v="91"/>
    <x v="0"/>
    <x v="1"/>
  </r>
  <r>
    <n v="773"/>
    <d v="2011-02-04T00:00:00"/>
    <x v="0"/>
    <x v="1"/>
    <n v="15"/>
    <b v="0"/>
    <n v="5"/>
    <x v="1"/>
    <x v="17"/>
    <m/>
    <n v="0.2727"/>
    <n v="0.48"/>
    <n v="0.25369999999999998"/>
    <n v="9"/>
    <n v="81"/>
    <n v="90"/>
    <x v="0"/>
    <x v="1"/>
  </r>
  <r>
    <n v="774"/>
    <d v="2011-02-04T00:00:00"/>
    <x v="0"/>
    <x v="1"/>
    <n v="16"/>
    <b v="0"/>
    <n v="5"/>
    <x v="1"/>
    <x v="11"/>
    <m/>
    <n v="0.28789999999999999"/>
    <n v="0.42"/>
    <n v="0.22389999999999999"/>
    <n v="8"/>
    <n v="91"/>
    <n v="99"/>
    <x v="0"/>
    <x v="2"/>
  </r>
  <r>
    <n v="775"/>
    <d v="2011-02-04T00:00:00"/>
    <x v="0"/>
    <x v="1"/>
    <n v="17"/>
    <b v="0"/>
    <n v="5"/>
    <x v="1"/>
    <x v="12"/>
    <m/>
    <n v="0.2727"/>
    <n v="0.56000000000000005"/>
    <n v="0.1343"/>
    <n v="10"/>
    <n v="195"/>
    <n v="205"/>
    <x v="0"/>
    <x v="2"/>
  </r>
  <r>
    <n v="776"/>
    <d v="2011-02-04T00:00:00"/>
    <x v="0"/>
    <x v="1"/>
    <n v="18"/>
    <b v="0"/>
    <n v="5"/>
    <x v="1"/>
    <x v="0"/>
    <m/>
    <n v="0.2576"/>
    <n v="0.6"/>
    <n v="0.1045"/>
    <n v="3"/>
    <n v="152"/>
    <n v="155"/>
    <x v="0"/>
    <x v="2"/>
  </r>
  <r>
    <n v="777"/>
    <d v="2011-02-04T00:00:00"/>
    <x v="0"/>
    <x v="1"/>
    <n v="19"/>
    <b v="0"/>
    <n v="5"/>
    <x v="1"/>
    <x v="0"/>
    <m/>
    <n v="0.2424"/>
    <n v="0.65"/>
    <n v="0.1343"/>
    <n v="1"/>
    <n v="102"/>
    <n v="103"/>
    <x v="0"/>
    <x v="2"/>
  </r>
  <r>
    <n v="778"/>
    <d v="2011-02-04T00:00:00"/>
    <x v="0"/>
    <x v="1"/>
    <n v="20"/>
    <b v="0"/>
    <n v="5"/>
    <x v="1"/>
    <x v="0"/>
    <m/>
    <n v="0.2424"/>
    <n v="0.65"/>
    <n v="0.16420000000000001"/>
    <n v="2"/>
    <n v="69"/>
    <n v="71"/>
    <x v="0"/>
    <x v="2"/>
  </r>
  <r>
    <n v="779"/>
    <d v="2011-02-04T00:00:00"/>
    <x v="0"/>
    <x v="1"/>
    <n v="21"/>
    <b v="0"/>
    <n v="5"/>
    <x v="1"/>
    <x v="0"/>
    <m/>
    <n v="0.2424"/>
    <n v="0.7"/>
    <n v="0.16420000000000001"/>
    <n v="2"/>
    <n v="41"/>
    <n v="43"/>
    <x v="0"/>
    <x v="3"/>
  </r>
  <r>
    <n v="780"/>
    <d v="2011-02-04T00:00:00"/>
    <x v="0"/>
    <x v="1"/>
    <n v="22"/>
    <b v="0"/>
    <n v="5"/>
    <x v="1"/>
    <x v="0"/>
    <m/>
    <n v="0.2424"/>
    <n v="0.65"/>
    <n v="0.16420000000000001"/>
    <n v="1"/>
    <n v="45"/>
    <n v="46"/>
    <x v="0"/>
    <x v="3"/>
  </r>
  <r>
    <n v="781"/>
    <d v="2011-02-04T00:00:00"/>
    <x v="0"/>
    <x v="1"/>
    <n v="23"/>
    <b v="0"/>
    <n v="5"/>
    <x v="1"/>
    <x v="0"/>
    <m/>
    <n v="0.2424"/>
    <n v="0.7"/>
    <n v="0.1343"/>
    <n v="1"/>
    <n v="30"/>
    <n v="31"/>
    <x v="0"/>
    <x v="3"/>
  </r>
  <r>
    <n v="782"/>
    <d v="2011-02-05T00:00:00"/>
    <x v="0"/>
    <x v="1"/>
    <n v="0"/>
    <b v="0"/>
    <n v="6"/>
    <x v="1"/>
    <x v="0"/>
    <m/>
    <n v="0.2424"/>
    <n v="0.7"/>
    <n v="0.16420000000000001"/>
    <n v="3"/>
    <n v="36"/>
    <n v="39"/>
    <x v="0"/>
    <x v="0"/>
  </r>
  <r>
    <n v="783"/>
    <d v="2011-02-05T00:00:00"/>
    <x v="0"/>
    <x v="1"/>
    <n v="1"/>
    <b v="0"/>
    <n v="6"/>
    <x v="1"/>
    <x v="0"/>
    <m/>
    <n v="0.2424"/>
    <n v="0.65"/>
    <n v="0.16420000000000001"/>
    <n v="1"/>
    <n v="17"/>
    <n v="18"/>
    <x v="0"/>
    <x v="0"/>
  </r>
  <r>
    <n v="784"/>
    <d v="2011-02-05T00:00:00"/>
    <x v="0"/>
    <x v="1"/>
    <n v="2"/>
    <b v="0"/>
    <n v="6"/>
    <x v="1"/>
    <x v="0"/>
    <m/>
    <n v="0.2424"/>
    <n v="0.75"/>
    <n v="0.16420000000000001"/>
    <n v="5"/>
    <n v="12"/>
    <n v="17"/>
    <x v="0"/>
    <x v="0"/>
  </r>
  <r>
    <n v="785"/>
    <d v="2011-02-05T00:00:00"/>
    <x v="0"/>
    <x v="1"/>
    <n v="3"/>
    <b v="0"/>
    <n v="6"/>
    <x v="1"/>
    <x v="0"/>
    <m/>
    <n v="0.2424"/>
    <n v="0.75"/>
    <n v="0.16420000000000001"/>
    <n v="1"/>
    <n v="10"/>
    <n v="11"/>
    <x v="0"/>
    <x v="0"/>
  </r>
  <r>
    <n v="786"/>
    <d v="2011-02-05T00:00:00"/>
    <x v="0"/>
    <x v="1"/>
    <n v="4"/>
    <b v="0"/>
    <n v="6"/>
    <x v="2"/>
    <x v="1"/>
    <m/>
    <n v="0.2273"/>
    <n v="0.93"/>
    <n v="0.1343"/>
    <n v="0"/>
    <n v="8"/>
    <n v="8"/>
    <x v="0"/>
    <x v="0"/>
  </r>
  <r>
    <n v="787"/>
    <d v="2011-02-05T00:00:00"/>
    <x v="0"/>
    <x v="1"/>
    <n v="5"/>
    <b v="0"/>
    <n v="6"/>
    <x v="2"/>
    <x v="2"/>
    <m/>
    <n v="0.2273"/>
    <n v="1"/>
    <n v="8.9599999999999999E-2"/>
    <n v="0"/>
    <n v="9"/>
    <n v="9"/>
    <x v="0"/>
    <x v="0"/>
  </r>
  <r>
    <n v="788"/>
    <d v="2011-02-05T00:00:00"/>
    <x v="0"/>
    <x v="1"/>
    <n v="6"/>
    <b v="0"/>
    <n v="6"/>
    <x v="2"/>
    <x v="2"/>
    <m/>
    <n v="0.2576"/>
    <n v="1"/>
    <n v="0"/>
    <n v="0"/>
    <n v="4"/>
    <n v="4"/>
    <x v="0"/>
    <x v="0"/>
  </r>
  <r>
    <n v="789"/>
    <d v="2011-02-05T00:00:00"/>
    <x v="0"/>
    <x v="1"/>
    <n v="7"/>
    <b v="0"/>
    <n v="6"/>
    <x v="2"/>
    <x v="1"/>
    <m/>
    <n v="0.2576"/>
    <n v="0.93"/>
    <n v="8.9599999999999999E-2"/>
    <n v="0"/>
    <n v="4"/>
    <n v="4"/>
    <x v="0"/>
    <x v="0"/>
  </r>
  <r>
    <n v="790"/>
    <d v="2011-02-05T00:00:00"/>
    <x v="0"/>
    <x v="1"/>
    <n v="8"/>
    <b v="0"/>
    <n v="6"/>
    <x v="2"/>
    <x v="2"/>
    <m/>
    <n v="0.2273"/>
    <n v="1"/>
    <n v="8.9599999999999999E-2"/>
    <n v="0"/>
    <n v="10"/>
    <n v="10"/>
    <x v="0"/>
    <x v="0"/>
  </r>
  <r>
    <n v="791"/>
    <d v="2011-02-05T00:00:00"/>
    <x v="0"/>
    <x v="1"/>
    <n v="9"/>
    <b v="0"/>
    <n v="6"/>
    <x v="2"/>
    <x v="2"/>
    <m/>
    <n v="0.2273"/>
    <n v="1"/>
    <n v="8.9599999999999999E-2"/>
    <n v="3"/>
    <n v="17"/>
    <n v="20"/>
    <x v="0"/>
    <x v="0"/>
  </r>
  <r>
    <n v="792"/>
    <d v="2011-02-05T00:00:00"/>
    <x v="0"/>
    <x v="1"/>
    <n v="10"/>
    <b v="0"/>
    <n v="6"/>
    <x v="2"/>
    <x v="2"/>
    <m/>
    <n v="0.21210000000000001"/>
    <n v="1"/>
    <n v="0.1343"/>
    <n v="3"/>
    <n v="31"/>
    <n v="34"/>
    <x v="0"/>
    <x v="0"/>
  </r>
  <r>
    <n v="793"/>
    <d v="2011-02-05T00:00:00"/>
    <x v="0"/>
    <x v="1"/>
    <n v="11"/>
    <b v="0"/>
    <n v="6"/>
    <x v="2"/>
    <x v="1"/>
    <m/>
    <n v="0.2273"/>
    <n v="1"/>
    <n v="0.1343"/>
    <n v="1"/>
    <n v="46"/>
    <n v="47"/>
    <x v="0"/>
    <x v="0"/>
  </r>
  <r>
    <n v="794"/>
    <d v="2011-02-05T00:00:00"/>
    <x v="0"/>
    <x v="1"/>
    <n v="12"/>
    <b v="0"/>
    <n v="6"/>
    <x v="2"/>
    <x v="1"/>
    <m/>
    <n v="0.2273"/>
    <n v="1"/>
    <n v="0.16420000000000001"/>
    <n v="10"/>
    <n v="42"/>
    <n v="52"/>
    <x v="0"/>
    <x v="1"/>
  </r>
  <r>
    <n v="795"/>
    <d v="2011-02-05T00:00:00"/>
    <x v="0"/>
    <x v="1"/>
    <n v="13"/>
    <b v="0"/>
    <n v="6"/>
    <x v="2"/>
    <x v="1"/>
    <m/>
    <n v="0.2273"/>
    <n v="1"/>
    <n v="0.16420000000000001"/>
    <n v="10"/>
    <n v="62"/>
    <n v="72"/>
    <x v="0"/>
    <x v="1"/>
  </r>
  <r>
    <n v="796"/>
    <d v="2011-02-05T00:00:00"/>
    <x v="0"/>
    <x v="1"/>
    <n v="14"/>
    <b v="0"/>
    <n v="6"/>
    <x v="2"/>
    <x v="1"/>
    <m/>
    <n v="0.2727"/>
    <n v="1"/>
    <n v="0"/>
    <n v="5"/>
    <n v="50"/>
    <n v="55"/>
    <x v="0"/>
    <x v="1"/>
  </r>
  <r>
    <n v="797"/>
    <d v="2011-02-05T00:00:00"/>
    <x v="0"/>
    <x v="1"/>
    <n v="15"/>
    <b v="0"/>
    <n v="6"/>
    <x v="2"/>
    <x v="1"/>
    <m/>
    <n v="0.2727"/>
    <n v="1"/>
    <n v="0"/>
    <n v="11"/>
    <n v="49"/>
    <n v="60"/>
    <x v="0"/>
    <x v="1"/>
  </r>
  <r>
    <n v="798"/>
    <d v="2011-02-05T00:00:00"/>
    <x v="0"/>
    <x v="1"/>
    <n v="16"/>
    <b v="0"/>
    <n v="6"/>
    <x v="2"/>
    <x v="1"/>
    <m/>
    <n v="0.2273"/>
    <n v="1"/>
    <n v="0.1343"/>
    <n v="8"/>
    <n v="63"/>
    <n v="71"/>
    <x v="0"/>
    <x v="2"/>
  </r>
  <r>
    <n v="799"/>
    <d v="2011-02-05T00:00:00"/>
    <x v="0"/>
    <x v="1"/>
    <n v="17"/>
    <b v="0"/>
    <n v="6"/>
    <x v="1"/>
    <x v="0"/>
    <m/>
    <n v="0.21210000000000001"/>
    <n v="1"/>
    <n v="0.28360000000000002"/>
    <n v="14"/>
    <n v="64"/>
    <n v="78"/>
    <x v="0"/>
    <x v="2"/>
  </r>
  <r>
    <n v="800"/>
    <d v="2011-02-05T00:00:00"/>
    <x v="0"/>
    <x v="1"/>
    <n v="18"/>
    <b v="0"/>
    <n v="6"/>
    <x v="1"/>
    <x v="17"/>
    <m/>
    <n v="0.2424"/>
    <n v="0.93"/>
    <n v="0.44779999999999998"/>
    <n v="2"/>
    <n v="81"/>
    <n v="83"/>
    <x v="0"/>
    <x v="2"/>
  </r>
  <r>
    <n v="801"/>
    <d v="2011-02-05T00:00:00"/>
    <x v="0"/>
    <x v="1"/>
    <n v="19"/>
    <b v="0"/>
    <n v="6"/>
    <x v="1"/>
    <x v="17"/>
    <m/>
    <n v="0.2424"/>
    <n v="0.93"/>
    <n v="0.44779999999999998"/>
    <n v="6"/>
    <n v="78"/>
    <n v="84"/>
    <x v="0"/>
    <x v="2"/>
  </r>
  <r>
    <n v="802"/>
    <d v="2011-02-05T00:00:00"/>
    <x v="0"/>
    <x v="1"/>
    <n v="20"/>
    <b v="0"/>
    <n v="6"/>
    <x v="0"/>
    <x v="11"/>
    <m/>
    <n v="0.28789999999999999"/>
    <n v="0.87"/>
    <n v="0.25369999999999998"/>
    <n v="5"/>
    <n v="64"/>
    <n v="69"/>
    <x v="0"/>
    <x v="2"/>
  </r>
  <r>
    <n v="803"/>
    <d v="2011-02-05T00:00:00"/>
    <x v="0"/>
    <x v="1"/>
    <n v="21"/>
    <b v="0"/>
    <n v="6"/>
    <x v="0"/>
    <x v="12"/>
    <m/>
    <n v="0.2576"/>
    <n v="1"/>
    <n v="0.19400000000000001"/>
    <n v="3"/>
    <n v="53"/>
    <n v="56"/>
    <x v="0"/>
    <x v="3"/>
  </r>
  <r>
    <n v="804"/>
    <d v="2011-02-05T00:00:00"/>
    <x v="0"/>
    <x v="1"/>
    <n v="22"/>
    <b v="0"/>
    <n v="6"/>
    <x v="0"/>
    <x v="12"/>
    <m/>
    <n v="0.2727"/>
    <n v="0.93"/>
    <n v="0.1343"/>
    <n v="2"/>
    <n v="43"/>
    <n v="45"/>
    <x v="0"/>
    <x v="3"/>
  </r>
  <r>
    <n v="805"/>
    <d v="2011-02-05T00:00:00"/>
    <x v="0"/>
    <x v="1"/>
    <n v="23"/>
    <b v="0"/>
    <n v="6"/>
    <x v="0"/>
    <x v="12"/>
    <m/>
    <n v="0.2576"/>
    <n v="0.93"/>
    <n v="0.22389999999999999"/>
    <n v="7"/>
    <n v="52"/>
    <n v="59"/>
    <x v="0"/>
    <x v="3"/>
  </r>
  <r>
    <n v="806"/>
    <d v="2011-02-06T00:00:00"/>
    <x v="0"/>
    <x v="1"/>
    <n v="0"/>
    <b v="0"/>
    <n v="0"/>
    <x v="0"/>
    <x v="12"/>
    <m/>
    <n v="0.2576"/>
    <n v="0.7"/>
    <n v="0.19400000000000001"/>
    <n v="2"/>
    <n v="37"/>
    <n v="39"/>
    <x v="1"/>
    <x v="0"/>
  </r>
  <r>
    <n v="807"/>
    <d v="2011-02-06T00:00:00"/>
    <x v="0"/>
    <x v="1"/>
    <n v="1"/>
    <b v="0"/>
    <n v="0"/>
    <x v="0"/>
    <x v="12"/>
    <m/>
    <n v="0.2273"/>
    <n v="0.65"/>
    <n v="0.41789999999999999"/>
    <n v="4"/>
    <n v="40"/>
    <n v="44"/>
    <x v="1"/>
    <x v="0"/>
  </r>
  <r>
    <n v="808"/>
    <d v="2011-02-06T00:00:00"/>
    <x v="0"/>
    <x v="1"/>
    <n v="2"/>
    <b v="0"/>
    <n v="0"/>
    <x v="0"/>
    <x v="12"/>
    <m/>
    <n v="0.2273"/>
    <n v="0.6"/>
    <n v="0.32840000000000003"/>
    <n v="0"/>
    <n v="20"/>
    <n v="20"/>
    <x v="1"/>
    <x v="0"/>
  </r>
  <r>
    <n v="809"/>
    <d v="2011-02-06T00:00:00"/>
    <x v="0"/>
    <x v="1"/>
    <n v="3"/>
    <b v="0"/>
    <n v="0"/>
    <x v="0"/>
    <x v="12"/>
    <m/>
    <n v="0.28789999999999999"/>
    <n v="0.6"/>
    <n v="8.9599999999999999E-2"/>
    <n v="3"/>
    <n v="10"/>
    <n v="13"/>
    <x v="1"/>
    <x v="0"/>
  </r>
  <r>
    <n v="810"/>
    <d v="2011-02-06T00:00:00"/>
    <x v="0"/>
    <x v="1"/>
    <n v="4"/>
    <b v="0"/>
    <n v="0"/>
    <x v="0"/>
    <x v="12"/>
    <m/>
    <n v="0.2273"/>
    <n v="0.6"/>
    <n v="0.35820000000000002"/>
    <n v="0"/>
    <n v="2"/>
    <n v="2"/>
    <x v="1"/>
    <x v="0"/>
  </r>
  <r>
    <n v="811"/>
    <d v="2011-02-06T00:00:00"/>
    <x v="0"/>
    <x v="1"/>
    <n v="5"/>
    <b v="0"/>
    <n v="0"/>
    <x v="0"/>
    <x v="12"/>
    <m/>
    <n v="0.2576"/>
    <n v="0.6"/>
    <n v="0.22389999999999999"/>
    <n v="0"/>
    <n v="1"/>
    <n v="1"/>
    <x v="1"/>
    <x v="0"/>
  </r>
  <r>
    <n v="812"/>
    <d v="2011-02-06T00:00:00"/>
    <x v="0"/>
    <x v="1"/>
    <n v="6"/>
    <b v="0"/>
    <n v="0"/>
    <x v="0"/>
    <x v="12"/>
    <m/>
    <n v="0.2576"/>
    <n v="0.6"/>
    <n v="0.22389999999999999"/>
    <n v="0"/>
    <n v="1"/>
    <n v="1"/>
    <x v="1"/>
    <x v="0"/>
  </r>
  <r>
    <n v="813"/>
    <d v="2011-02-06T00:00:00"/>
    <x v="0"/>
    <x v="1"/>
    <n v="7"/>
    <b v="0"/>
    <n v="0"/>
    <x v="0"/>
    <x v="0"/>
    <m/>
    <n v="0.2424"/>
    <n v="0.65"/>
    <n v="0.16420000000000001"/>
    <n v="0"/>
    <n v="8"/>
    <n v="8"/>
    <x v="1"/>
    <x v="0"/>
  </r>
  <r>
    <n v="814"/>
    <d v="2011-02-06T00:00:00"/>
    <x v="0"/>
    <x v="1"/>
    <n v="8"/>
    <b v="0"/>
    <n v="0"/>
    <x v="0"/>
    <x v="0"/>
    <m/>
    <n v="0.2576"/>
    <n v="0.65"/>
    <n v="0.1045"/>
    <n v="2"/>
    <n v="21"/>
    <n v="23"/>
    <x v="1"/>
    <x v="0"/>
  </r>
  <r>
    <n v="815"/>
    <d v="2011-02-06T00:00:00"/>
    <x v="0"/>
    <x v="1"/>
    <n v="9"/>
    <b v="0"/>
    <n v="0"/>
    <x v="0"/>
    <x v="17"/>
    <m/>
    <n v="0.28789999999999999"/>
    <n v="0.56000000000000005"/>
    <n v="0.1045"/>
    <n v="7"/>
    <n v="38"/>
    <n v="45"/>
    <x v="1"/>
    <x v="0"/>
  </r>
  <r>
    <n v="816"/>
    <d v="2011-02-06T00:00:00"/>
    <x v="0"/>
    <x v="1"/>
    <n v="10"/>
    <b v="0"/>
    <n v="0"/>
    <x v="0"/>
    <x v="11"/>
    <m/>
    <n v="0.28789999999999999"/>
    <n v="0.52"/>
    <n v="0.25369999999999998"/>
    <n v="15"/>
    <n v="74"/>
    <n v="89"/>
    <x v="1"/>
    <x v="0"/>
  </r>
  <r>
    <n v="817"/>
    <d v="2011-02-06T00:00:00"/>
    <x v="0"/>
    <x v="1"/>
    <n v="11"/>
    <b v="0"/>
    <n v="0"/>
    <x v="0"/>
    <x v="3"/>
    <m/>
    <n v="0.30299999999999999"/>
    <n v="0.49"/>
    <n v="0.25369999999999998"/>
    <n v="28"/>
    <n v="89"/>
    <n v="117"/>
    <x v="1"/>
    <x v="0"/>
  </r>
  <r>
    <n v="818"/>
    <d v="2011-02-06T00:00:00"/>
    <x v="0"/>
    <x v="1"/>
    <n v="12"/>
    <b v="0"/>
    <n v="0"/>
    <x v="0"/>
    <x v="10"/>
    <m/>
    <n v="0.33329999999999999"/>
    <n v="0.46"/>
    <n v="0"/>
    <n v="48"/>
    <n v="126"/>
    <n v="174"/>
    <x v="1"/>
    <x v="1"/>
  </r>
  <r>
    <n v="819"/>
    <d v="2011-02-06T00:00:00"/>
    <x v="0"/>
    <x v="1"/>
    <n v="13"/>
    <b v="0"/>
    <n v="0"/>
    <x v="0"/>
    <x v="10"/>
    <m/>
    <n v="0.36359999999999998"/>
    <n v="0.46"/>
    <n v="0"/>
    <n v="47"/>
    <n v="135"/>
    <n v="182"/>
    <x v="1"/>
    <x v="1"/>
  </r>
  <r>
    <n v="820"/>
    <d v="2011-02-06T00:00:00"/>
    <x v="0"/>
    <x v="1"/>
    <n v="14"/>
    <b v="0"/>
    <n v="0"/>
    <x v="0"/>
    <x v="10"/>
    <m/>
    <n v="0.34849999999999998"/>
    <n v="0.46"/>
    <n v="8.9599999999999999E-2"/>
    <n v="47"/>
    <n v="114"/>
    <n v="161"/>
    <x v="1"/>
    <x v="1"/>
  </r>
  <r>
    <n v="821"/>
    <d v="2011-02-06T00:00:00"/>
    <x v="0"/>
    <x v="1"/>
    <n v="15"/>
    <b v="0"/>
    <n v="0"/>
    <x v="0"/>
    <x v="10"/>
    <m/>
    <n v="0.34849999999999998"/>
    <n v="0.46"/>
    <n v="8.9599999999999999E-2"/>
    <n v="52"/>
    <n v="130"/>
    <n v="182"/>
    <x v="1"/>
    <x v="1"/>
  </r>
  <r>
    <n v="822"/>
    <d v="2011-02-06T00:00:00"/>
    <x v="0"/>
    <x v="1"/>
    <n v="16"/>
    <b v="0"/>
    <n v="0"/>
    <x v="0"/>
    <x v="10"/>
    <m/>
    <n v="0.34849999999999998"/>
    <n v="0.49"/>
    <n v="0.1045"/>
    <n v="42"/>
    <n v="115"/>
    <n v="157"/>
    <x v="1"/>
    <x v="2"/>
  </r>
  <r>
    <n v="823"/>
    <d v="2011-02-06T00:00:00"/>
    <x v="0"/>
    <x v="1"/>
    <n v="17"/>
    <b v="0"/>
    <n v="0"/>
    <x v="0"/>
    <x v="10"/>
    <m/>
    <n v="0.36359999999999998"/>
    <n v="0.46"/>
    <n v="0"/>
    <n v="24"/>
    <n v="97"/>
    <n v="121"/>
    <x v="1"/>
    <x v="2"/>
  </r>
  <r>
    <n v="824"/>
    <d v="2011-02-06T00:00:00"/>
    <x v="0"/>
    <x v="1"/>
    <n v="18"/>
    <b v="0"/>
    <n v="0"/>
    <x v="0"/>
    <x v="11"/>
    <m/>
    <n v="0.30299999999999999"/>
    <n v="0.56000000000000005"/>
    <n v="0.16420000000000001"/>
    <n v="13"/>
    <n v="65"/>
    <n v="78"/>
    <x v="1"/>
    <x v="2"/>
  </r>
  <r>
    <n v="825"/>
    <d v="2011-02-06T00:00:00"/>
    <x v="0"/>
    <x v="1"/>
    <n v="19"/>
    <b v="0"/>
    <n v="0"/>
    <x v="0"/>
    <x v="17"/>
    <m/>
    <n v="0.28789999999999999"/>
    <n v="0.61"/>
    <n v="0.1343"/>
    <n v="1"/>
    <n v="20"/>
    <n v="21"/>
    <x v="1"/>
    <x v="2"/>
  </r>
  <r>
    <n v="826"/>
    <d v="2011-02-06T00:00:00"/>
    <x v="0"/>
    <x v="1"/>
    <n v="20"/>
    <b v="0"/>
    <n v="0"/>
    <x v="0"/>
    <x v="17"/>
    <m/>
    <n v="0.28789999999999999"/>
    <n v="0.61"/>
    <n v="0.1045"/>
    <n v="5"/>
    <n v="21"/>
    <n v="26"/>
    <x v="1"/>
    <x v="2"/>
  </r>
  <r>
    <n v="827"/>
    <d v="2011-02-06T00:00:00"/>
    <x v="0"/>
    <x v="1"/>
    <n v="21"/>
    <b v="0"/>
    <n v="0"/>
    <x v="0"/>
    <x v="12"/>
    <m/>
    <n v="0.30299999999999999"/>
    <n v="0.6"/>
    <n v="0"/>
    <n v="5"/>
    <n v="22"/>
    <n v="27"/>
    <x v="1"/>
    <x v="3"/>
  </r>
  <r>
    <n v="828"/>
    <d v="2011-02-06T00:00:00"/>
    <x v="0"/>
    <x v="1"/>
    <n v="22"/>
    <b v="0"/>
    <n v="0"/>
    <x v="0"/>
    <x v="12"/>
    <m/>
    <n v="0.30299999999999999"/>
    <n v="0.6"/>
    <n v="0"/>
    <n v="5"/>
    <n v="57"/>
    <n v="62"/>
    <x v="1"/>
    <x v="3"/>
  </r>
  <r>
    <n v="829"/>
    <d v="2011-02-06T00:00:00"/>
    <x v="0"/>
    <x v="1"/>
    <n v="23"/>
    <b v="0"/>
    <n v="0"/>
    <x v="0"/>
    <x v="0"/>
    <m/>
    <n v="0.28789999999999999"/>
    <n v="0.65"/>
    <n v="0"/>
    <n v="4"/>
    <n v="26"/>
    <n v="30"/>
    <x v="1"/>
    <x v="3"/>
  </r>
  <r>
    <n v="830"/>
    <d v="2011-02-07T00:00:00"/>
    <x v="0"/>
    <x v="1"/>
    <n v="0"/>
    <b v="0"/>
    <n v="1"/>
    <x v="0"/>
    <x v="0"/>
    <m/>
    <n v="0.28789999999999999"/>
    <n v="0.65"/>
    <n v="0"/>
    <n v="1"/>
    <n v="14"/>
    <n v="15"/>
    <x v="1"/>
    <x v="0"/>
  </r>
  <r>
    <n v="831"/>
    <d v="2011-02-07T00:00:00"/>
    <x v="0"/>
    <x v="1"/>
    <n v="1"/>
    <b v="0"/>
    <n v="1"/>
    <x v="0"/>
    <x v="1"/>
    <m/>
    <n v="0.2727"/>
    <n v="0.75"/>
    <n v="0"/>
    <n v="1"/>
    <n v="4"/>
    <n v="5"/>
    <x v="1"/>
    <x v="0"/>
  </r>
  <r>
    <n v="832"/>
    <d v="2011-02-07T00:00:00"/>
    <x v="0"/>
    <x v="1"/>
    <n v="2"/>
    <b v="0"/>
    <n v="1"/>
    <x v="0"/>
    <x v="2"/>
    <m/>
    <n v="0.2576"/>
    <n v="0.8"/>
    <n v="0"/>
    <n v="0"/>
    <n v="3"/>
    <n v="3"/>
    <x v="1"/>
    <x v="0"/>
  </r>
  <r>
    <n v="833"/>
    <d v="2011-02-07T00:00:00"/>
    <x v="0"/>
    <x v="1"/>
    <n v="3"/>
    <b v="0"/>
    <n v="1"/>
    <x v="0"/>
    <x v="2"/>
    <m/>
    <n v="0.2576"/>
    <n v="0.86"/>
    <n v="0"/>
    <n v="0"/>
    <n v="1"/>
    <n v="1"/>
    <x v="1"/>
    <x v="0"/>
  </r>
  <r>
    <n v="834"/>
    <d v="2011-02-07T00:00:00"/>
    <x v="0"/>
    <x v="1"/>
    <n v="4"/>
    <b v="0"/>
    <n v="1"/>
    <x v="0"/>
    <x v="2"/>
    <m/>
    <n v="0.2576"/>
    <n v="0.86"/>
    <n v="0"/>
    <n v="1"/>
    <n v="1"/>
    <n v="2"/>
    <x v="1"/>
    <x v="0"/>
  </r>
  <r>
    <n v="835"/>
    <d v="2011-02-07T00:00:00"/>
    <x v="0"/>
    <x v="1"/>
    <n v="5"/>
    <b v="0"/>
    <n v="1"/>
    <x v="0"/>
    <x v="2"/>
    <m/>
    <n v="0.2576"/>
    <n v="0.86"/>
    <n v="0"/>
    <n v="1"/>
    <n v="9"/>
    <n v="10"/>
    <x v="1"/>
    <x v="0"/>
  </r>
  <r>
    <n v="836"/>
    <d v="2011-02-07T00:00:00"/>
    <x v="0"/>
    <x v="1"/>
    <n v="6"/>
    <b v="0"/>
    <n v="1"/>
    <x v="0"/>
    <x v="15"/>
    <m/>
    <n v="0.2424"/>
    <n v="0.93"/>
    <n v="0"/>
    <n v="1"/>
    <n v="29"/>
    <n v="30"/>
    <x v="1"/>
    <x v="0"/>
  </r>
  <r>
    <n v="837"/>
    <d v="2011-02-07T00:00:00"/>
    <x v="0"/>
    <x v="1"/>
    <n v="7"/>
    <b v="0"/>
    <n v="1"/>
    <x v="0"/>
    <x v="15"/>
    <m/>
    <n v="0.2424"/>
    <n v="0.86"/>
    <n v="0"/>
    <n v="6"/>
    <n v="89"/>
    <n v="95"/>
    <x v="1"/>
    <x v="0"/>
  </r>
  <r>
    <n v="838"/>
    <d v="2011-02-07T00:00:00"/>
    <x v="0"/>
    <x v="1"/>
    <n v="8"/>
    <b v="0"/>
    <n v="1"/>
    <x v="1"/>
    <x v="13"/>
    <m/>
    <n v="0.2273"/>
    <n v="1"/>
    <n v="0"/>
    <n v="7"/>
    <n v="223"/>
    <n v="230"/>
    <x v="1"/>
    <x v="0"/>
  </r>
  <r>
    <n v="839"/>
    <d v="2011-02-07T00:00:00"/>
    <x v="0"/>
    <x v="1"/>
    <n v="9"/>
    <b v="0"/>
    <n v="1"/>
    <x v="0"/>
    <x v="1"/>
    <m/>
    <n v="0.2727"/>
    <n v="0.8"/>
    <n v="0"/>
    <n v="3"/>
    <n v="115"/>
    <n v="118"/>
    <x v="1"/>
    <x v="0"/>
  </r>
  <r>
    <n v="840"/>
    <d v="2011-02-07T00:00:00"/>
    <x v="0"/>
    <x v="1"/>
    <n v="10"/>
    <b v="0"/>
    <n v="1"/>
    <x v="0"/>
    <x v="0"/>
    <m/>
    <n v="0.2576"/>
    <n v="0.75"/>
    <n v="0.1045"/>
    <n v="6"/>
    <n v="49"/>
    <n v="55"/>
    <x v="1"/>
    <x v="0"/>
  </r>
  <r>
    <n v="841"/>
    <d v="2011-02-07T00:00:00"/>
    <x v="0"/>
    <x v="1"/>
    <n v="11"/>
    <b v="0"/>
    <n v="1"/>
    <x v="0"/>
    <x v="11"/>
    <m/>
    <n v="0.31819999999999998"/>
    <n v="0.65"/>
    <n v="8.9599999999999999E-2"/>
    <n v="11"/>
    <n v="36"/>
    <n v="47"/>
    <x v="1"/>
    <x v="0"/>
  </r>
  <r>
    <n v="842"/>
    <d v="2011-02-07T00:00:00"/>
    <x v="0"/>
    <x v="1"/>
    <n v="12"/>
    <b v="0"/>
    <n v="1"/>
    <x v="1"/>
    <x v="3"/>
    <m/>
    <n v="0.34849999999999998"/>
    <n v="0.62"/>
    <n v="0"/>
    <n v="7"/>
    <n v="59"/>
    <n v="66"/>
    <x v="1"/>
    <x v="1"/>
  </r>
  <r>
    <n v="843"/>
    <d v="2011-02-07T00:00:00"/>
    <x v="0"/>
    <x v="1"/>
    <n v="13"/>
    <b v="0"/>
    <n v="1"/>
    <x v="1"/>
    <x v="5"/>
    <m/>
    <n v="0.36359999999999998"/>
    <n v="0.56999999999999995"/>
    <n v="8.9599999999999999E-2"/>
    <n v="10"/>
    <n v="54"/>
    <n v="64"/>
    <x v="1"/>
    <x v="1"/>
  </r>
  <r>
    <n v="844"/>
    <d v="2011-02-07T00:00:00"/>
    <x v="0"/>
    <x v="1"/>
    <n v="14"/>
    <b v="0"/>
    <n v="1"/>
    <x v="1"/>
    <x v="5"/>
    <m/>
    <n v="0.36359999999999998"/>
    <n v="0.56999999999999995"/>
    <n v="8.9599999999999999E-2"/>
    <n v="8"/>
    <n v="52"/>
    <n v="60"/>
    <x v="1"/>
    <x v="1"/>
  </r>
  <r>
    <n v="845"/>
    <d v="2011-02-07T00:00:00"/>
    <x v="0"/>
    <x v="1"/>
    <n v="15"/>
    <b v="0"/>
    <n v="1"/>
    <x v="1"/>
    <x v="4"/>
    <m/>
    <n v="0.39389999999999997"/>
    <n v="0.54"/>
    <n v="8.9599999999999999E-2"/>
    <n v="4"/>
    <n v="46"/>
    <n v="50"/>
    <x v="1"/>
    <x v="1"/>
  </r>
  <r>
    <n v="846"/>
    <d v="2011-02-07T00:00:00"/>
    <x v="0"/>
    <x v="1"/>
    <n v="16"/>
    <b v="0"/>
    <n v="1"/>
    <x v="1"/>
    <x v="5"/>
    <m/>
    <n v="0.34849999999999998"/>
    <n v="0.56999999999999995"/>
    <n v="0.1343"/>
    <n v="16"/>
    <n v="98"/>
    <n v="114"/>
    <x v="1"/>
    <x v="2"/>
  </r>
  <r>
    <n v="847"/>
    <d v="2011-02-07T00:00:00"/>
    <x v="0"/>
    <x v="1"/>
    <n v="17"/>
    <b v="0"/>
    <n v="1"/>
    <x v="1"/>
    <x v="3"/>
    <m/>
    <n v="0.31819999999999998"/>
    <n v="0.7"/>
    <n v="0.16420000000000001"/>
    <n v="9"/>
    <n v="207"/>
    <n v="216"/>
    <x v="1"/>
    <x v="2"/>
  </r>
  <r>
    <n v="848"/>
    <d v="2011-02-07T00:00:00"/>
    <x v="0"/>
    <x v="1"/>
    <n v="18"/>
    <b v="0"/>
    <n v="1"/>
    <x v="1"/>
    <x v="10"/>
    <m/>
    <n v="0.33329999999999999"/>
    <n v="0.66"/>
    <n v="0.1343"/>
    <n v="5"/>
    <n v="170"/>
    <n v="175"/>
    <x v="1"/>
    <x v="2"/>
  </r>
  <r>
    <n v="849"/>
    <d v="2011-02-07T00:00:00"/>
    <x v="0"/>
    <x v="1"/>
    <n v="19"/>
    <b v="0"/>
    <n v="1"/>
    <x v="1"/>
    <x v="3"/>
    <m/>
    <n v="0.34849999999999998"/>
    <n v="0.7"/>
    <n v="0"/>
    <n v="5"/>
    <n v="123"/>
    <n v="128"/>
    <x v="1"/>
    <x v="2"/>
  </r>
  <r>
    <n v="850"/>
    <d v="2011-02-07T00:00:00"/>
    <x v="0"/>
    <x v="1"/>
    <n v="20"/>
    <b v="0"/>
    <n v="1"/>
    <x v="1"/>
    <x v="3"/>
    <m/>
    <n v="0.33329999999999999"/>
    <n v="0.7"/>
    <n v="0.1045"/>
    <n v="6"/>
    <n v="82"/>
    <n v="88"/>
    <x v="1"/>
    <x v="2"/>
  </r>
  <r>
    <n v="851"/>
    <d v="2011-02-07T00:00:00"/>
    <x v="0"/>
    <x v="1"/>
    <n v="21"/>
    <b v="0"/>
    <n v="1"/>
    <x v="0"/>
    <x v="3"/>
    <m/>
    <n v="0.34849999999999998"/>
    <n v="0.7"/>
    <n v="0"/>
    <n v="3"/>
    <n v="75"/>
    <n v="78"/>
    <x v="1"/>
    <x v="3"/>
  </r>
  <r>
    <n v="852"/>
    <d v="2011-02-07T00:00:00"/>
    <x v="0"/>
    <x v="1"/>
    <n v="22"/>
    <b v="0"/>
    <n v="1"/>
    <x v="0"/>
    <x v="17"/>
    <m/>
    <n v="0.30299999999999999"/>
    <n v="0.81"/>
    <n v="8.9599999999999999E-2"/>
    <n v="3"/>
    <n v="34"/>
    <n v="37"/>
    <x v="1"/>
    <x v="3"/>
  </r>
  <r>
    <n v="853"/>
    <d v="2011-02-07T00:00:00"/>
    <x v="0"/>
    <x v="1"/>
    <n v="23"/>
    <b v="0"/>
    <n v="1"/>
    <x v="1"/>
    <x v="11"/>
    <m/>
    <n v="0.33329999999999999"/>
    <n v="0.81"/>
    <n v="0"/>
    <n v="6"/>
    <n v="19"/>
    <n v="25"/>
    <x v="1"/>
    <x v="3"/>
  </r>
  <r>
    <n v="854"/>
    <d v="2011-02-08T00:00:00"/>
    <x v="0"/>
    <x v="1"/>
    <n v="0"/>
    <b v="0"/>
    <n v="2"/>
    <x v="1"/>
    <x v="17"/>
    <m/>
    <n v="0.31819999999999998"/>
    <n v="0.87"/>
    <n v="0"/>
    <n v="4"/>
    <n v="6"/>
    <n v="10"/>
    <x v="1"/>
    <x v="0"/>
  </r>
  <r>
    <n v="855"/>
    <d v="2011-02-08T00:00:00"/>
    <x v="0"/>
    <x v="1"/>
    <n v="1"/>
    <b v="0"/>
    <n v="2"/>
    <x v="1"/>
    <x v="17"/>
    <m/>
    <n v="0.31819999999999998"/>
    <n v="0.87"/>
    <n v="0"/>
    <n v="0"/>
    <n v="4"/>
    <n v="4"/>
    <x v="1"/>
    <x v="0"/>
  </r>
  <r>
    <n v="856"/>
    <d v="2011-02-08T00:00:00"/>
    <x v="0"/>
    <x v="1"/>
    <n v="2"/>
    <b v="0"/>
    <n v="2"/>
    <x v="1"/>
    <x v="12"/>
    <m/>
    <n v="0.2727"/>
    <n v="0.93"/>
    <n v="0.1045"/>
    <n v="1"/>
    <n v="1"/>
    <n v="2"/>
    <x v="1"/>
    <x v="0"/>
  </r>
  <r>
    <n v="857"/>
    <d v="2011-02-08T00:00:00"/>
    <x v="0"/>
    <x v="1"/>
    <n v="3"/>
    <b v="0"/>
    <n v="2"/>
    <x v="2"/>
    <x v="17"/>
    <m/>
    <n v="0.2727"/>
    <n v="0.93"/>
    <n v="0.16420000000000001"/>
    <n v="0"/>
    <n v="1"/>
    <n v="1"/>
    <x v="1"/>
    <x v="0"/>
  </r>
  <r>
    <n v="858"/>
    <d v="2011-02-08T00:00:00"/>
    <x v="0"/>
    <x v="1"/>
    <n v="4"/>
    <b v="0"/>
    <n v="2"/>
    <x v="0"/>
    <x v="12"/>
    <m/>
    <n v="0.2576"/>
    <n v="0.93"/>
    <n v="0.16420000000000001"/>
    <n v="0"/>
    <n v="3"/>
    <n v="3"/>
    <x v="1"/>
    <x v="0"/>
  </r>
  <r>
    <n v="859"/>
    <d v="2011-02-08T00:00:00"/>
    <x v="0"/>
    <x v="1"/>
    <n v="5"/>
    <b v="0"/>
    <n v="2"/>
    <x v="0"/>
    <x v="12"/>
    <m/>
    <n v="0.2273"/>
    <n v="0.81"/>
    <n v="0.32840000000000003"/>
    <n v="0"/>
    <n v="2"/>
    <n v="2"/>
    <x v="1"/>
    <x v="0"/>
  </r>
  <r>
    <n v="860"/>
    <d v="2011-02-08T00:00:00"/>
    <x v="0"/>
    <x v="1"/>
    <n v="6"/>
    <b v="0"/>
    <n v="2"/>
    <x v="0"/>
    <x v="12"/>
    <m/>
    <n v="0.2273"/>
    <n v="0.7"/>
    <n v="0.32840000000000003"/>
    <n v="0"/>
    <n v="39"/>
    <n v="39"/>
    <x v="1"/>
    <x v="0"/>
  </r>
  <r>
    <n v="861"/>
    <d v="2011-02-08T00:00:00"/>
    <x v="0"/>
    <x v="1"/>
    <n v="7"/>
    <b v="0"/>
    <n v="2"/>
    <x v="0"/>
    <x v="0"/>
    <m/>
    <n v="0.19700000000000001"/>
    <n v="0.65"/>
    <n v="0.41789999999999999"/>
    <n v="3"/>
    <n v="97"/>
    <n v="100"/>
    <x v="1"/>
    <x v="0"/>
  </r>
  <r>
    <n v="862"/>
    <d v="2011-02-08T00:00:00"/>
    <x v="0"/>
    <x v="1"/>
    <n v="8"/>
    <b v="0"/>
    <n v="2"/>
    <x v="0"/>
    <x v="0"/>
    <m/>
    <n v="0.19700000000000001"/>
    <n v="0.56000000000000005"/>
    <n v="0.49249999999999999"/>
    <n v="7"/>
    <n v="236"/>
    <n v="243"/>
    <x v="1"/>
    <x v="0"/>
  </r>
  <r>
    <n v="863"/>
    <d v="2011-02-08T00:00:00"/>
    <x v="0"/>
    <x v="1"/>
    <n v="9"/>
    <b v="0"/>
    <n v="2"/>
    <x v="0"/>
    <x v="0"/>
    <m/>
    <n v="0.19700000000000001"/>
    <n v="0.52"/>
    <n v="0.49249999999999999"/>
    <n v="7"/>
    <n v="128"/>
    <n v="135"/>
    <x v="1"/>
    <x v="0"/>
  </r>
  <r>
    <n v="864"/>
    <d v="2011-02-08T00:00:00"/>
    <x v="0"/>
    <x v="1"/>
    <n v="10"/>
    <b v="0"/>
    <n v="2"/>
    <x v="0"/>
    <x v="1"/>
    <m/>
    <n v="0.18179999999999999"/>
    <n v="0.47"/>
    <n v="0.55220000000000002"/>
    <n v="4"/>
    <n v="44"/>
    <n v="48"/>
    <x v="1"/>
    <x v="0"/>
  </r>
  <r>
    <n v="865"/>
    <d v="2011-02-08T00:00:00"/>
    <x v="0"/>
    <x v="1"/>
    <n v="11"/>
    <b v="0"/>
    <n v="2"/>
    <x v="0"/>
    <x v="1"/>
    <m/>
    <n v="0.18179999999999999"/>
    <n v="0.47"/>
    <n v="0.4627"/>
    <n v="1"/>
    <n v="49"/>
    <n v="50"/>
    <x v="1"/>
    <x v="0"/>
  </r>
  <r>
    <n v="866"/>
    <d v="2011-02-08T00:00:00"/>
    <x v="0"/>
    <x v="1"/>
    <n v="12"/>
    <b v="0"/>
    <n v="2"/>
    <x v="0"/>
    <x v="0"/>
    <m/>
    <n v="0.19700000000000001"/>
    <n v="0.38"/>
    <n v="0.49249999999999999"/>
    <n v="2"/>
    <n v="63"/>
    <n v="65"/>
    <x v="1"/>
    <x v="1"/>
  </r>
  <r>
    <n v="867"/>
    <d v="2011-02-08T00:00:00"/>
    <x v="0"/>
    <x v="1"/>
    <n v="13"/>
    <b v="0"/>
    <n v="2"/>
    <x v="1"/>
    <x v="0"/>
    <m/>
    <n v="0.19700000000000001"/>
    <n v="0.32"/>
    <n v="0.44779999999999998"/>
    <n v="2"/>
    <n v="48"/>
    <n v="50"/>
    <x v="1"/>
    <x v="1"/>
  </r>
  <r>
    <n v="868"/>
    <d v="2011-02-08T00:00:00"/>
    <x v="0"/>
    <x v="1"/>
    <n v="14"/>
    <b v="0"/>
    <n v="2"/>
    <x v="0"/>
    <x v="1"/>
    <m/>
    <n v="0.19700000000000001"/>
    <n v="0.37"/>
    <n v="0.41789999999999999"/>
    <n v="3"/>
    <n v="61"/>
    <n v="64"/>
    <x v="1"/>
    <x v="1"/>
  </r>
  <r>
    <n v="869"/>
    <d v="2011-02-08T00:00:00"/>
    <x v="0"/>
    <x v="1"/>
    <n v="15"/>
    <b v="0"/>
    <n v="2"/>
    <x v="0"/>
    <x v="1"/>
    <m/>
    <n v="0.19700000000000001"/>
    <n v="0.35"/>
    <n v="0.3881"/>
    <n v="6"/>
    <n v="45"/>
    <n v="51"/>
    <x v="1"/>
    <x v="1"/>
  </r>
  <r>
    <n v="870"/>
    <d v="2011-02-08T00:00:00"/>
    <x v="0"/>
    <x v="1"/>
    <n v="16"/>
    <b v="0"/>
    <n v="2"/>
    <x v="0"/>
    <x v="1"/>
    <m/>
    <n v="0.18179999999999999"/>
    <n v="0.35"/>
    <n v="0.52239999999999998"/>
    <n v="4"/>
    <n v="79"/>
    <n v="83"/>
    <x v="1"/>
    <x v="2"/>
  </r>
  <r>
    <n v="871"/>
    <d v="2011-02-08T00:00:00"/>
    <x v="0"/>
    <x v="1"/>
    <n v="17"/>
    <b v="0"/>
    <n v="2"/>
    <x v="0"/>
    <x v="1"/>
    <m/>
    <n v="0.18179999999999999"/>
    <n v="0.32"/>
    <n v="0.58209999999999995"/>
    <n v="4"/>
    <n v="172"/>
    <n v="176"/>
    <x v="1"/>
    <x v="2"/>
  </r>
  <r>
    <n v="872"/>
    <d v="2011-02-08T00:00:00"/>
    <x v="0"/>
    <x v="1"/>
    <n v="18"/>
    <b v="0"/>
    <n v="2"/>
    <x v="0"/>
    <x v="2"/>
    <m/>
    <n v="0.18179999999999999"/>
    <n v="0.32"/>
    <n v="0.3881"/>
    <n v="1"/>
    <n v="151"/>
    <n v="152"/>
    <x v="1"/>
    <x v="2"/>
  </r>
  <r>
    <n v="873"/>
    <d v="2011-02-08T00:00:00"/>
    <x v="0"/>
    <x v="1"/>
    <n v="19"/>
    <b v="0"/>
    <n v="2"/>
    <x v="0"/>
    <x v="13"/>
    <m/>
    <n v="0.1212"/>
    <n v="0.4"/>
    <n v="0.4627"/>
    <n v="1"/>
    <n v="100"/>
    <n v="101"/>
    <x v="1"/>
    <x v="2"/>
  </r>
  <r>
    <n v="874"/>
    <d v="2011-02-08T00:00:00"/>
    <x v="0"/>
    <x v="1"/>
    <n v="20"/>
    <b v="0"/>
    <n v="2"/>
    <x v="0"/>
    <x v="13"/>
    <m/>
    <n v="0.13639999999999999"/>
    <n v="0.4"/>
    <n v="0.32840000000000003"/>
    <n v="3"/>
    <n v="53"/>
    <n v="56"/>
    <x v="1"/>
    <x v="2"/>
  </r>
  <r>
    <n v="875"/>
    <d v="2011-02-08T00:00:00"/>
    <x v="0"/>
    <x v="1"/>
    <n v="21"/>
    <b v="0"/>
    <n v="2"/>
    <x v="0"/>
    <x v="14"/>
    <m/>
    <n v="0.1061"/>
    <n v="0.33"/>
    <n v="0.4627"/>
    <n v="8"/>
    <n v="46"/>
    <n v="54"/>
    <x v="1"/>
    <x v="3"/>
  </r>
  <r>
    <n v="876"/>
    <d v="2011-02-08T00:00:00"/>
    <x v="0"/>
    <x v="1"/>
    <n v="22"/>
    <b v="0"/>
    <n v="2"/>
    <x v="0"/>
    <x v="16"/>
    <m/>
    <n v="0.1061"/>
    <n v="0.33"/>
    <n v="0.35820000000000002"/>
    <n v="0"/>
    <n v="29"/>
    <n v="29"/>
    <x v="1"/>
    <x v="3"/>
  </r>
  <r>
    <n v="877"/>
    <d v="2011-02-08T00:00:00"/>
    <x v="0"/>
    <x v="1"/>
    <n v="23"/>
    <b v="0"/>
    <n v="2"/>
    <x v="0"/>
    <x v="16"/>
    <m/>
    <n v="0.1061"/>
    <n v="0.33"/>
    <n v="0.32840000000000003"/>
    <n v="3"/>
    <n v="9"/>
    <n v="12"/>
    <x v="1"/>
    <x v="3"/>
  </r>
  <r>
    <n v="878"/>
    <d v="2011-02-09T00:00:00"/>
    <x v="0"/>
    <x v="1"/>
    <n v="0"/>
    <b v="0"/>
    <n v="3"/>
    <x v="0"/>
    <x v="18"/>
    <m/>
    <n v="7.5800000000000006E-2"/>
    <n v="0.36"/>
    <n v="0.35820000000000002"/>
    <n v="0"/>
    <n v="17"/>
    <n v="17"/>
    <x v="1"/>
    <x v="0"/>
  </r>
  <r>
    <n v="879"/>
    <d v="2011-02-09T00:00:00"/>
    <x v="0"/>
    <x v="1"/>
    <n v="1"/>
    <b v="0"/>
    <n v="3"/>
    <x v="0"/>
    <x v="18"/>
    <m/>
    <n v="0.1061"/>
    <n v="0.36"/>
    <n v="0.22389999999999999"/>
    <n v="0"/>
    <n v="7"/>
    <n v="7"/>
    <x v="1"/>
    <x v="0"/>
  </r>
  <r>
    <n v="880"/>
    <d v="2011-02-09T00:00:00"/>
    <x v="0"/>
    <x v="1"/>
    <n v="2"/>
    <b v="0"/>
    <n v="3"/>
    <x v="0"/>
    <x v="19"/>
    <m/>
    <n v="7.5800000000000006E-2"/>
    <n v="0.38"/>
    <n v="0.28360000000000002"/>
    <n v="1"/>
    <n v="2"/>
    <n v="3"/>
    <x v="1"/>
    <x v="0"/>
  </r>
  <r>
    <n v="881"/>
    <d v="2011-02-09T00:00:00"/>
    <x v="0"/>
    <x v="1"/>
    <n v="3"/>
    <b v="0"/>
    <n v="3"/>
    <x v="0"/>
    <x v="20"/>
    <m/>
    <n v="7.5800000000000006E-2"/>
    <n v="0.45"/>
    <n v="0.1343"/>
    <n v="0"/>
    <n v="2"/>
    <n v="2"/>
    <x v="1"/>
    <x v="0"/>
  </r>
  <r>
    <n v="882"/>
    <d v="2011-02-09T00:00:00"/>
    <x v="0"/>
    <x v="1"/>
    <n v="5"/>
    <b v="0"/>
    <n v="3"/>
    <x v="0"/>
    <x v="20"/>
    <m/>
    <n v="0.1061"/>
    <n v="0.45"/>
    <n v="0.1045"/>
    <n v="0"/>
    <n v="7"/>
    <n v="7"/>
    <x v="1"/>
    <x v="0"/>
  </r>
  <r>
    <n v="883"/>
    <d v="2011-02-09T00:00:00"/>
    <x v="0"/>
    <x v="1"/>
    <n v="6"/>
    <b v="0"/>
    <n v="3"/>
    <x v="0"/>
    <x v="20"/>
    <m/>
    <n v="0.1515"/>
    <n v="0.45"/>
    <n v="0"/>
    <n v="0"/>
    <n v="43"/>
    <n v="43"/>
    <x v="1"/>
    <x v="0"/>
  </r>
  <r>
    <n v="884"/>
    <d v="2011-02-09T00:00:00"/>
    <x v="0"/>
    <x v="1"/>
    <n v="7"/>
    <b v="0"/>
    <n v="3"/>
    <x v="0"/>
    <x v="20"/>
    <m/>
    <n v="0.1061"/>
    <n v="0.49"/>
    <n v="0.1045"/>
    <n v="4"/>
    <n v="95"/>
    <n v="99"/>
    <x v="1"/>
    <x v="0"/>
  </r>
  <r>
    <n v="885"/>
    <d v="2011-02-09T00:00:00"/>
    <x v="0"/>
    <x v="1"/>
    <n v="8"/>
    <b v="0"/>
    <n v="3"/>
    <x v="0"/>
    <x v="18"/>
    <m/>
    <n v="0.13639999999999999"/>
    <n v="0.42"/>
    <n v="0"/>
    <n v="1"/>
    <n v="198"/>
    <n v="199"/>
    <x v="1"/>
    <x v="0"/>
  </r>
  <r>
    <n v="886"/>
    <d v="2011-02-09T00:00:00"/>
    <x v="0"/>
    <x v="1"/>
    <n v="9"/>
    <b v="0"/>
    <n v="3"/>
    <x v="0"/>
    <x v="16"/>
    <m/>
    <n v="0.13639999999999999"/>
    <n v="0.39"/>
    <n v="0.16420000000000001"/>
    <n v="4"/>
    <n v="119"/>
    <n v="123"/>
    <x v="1"/>
    <x v="0"/>
  </r>
  <r>
    <n v="887"/>
    <d v="2011-02-09T00:00:00"/>
    <x v="0"/>
    <x v="1"/>
    <n v="10"/>
    <b v="0"/>
    <n v="3"/>
    <x v="0"/>
    <x v="14"/>
    <m/>
    <n v="0.18179999999999999"/>
    <n v="0.36"/>
    <n v="0"/>
    <n v="8"/>
    <n v="51"/>
    <n v="59"/>
    <x v="1"/>
    <x v="0"/>
  </r>
  <r>
    <n v="888"/>
    <d v="2011-02-09T00:00:00"/>
    <x v="0"/>
    <x v="1"/>
    <n v="11"/>
    <b v="0"/>
    <n v="3"/>
    <x v="1"/>
    <x v="14"/>
    <m/>
    <n v="0.1515"/>
    <n v="0.43"/>
    <n v="0.16420000000000001"/>
    <n v="1"/>
    <n v="40"/>
    <n v="41"/>
    <x v="1"/>
    <x v="0"/>
  </r>
  <r>
    <n v="889"/>
    <d v="2011-02-09T00:00:00"/>
    <x v="0"/>
    <x v="1"/>
    <n v="12"/>
    <b v="0"/>
    <n v="3"/>
    <x v="1"/>
    <x v="15"/>
    <m/>
    <n v="0.18179999999999999"/>
    <n v="0.4"/>
    <n v="0.22389999999999999"/>
    <n v="4"/>
    <n v="57"/>
    <n v="61"/>
    <x v="1"/>
    <x v="1"/>
  </r>
  <r>
    <n v="890"/>
    <d v="2011-02-09T00:00:00"/>
    <x v="0"/>
    <x v="1"/>
    <n v="13"/>
    <b v="0"/>
    <n v="3"/>
    <x v="0"/>
    <x v="15"/>
    <m/>
    <n v="0.16669999999999999"/>
    <n v="0.4"/>
    <n v="0.25369999999999998"/>
    <n v="2"/>
    <n v="67"/>
    <n v="69"/>
    <x v="1"/>
    <x v="1"/>
  </r>
  <r>
    <n v="891"/>
    <d v="2011-02-09T00:00:00"/>
    <x v="0"/>
    <x v="1"/>
    <n v="14"/>
    <b v="0"/>
    <n v="3"/>
    <x v="0"/>
    <x v="2"/>
    <m/>
    <n v="0.18179999999999999"/>
    <n v="0.34"/>
    <n v="0.29849999999999999"/>
    <n v="2"/>
    <n v="56"/>
    <n v="58"/>
    <x v="1"/>
    <x v="1"/>
  </r>
  <r>
    <n v="892"/>
    <d v="2011-02-09T00:00:00"/>
    <x v="0"/>
    <x v="1"/>
    <n v="15"/>
    <b v="0"/>
    <n v="3"/>
    <x v="1"/>
    <x v="2"/>
    <m/>
    <n v="0.18179999999999999"/>
    <n v="0.34"/>
    <n v="0.28360000000000002"/>
    <n v="3"/>
    <n v="61"/>
    <n v="64"/>
    <x v="1"/>
    <x v="1"/>
  </r>
  <r>
    <n v="893"/>
    <d v="2011-02-09T00:00:00"/>
    <x v="0"/>
    <x v="1"/>
    <n v="16"/>
    <b v="0"/>
    <n v="3"/>
    <x v="1"/>
    <x v="2"/>
    <m/>
    <n v="0.19700000000000001"/>
    <n v="0.37"/>
    <n v="0.25369999999999998"/>
    <n v="7"/>
    <n v="72"/>
    <n v="79"/>
    <x v="1"/>
    <x v="2"/>
  </r>
  <r>
    <n v="894"/>
    <d v="2011-02-09T00:00:00"/>
    <x v="0"/>
    <x v="1"/>
    <n v="17"/>
    <b v="0"/>
    <n v="3"/>
    <x v="1"/>
    <x v="2"/>
    <m/>
    <n v="0.19700000000000001"/>
    <n v="0.34"/>
    <n v="0.25369999999999998"/>
    <n v="9"/>
    <n v="157"/>
    <n v="166"/>
    <x v="1"/>
    <x v="2"/>
  </r>
  <r>
    <n v="895"/>
    <d v="2011-02-09T00:00:00"/>
    <x v="0"/>
    <x v="1"/>
    <n v="18"/>
    <b v="0"/>
    <n v="3"/>
    <x v="1"/>
    <x v="15"/>
    <m/>
    <n v="0.16669999999999999"/>
    <n v="0.47"/>
    <n v="0.29849999999999999"/>
    <n v="2"/>
    <n v="168"/>
    <n v="170"/>
    <x v="1"/>
    <x v="2"/>
  </r>
  <r>
    <n v="896"/>
    <d v="2011-02-09T00:00:00"/>
    <x v="0"/>
    <x v="1"/>
    <n v="19"/>
    <b v="0"/>
    <n v="3"/>
    <x v="2"/>
    <x v="14"/>
    <m/>
    <n v="0.1212"/>
    <n v="0.86"/>
    <n v="0.25369999999999998"/>
    <n v="1"/>
    <n v="87"/>
    <n v="88"/>
    <x v="1"/>
    <x v="2"/>
  </r>
  <r>
    <n v="897"/>
    <d v="2011-02-09T00:00:00"/>
    <x v="0"/>
    <x v="1"/>
    <n v="20"/>
    <b v="0"/>
    <n v="3"/>
    <x v="2"/>
    <x v="14"/>
    <m/>
    <n v="0.1515"/>
    <n v="0.86"/>
    <n v="0.16420000000000001"/>
    <n v="0"/>
    <n v="84"/>
    <n v="84"/>
    <x v="1"/>
    <x v="2"/>
  </r>
  <r>
    <n v="898"/>
    <d v="2011-02-09T00:00:00"/>
    <x v="0"/>
    <x v="1"/>
    <n v="21"/>
    <b v="0"/>
    <n v="3"/>
    <x v="1"/>
    <x v="14"/>
    <m/>
    <n v="0.1515"/>
    <n v="0.86"/>
    <n v="0.16420000000000001"/>
    <n v="0"/>
    <n v="83"/>
    <n v="83"/>
    <x v="1"/>
    <x v="3"/>
  </r>
  <r>
    <n v="899"/>
    <d v="2011-02-09T00:00:00"/>
    <x v="0"/>
    <x v="1"/>
    <n v="22"/>
    <b v="0"/>
    <n v="3"/>
    <x v="2"/>
    <x v="13"/>
    <m/>
    <n v="0.16669999999999999"/>
    <n v="0.8"/>
    <n v="0.16420000000000001"/>
    <n v="4"/>
    <n v="42"/>
    <n v="46"/>
    <x v="1"/>
    <x v="3"/>
  </r>
  <r>
    <n v="900"/>
    <d v="2011-02-09T00:00:00"/>
    <x v="0"/>
    <x v="1"/>
    <n v="23"/>
    <b v="0"/>
    <n v="3"/>
    <x v="2"/>
    <x v="13"/>
    <m/>
    <n v="0.1515"/>
    <n v="0.8"/>
    <n v="0.19400000000000001"/>
    <n v="0"/>
    <n v="37"/>
    <n v="37"/>
    <x v="1"/>
    <x v="3"/>
  </r>
  <r>
    <n v="901"/>
    <d v="2011-02-10T00:00:00"/>
    <x v="0"/>
    <x v="1"/>
    <n v="0"/>
    <b v="0"/>
    <n v="4"/>
    <x v="2"/>
    <x v="14"/>
    <m/>
    <n v="0.13639999999999999"/>
    <n v="0.86"/>
    <n v="0.19400000000000001"/>
    <n v="0"/>
    <n v="16"/>
    <n v="16"/>
    <x v="1"/>
    <x v="0"/>
  </r>
  <r>
    <n v="902"/>
    <d v="2011-02-10T00:00:00"/>
    <x v="0"/>
    <x v="1"/>
    <n v="1"/>
    <b v="0"/>
    <n v="4"/>
    <x v="2"/>
    <x v="14"/>
    <m/>
    <n v="0.1515"/>
    <n v="0.8"/>
    <n v="0.1343"/>
    <n v="0"/>
    <n v="7"/>
    <n v="7"/>
    <x v="1"/>
    <x v="0"/>
  </r>
  <r>
    <n v="903"/>
    <d v="2011-02-10T00:00:00"/>
    <x v="0"/>
    <x v="1"/>
    <n v="2"/>
    <b v="0"/>
    <n v="4"/>
    <x v="2"/>
    <x v="14"/>
    <m/>
    <n v="0.1515"/>
    <n v="0.8"/>
    <n v="0.1343"/>
    <n v="0"/>
    <n v="3"/>
    <n v="3"/>
    <x v="1"/>
    <x v="0"/>
  </r>
  <r>
    <n v="904"/>
    <d v="2011-02-10T00:00:00"/>
    <x v="0"/>
    <x v="1"/>
    <n v="4"/>
    <b v="0"/>
    <n v="4"/>
    <x v="1"/>
    <x v="14"/>
    <m/>
    <n v="0.13639999999999999"/>
    <n v="0.59"/>
    <n v="0.22389999999999999"/>
    <n v="0"/>
    <n v="1"/>
    <n v="1"/>
    <x v="1"/>
    <x v="0"/>
  </r>
  <r>
    <n v="905"/>
    <d v="2011-02-10T00:00:00"/>
    <x v="0"/>
    <x v="1"/>
    <n v="5"/>
    <b v="0"/>
    <n v="4"/>
    <x v="1"/>
    <x v="16"/>
    <m/>
    <n v="0.1212"/>
    <n v="0.5"/>
    <n v="0.22389999999999999"/>
    <n v="0"/>
    <n v="6"/>
    <n v="6"/>
    <x v="1"/>
    <x v="0"/>
  </r>
  <r>
    <n v="906"/>
    <d v="2011-02-10T00:00:00"/>
    <x v="0"/>
    <x v="1"/>
    <n v="6"/>
    <b v="0"/>
    <n v="4"/>
    <x v="1"/>
    <x v="16"/>
    <m/>
    <n v="0.1212"/>
    <n v="0.54"/>
    <n v="0.28360000000000002"/>
    <n v="0"/>
    <n v="26"/>
    <n v="26"/>
    <x v="1"/>
    <x v="0"/>
  </r>
  <r>
    <n v="907"/>
    <d v="2011-02-10T00:00:00"/>
    <x v="0"/>
    <x v="1"/>
    <n v="7"/>
    <b v="0"/>
    <n v="4"/>
    <x v="0"/>
    <x v="18"/>
    <m/>
    <n v="7.5800000000000006E-2"/>
    <n v="0.5"/>
    <n v="0.41789999999999999"/>
    <n v="0"/>
    <n v="99"/>
    <n v="99"/>
    <x v="1"/>
    <x v="0"/>
  </r>
  <r>
    <n v="908"/>
    <d v="2011-02-10T00:00:00"/>
    <x v="0"/>
    <x v="1"/>
    <n v="8"/>
    <b v="0"/>
    <n v="4"/>
    <x v="0"/>
    <x v="18"/>
    <m/>
    <n v="7.5800000000000006E-2"/>
    <n v="0.49"/>
    <n v="0.32840000000000003"/>
    <n v="5"/>
    <n v="173"/>
    <n v="178"/>
    <x v="1"/>
    <x v="0"/>
  </r>
  <r>
    <n v="909"/>
    <d v="2011-02-10T00:00:00"/>
    <x v="0"/>
    <x v="1"/>
    <n v="9"/>
    <b v="0"/>
    <n v="4"/>
    <x v="0"/>
    <x v="16"/>
    <m/>
    <n v="0.1061"/>
    <n v="0.42"/>
    <n v="0.35820000000000002"/>
    <n v="1"/>
    <n v="121"/>
    <n v="122"/>
    <x v="1"/>
    <x v="0"/>
  </r>
  <r>
    <n v="910"/>
    <d v="2011-02-10T00:00:00"/>
    <x v="0"/>
    <x v="1"/>
    <n v="10"/>
    <b v="0"/>
    <n v="4"/>
    <x v="0"/>
    <x v="16"/>
    <m/>
    <n v="0.1061"/>
    <n v="0.42"/>
    <n v="0.29849999999999999"/>
    <n v="1"/>
    <n v="34"/>
    <n v="35"/>
    <x v="1"/>
    <x v="0"/>
  </r>
  <r>
    <n v="911"/>
    <d v="2011-02-10T00:00:00"/>
    <x v="0"/>
    <x v="1"/>
    <n v="11"/>
    <b v="0"/>
    <n v="4"/>
    <x v="0"/>
    <x v="14"/>
    <m/>
    <n v="0.1212"/>
    <n v="0.39"/>
    <n v="0.35820000000000002"/>
    <n v="1"/>
    <n v="44"/>
    <n v="45"/>
    <x v="1"/>
    <x v="0"/>
  </r>
  <r>
    <n v="912"/>
    <d v="2011-02-10T00:00:00"/>
    <x v="0"/>
    <x v="1"/>
    <n v="12"/>
    <b v="0"/>
    <n v="4"/>
    <x v="0"/>
    <x v="13"/>
    <m/>
    <n v="0.13639999999999999"/>
    <n v="0.34"/>
    <n v="0.3881"/>
    <n v="4"/>
    <n v="65"/>
    <n v="69"/>
    <x v="1"/>
    <x v="1"/>
  </r>
  <r>
    <n v="913"/>
    <d v="2011-02-10T00:00:00"/>
    <x v="0"/>
    <x v="1"/>
    <n v="13"/>
    <b v="0"/>
    <n v="4"/>
    <x v="0"/>
    <x v="15"/>
    <m/>
    <n v="0.16669999999999999"/>
    <n v="0.28999999999999998"/>
    <n v="0.29849999999999999"/>
    <n v="3"/>
    <n v="59"/>
    <n v="62"/>
    <x v="1"/>
    <x v="1"/>
  </r>
  <r>
    <n v="914"/>
    <d v="2011-02-10T00:00:00"/>
    <x v="0"/>
    <x v="1"/>
    <n v="14"/>
    <b v="0"/>
    <n v="4"/>
    <x v="0"/>
    <x v="2"/>
    <m/>
    <n v="0.18179999999999999"/>
    <n v="0.27"/>
    <n v="0.28360000000000002"/>
    <n v="6"/>
    <n v="42"/>
    <n v="48"/>
    <x v="1"/>
    <x v="1"/>
  </r>
  <r>
    <n v="915"/>
    <d v="2011-02-10T00:00:00"/>
    <x v="0"/>
    <x v="1"/>
    <n v="15"/>
    <b v="0"/>
    <n v="4"/>
    <x v="0"/>
    <x v="2"/>
    <m/>
    <n v="0.19700000000000001"/>
    <n v="0.25"/>
    <n v="0.25369999999999998"/>
    <n v="0"/>
    <n v="50"/>
    <n v="50"/>
    <x v="1"/>
    <x v="1"/>
  </r>
  <r>
    <n v="916"/>
    <d v="2011-02-10T00:00:00"/>
    <x v="0"/>
    <x v="1"/>
    <n v="16"/>
    <b v="0"/>
    <n v="4"/>
    <x v="0"/>
    <x v="2"/>
    <m/>
    <n v="0.18179999999999999"/>
    <n v="0.27"/>
    <n v="0.29849999999999999"/>
    <n v="4"/>
    <n v="76"/>
    <n v="80"/>
    <x v="1"/>
    <x v="2"/>
  </r>
  <r>
    <n v="917"/>
    <d v="2011-02-10T00:00:00"/>
    <x v="0"/>
    <x v="1"/>
    <n v="17"/>
    <b v="0"/>
    <n v="4"/>
    <x v="0"/>
    <x v="15"/>
    <m/>
    <n v="0.18179999999999999"/>
    <n v="0.26"/>
    <n v="0.19400000000000001"/>
    <n v="6"/>
    <n v="159"/>
    <n v="165"/>
    <x v="1"/>
    <x v="2"/>
  </r>
  <r>
    <n v="918"/>
    <d v="2011-02-10T00:00:00"/>
    <x v="0"/>
    <x v="1"/>
    <n v="18"/>
    <b v="0"/>
    <n v="4"/>
    <x v="0"/>
    <x v="13"/>
    <m/>
    <n v="0.18179999999999999"/>
    <n v="0.28000000000000003"/>
    <n v="0.1343"/>
    <n v="3"/>
    <n v="157"/>
    <n v="160"/>
    <x v="1"/>
    <x v="2"/>
  </r>
  <r>
    <n v="919"/>
    <d v="2011-02-10T00:00:00"/>
    <x v="0"/>
    <x v="1"/>
    <n v="19"/>
    <b v="0"/>
    <n v="4"/>
    <x v="0"/>
    <x v="14"/>
    <m/>
    <n v="0.16669999999999999"/>
    <n v="0.28000000000000003"/>
    <n v="0.1045"/>
    <n v="2"/>
    <n v="110"/>
    <n v="112"/>
    <x v="1"/>
    <x v="2"/>
  </r>
  <r>
    <n v="920"/>
    <d v="2011-02-10T00:00:00"/>
    <x v="0"/>
    <x v="1"/>
    <n v="20"/>
    <b v="0"/>
    <n v="4"/>
    <x v="0"/>
    <x v="14"/>
    <m/>
    <n v="0.18179999999999999"/>
    <n v="0.31"/>
    <n v="8.9599999999999999E-2"/>
    <n v="4"/>
    <n v="93"/>
    <n v="97"/>
    <x v="1"/>
    <x v="2"/>
  </r>
  <r>
    <n v="921"/>
    <d v="2011-02-10T00:00:00"/>
    <x v="0"/>
    <x v="1"/>
    <n v="21"/>
    <b v="0"/>
    <n v="4"/>
    <x v="0"/>
    <x v="14"/>
    <m/>
    <n v="0.21210000000000001"/>
    <n v="0.39"/>
    <n v="0"/>
    <n v="2"/>
    <n v="70"/>
    <n v="72"/>
    <x v="1"/>
    <x v="3"/>
  </r>
  <r>
    <n v="922"/>
    <d v="2011-02-10T00:00:00"/>
    <x v="0"/>
    <x v="1"/>
    <n v="22"/>
    <b v="0"/>
    <n v="4"/>
    <x v="0"/>
    <x v="16"/>
    <m/>
    <n v="0.19700000000000001"/>
    <n v="0.39"/>
    <n v="0"/>
    <n v="4"/>
    <n v="47"/>
    <n v="51"/>
    <x v="1"/>
    <x v="3"/>
  </r>
  <r>
    <n v="923"/>
    <d v="2011-02-10T00:00:00"/>
    <x v="0"/>
    <x v="1"/>
    <n v="23"/>
    <b v="0"/>
    <n v="4"/>
    <x v="0"/>
    <x v="16"/>
    <m/>
    <n v="0.1515"/>
    <n v="0.42"/>
    <n v="0.1045"/>
    <n v="1"/>
    <n v="33"/>
    <n v="34"/>
    <x v="1"/>
    <x v="3"/>
  </r>
  <r>
    <n v="924"/>
    <d v="2011-02-11T00:00:00"/>
    <x v="0"/>
    <x v="1"/>
    <n v="0"/>
    <b v="0"/>
    <n v="5"/>
    <x v="0"/>
    <x v="18"/>
    <m/>
    <n v="0.13639999999999999"/>
    <n v="0.49"/>
    <n v="0.1045"/>
    <n v="2"/>
    <n v="12"/>
    <n v="14"/>
    <x v="0"/>
    <x v="0"/>
  </r>
  <r>
    <n v="925"/>
    <d v="2011-02-11T00:00:00"/>
    <x v="0"/>
    <x v="1"/>
    <n v="1"/>
    <b v="0"/>
    <n v="5"/>
    <x v="0"/>
    <x v="18"/>
    <m/>
    <n v="0.13639999999999999"/>
    <n v="0.54"/>
    <n v="8.9599999999999999E-2"/>
    <n v="1"/>
    <n v="6"/>
    <n v="7"/>
    <x v="0"/>
    <x v="0"/>
  </r>
  <r>
    <n v="926"/>
    <d v="2011-02-11T00:00:00"/>
    <x v="0"/>
    <x v="1"/>
    <n v="2"/>
    <b v="0"/>
    <n v="5"/>
    <x v="0"/>
    <x v="18"/>
    <m/>
    <n v="0.13639999999999999"/>
    <n v="0.54"/>
    <n v="8.9599999999999999E-2"/>
    <n v="0"/>
    <n v="3"/>
    <n v="3"/>
    <x v="0"/>
    <x v="0"/>
  </r>
  <r>
    <n v="927"/>
    <d v="2011-02-11T00:00:00"/>
    <x v="0"/>
    <x v="1"/>
    <n v="5"/>
    <b v="0"/>
    <n v="5"/>
    <x v="0"/>
    <x v="19"/>
    <m/>
    <n v="0.1212"/>
    <n v="0.63"/>
    <n v="8.9599999999999999E-2"/>
    <n v="0"/>
    <n v="4"/>
    <n v="4"/>
    <x v="0"/>
    <x v="0"/>
  </r>
  <r>
    <n v="928"/>
    <d v="2011-02-11T00:00:00"/>
    <x v="0"/>
    <x v="1"/>
    <n v="6"/>
    <b v="0"/>
    <n v="5"/>
    <x v="0"/>
    <x v="18"/>
    <m/>
    <n v="0.18179999999999999"/>
    <n v="0.68"/>
    <n v="0"/>
    <n v="1"/>
    <n v="23"/>
    <n v="24"/>
    <x v="0"/>
    <x v="0"/>
  </r>
  <r>
    <n v="929"/>
    <d v="2011-02-11T00:00:00"/>
    <x v="0"/>
    <x v="1"/>
    <n v="7"/>
    <b v="0"/>
    <n v="5"/>
    <x v="0"/>
    <x v="19"/>
    <m/>
    <n v="0.16669999999999999"/>
    <n v="0.73"/>
    <n v="0"/>
    <n v="1"/>
    <n v="73"/>
    <n v="74"/>
    <x v="0"/>
    <x v="0"/>
  </r>
  <r>
    <n v="930"/>
    <d v="2011-02-11T00:00:00"/>
    <x v="0"/>
    <x v="1"/>
    <n v="8"/>
    <b v="0"/>
    <n v="5"/>
    <x v="0"/>
    <x v="18"/>
    <m/>
    <n v="0.1212"/>
    <n v="0.74"/>
    <n v="0.16420000000000001"/>
    <n v="4"/>
    <n v="212"/>
    <n v="216"/>
    <x v="0"/>
    <x v="0"/>
  </r>
  <r>
    <n v="931"/>
    <d v="2011-02-11T00:00:00"/>
    <x v="0"/>
    <x v="1"/>
    <n v="9"/>
    <b v="0"/>
    <n v="5"/>
    <x v="0"/>
    <x v="16"/>
    <m/>
    <n v="0.1212"/>
    <n v="0.74"/>
    <n v="0.22389999999999999"/>
    <n v="8"/>
    <n v="132"/>
    <n v="140"/>
    <x v="0"/>
    <x v="0"/>
  </r>
  <r>
    <n v="932"/>
    <d v="2011-02-11T00:00:00"/>
    <x v="0"/>
    <x v="1"/>
    <n v="10"/>
    <b v="0"/>
    <n v="5"/>
    <x v="0"/>
    <x v="14"/>
    <m/>
    <n v="0.13639999999999999"/>
    <n v="0.69"/>
    <n v="0.19400000000000001"/>
    <n v="5"/>
    <n v="39"/>
    <n v="44"/>
    <x v="0"/>
    <x v="0"/>
  </r>
  <r>
    <n v="933"/>
    <d v="2011-02-11T00:00:00"/>
    <x v="0"/>
    <x v="1"/>
    <n v="11"/>
    <b v="0"/>
    <n v="5"/>
    <x v="0"/>
    <x v="1"/>
    <m/>
    <n v="0.2273"/>
    <n v="0.47"/>
    <n v="0.1343"/>
    <n v="12"/>
    <n v="52"/>
    <n v="64"/>
    <x v="0"/>
    <x v="0"/>
  </r>
  <r>
    <n v="934"/>
    <d v="2011-02-11T00:00:00"/>
    <x v="0"/>
    <x v="1"/>
    <n v="12"/>
    <b v="0"/>
    <n v="5"/>
    <x v="0"/>
    <x v="1"/>
    <m/>
    <n v="0.2273"/>
    <n v="0.47"/>
    <n v="0.1343"/>
    <n v="7"/>
    <n v="64"/>
    <n v="71"/>
    <x v="0"/>
    <x v="1"/>
  </r>
  <r>
    <n v="935"/>
    <d v="2011-02-11T00:00:00"/>
    <x v="0"/>
    <x v="1"/>
    <n v="13"/>
    <b v="0"/>
    <n v="5"/>
    <x v="0"/>
    <x v="0"/>
    <m/>
    <n v="0.2273"/>
    <n v="0.35"/>
    <n v="0.19400000000000001"/>
    <n v="21"/>
    <n v="89"/>
    <n v="110"/>
    <x v="0"/>
    <x v="1"/>
  </r>
  <r>
    <n v="936"/>
    <d v="2011-02-11T00:00:00"/>
    <x v="0"/>
    <x v="1"/>
    <n v="14"/>
    <b v="0"/>
    <n v="5"/>
    <x v="0"/>
    <x v="11"/>
    <m/>
    <n v="0.28789999999999999"/>
    <n v="0.26"/>
    <n v="0.25369999999999998"/>
    <n v="17"/>
    <n v="67"/>
    <n v="84"/>
    <x v="0"/>
    <x v="1"/>
  </r>
  <r>
    <n v="937"/>
    <d v="2011-02-11T00:00:00"/>
    <x v="0"/>
    <x v="1"/>
    <n v="15"/>
    <b v="0"/>
    <n v="5"/>
    <x v="0"/>
    <x v="3"/>
    <m/>
    <n v="0.31819999999999998"/>
    <n v="0.21"/>
    <n v="0.16420000000000001"/>
    <n v="12"/>
    <n v="62"/>
    <n v="74"/>
    <x v="0"/>
    <x v="1"/>
  </r>
  <r>
    <n v="938"/>
    <d v="2011-02-11T00:00:00"/>
    <x v="0"/>
    <x v="1"/>
    <n v="16"/>
    <b v="0"/>
    <n v="5"/>
    <x v="0"/>
    <x v="11"/>
    <m/>
    <n v="0.28789999999999999"/>
    <n v="0.28000000000000003"/>
    <n v="0.19400000000000001"/>
    <n v="14"/>
    <n v="111"/>
    <n v="125"/>
    <x v="0"/>
    <x v="2"/>
  </r>
  <r>
    <n v="939"/>
    <d v="2011-02-11T00:00:00"/>
    <x v="0"/>
    <x v="1"/>
    <n v="17"/>
    <b v="0"/>
    <n v="5"/>
    <x v="0"/>
    <x v="11"/>
    <m/>
    <n v="0.33329999999999999"/>
    <n v="0.24"/>
    <n v="0"/>
    <n v="18"/>
    <n v="193"/>
    <n v="211"/>
    <x v="0"/>
    <x v="2"/>
  </r>
  <r>
    <n v="940"/>
    <d v="2011-02-11T00:00:00"/>
    <x v="0"/>
    <x v="1"/>
    <n v="18"/>
    <b v="0"/>
    <n v="5"/>
    <x v="0"/>
    <x v="17"/>
    <m/>
    <n v="0.31819999999999998"/>
    <n v="0.28000000000000003"/>
    <n v="0"/>
    <n v="9"/>
    <n v="165"/>
    <n v="174"/>
    <x v="0"/>
    <x v="2"/>
  </r>
  <r>
    <n v="941"/>
    <d v="2011-02-11T00:00:00"/>
    <x v="0"/>
    <x v="1"/>
    <n v="19"/>
    <b v="0"/>
    <n v="5"/>
    <x v="0"/>
    <x v="12"/>
    <m/>
    <n v="0.30299999999999999"/>
    <n v="0.33"/>
    <n v="0"/>
    <n v="7"/>
    <n v="94"/>
    <n v="101"/>
    <x v="0"/>
    <x v="2"/>
  </r>
  <r>
    <n v="942"/>
    <d v="2011-02-11T00:00:00"/>
    <x v="0"/>
    <x v="1"/>
    <n v="20"/>
    <b v="0"/>
    <n v="5"/>
    <x v="0"/>
    <x v="1"/>
    <m/>
    <n v="0.2273"/>
    <n v="0.55000000000000004"/>
    <n v="0.1343"/>
    <n v="2"/>
    <n v="61"/>
    <n v="63"/>
    <x v="0"/>
    <x v="2"/>
  </r>
  <r>
    <n v="943"/>
    <d v="2011-02-11T00:00:00"/>
    <x v="0"/>
    <x v="1"/>
    <n v="21"/>
    <b v="0"/>
    <n v="5"/>
    <x v="0"/>
    <x v="2"/>
    <m/>
    <n v="0.21210000000000001"/>
    <n v="0.59"/>
    <n v="0.1343"/>
    <n v="1"/>
    <n v="46"/>
    <n v="47"/>
    <x v="0"/>
    <x v="3"/>
  </r>
  <r>
    <n v="944"/>
    <d v="2011-02-11T00:00:00"/>
    <x v="0"/>
    <x v="1"/>
    <n v="22"/>
    <b v="0"/>
    <n v="5"/>
    <x v="0"/>
    <x v="2"/>
    <m/>
    <n v="0.2273"/>
    <n v="0.64"/>
    <n v="8.9599999999999999E-2"/>
    <n v="2"/>
    <n v="41"/>
    <n v="43"/>
    <x v="0"/>
    <x v="3"/>
  </r>
  <r>
    <n v="945"/>
    <d v="2011-02-11T00:00:00"/>
    <x v="0"/>
    <x v="1"/>
    <n v="23"/>
    <b v="0"/>
    <n v="5"/>
    <x v="0"/>
    <x v="15"/>
    <m/>
    <n v="0.2424"/>
    <n v="0.69"/>
    <n v="0"/>
    <n v="5"/>
    <n v="48"/>
    <n v="53"/>
    <x v="0"/>
    <x v="3"/>
  </r>
  <r>
    <n v="946"/>
    <d v="2011-02-12T00:00:00"/>
    <x v="0"/>
    <x v="1"/>
    <n v="0"/>
    <b v="0"/>
    <n v="6"/>
    <x v="0"/>
    <x v="13"/>
    <m/>
    <n v="0.19700000000000001"/>
    <n v="0.69"/>
    <n v="8.9599999999999999E-2"/>
    <n v="3"/>
    <n v="27"/>
    <n v="30"/>
    <x v="0"/>
    <x v="0"/>
  </r>
  <r>
    <n v="947"/>
    <d v="2011-02-12T00:00:00"/>
    <x v="0"/>
    <x v="1"/>
    <n v="1"/>
    <b v="0"/>
    <n v="6"/>
    <x v="0"/>
    <x v="14"/>
    <m/>
    <n v="0.21210000000000001"/>
    <n v="0.86"/>
    <n v="0"/>
    <n v="2"/>
    <n v="22"/>
    <n v="24"/>
    <x v="0"/>
    <x v="0"/>
  </r>
  <r>
    <n v="948"/>
    <d v="2011-02-12T00:00:00"/>
    <x v="0"/>
    <x v="1"/>
    <n v="2"/>
    <b v="0"/>
    <n v="6"/>
    <x v="0"/>
    <x v="14"/>
    <m/>
    <n v="0.21210000000000001"/>
    <n v="0.8"/>
    <n v="0"/>
    <n v="2"/>
    <n v="13"/>
    <n v="15"/>
    <x v="0"/>
    <x v="0"/>
  </r>
  <r>
    <n v="949"/>
    <d v="2011-02-12T00:00:00"/>
    <x v="0"/>
    <x v="1"/>
    <n v="3"/>
    <b v="0"/>
    <n v="6"/>
    <x v="0"/>
    <x v="16"/>
    <m/>
    <n v="0.19700000000000001"/>
    <n v="0.8"/>
    <n v="0"/>
    <n v="3"/>
    <n v="7"/>
    <n v="10"/>
    <x v="0"/>
    <x v="0"/>
  </r>
  <r>
    <n v="950"/>
    <d v="2011-02-12T00:00:00"/>
    <x v="0"/>
    <x v="1"/>
    <n v="4"/>
    <b v="0"/>
    <n v="6"/>
    <x v="0"/>
    <x v="16"/>
    <m/>
    <n v="0.16669999999999999"/>
    <n v="0.74"/>
    <n v="8.9599999999999999E-2"/>
    <n v="0"/>
    <n v="4"/>
    <n v="4"/>
    <x v="0"/>
    <x v="0"/>
  </r>
  <r>
    <n v="951"/>
    <d v="2011-02-12T00:00:00"/>
    <x v="0"/>
    <x v="1"/>
    <n v="5"/>
    <b v="0"/>
    <n v="6"/>
    <x v="0"/>
    <x v="16"/>
    <m/>
    <n v="0.16669999999999999"/>
    <n v="0.74"/>
    <n v="8.9599999999999999E-2"/>
    <n v="0"/>
    <n v="1"/>
    <n v="1"/>
    <x v="0"/>
    <x v="0"/>
  </r>
  <r>
    <n v="952"/>
    <d v="2011-02-12T00:00:00"/>
    <x v="0"/>
    <x v="1"/>
    <n v="6"/>
    <b v="0"/>
    <n v="6"/>
    <x v="0"/>
    <x v="16"/>
    <m/>
    <n v="0.13639999999999999"/>
    <n v="0.93"/>
    <n v="0.19400000000000001"/>
    <n v="1"/>
    <n v="1"/>
    <n v="2"/>
    <x v="0"/>
    <x v="0"/>
  </r>
  <r>
    <n v="953"/>
    <d v="2011-02-12T00:00:00"/>
    <x v="0"/>
    <x v="1"/>
    <n v="7"/>
    <b v="0"/>
    <n v="6"/>
    <x v="0"/>
    <x v="16"/>
    <m/>
    <n v="0.1515"/>
    <n v="0.8"/>
    <n v="0.1045"/>
    <n v="2"/>
    <n v="9"/>
    <n v="11"/>
    <x v="0"/>
    <x v="0"/>
  </r>
  <r>
    <n v="954"/>
    <d v="2011-02-12T00:00:00"/>
    <x v="0"/>
    <x v="1"/>
    <n v="8"/>
    <b v="0"/>
    <n v="6"/>
    <x v="0"/>
    <x v="14"/>
    <m/>
    <n v="0.1515"/>
    <n v="0.86"/>
    <n v="0.1343"/>
    <n v="2"/>
    <n v="28"/>
    <n v="30"/>
    <x v="0"/>
    <x v="0"/>
  </r>
  <r>
    <n v="955"/>
    <d v="2011-02-12T00:00:00"/>
    <x v="0"/>
    <x v="1"/>
    <n v="9"/>
    <b v="0"/>
    <n v="6"/>
    <x v="0"/>
    <x v="13"/>
    <m/>
    <n v="0.18179999999999999"/>
    <n v="0.64"/>
    <n v="0.1343"/>
    <n v="5"/>
    <n v="38"/>
    <n v="43"/>
    <x v="0"/>
    <x v="0"/>
  </r>
  <r>
    <n v="956"/>
    <d v="2011-02-12T00:00:00"/>
    <x v="0"/>
    <x v="1"/>
    <n v="10"/>
    <b v="0"/>
    <n v="6"/>
    <x v="0"/>
    <x v="1"/>
    <m/>
    <n v="0.21210000000000001"/>
    <n v="0.41"/>
    <n v="0.25369999999999998"/>
    <n v="13"/>
    <n v="71"/>
    <n v="84"/>
    <x v="0"/>
    <x v="0"/>
  </r>
  <r>
    <n v="957"/>
    <d v="2011-02-12T00:00:00"/>
    <x v="0"/>
    <x v="1"/>
    <n v="11"/>
    <b v="0"/>
    <n v="6"/>
    <x v="0"/>
    <x v="11"/>
    <m/>
    <n v="0.2727"/>
    <n v="0.28000000000000003"/>
    <n v="0.32840000000000003"/>
    <n v="30"/>
    <n v="84"/>
    <n v="114"/>
    <x v="0"/>
    <x v="0"/>
  </r>
  <r>
    <n v="958"/>
    <d v="2011-02-12T00:00:00"/>
    <x v="0"/>
    <x v="1"/>
    <n v="12"/>
    <b v="0"/>
    <n v="6"/>
    <x v="0"/>
    <x v="11"/>
    <m/>
    <n v="0.2727"/>
    <n v="0.39"/>
    <n v="0.4627"/>
    <n v="27"/>
    <n v="93"/>
    <n v="120"/>
    <x v="0"/>
    <x v="1"/>
  </r>
  <r>
    <n v="959"/>
    <d v="2011-02-12T00:00:00"/>
    <x v="0"/>
    <x v="1"/>
    <n v="13"/>
    <b v="0"/>
    <n v="6"/>
    <x v="0"/>
    <x v="11"/>
    <m/>
    <n v="0.2727"/>
    <n v="0.39"/>
    <n v="0.41789999999999999"/>
    <n v="32"/>
    <n v="103"/>
    <n v="135"/>
    <x v="0"/>
    <x v="1"/>
  </r>
  <r>
    <n v="960"/>
    <d v="2011-02-12T00:00:00"/>
    <x v="0"/>
    <x v="1"/>
    <n v="14"/>
    <b v="0"/>
    <n v="6"/>
    <x v="0"/>
    <x v="10"/>
    <m/>
    <n v="0.31819999999999998"/>
    <n v="0.31"/>
    <n v="0.28360000000000002"/>
    <n v="30"/>
    <n v="90"/>
    <n v="120"/>
    <x v="0"/>
    <x v="1"/>
  </r>
  <r>
    <n v="961"/>
    <d v="2011-02-12T00:00:00"/>
    <x v="0"/>
    <x v="1"/>
    <n v="15"/>
    <b v="0"/>
    <n v="6"/>
    <x v="0"/>
    <x v="10"/>
    <m/>
    <n v="0.30299999999999999"/>
    <n v="0.28999999999999998"/>
    <n v="0.41789999999999999"/>
    <n v="47"/>
    <n v="127"/>
    <n v="174"/>
    <x v="0"/>
    <x v="1"/>
  </r>
  <r>
    <n v="962"/>
    <d v="2011-02-12T00:00:00"/>
    <x v="0"/>
    <x v="1"/>
    <n v="16"/>
    <b v="0"/>
    <n v="6"/>
    <x v="0"/>
    <x v="10"/>
    <m/>
    <n v="0.30299999999999999"/>
    <n v="0.28999999999999998"/>
    <n v="0.41789999999999999"/>
    <n v="42"/>
    <n v="103"/>
    <n v="145"/>
    <x v="0"/>
    <x v="2"/>
  </r>
  <r>
    <n v="963"/>
    <d v="2011-02-12T00:00:00"/>
    <x v="0"/>
    <x v="1"/>
    <n v="17"/>
    <b v="0"/>
    <n v="6"/>
    <x v="0"/>
    <x v="3"/>
    <m/>
    <n v="0.28789999999999999"/>
    <n v="0.31"/>
    <n v="0.52239999999999998"/>
    <n v="24"/>
    <n v="113"/>
    <n v="137"/>
    <x v="0"/>
    <x v="2"/>
  </r>
  <r>
    <n v="964"/>
    <d v="2011-02-12T00:00:00"/>
    <x v="0"/>
    <x v="1"/>
    <n v="18"/>
    <b v="0"/>
    <n v="6"/>
    <x v="0"/>
    <x v="17"/>
    <m/>
    <n v="0.2576"/>
    <n v="0.38"/>
    <n v="0.32840000000000003"/>
    <n v="4"/>
    <n v="60"/>
    <n v="64"/>
    <x v="0"/>
    <x v="2"/>
  </r>
  <r>
    <n v="965"/>
    <d v="2011-02-12T00:00:00"/>
    <x v="0"/>
    <x v="1"/>
    <n v="19"/>
    <b v="0"/>
    <n v="6"/>
    <x v="0"/>
    <x v="17"/>
    <m/>
    <n v="0.2727"/>
    <n v="0.38"/>
    <n v="0.16420000000000001"/>
    <n v="2"/>
    <n v="39"/>
    <n v="41"/>
    <x v="0"/>
    <x v="2"/>
  </r>
  <r>
    <n v="966"/>
    <d v="2011-02-12T00:00:00"/>
    <x v="0"/>
    <x v="1"/>
    <n v="20"/>
    <b v="0"/>
    <n v="6"/>
    <x v="0"/>
    <x v="12"/>
    <m/>
    <n v="0.2576"/>
    <n v="0.41"/>
    <n v="0.22389999999999999"/>
    <n v="1"/>
    <n v="39"/>
    <n v="40"/>
    <x v="0"/>
    <x v="2"/>
  </r>
  <r>
    <n v="967"/>
    <d v="2011-02-12T00:00:00"/>
    <x v="0"/>
    <x v="1"/>
    <n v="21"/>
    <b v="0"/>
    <n v="6"/>
    <x v="0"/>
    <x v="12"/>
    <m/>
    <n v="0.30299999999999999"/>
    <n v="0.41"/>
    <n v="0"/>
    <n v="9"/>
    <n v="42"/>
    <n v="51"/>
    <x v="0"/>
    <x v="3"/>
  </r>
  <r>
    <n v="968"/>
    <d v="2011-02-12T00:00:00"/>
    <x v="0"/>
    <x v="1"/>
    <n v="22"/>
    <b v="0"/>
    <n v="6"/>
    <x v="0"/>
    <x v="0"/>
    <m/>
    <n v="0.2576"/>
    <n v="0.44"/>
    <n v="8.9599999999999999E-2"/>
    <n v="6"/>
    <n v="39"/>
    <n v="45"/>
    <x v="0"/>
    <x v="3"/>
  </r>
  <r>
    <n v="969"/>
    <d v="2011-02-12T00:00:00"/>
    <x v="0"/>
    <x v="1"/>
    <n v="23"/>
    <b v="0"/>
    <n v="6"/>
    <x v="0"/>
    <x v="1"/>
    <m/>
    <n v="0.2273"/>
    <n v="0.51"/>
    <n v="0.1343"/>
    <n v="1"/>
    <n v="31"/>
    <n v="32"/>
    <x v="0"/>
    <x v="3"/>
  </r>
  <r>
    <n v="970"/>
    <d v="2011-02-13T00:00:00"/>
    <x v="0"/>
    <x v="1"/>
    <n v="0"/>
    <b v="0"/>
    <n v="0"/>
    <x v="0"/>
    <x v="2"/>
    <m/>
    <n v="0.2273"/>
    <n v="0.64"/>
    <n v="0.1045"/>
    <n v="5"/>
    <n v="34"/>
    <n v="39"/>
    <x v="1"/>
    <x v="0"/>
  </r>
  <r>
    <n v="971"/>
    <d v="2011-02-13T00:00:00"/>
    <x v="0"/>
    <x v="1"/>
    <n v="1"/>
    <b v="0"/>
    <n v="0"/>
    <x v="0"/>
    <x v="2"/>
    <m/>
    <n v="0.2273"/>
    <n v="0.59"/>
    <n v="8.9599999999999999E-2"/>
    <n v="1"/>
    <n v="23"/>
    <n v="24"/>
    <x v="1"/>
    <x v="0"/>
  </r>
  <r>
    <n v="972"/>
    <d v="2011-02-13T00:00:00"/>
    <x v="0"/>
    <x v="1"/>
    <n v="2"/>
    <b v="0"/>
    <n v="0"/>
    <x v="1"/>
    <x v="2"/>
    <m/>
    <n v="0.2273"/>
    <n v="0.75"/>
    <n v="8.9599999999999999E-2"/>
    <n v="1"/>
    <n v="19"/>
    <n v="20"/>
    <x v="1"/>
    <x v="0"/>
  </r>
  <r>
    <n v="973"/>
    <d v="2011-02-13T00:00:00"/>
    <x v="0"/>
    <x v="1"/>
    <n v="3"/>
    <b v="0"/>
    <n v="0"/>
    <x v="1"/>
    <x v="2"/>
    <m/>
    <n v="0.2273"/>
    <n v="0.69"/>
    <n v="0.1045"/>
    <n v="4"/>
    <n v="8"/>
    <n v="12"/>
    <x v="1"/>
    <x v="0"/>
  </r>
  <r>
    <n v="974"/>
    <d v="2011-02-13T00:00:00"/>
    <x v="0"/>
    <x v="1"/>
    <n v="4"/>
    <b v="0"/>
    <n v="0"/>
    <x v="1"/>
    <x v="2"/>
    <m/>
    <n v="0.21210000000000001"/>
    <n v="0.69"/>
    <n v="0.16420000000000001"/>
    <n v="0"/>
    <n v="2"/>
    <n v="2"/>
    <x v="1"/>
    <x v="0"/>
  </r>
  <r>
    <n v="975"/>
    <d v="2011-02-13T00:00:00"/>
    <x v="0"/>
    <x v="1"/>
    <n v="6"/>
    <b v="0"/>
    <n v="0"/>
    <x v="1"/>
    <x v="2"/>
    <m/>
    <n v="0.21210000000000001"/>
    <n v="0.69"/>
    <n v="0.1343"/>
    <n v="2"/>
    <n v="3"/>
    <n v="5"/>
    <x v="1"/>
    <x v="0"/>
  </r>
  <r>
    <n v="976"/>
    <d v="2011-02-13T00:00:00"/>
    <x v="0"/>
    <x v="1"/>
    <n v="7"/>
    <b v="0"/>
    <n v="0"/>
    <x v="1"/>
    <x v="1"/>
    <m/>
    <n v="0.2727"/>
    <n v="0.55000000000000004"/>
    <n v="0"/>
    <n v="0"/>
    <n v="3"/>
    <n v="3"/>
    <x v="1"/>
    <x v="0"/>
  </r>
  <r>
    <n v="977"/>
    <d v="2011-02-13T00:00:00"/>
    <x v="0"/>
    <x v="1"/>
    <n v="8"/>
    <b v="0"/>
    <n v="0"/>
    <x v="1"/>
    <x v="1"/>
    <m/>
    <n v="0.2273"/>
    <n v="0.64"/>
    <n v="0.19400000000000001"/>
    <n v="1"/>
    <n v="11"/>
    <n v="12"/>
    <x v="1"/>
    <x v="0"/>
  </r>
  <r>
    <n v="978"/>
    <d v="2011-02-13T00:00:00"/>
    <x v="0"/>
    <x v="1"/>
    <n v="9"/>
    <b v="0"/>
    <n v="0"/>
    <x v="1"/>
    <x v="0"/>
    <m/>
    <n v="0.2273"/>
    <n v="0.6"/>
    <n v="0.22389999999999999"/>
    <n v="12"/>
    <n v="35"/>
    <n v="47"/>
    <x v="1"/>
    <x v="0"/>
  </r>
  <r>
    <n v="979"/>
    <d v="2011-02-13T00:00:00"/>
    <x v="0"/>
    <x v="1"/>
    <n v="10"/>
    <b v="0"/>
    <n v="0"/>
    <x v="0"/>
    <x v="11"/>
    <m/>
    <n v="0.2727"/>
    <n v="0.45"/>
    <n v="0.32840000000000003"/>
    <n v="19"/>
    <n v="86"/>
    <n v="105"/>
    <x v="1"/>
    <x v="0"/>
  </r>
  <r>
    <n v="980"/>
    <d v="2011-02-13T00:00:00"/>
    <x v="0"/>
    <x v="1"/>
    <n v="11"/>
    <b v="0"/>
    <n v="0"/>
    <x v="0"/>
    <x v="3"/>
    <m/>
    <n v="0.28789999999999999"/>
    <n v="0.39"/>
    <n v="0.44779999999999998"/>
    <n v="26"/>
    <n v="86"/>
    <n v="112"/>
    <x v="1"/>
    <x v="0"/>
  </r>
  <r>
    <n v="981"/>
    <d v="2011-02-13T00:00:00"/>
    <x v="0"/>
    <x v="1"/>
    <n v="12"/>
    <b v="0"/>
    <n v="0"/>
    <x v="0"/>
    <x v="5"/>
    <m/>
    <n v="0.31819999999999998"/>
    <n v="0.32"/>
    <n v="0.4627"/>
    <n v="58"/>
    <n v="94"/>
    <n v="152"/>
    <x v="1"/>
    <x v="1"/>
  </r>
  <r>
    <n v="982"/>
    <d v="2011-02-13T00:00:00"/>
    <x v="0"/>
    <x v="1"/>
    <n v="13"/>
    <b v="0"/>
    <n v="0"/>
    <x v="0"/>
    <x v="4"/>
    <m/>
    <n v="0.39389999999999997"/>
    <n v="0.28999999999999998"/>
    <n v="0.35820000000000002"/>
    <n v="62"/>
    <n v="92"/>
    <n v="154"/>
    <x v="1"/>
    <x v="1"/>
  </r>
  <r>
    <n v="983"/>
    <d v="2011-02-13T00:00:00"/>
    <x v="0"/>
    <x v="1"/>
    <n v="14"/>
    <b v="0"/>
    <n v="0"/>
    <x v="1"/>
    <x v="9"/>
    <m/>
    <n v="0.40910000000000002"/>
    <n v="0.3"/>
    <n v="0.41789999999999999"/>
    <n v="51"/>
    <n v="110"/>
    <n v="161"/>
    <x v="1"/>
    <x v="1"/>
  </r>
  <r>
    <n v="984"/>
    <d v="2011-02-13T00:00:00"/>
    <x v="0"/>
    <x v="1"/>
    <n v="15"/>
    <b v="0"/>
    <n v="0"/>
    <x v="1"/>
    <x v="9"/>
    <m/>
    <n v="0.40910000000000002"/>
    <n v="0.3"/>
    <n v="0.29849999999999999"/>
    <n v="40"/>
    <n v="122"/>
    <n v="162"/>
    <x v="1"/>
    <x v="1"/>
  </r>
  <r>
    <n v="985"/>
    <d v="2011-02-13T00:00:00"/>
    <x v="0"/>
    <x v="1"/>
    <n v="16"/>
    <b v="0"/>
    <n v="0"/>
    <x v="1"/>
    <x v="6"/>
    <m/>
    <n v="0.42420000000000002"/>
    <n v="0.28000000000000003"/>
    <n v="0.32840000000000003"/>
    <n v="28"/>
    <n v="106"/>
    <n v="134"/>
    <x v="1"/>
    <x v="2"/>
  </r>
  <r>
    <n v="986"/>
    <d v="2011-02-13T00:00:00"/>
    <x v="0"/>
    <x v="1"/>
    <n v="17"/>
    <b v="0"/>
    <n v="0"/>
    <x v="0"/>
    <x v="6"/>
    <m/>
    <n v="0.42420000000000002"/>
    <n v="0.28000000000000003"/>
    <n v="0.32840000000000003"/>
    <n v="30"/>
    <n v="95"/>
    <n v="125"/>
    <x v="1"/>
    <x v="2"/>
  </r>
  <r>
    <n v="987"/>
    <d v="2011-02-13T00:00:00"/>
    <x v="0"/>
    <x v="1"/>
    <n v="18"/>
    <b v="0"/>
    <n v="0"/>
    <x v="0"/>
    <x v="9"/>
    <m/>
    <n v="0.40910000000000002"/>
    <n v="0.32"/>
    <n v="0.29849999999999999"/>
    <n v="17"/>
    <n v="78"/>
    <n v="95"/>
    <x v="1"/>
    <x v="2"/>
  </r>
  <r>
    <n v="988"/>
    <d v="2011-02-13T00:00:00"/>
    <x v="0"/>
    <x v="1"/>
    <n v="19"/>
    <b v="0"/>
    <n v="0"/>
    <x v="0"/>
    <x v="9"/>
    <m/>
    <n v="0.40910000000000002"/>
    <n v="0.35"/>
    <n v="0.28360000000000002"/>
    <n v="11"/>
    <n v="50"/>
    <n v="61"/>
    <x v="1"/>
    <x v="2"/>
  </r>
  <r>
    <n v="989"/>
    <d v="2011-02-13T00:00:00"/>
    <x v="0"/>
    <x v="1"/>
    <n v="20"/>
    <b v="0"/>
    <n v="0"/>
    <x v="0"/>
    <x v="9"/>
    <m/>
    <n v="0.40910000000000002"/>
    <n v="0.35"/>
    <n v="0.32840000000000003"/>
    <n v="15"/>
    <n v="32"/>
    <n v="47"/>
    <x v="1"/>
    <x v="2"/>
  </r>
  <r>
    <n v="990"/>
    <d v="2011-02-13T00:00:00"/>
    <x v="0"/>
    <x v="1"/>
    <n v="21"/>
    <b v="0"/>
    <n v="0"/>
    <x v="0"/>
    <x v="9"/>
    <m/>
    <n v="0.40910000000000002"/>
    <n v="0.35"/>
    <n v="0.35820000000000002"/>
    <n v="6"/>
    <n v="45"/>
    <n v="51"/>
    <x v="1"/>
    <x v="3"/>
  </r>
  <r>
    <n v="991"/>
    <d v="2011-02-13T00:00:00"/>
    <x v="0"/>
    <x v="1"/>
    <n v="22"/>
    <b v="0"/>
    <n v="0"/>
    <x v="0"/>
    <x v="9"/>
    <m/>
    <n v="0.40910000000000002"/>
    <n v="0.35"/>
    <n v="0.29849999999999999"/>
    <n v="5"/>
    <n v="31"/>
    <n v="36"/>
    <x v="1"/>
    <x v="3"/>
  </r>
  <r>
    <n v="992"/>
    <d v="2011-02-13T00:00:00"/>
    <x v="0"/>
    <x v="1"/>
    <n v="23"/>
    <b v="0"/>
    <n v="0"/>
    <x v="0"/>
    <x v="9"/>
    <m/>
    <n v="0.40910000000000002"/>
    <n v="0.35"/>
    <n v="0.35820000000000002"/>
    <n v="3"/>
    <n v="27"/>
    <n v="30"/>
    <x v="1"/>
    <x v="3"/>
  </r>
  <r>
    <n v="993"/>
    <d v="2011-02-14T00:00:00"/>
    <x v="0"/>
    <x v="1"/>
    <n v="0"/>
    <b v="0"/>
    <n v="1"/>
    <x v="0"/>
    <x v="4"/>
    <m/>
    <n v="0.39389999999999997"/>
    <n v="0.37"/>
    <n v="0.35820000000000002"/>
    <n v="3"/>
    <n v="8"/>
    <n v="11"/>
    <x v="1"/>
    <x v="0"/>
  </r>
  <r>
    <n v="994"/>
    <d v="2011-02-14T00:00:00"/>
    <x v="0"/>
    <x v="1"/>
    <n v="1"/>
    <b v="0"/>
    <n v="1"/>
    <x v="0"/>
    <x v="4"/>
    <m/>
    <n v="0.39389999999999997"/>
    <n v="0.37"/>
    <n v="0.35820000000000002"/>
    <n v="1"/>
    <n v="6"/>
    <n v="7"/>
    <x v="1"/>
    <x v="0"/>
  </r>
  <r>
    <n v="995"/>
    <d v="2011-02-14T00:00:00"/>
    <x v="0"/>
    <x v="1"/>
    <n v="2"/>
    <b v="0"/>
    <n v="1"/>
    <x v="0"/>
    <x v="5"/>
    <m/>
    <n v="0.33329999999999999"/>
    <n v="0.4"/>
    <n v="0.29849999999999999"/>
    <n v="0"/>
    <n v="2"/>
    <n v="2"/>
    <x v="1"/>
    <x v="0"/>
  </r>
  <r>
    <n v="996"/>
    <d v="2011-02-14T00:00:00"/>
    <x v="0"/>
    <x v="1"/>
    <n v="3"/>
    <b v="0"/>
    <n v="1"/>
    <x v="0"/>
    <x v="10"/>
    <m/>
    <n v="0.31819999999999998"/>
    <n v="0.46"/>
    <n v="0.22389999999999999"/>
    <n v="1"/>
    <n v="1"/>
    <n v="2"/>
    <x v="1"/>
    <x v="0"/>
  </r>
  <r>
    <n v="997"/>
    <d v="2011-02-14T00:00:00"/>
    <x v="0"/>
    <x v="1"/>
    <n v="4"/>
    <b v="0"/>
    <n v="1"/>
    <x v="0"/>
    <x v="3"/>
    <m/>
    <n v="0.30299999999999999"/>
    <n v="0.53"/>
    <n v="0.28360000000000002"/>
    <n v="0"/>
    <n v="2"/>
    <n v="2"/>
    <x v="1"/>
    <x v="0"/>
  </r>
  <r>
    <n v="998"/>
    <d v="2011-02-14T00:00:00"/>
    <x v="0"/>
    <x v="1"/>
    <n v="5"/>
    <b v="0"/>
    <n v="1"/>
    <x v="0"/>
    <x v="3"/>
    <m/>
    <n v="0.30299999999999999"/>
    <n v="0.53"/>
    <n v="0.28360000000000002"/>
    <n v="0"/>
    <n v="3"/>
    <n v="3"/>
    <x v="1"/>
    <x v="0"/>
  </r>
  <r>
    <n v="999"/>
    <d v="2011-02-14T00:00:00"/>
    <x v="0"/>
    <x v="1"/>
    <n v="6"/>
    <b v="0"/>
    <n v="1"/>
    <x v="0"/>
    <x v="10"/>
    <m/>
    <n v="0.30299999999999999"/>
    <n v="0.46"/>
    <n v="0.29849999999999999"/>
    <n v="1"/>
    <n v="25"/>
    <n v="26"/>
    <x v="1"/>
    <x v="0"/>
  </r>
  <r>
    <n v="1000"/>
    <d v="2011-02-14T00:00:00"/>
    <x v="0"/>
    <x v="1"/>
    <n v="7"/>
    <b v="0"/>
    <n v="1"/>
    <x v="0"/>
    <x v="10"/>
    <m/>
    <n v="0.30299999999999999"/>
    <n v="0.46"/>
    <n v="0.29849999999999999"/>
    <n v="2"/>
    <n v="96"/>
    <n v="98"/>
    <x v="1"/>
    <x v="0"/>
  </r>
  <r>
    <n v="1001"/>
    <d v="2011-01-28T00:00:00"/>
    <x v="0"/>
    <x v="0"/>
    <n v="16"/>
    <b v="0"/>
    <n v="5"/>
    <x v="0"/>
    <x v="1"/>
    <m/>
    <n v="0.2727"/>
    <n v="0.8"/>
    <n v="0"/>
    <n v="10"/>
    <n v="70"/>
    <n v="80"/>
    <x v="0"/>
    <x v="2"/>
  </r>
  <r>
    <n v="1002"/>
    <d v="2011-01-28T00:00:00"/>
    <x v="0"/>
    <x v="0"/>
    <n v="17"/>
    <b v="0"/>
    <n v="5"/>
    <x v="0"/>
    <x v="0"/>
    <m/>
    <n v="0.2424"/>
    <n v="0.75"/>
    <n v="0.1343"/>
    <n v="2"/>
    <n v="147"/>
    <n v="149"/>
    <x v="0"/>
    <x v="2"/>
  </r>
  <r>
    <n v="1003"/>
    <d v="2011-01-28T00:00:00"/>
    <x v="0"/>
    <x v="0"/>
    <n v="18"/>
    <b v="0"/>
    <n v="5"/>
    <x v="0"/>
    <x v="0"/>
    <m/>
    <n v="0.2273"/>
    <n v="0.75"/>
    <n v="0.19400000000000001"/>
    <n v="2"/>
    <n v="107"/>
    <n v="109"/>
    <x v="0"/>
    <x v="2"/>
  </r>
  <r>
    <n v="1004"/>
    <d v="2011-01-28T00:00:00"/>
    <x v="0"/>
    <x v="0"/>
    <n v="19"/>
    <b v="0"/>
    <n v="5"/>
    <x v="1"/>
    <x v="0"/>
    <m/>
    <n v="0.2424"/>
    <n v="0.75"/>
    <n v="0.1343"/>
    <n v="5"/>
    <n v="84"/>
    <n v="89"/>
    <x v="0"/>
    <x v="2"/>
  </r>
  <r>
    <n v="1005"/>
    <d v="2011-01-28T00:00:00"/>
    <x v="0"/>
    <x v="0"/>
    <n v="20"/>
    <b v="0"/>
    <n v="5"/>
    <x v="1"/>
    <x v="0"/>
    <m/>
    <n v="0.2273"/>
    <n v="0.7"/>
    <n v="0.19400000000000001"/>
    <n v="1"/>
    <n v="61"/>
    <n v="62"/>
    <x v="0"/>
    <x v="2"/>
  </r>
  <r>
    <n v="1006"/>
    <d v="2011-01-28T00:00:00"/>
    <x v="0"/>
    <x v="0"/>
    <n v="21"/>
    <b v="0"/>
    <n v="5"/>
    <x v="1"/>
    <x v="1"/>
    <m/>
    <n v="0.2273"/>
    <n v="0.75"/>
    <n v="0.1343"/>
    <n v="1"/>
    <n v="57"/>
    <n v="58"/>
    <x v="0"/>
    <x v="3"/>
  </r>
  <r>
    <n v="1007"/>
    <d v="2011-01-28T00:00:00"/>
    <x v="0"/>
    <x v="0"/>
    <n v="22"/>
    <b v="0"/>
    <n v="5"/>
    <x v="0"/>
    <x v="0"/>
    <m/>
    <n v="0.21210000000000001"/>
    <n v="0.65"/>
    <n v="0.35820000000000002"/>
    <n v="0"/>
    <n v="26"/>
    <n v="26"/>
    <x v="0"/>
    <x v="3"/>
  </r>
  <r>
    <n v="1008"/>
    <d v="2011-01-28T00:00:00"/>
    <x v="0"/>
    <x v="0"/>
    <n v="23"/>
    <b v="0"/>
    <n v="5"/>
    <x v="0"/>
    <x v="0"/>
    <m/>
    <n v="0.2273"/>
    <n v="0.6"/>
    <n v="0.22389999999999999"/>
    <n v="1"/>
    <n v="22"/>
    <n v="23"/>
    <x v="0"/>
    <x v="3"/>
  </r>
  <r>
    <n v="1009"/>
    <d v="2011-01-29T00:00:00"/>
    <x v="0"/>
    <x v="0"/>
    <n v="0"/>
    <b v="0"/>
    <n v="6"/>
    <x v="0"/>
    <x v="1"/>
    <m/>
    <n v="0.19700000000000001"/>
    <n v="0.64"/>
    <n v="0.35820000000000002"/>
    <n v="2"/>
    <n v="26"/>
    <n v="28"/>
    <x v="0"/>
    <x v="0"/>
  </r>
  <r>
    <m/>
    <m/>
    <x v="1"/>
    <x v="2"/>
    <m/>
    <m/>
    <m/>
    <x v="4"/>
    <x v="23"/>
    <m/>
    <m/>
    <m/>
    <m/>
    <m/>
    <m/>
    <m/>
    <x v="2"/>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2">
  <r>
    <n v="1"/>
    <d v="2011-01-01T00:00:00"/>
    <x v="0"/>
    <n v="1"/>
    <x v="0"/>
    <b v="0"/>
    <x v="0"/>
    <n v="1"/>
    <n v="0.24"/>
    <n v="0"/>
    <n v="0.28789999999999999"/>
    <n v="0.81"/>
    <n v="0"/>
    <n v="3"/>
    <n v="13"/>
    <n v="16"/>
    <x v="0"/>
    <x v="0"/>
    <x v="0"/>
  </r>
  <r>
    <n v="2"/>
    <d v="2011-01-01T00:00:00"/>
    <x v="0"/>
    <n v="1"/>
    <x v="1"/>
    <b v="0"/>
    <x v="0"/>
    <n v="1"/>
    <n v="0.22"/>
    <n v="0"/>
    <n v="0.28789999999999999"/>
    <n v="0.81"/>
    <n v="0"/>
    <n v="3"/>
    <n v="13"/>
    <n v="16"/>
    <x v="0"/>
    <x v="0"/>
    <x v="0"/>
  </r>
  <r>
    <n v="3"/>
    <d v="2011-01-01T00:00:00"/>
    <x v="0"/>
    <n v="1"/>
    <x v="2"/>
    <b v="0"/>
    <x v="0"/>
    <n v="1"/>
    <n v="0.22"/>
    <n v="0"/>
    <n v="0.28789999999999999"/>
    <n v="0.81"/>
    <n v="0"/>
    <n v="3"/>
    <n v="13"/>
    <n v="16"/>
    <x v="0"/>
    <x v="0"/>
    <x v="0"/>
  </r>
  <r>
    <n v="4"/>
    <d v="2011-01-01T00:00:00"/>
    <x v="0"/>
    <n v="1"/>
    <x v="3"/>
    <b v="0"/>
    <x v="0"/>
    <n v="1"/>
    <n v="0.24"/>
    <n v="0"/>
    <n v="0.28789999999999999"/>
    <n v="0.81"/>
    <n v="0"/>
    <n v="3"/>
    <n v="13"/>
    <n v="16"/>
    <x v="0"/>
    <x v="0"/>
    <x v="0"/>
  </r>
  <r>
    <n v="5"/>
    <d v="2011-01-01T00:00:00"/>
    <x v="0"/>
    <n v="1"/>
    <x v="4"/>
    <b v="0"/>
    <x v="0"/>
    <n v="1"/>
    <n v="0.24"/>
    <n v="0"/>
    <n v="0.28789999999999999"/>
    <n v="0.81"/>
    <n v="0"/>
    <n v="3"/>
    <n v="13"/>
    <n v="16"/>
    <x v="0"/>
    <x v="0"/>
    <x v="0"/>
  </r>
  <r>
    <n v="6"/>
    <d v="2011-01-01T00:00:00"/>
    <x v="0"/>
    <n v="1"/>
    <x v="5"/>
    <b v="0"/>
    <x v="0"/>
    <n v="2"/>
    <n v="0.24"/>
    <n v="0"/>
    <n v="0.28789999999999999"/>
    <n v="0.81"/>
    <n v="0"/>
    <n v="3"/>
    <n v="13"/>
    <n v="16"/>
    <x v="0"/>
    <x v="0"/>
    <x v="1"/>
  </r>
  <r>
    <n v="7"/>
    <d v="2011-01-01T00:00:00"/>
    <x v="0"/>
    <n v="1"/>
    <x v="6"/>
    <b v="0"/>
    <x v="0"/>
    <n v="1"/>
    <n v="0.22"/>
    <n v="0"/>
    <n v="0.28789999999999999"/>
    <n v="0.81"/>
    <n v="0"/>
    <n v="3"/>
    <n v="13"/>
    <n v="16"/>
    <x v="0"/>
    <x v="0"/>
    <x v="0"/>
  </r>
  <r>
    <n v="8"/>
    <d v="2011-01-01T00:00:00"/>
    <x v="0"/>
    <n v="1"/>
    <x v="7"/>
    <b v="0"/>
    <x v="0"/>
    <n v="1"/>
    <n v="0.2"/>
    <n v="0"/>
    <n v="0.28789999999999999"/>
    <n v="0.81"/>
    <n v="0"/>
    <n v="3"/>
    <n v="13"/>
    <n v="16"/>
    <x v="0"/>
    <x v="0"/>
    <x v="0"/>
  </r>
  <r>
    <n v="9"/>
    <d v="2011-01-01T00:00:00"/>
    <x v="0"/>
    <n v="1"/>
    <x v="8"/>
    <b v="0"/>
    <x v="0"/>
    <n v="1"/>
    <n v="0.24"/>
    <n v="0"/>
    <n v="0.28789999999999999"/>
    <n v="0.81"/>
    <n v="0"/>
    <n v="3"/>
    <n v="13"/>
    <n v="16"/>
    <x v="0"/>
    <x v="0"/>
    <x v="0"/>
  </r>
  <r>
    <n v="10"/>
    <d v="2011-01-01T00:00:00"/>
    <x v="0"/>
    <n v="1"/>
    <x v="9"/>
    <b v="0"/>
    <x v="0"/>
    <n v="1"/>
    <n v="0.32"/>
    <n v="0"/>
    <n v="0.28789999999999999"/>
    <n v="0.81"/>
    <n v="0"/>
    <n v="3"/>
    <n v="13"/>
    <n v="16"/>
    <x v="0"/>
    <x v="0"/>
    <x v="0"/>
  </r>
  <r>
    <n v="11"/>
    <d v="2011-01-01T00:00:00"/>
    <x v="0"/>
    <n v="1"/>
    <x v="10"/>
    <b v="0"/>
    <x v="0"/>
    <n v="1"/>
    <n v="0.38"/>
    <n v="0"/>
    <n v="0.28789999999999999"/>
    <n v="0.81"/>
    <n v="0"/>
    <n v="3"/>
    <n v="13"/>
    <n v="16"/>
    <x v="0"/>
    <x v="0"/>
    <x v="0"/>
  </r>
  <r>
    <n v="12"/>
    <d v="2011-01-01T00:00:00"/>
    <x v="0"/>
    <n v="1"/>
    <x v="11"/>
    <b v="0"/>
    <x v="0"/>
    <n v="1"/>
    <n v="0.36"/>
    <n v="0"/>
    <n v="0.28789999999999999"/>
    <n v="0.81"/>
    <n v="0"/>
    <n v="3"/>
    <n v="13"/>
    <n v="16"/>
    <x v="0"/>
    <x v="0"/>
    <x v="0"/>
  </r>
  <r>
    <n v="13"/>
    <d v="2011-01-01T00:00:00"/>
    <x v="0"/>
    <n v="1"/>
    <x v="12"/>
    <b v="0"/>
    <x v="0"/>
    <n v="1"/>
    <n v="0.42"/>
    <n v="0"/>
    <n v="0.28789999999999999"/>
    <n v="0.81"/>
    <n v="0"/>
    <n v="3"/>
    <n v="13"/>
    <n v="16"/>
    <x v="0"/>
    <x v="1"/>
    <x v="0"/>
  </r>
  <r>
    <n v="14"/>
    <d v="2011-01-01T00:00:00"/>
    <x v="0"/>
    <n v="1"/>
    <x v="13"/>
    <b v="0"/>
    <x v="0"/>
    <n v="2"/>
    <n v="0.46"/>
    <n v="0"/>
    <n v="0.28789999999999999"/>
    <n v="0.81"/>
    <n v="0"/>
    <n v="3"/>
    <n v="13"/>
    <n v="16"/>
    <x v="0"/>
    <x v="1"/>
    <x v="1"/>
  </r>
  <r>
    <n v="15"/>
    <d v="2011-01-01T00:00:00"/>
    <x v="0"/>
    <n v="1"/>
    <x v="14"/>
    <b v="0"/>
    <x v="0"/>
    <n v="2"/>
    <n v="0.46"/>
    <n v="0"/>
    <n v="0.28789999999999999"/>
    <n v="0.81"/>
    <n v="0"/>
    <n v="3"/>
    <n v="13"/>
    <n v="16"/>
    <x v="0"/>
    <x v="1"/>
    <x v="1"/>
  </r>
  <r>
    <n v="16"/>
    <d v="2011-01-01T00:00:00"/>
    <x v="0"/>
    <n v="1"/>
    <x v="15"/>
    <b v="0"/>
    <x v="0"/>
    <n v="2"/>
    <n v="0.44"/>
    <n v="0"/>
    <n v="0.28789999999999999"/>
    <n v="0.81"/>
    <n v="0"/>
    <n v="3"/>
    <n v="13"/>
    <n v="16"/>
    <x v="0"/>
    <x v="1"/>
    <x v="1"/>
  </r>
  <r>
    <n v="17"/>
    <d v="2011-01-01T00:00:00"/>
    <x v="0"/>
    <n v="1"/>
    <x v="16"/>
    <b v="0"/>
    <x v="0"/>
    <n v="2"/>
    <n v="0.42"/>
    <n v="0"/>
    <n v="0.28789999999999999"/>
    <n v="0.81"/>
    <n v="0"/>
    <n v="3"/>
    <n v="13"/>
    <n v="16"/>
    <x v="0"/>
    <x v="2"/>
    <x v="1"/>
  </r>
  <r>
    <n v="18"/>
    <d v="2011-01-01T00:00:00"/>
    <x v="0"/>
    <n v="1"/>
    <x v="17"/>
    <b v="0"/>
    <x v="0"/>
    <n v="2"/>
    <n v="0.44"/>
    <n v="0"/>
    <n v="0.28789999999999999"/>
    <n v="0.81"/>
    <n v="0"/>
    <n v="3"/>
    <n v="13"/>
    <n v="16"/>
    <x v="0"/>
    <x v="2"/>
    <x v="1"/>
  </r>
  <r>
    <n v="19"/>
    <d v="2011-01-01T00:00:00"/>
    <x v="0"/>
    <n v="1"/>
    <x v="18"/>
    <b v="0"/>
    <x v="0"/>
    <n v="3"/>
    <n v="0.42"/>
    <n v="0"/>
    <n v="0.28789999999999999"/>
    <n v="0.81"/>
    <n v="0"/>
    <n v="3"/>
    <n v="13"/>
    <n v="16"/>
    <x v="0"/>
    <x v="2"/>
    <x v="2"/>
  </r>
  <r>
    <n v="20"/>
    <d v="2011-01-01T00:00:00"/>
    <x v="0"/>
    <n v="1"/>
    <x v="19"/>
    <b v="0"/>
    <x v="0"/>
    <n v="3"/>
    <n v="0.42"/>
    <n v="0"/>
    <n v="0.28789999999999999"/>
    <n v="0.81"/>
    <n v="0"/>
    <n v="3"/>
    <n v="13"/>
    <n v="16"/>
    <x v="0"/>
    <x v="2"/>
    <x v="2"/>
  </r>
  <r>
    <n v="21"/>
    <d v="2011-01-01T00:00:00"/>
    <x v="0"/>
    <n v="1"/>
    <x v="20"/>
    <b v="0"/>
    <x v="0"/>
    <n v="2"/>
    <n v="0.4"/>
    <n v="0"/>
    <n v="0.28789999999999999"/>
    <n v="0.81"/>
    <n v="0"/>
    <n v="3"/>
    <n v="13"/>
    <n v="16"/>
    <x v="0"/>
    <x v="2"/>
    <x v="1"/>
  </r>
  <r>
    <n v="22"/>
    <d v="2011-01-01T00:00:00"/>
    <x v="0"/>
    <n v="1"/>
    <x v="21"/>
    <b v="0"/>
    <x v="0"/>
    <n v="2"/>
    <n v="0.4"/>
    <n v="0"/>
    <n v="0.28789999999999999"/>
    <n v="0.81"/>
    <n v="0"/>
    <n v="3"/>
    <n v="13"/>
    <n v="16"/>
    <x v="0"/>
    <x v="3"/>
    <x v="1"/>
  </r>
  <r>
    <n v="23"/>
    <d v="2011-01-01T00:00:00"/>
    <x v="0"/>
    <n v="1"/>
    <x v="22"/>
    <b v="0"/>
    <x v="0"/>
    <n v="2"/>
    <n v="0.4"/>
    <n v="0"/>
    <n v="0.28789999999999999"/>
    <n v="0.81"/>
    <n v="0"/>
    <n v="3"/>
    <n v="13"/>
    <n v="16"/>
    <x v="0"/>
    <x v="3"/>
    <x v="1"/>
  </r>
  <r>
    <n v="24"/>
    <d v="2011-01-01T00:00:00"/>
    <x v="0"/>
    <n v="1"/>
    <x v="23"/>
    <b v="0"/>
    <x v="0"/>
    <n v="2"/>
    <n v="0.46"/>
    <n v="0"/>
    <n v="0.28789999999999999"/>
    <n v="0.81"/>
    <n v="0"/>
    <n v="3"/>
    <n v="13"/>
    <n v="16"/>
    <x v="0"/>
    <x v="3"/>
    <x v="1"/>
  </r>
  <r>
    <n v="25"/>
    <d v="2011-01-02T00:00:00"/>
    <x v="0"/>
    <n v="1"/>
    <x v="0"/>
    <b v="0"/>
    <x v="1"/>
    <n v="2"/>
    <n v="0.46"/>
    <n v="0"/>
    <n v="0.28789999999999999"/>
    <n v="0.81"/>
    <n v="0"/>
    <n v="3"/>
    <n v="13"/>
    <n v="16"/>
    <x v="1"/>
    <x v="0"/>
    <x v="1"/>
  </r>
  <r>
    <n v="26"/>
    <d v="2011-01-02T00:00:00"/>
    <x v="0"/>
    <n v="1"/>
    <x v="1"/>
    <b v="0"/>
    <x v="1"/>
    <n v="2"/>
    <n v="0.44"/>
    <n v="0"/>
    <n v="0.28789999999999999"/>
    <n v="0.81"/>
    <n v="0"/>
    <n v="3"/>
    <n v="13"/>
    <n v="16"/>
    <x v="1"/>
    <x v="0"/>
    <x v="1"/>
  </r>
  <r>
    <n v="27"/>
    <d v="2011-01-02T00:00:00"/>
    <x v="0"/>
    <n v="1"/>
    <x v="2"/>
    <b v="0"/>
    <x v="1"/>
    <n v="2"/>
    <n v="0.42"/>
    <n v="0"/>
    <n v="0.28789999999999999"/>
    <n v="0.81"/>
    <n v="0"/>
    <n v="3"/>
    <n v="13"/>
    <n v="16"/>
    <x v="1"/>
    <x v="0"/>
    <x v="1"/>
  </r>
  <r>
    <n v="28"/>
    <d v="2011-01-02T00:00:00"/>
    <x v="0"/>
    <n v="1"/>
    <x v="3"/>
    <b v="0"/>
    <x v="1"/>
    <n v="2"/>
    <n v="0.46"/>
    <n v="0"/>
    <n v="0.28789999999999999"/>
    <n v="0.81"/>
    <n v="0"/>
    <n v="3"/>
    <n v="13"/>
    <n v="16"/>
    <x v="1"/>
    <x v="0"/>
    <x v="1"/>
  </r>
  <r>
    <n v="29"/>
    <d v="2011-01-02T00:00:00"/>
    <x v="0"/>
    <n v="1"/>
    <x v="4"/>
    <b v="0"/>
    <x v="1"/>
    <n v="2"/>
    <n v="0.46"/>
    <n v="0"/>
    <n v="0.28789999999999999"/>
    <n v="0.81"/>
    <n v="0"/>
    <n v="3"/>
    <n v="13"/>
    <n v="16"/>
    <x v="1"/>
    <x v="0"/>
    <x v="1"/>
  </r>
  <r>
    <n v="30"/>
    <d v="2011-01-02T00:00:00"/>
    <x v="0"/>
    <n v="1"/>
    <x v="6"/>
    <b v="0"/>
    <x v="1"/>
    <n v="3"/>
    <n v="0.42"/>
    <n v="0"/>
    <n v="0.28789999999999999"/>
    <n v="0.81"/>
    <n v="0"/>
    <n v="3"/>
    <n v="13"/>
    <n v="16"/>
    <x v="1"/>
    <x v="0"/>
    <x v="2"/>
  </r>
  <r>
    <n v="31"/>
    <d v="2011-01-02T00:00:00"/>
    <x v="0"/>
    <n v="1"/>
    <x v="7"/>
    <b v="0"/>
    <x v="1"/>
    <n v="2"/>
    <n v="0.4"/>
    <n v="0"/>
    <n v="0.28789999999999999"/>
    <n v="0.81"/>
    <n v="0"/>
    <n v="3"/>
    <n v="13"/>
    <n v="16"/>
    <x v="1"/>
    <x v="0"/>
    <x v="1"/>
  </r>
  <r>
    <n v="32"/>
    <d v="2011-01-02T00:00:00"/>
    <x v="0"/>
    <n v="1"/>
    <x v="8"/>
    <b v="0"/>
    <x v="1"/>
    <n v="3"/>
    <n v="0.4"/>
    <n v="0"/>
    <n v="0.28789999999999999"/>
    <n v="0.81"/>
    <n v="0"/>
    <n v="3"/>
    <n v="13"/>
    <n v="16"/>
    <x v="1"/>
    <x v="0"/>
    <x v="2"/>
  </r>
  <r>
    <n v="33"/>
    <d v="2011-01-02T00:00:00"/>
    <x v="0"/>
    <n v="1"/>
    <x v="9"/>
    <b v="0"/>
    <x v="1"/>
    <n v="2"/>
    <n v="0.38"/>
    <n v="0"/>
    <n v="0.28789999999999999"/>
    <n v="0.81"/>
    <n v="0"/>
    <n v="3"/>
    <n v="13"/>
    <n v="16"/>
    <x v="1"/>
    <x v="0"/>
    <x v="1"/>
  </r>
  <r>
    <n v="34"/>
    <d v="2011-01-02T00:00:00"/>
    <x v="0"/>
    <n v="1"/>
    <x v="10"/>
    <b v="0"/>
    <x v="1"/>
    <n v="2"/>
    <n v="0.36"/>
    <n v="0"/>
    <n v="0.28789999999999999"/>
    <n v="0.81"/>
    <n v="0"/>
    <n v="3"/>
    <n v="13"/>
    <n v="16"/>
    <x v="1"/>
    <x v="0"/>
    <x v="1"/>
  </r>
  <r>
    <n v="35"/>
    <d v="2011-01-02T00:00:00"/>
    <x v="0"/>
    <n v="1"/>
    <x v="11"/>
    <b v="0"/>
    <x v="1"/>
    <n v="2"/>
    <n v="0.36"/>
    <n v="0"/>
    <n v="0.28789999999999999"/>
    <n v="0.81"/>
    <n v="0"/>
    <n v="3"/>
    <n v="13"/>
    <n v="16"/>
    <x v="1"/>
    <x v="0"/>
    <x v="1"/>
  </r>
  <r>
    <n v="36"/>
    <d v="2011-01-02T00:00:00"/>
    <x v="0"/>
    <n v="1"/>
    <x v="12"/>
    <b v="0"/>
    <x v="1"/>
    <n v="2"/>
    <n v="0.36"/>
    <n v="0"/>
    <n v="0.28789999999999999"/>
    <n v="0.81"/>
    <n v="0"/>
    <n v="3"/>
    <n v="13"/>
    <n v="16"/>
    <x v="1"/>
    <x v="1"/>
    <x v="1"/>
  </r>
  <r>
    <n v="37"/>
    <d v="2011-01-02T00:00:00"/>
    <x v="0"/>
    <n v="1"/>
    <x v="13"/>
    <b v="0"/>
    <x v="1"/>
    <n v="2"/>
    <n v="0.36"/>
    <n v="0"/>
    <n v="0.28789999999999999"/>
    <n v="0.81"/>
    <n v="0"/>
    <n v="3"/>
    <n v="13"/>
    <n v="16"/>
    <x v="1"/>
    <x v="1"/>
    <x v="1"/>
  </r>
  <r>
    <n v="38"/>
    <d v="2011-01-02T00:00:00"/>
    <x v="0"/>
    <n v="1"/>
    <x v="14"/>
    <b v="0"/>
    <x v="1"/>
    <n v="3"/>
    <n v="0.36"/>
    <n v="0"/>
    <n v="0.28789999999999999"/>
    <n v="0.81"/>
    <n v="0"/>
    <n v="3"/>
    <n v="13"/>
    <n v="16"/>
    <x v="1"/>
    <x v="1"/>
    <x v="2"/>
  </r>
  <r>
    <n v="39"/>
    <d v="2011-01-02T00:00:00"/>
    <x v="0"/>
    <n v="1"/>
    <x v="15"/>
    <b v="0"/>
    <x v="1"/>
    <n v="3"/>
    <n v="0.34"/>
    <n v="0"/>
    <n v="0.28789999999999999"/>
    <n v="0.81"/>
    <n v="0"/>
    <n v="3"/>
    <n v="13"/>
    <n v="16"/>
    <x v="1"/>
    <x v="1"/>
    <x v="2"/>
  </r>
  <r>
    <n v="40"/>
    <d v="2011-01-02T00:00:00"/>
    <x v="0"/>
    <n v="1"/>
    <x v="16"/>
    <b v="0"/>
    <x v="1"/>
    <n v="3"/>
    <n v="0.34"/>
    <n v="0"/>
    <n v="0.28789999999999999"/>
    <n v="0.81"/>
    <n v="0"/>
    <n v="3"/>
    <n v="13"/>
    <n v="16"/>
    <x v="1"/>
    <x v="2"/>
    <x v="2"/>
  </r>
  <r>
    <n v="41"/>
    <d v="2011-01-02T00:00:00"/>
    <x v="0"/>
    <n v="1"/>
    <x v="17"/>
    <b v="0"/>
    <x v="1"/>
    <n v="1"/>
    <n v="0.34"/>
    <n v="0"/>
    <n v="0.28789999999999999"/>
    <n v="0.81"/>
    <n v="0"/>
    <n v="3"/>
    <n v="13"/>
    <n v="16"/>
    <x v="1"/>
    <x v="2"/>
    <x v="0"/>
  </r>
  <r>
    <n v="42"/>
    <d v="2011-01-02T00:00:00"/>
    <x v="0"/>
    <n v="1"/>
    <x v="18"/>
    <b v="0"/>
    <x v="1"/>
    <n v="2"/>
    <n v="0.36"/>
    <n v="0"/>
    <n v="0.28789999999999999"/>
    <n v="0.81"/>
    <n v="0"/>
    <n v="3"/>
    <n v="13"/>
    <n v="16"/>
    <x v="1"/>
    <x v="2"/>
    <x v="1"/>
  </r>
  <r>
    <n v="43"/>
    <d v="2011-01-02T00:00:00"/>
    <x v="0"/>
    <n v="1"/>
    <x v="19"/>
    <b v="0"/>
    <x v="1"/>
    <n v="1"/>
    <n v="0.32"/>
    <n v="0"/>
    <n v="0.28789999999999999"/>
    <n v="0.81"/>
    <n v="0"/>
    <n v="3"/>
    <n v="13"/>
    <n v="16"/>
    <x v="1"/>
    <x v="2"/>
    <x v="0"/>
  </r>
  <r>
    <n v="44"/>
    <d v="2011-01-02T00:00:00"/>
    <x v="0"/>
    <n v="1"/>
    <x v="20"/>
    <b v="0"/>
    <x v="1"/>
    <n v="1"/>
    <n v="0.3"/>
    <n v="0"/>
    <n v="0.28789999999999999"/>
    <n v="0.81"/>
    <n v="0"/>
    <n v="3"/>
    <n v="13"/>
    <n v="16"/>
    <x v="1"/>
    <x v="2"/>
    <x v="0"/>
  </r>
  <r>
    <n v="45"/>
    <d v="2011-01-02T00:00:00"/>
    <x v="0"/>
    <n v="1"/>
    <x v="21"/>
    <b v="0"/>
    <x v="1"/>
    <n v="1"/>
    <n v="0.26"/>
    <n v="0"/>
    <n v="0.28789999999999999"/>
    <n v="0.81"/>
    <n v="0"/>
    <n v="3"/>
    <n v="13"/>
    <n v="16"/>
    <x v="1"/>
    <x v="3"/>
    <x v="0"/>
  </r>
  <r>
    <n v="46"/>
    <d v="2011-01-02T00:00:00"/>
    <x v="0"/>
    <n v="1"/>
    <x v="22"/>
    <b v="0"/>
    <x v="1"/>
    <n v="1"/>
    <n v="0.24"/>
    <n v="0"/>
    <n v="0.28789999999999999"/>
    <n v="0.81"/>
    <n v="0"/>
    <n v="3"/>
    <n v="13"/>
    <n v="16"/>
    <x v="1"/>
    <x v="3"/>
    <x v="0"/>
  </r>
  <r>
    <n v="47"/>
    <d v="2011-01-02T00:00:00"/>
    <x v="0"/>
    <n v="1"/>
    <x v="23"/>
    <b v="0"/>
    <x v="1"/>
    <n v="1"/>
    <n v="0.22"/>
    <n v="0"/>
    <n v="0.28789999999999999"/>
    <n v="0.81"/>
    <n v="0"/>
    <n v="3"/>
    <n v="13"/>
    <n v="16"/>
    <x v="1"/>
    <x v="3"/>
    <x v="0"/>
  </r>
  <r>
    <n v="48"/>
    <d v="2011-01-03T00:00:00"/>
    <x v="0"/>
    <n v="1"/>
    <x v="0"/>
    <b v="0"/>
    <x v="2"/>
    <n v="1"/>
    <n v="0.22"/>
    <n v="0"/>
    <n v="0.28789999999999999"/>
    <n v="0.81"/>
    <n v="0"/>
    <n v="3"/>
    <n v="13"/>
    <n v="16"/>
    <x v="1"/>
    <x v="0"/>
    <x v="0"/>
  </r>
  <r>
    <n v="49"/>
    <d v="2011-01-03T00:00:00"/>
    <x v="0"/>
    <n v="1"/>
    <x v="1"/>
    <b v="0"/>
    <x v="2"/>
    <n v="1"/>
    <n v="0.2"/>
    <n v="0"/>
    <n v="0.28789999999999999"/>
    <n v="0.81"/>
    <n v="0"/>
    <n v="3"/>
    <n v="13"/>
    <n v="16"/>
    <x v="1"/>
    <x v="0"/>
    <x v="0"/>
  </r>
  <r>
    <n v="50"/>
    <d v="2011-01-03T00:00:00"/>
    <x v="0"/>
    <n v="1"/>
    <x v="4"/>
    <b v="0"/>
    <x v="2"/>
    <n v="1"/>
    <n v="0.16"/>
    <n v="0"/>
    <n v="0.28789999999999999"/>
    <n v="0.81"/>
    <n v="0"/>
    <n v="3"/>
    <n v="13"/>
    <n v="16"/>
    <x v="1"/>
    <x v="0"/>
    <x v="0"/>
  </r>
  <r>
    <n v="51"/>
    <d v="2011-01-03T00:00:00"/>
    <x v="0"/>
    <n v="1"/>
    <x v="5"/>
    <b v="0"/>
    <x v="2"/>
    <n v="1"/>
    <n v="0.16"/>
    <n v="0"/>
    <n v="0.28789999999999999"/>
    <n v="0.81"/>
    <n v="0"/>
    <n v="3"/>
    <n v="13"/>
    <n v="16"/>
    <x v="1"/>
    <x v="0"/>
    <x v="0"/>
  </r>
  <r>
    <n v="52"/>
    <d v="2011-01-03T00:00:00"/>
    <x v="0"/>
    <n v="1"/>
    <x v="6"/>
    <b v="0"/>
    <x v="2"/>
    <n v="1"/>
    <n v="0.14000000000000001"/>
    <n v="0"/>
    <n v="0.28789999999999999"/>
    <n v="0.81"/>
    <n v="0"/>
    <n v="3"/>
    <n v="13"/>
    <n v="16"/>
    <x v="1"/>
    <x v="0"/>
    <x v="0"/>
  </r>
  <r>
    <n v="53"/>
    <d v="2011-01-03T00:00:00"/>
    <x v="0"/>
    <n v="1"/>
    <x v="7"/>
    <b v="0"/>
    <x v="2"/>
    <n v="1"/>
    <n v="0.14000000000000001"/>
    <n v="0"/>
    <n v="0.28789999999999999"/>
    <n v="0.81"/>
    <n v="0"/>
    <n v="3"/>
    <n v="13"/>
    <n v="16"/>
    <x v="1"/>
    <x v="0"/>
    <x v="0"/>
  </r>
  <r>
    <n v="54"/>
    <d v="2011-01-03T00:00:00"/>
    <x v="0"/>
    <n v="1"/>
    <x v="8"/>
    <b v="0"/>
    <x v="2"/>
    <n v="1"/>
    <n v="0.14000000000000001"/>
    <n v="0"/>
    <n v="0.28789999999999999"/>
    <n v="0.81"/>
    <n v="0"/>
    <n v="3"/>
    <n v="13"/>
    <n v="16"/>
    <x v="1"/>
    <x v="0"/>
    <x v="0"/>
  </r>
  <r>
    <n v="55"/>
    <d v="2011-01-03T00:00:00"/>
    <x v="0"/>
    <n v="1"/>
    <x v="9"/>
    <b v="0"/>
    <x v="2"/>
    <n v="1"/>
    <n v="0.16"/>
    <n v="0"/>
    <n v="0.28789999999999999"/>
    <n v="0.81"/>
    <n v="0"/>
    <n v="3"/>
    <n v="13"/>
    <n v="16"/>
    <x v="1"/>
    <x v="0"/>
    <x v="0"/>
  </r>
  <r>
    <n v="56"/>
    <d v="2011-01-03T00:00:00"/>
    <x v="0"/>
    <n v="1"/>
    <x v="10"/>
    <b v="0"/>
    <x v="2"/>
    <n v="1"/>
    <n v="0.18"/>
    <n v="0"/>
    <n v="0.28789999999999999"/>
    <n v="0.81"/>
    <n v="0"/>
    <n v="3"/>
    <n v="13"/>
    <n v="16"/>
    <x v="1"/>
    <x v="0"/>
    <x v="0"/>
  </r>
  <r>
    <n v="57"/>
    <d v="2011-01-03T00:00:00"/>
    <x v="0"/>
    <n v="1"/>
    <x v="11"/>
    <b v="0"/>
    <x v="2"/>
    <n v="1"/>
    <n v="0.2"/>
    <n v="0"/>
    <n v="0.28789999999999999"/>
    <n v="0.81"/>
    <n v="0"/>
    <n v="3"/>
    <n v="13"/>
    <n v="16"/>
    <x v="1"/>
    <x v="0"/>
    <x v="0"/>
  </r>
  <r>
    <n v="58"/>
    <d v="2011-01-03T00:00:00"/>
    <x v="0"/>
    <n v="1"/>
    <x v="12"/>
    <b v="0"/>
    <x v="2"/>
    <n v="1"/>
    <n v="0.22"/>
    <n v="0"/>
    <n v="0.28789999999999999"/>
    <n v="0.81"/>
    <n v="0"/>
    <n v="3"/>
    <n v="13"/>
    <n v="16"/>
    <x v="1"/>
    <x v="1"/>
    <x v="0"/>
  </r>
  <r>
    <n v="59"/>
    <d v="2011-01-03T00:00:00"/>
    <x v="0"/>
    <n v="1"/>
    <x v="13"/>
    <b v="0"/>
    <x v="2"/>
    <n v="1"/>
    <n v="0.24"/>
    <n v="0"/>
    <n v="0.28789999999999999"/>
    <n v="0.81"/>
    <n v="0"/>
    <n v="3"/>
    <n v="13"/>
    <n v="16"/>
    <x v="1"/>
    <x v="1"/>
    <x v="0"/>
  </r>
  <r>
    <n v="60"/>
    <d v="2011-01-03T00:00:00"/>
    <x v="0"/>
    <n v="1"/>
    <x v="14"/>
    <b v="0"/>
    <x v="2"/>
    <n v="1"/>
    <n v="0.26"/>
    <n v="0"/>
    <n v="0.28789999999999999"/>
    <n v="0.81"/>
    <n v="0"/>
    <n v="3"/>
    <n v="13"/>
    <n v="16"/>
    <x v="1"/>
    <x v="1"/>
    <x v="0"/>
  </r>
  <r>
    <n v="61"/>
    <d v="2011-01-03T00:00:00"/>
    <x v="0"/>
    <n v="1"/>
    <x v="15"/>
    <b v="0"/>
    <x v="2"/>
    <n v="1"/>
    <n v="0.26"/>
    <n v="0"/>
    <n v="0.28789999999999999"/>
    <n v="0.81"/>
    <n v="0"/>
    <n v="3"/>
    <n v="13"/>
    <n v="16"/>
    <x v="1"/>
    <x v="1"/>
    <x v="0"/>
  </r>
  <r>
    <n v="62"/>
    <d v="2011-01-03T00:00:00"/>
    <x v="0"/>
    <n v="1"/>
    <x v="16"/>
    <b v="0"/>
    <x v="2"/>
    <n v="1"/>
    <n v="0.26"/>
    <n v="0"/>
    <n v="0.28789999999999999"/>
    <n v="0.81"/>
    <n v="0"/>
    <n v="3"/>
    <n v="13"/>
    <n v="16"/>
    <x v="1"/>
    <x v="2"/>
    <x v="0"/>
  </r>
  <r>
    <n v="63"/>
    <d v="2011-01-03T00:00:00"/>
    <x v="0"/>
    <n v="1"/>
    <x v="17"/>
    <b v="0"/>
    <x v="2"/>
    <n v="1"/>
    <n v="0.24"/>
    <n v="0"/>
    <n v="0.28789999999999999"/>
    <n v="0.81"/>
    <n v="0"/>
    <n v="3"/>
    <n v="13"/>
    <n v="16"/>
    <x v="1"/>
    <x v="2"/>
    <x v="0"/>
  </r>
  <r>
    <n v="64"/>
    <d v="2011-01-03T00:00:00"/>
    <x v="0"/>
    <n v="1"/>
    <x v="18"/>
    <b v="0"/>
    <x v="2"/>
    <n v="1"/>
    <n v="0.24"/>
    <n v="0"/>
    <n v="0.28789999999999999"/>
    <n v="0.81"/>
    <n v="0"/>
    <n v="3"/>
    <n v="13"/>
    <n v="16"/>
    <x v="1"/>
    <x v="2"/>
    <x v="0"/>
  </r>
  <r>
    <n v="65"/>
    <d v="2011-01-03T00:00:00"/>
    <x v="0"/>
    <n v="1"/>
    <x v="19"/>
    <b v="0"/>
    <x v="2"/>
    <n v="1"/>
    <n v="0.2"/>
    <n v="0"/>
    <n v="0.28789999999999999"/>
    <n v="0.81"/>
    <n v="0"/>
    <n v="3"/>
    <n v="13"/>
    <n v="16"/>
    <x v="1"/>
    <x v="2"/>
    <x v="0"/>
  </r>
  <r>
    <n v="66"/>
    <d v="2011-01-03T00:00:00"/>
    <x v="0"/>
    <n v="1"/>
    <x v="20"/>
    <b v="0"/>
    <x v="2"/>
    <n v="1"/>
    <n v="0.2"/>
    <n v="0"/>
    <n v="0.28789999999999999"/>
    <n v="0.81"/>
    <n v="0"/>
    <n v="3"/>
    <n v="13"/>
    <n v="16"/>
    <x v="1"/>
    <x v="2"/>
    <x v="0"/>
  </r>
  <r>
    <n v="67"/>
    <d v="2011-01-03T00:00:00"/>
    <x v="0"/>
    <n v="1"/>
    <x v="21"/>
    <b v="0"/>
    <x v="2"/>
    <n v="1"/>
    <n v="0.18"/>
    <n v="0"/>
    <n v="0.28789999999999999"/>
    <n v="0.81"/>
    <n v="0"/>
    <n v="3"/>
    <n v="13"/>
    <n v="16"/>
    <x v="1"/>
    <x v="3"/>
    <x v="0"/>
  </r>
  <r>
    <n v="68"/>
    <d v="2011-01-03T00:00:00"/>
    <x v="0"/>
    <n v="1"/>
    <x v="22"/>
    <b v="0"/>
    <x v="2"/>
    <n v="1"/>
    <n v="0.14000000000000001"/>
    <n v="0"/>
    <n v="0.28789999999999999"/>
    <n v="0.81"/>
    <n v="0"/>
    <n v="3"/>
    <n v="13"/>
    <n v="16"/>
    <x v="1"/>
    <x v="3"/>
    <x v="0"/>
  </r>
  <r>
    <n v="69"/>
    <d v="2011-01-03T00:00:00"/>
    <x v="0"/>
    <n v="1"/>
    <x v="23"/>
    <b v="0"/>
    <x v="2"/>
    <n v="1"/>
    <n v="0.18"/>
    <n v="0"/>
    <n v="0.28789999999999999"/>
    <n v="0.81"/>
    <n v="0"/>
    <n v="3"/>
    <n v="13"/>
    <n v="16"/>
    <x v="1"/>
    <x v="3"/>
    <x v="0"/>
  </r>
  <r>
    <n v="70"/>
    <d v="2011-01-04T00:00:00"/>
    <x v="0"/>
    <n v="1"/>
    <x v="0"/>
    <b v="0"/>
    <x v="3"/>
    <n v="1"/>
    <n v="0.16"/>
    <n v="0"/>
    <n v="0.28789999999999999"/>
    <n v="0.81"/>
    <n v="0"/>
    <n v="3"/>
    <n v="13"/>
    <n v="16"/>
    <x v="1"/>
    <x v="0"/>
    <x v="0"/>
  </r>
  <r>
    <n v="71"/>
    <d v="2011-01-04T00:00:00"/>
    <x v="0"/>
    <n v="1"/>
    <x v="1"/>
    <b v="0"/>
    <x v="3"/>
    <n v="1"/>
    <n v="0.16"/>
    <n v="0"/>
    <n v="0.28789999999999999"/>
    <n v="0.81"/>
    <n v="0"/>
    <n v="3"/>
    <n v="13"/>
    <n v="16"/>
    <x v="1"/>
    <x v="0"/>
    <x v="0"/>
  </r>
  <r>
    <n v="72"/>
    <d v="2011-01-04T00:00:00"/>
    <x v="0"/>
    <n v="1"/>
    <x v="2"/>
    <b v="0"/>
    <x v="3"/>
    <n v="1"/>
    <n v="0.14000000000000001"/>
    <n v="0"/>
    <n v="0.28789999999999999"/>
    <n v="0.81"/>
    <n v="0"/>
    <n v="3"/>
    <n v="13"/>
    <n v="16"/>
    <x v="1"/>
    <x v="0"/>
    <x v="0"/>
  </r>
  <r>
    <n v="73"/>
    <d v="2011-01-04T00:00:00"/>
    <x v="0"/>
    <n v="1"/>
    <x v="4"/>
    <b v="0"/>
    <x v="3"/>
    <n v="1"/>
    <n v="0.14000000000000001"/>
    <n v="0"/>
    <n v="0.28789999999999999"/>
    <n v="0.81"/>
    <n v="0"/>
    <n v="3"/>
    <n v="13"/>
    <n v="16"/>
    <x v="1"/>
    <x v="0"/>
    <x v="0"/>
  </r>
  <r>
    <n v="74"/>
    <d v="2011-01-04T00:00:00"/>
    <x v="0"/>
    <n v="1"/>
    <x v="5"/>
    <b v="0"/>
    <x v="3"/>
    <n v="1"/>
    <n v="0.12"/>
    <n v="0"/>
    <n v="0.28789999999999999"/>
    <n v="0.81"/>
    <n v="0"/>
    <n v="3"/>
    <n v="13"/>
    <n v="16"/>
    <x v="1"/>
    <x v="0"/>
    <x v="0"/>
  </r>
  <r>
    <n v="75"/>
    <d v="2011-01-04T00:00:00"/>
    <x v="0"/>
    <n v="1"/>
    <x v="6"/>
    <b v="0"/>
    <x v="3"/>
    <n v="1"/>
    <n v="0.12"/>
    <n v="0"/>
    <n v="0.28789999999999999"/>
    <n v="0.81"/>
    <n v="0"/>
    <n v="3"/>
    <n v="13"/>
    <n v="16"/>
    <x v="1"/>
    <x v="0"/>
    <x v="0"/>
  </r>
  <r>
    <n v="76"/>
    <d v="2011-01-04T00:00:00"/>
    <x v="0"/>
    <n v="1"/>
    <x v="7"/>
    <b v="0"/>
    <x v="3"/>
    <n v="1"/>
    <n v="0.12"/>
    <n v="0"/>
    <n v="0.28789999999999999"/>
    <n v="0.81"/>
    <n v="0"/>
    <n v="3"/>
    <n v="13"/>
    <n v="16"/>
    <x v="1"/>
    <x v="0"/>
    <x v="0"/>
  </r>
  <r>
    <n v="77"/>
    <d v="2011-01-04T00:00:00"/>
    <x v="0"/>
    <n v="1"/>
    <x v="8"/>
    <b v="0"/>
    <x v="3"/>
    <n v="1"/>
    <n v="0.14000000000000001"/>
    <n v="0"/>
    <n v="0.28789999999999999"/>
    <n v="0.81"/>
    <n v="0"/>
    <n v="3"/>
    <n v="13"/>
    <n v="16"/>
    <x v="1"/>
    <x v="0"/>
    <x v="0"/>
  </r>
  <r>
    <n v="78"/>
    <d v="2011-01-04T00:00:00"/>
    <x v="0"/>
    <n v="1"/>
    <x v="9"/>
    <b v="0"/>
    <x v="3"/>
    <n v="1"/>
    <n v="0.16"/>
    <n v="0"/>
    <n v="0.28789999999999999"/>
    <n v="0.81"/>
    <n v="0"/>
    <n v="3"/>
    <n v="13"/>
    <n v="16"/>
    <x v="1"/>
    <x v="0"/>
    <x v="0"/>
  </r>
  <r>
    <n v="79"/>
    <d v="2011-01-04T00:00:00"/>
    <x v="0"/>
    <n v="1"/>
    <x v="10"/>
    <b v="0"/>
    <x v="3"/>
    <n v="2"/>
    <n v="0.16"/>
    <n v="0"/>
    <n v="0.28789999999999999"/>
    <n v="0.81"/>
    <n v="0"/>
    <n v="3"/>
    <n v="13"/>
    <n v="16"/>
    <x v="1"/>
    <x v="0"/>
    <x v="1"/>
  </r>
  <r>
    <n v="80"/>
    <d v="2011-01-04T00:00:00"/>
    <x v="0"/>
    <n v="1"/>
    <x v="11"/>
    <b v="0"/>
    <x v="3"/>
    <n v="1"/>
    <n v="0.22"/>
    <n v="0"/>
    <n v="0.28789999999999999"/>
    <n v="0.81"/>
    <n v="0"/>
    <n v="3"/>
    <n v="13"/>
    <n v="16"/>
    <x v="1"/>
    <x v="0"/>
    <x v="0"/>
  </r>
  <r>
    <n v="81"/>
    <d v="2011-01-04T00:00:00"/>
    <x v="0"/>
    <n v="1"/>
    <x v="12"/>
    <b v="0"/>
    <x v="3"/>
    <n v="1"/>
    <n v="0.22"/>
    <n v="0"/>
    <n v="0.28789999999999999"/>
    <n v="0.81"/>
    <n v="0"/>
    <n v="3"/>
    <n v="13"/>
    <n v="16"/>
    <x v="1"/>
    <x v="1"/>
    <x v="0"/>
  </r>
  <r>
    <n v="82"/>
    <d v="2011-01-04T00:00:00"/>
    <x v="0"/>
    <n v="1"/>
    <x v="13"/>
    <b v="0"/>
    <x v="3"/>
    <n v="1"/>
    <n v="0.24"/>
    <n v="0"/>
    <n v="0.28789999999999999"/>
    <n v="0.81"/>
    <n v="0"/>
    <n v="3"/>
    <n v="13"/>
    <n v="16"/>
    <x v="1"/>
    <x v="1"/>
    <x v="0"/>
  </r>
  <r>
    <n v="83"/>
    <d v="2011-01-04T00:00:00"/>
    <x v="0"/>
    <n v="1"/>
    <x v="14"/>
    <b v="0"/>
    <x v="3"/>
    <n v="1"/>
    <n v="0.26"/>
    <n v="0"/>
    <n v="0.28789999999999999"/>
    <n v="0.81"/>
    <n v="0"/>
    <n v="3"/>
    <n v="13"/>
    <n v="16"/>
    <x v="1"/>
    <x v="1"/>
    <x v="0"/>
  </r>
  <r>
    <n v="84"/>
    <d v="2011-01-04T00:00:00"/>
    <x v="0"/>
    <n v="1"/>
    <x v="15"/>
    <b v="0"/>
    <x v="3"/>
    <n v="1"/>
    <n v="0.28000000000000003"/>
    <n v="0"/>
    <n v="0.28789999999999999"/>
    <n v="0.81"/>
    <n v="0"/>
    <n v="3"/>
    <n v="13"/>
    <n v="16"/>
    <x v="1"/>
    <x v="1"/>
    <x v="0"/>
  </r>
  <r>
    <n v="85"/>
    <d v="2011-01-04T00:00:00"/>
    <x v="0"/>
    <n v="1"/>
    <x v="16"/>
    <b v="0"/>
    <x v="3"/>
    <n v="1"/>
    <n v="0.3"/>
    <n v="0"/>
    <n v="0.28789999999999999"/>
    <n v="0.81"/>
    <n v="0"/>
    <n v="3"/>
    <n v="13"/>
    <n v="16"/>
    <x v="1"/>
    <x v="2"/>
    <x v="0"/>
  </r>
  <r>
    <n v="86"/>
    <d v="2011-01-04T00:00:00"/>
    <x v="0"/>
    <n v="1"/>
    <x v="17"/>
    <b v="0"/>
    <x v="3"/>
    <n v="1"/>
    <n v="0.28000000000000003"/>
    <n v="0"/>
    <n v="0.28789999999999999"/>
    <n v="0.81"/>
    <n v="0"/>
    <n v="3"/>
    <n v="13"/>
    <n v="16"/>
    <x v="1"/>
    <x v="2"/>
    <x v="0"/>
  </r>
  <r>
    <n v="87"/>
    <d v="2011-01-04T00:00:00"/>
    <x v="0"/>
    <n v="1"/>
    <x v="18"/>
    <b v="0"/>
    <x v="3"/>
    <n v="1"/>
    <n v="0.26"/>
    <n v="0"/>
    <n v="0.28789999999999999"/>
    <n v="0.81"/>
    <n v="0"/>
    <n v="3"/>
    <n v="13"/>
    <n v="16"/>
    <x v="1"/>
    <x v="2"/>
    <x v="0"/>
  </r>
  <r>
    <n v="88"/>
    <d v="2011-01-04T00:00:00"/>
    <x v="0"/>
    <n v="1"/>
    <x v="19"/>
    <b v="0"/>
    <x v="3"/>
    <n v="1"/>
    <n v="0.24"/>
    <n v="0"/>
    <n v="0.28789999999999999"/>
    <n v="0.81"/>
    <n v="0"/>
    <n v="3"/>
    <n v="13"/>
    <n v="16"/>
    <x v="1"/>
    <x v="2"/>
    <x v="0"/>
  </r>
  <r>
    <n v="89"/>
    <d v="2011-01-04T00:00:00"/>
    <x v="0"/>
    <n v="1"/>
    <x v="20"/>
    <b v="0"/>
    <x v="3"/>
    <n v="1"/>
    <n v="0.24"/>
    <n v="0"/>
    <n v="0.28789999999999999"/>
    <n v="0.81"/>
    <n v="0"/>
    <n v="3"/>
    <n v="13"/>
    <n v="16"/>
    <x v="1"/>
    <x v="2"/>
    <x v="0"/>
  </r>
  <r>
    <n v="90"/>
    <d v="2011-01-04T00:00:00"/>
    <x v="0"/>
    <n v="1"/>
    <x v="21"/>
    <b v="0"/>
    <x v="3"/>
    <n v="1"/>
    <n v="0.22"/>
    <n v="0"/>
    <n v="0.28789999999999999"/>
    <n v="0.81"/>
    <n v="0"/>
    <n v="3"/>
    <n v="13"/>
    <n v="16"/>
    <x v="1"/>
    <x v="3"/>
    <x v="0"/>
  </r>
  <r>
    <n v="91"/>
    <d v="2011-01-04T00:00:00"/>
    <x v="0"/>
    <n v="1"/>
    <x v="22"/>
    <b v="0"/>
    <x v="3"/>
    <n v="1"/>
    <n v="0.22"/>
    <n v="0"/>
    <n v="0.28789999999999999"/>
    <n v="0.81"/>
    <n v="0"/>
    <n v="3"/>
    <n v="13"/>
    <n v="16"/>
    <x v="1"/>
    <x v="3"/>
    <x v="0"/>
  </r>
  <r>
    <n v="92"/>
    <d v="2011-01-04T00:00:00"/>
    <x v="0"/>
    <n v="1"/>
    <x v="23"/>
    <b v="0"/>
    <x v="3"/>
    <n v="1"/>
    <n v="0.2"/>
    <n v="0"/>
    <n v="0.28789999999999999"/>
    <n v="0.81"/>
    <n v="0"/>
    <n v="3"/>
    <n v="13"/>
    <n v="16"/>
    <x v="1"/>
    <x v="3"/>
    <x v="0"/>
  </r>
  <r>
    <n v="93"/>
    <d v="2011-01-05T00:00:00"/>
    <x v="0"/>
    <n v="1"/>
    <x v="0"/>
    <b v="0"/>
    <x v="4"/>
    <n v="1"/>
    <n v="0.2"/>
    <n v="0"/>
    <n v="0.28789999999999999"/>
    <n v="0.81"/>
    <n v="0"/>
    <n v="3"/>
    <n v="13"/>
    <n v="16"/>
    <x v="1"/>
    <x v="0"/>
    <x v="0"/>
  </r>
  <r>
    <n v="94"/>
    <d v="2011-01-05T00:00:00"/>
    <x v="0"/>
    <n v="1"/>
    <x v="1"/>
    <b v="0"/>
    <x v="4"/>
    <n v="1"/>
    <n v="0.16"/>
    <n v="0"/>
    <n v="0.28789999999999999"/>
    <n v="0.81"/>
    <n v="0"/>
    <n v="3"/>
    <n v="13"/>
    <n v="16"/>
    <x v="1"/>
    <x v="0"/>
    <x v="0"/>
  </r>
  <r>
    <n v="95"/>
    <d v="2011-01-05T00:00:00"/>
    <x v="0"/>
    <n v="1"/>
    <x v="2"/>
    <b v="0"/>
    <x v="4"/>
    <n v="1"/>
    <n v="0.16"/>
    <n v="0"/>
    <n v="0.28789999999999999"/>
    <n v="0.81"/>
    <n v="0"/>
    <n v="3"/>
    <n v="13"/>
    <n v="16"/>
    <x v="1"/>
    <x v="0"/>
    <x v="0"/>
  </r>
  <r>
    <n v="96"/>
    <d v="2011-01-05T00:00:00"/>
    <x v="0"/>
    <n v="1"/>
    <x v="4"/>
    <b v="0"/>
    <x v="4"/>
    <n v="1"/>
    <n v="0.24"/>
    <n v="0"/>
    <n v="0.28789999999999999"/>
    <n v="0.81"/>
    <n v="0"/>
    <n v="3"/>
    <n v="13"/>
    <n v="16"/>
    <x v="1"/>
    <x v="0"/>
    <x v="0"/>
  </r>
  <r>
    <n v="97"/>
    <d v="2011-01-05T00:00:00"/>
    <x v="0"/>
    <n v="1"/>
    <x v="5"/>
    <b v="0"/>
    <x v="4"/>
    <n v="1"/>
    <n v="0.22"/>
    <n v="0"/>
    <n v="0.28789999999999999"/>
    <n v="0.81"/>
    <n v="0"/>
    <n v="3"/>
    <n v="13"/>
    <n v="16"/>
    <x v="1"/>
    <x v="0"/>
    <x v="0"/>
  </r>
  <r>
    <n v="98"/>
    <d v="2011-01-05T00:00:00"/>
    <x v="0"/>
    <n v="1"/>
    <x v="6"/>
    <b v="0"/>
    <x v="4"/>
    <n v="1"/>
    <n v="0.2"/>
    <n v="0"/>
    <n v="0.28789999999999999"/>
    <n v="0.81"/>
    <n v="0"/>
    <n v="3"/>
    <n v="13"/>
    <n v="16"/>
    <x v="1"/>
    <x v="0"/>
    <x v="0"/>
  </r>
  <r>
    <n v="99"/>
    <d v="2011-01-05T00:00:00"/>
    <x v="0"/>
    <n v="1"/>
    <x v="7"/>
    <b v="0"/>
    <x v="4"/>
    <n v="1"/>
    <n v="0.18"/>
    <n v="0"/>
    <n v="0.28789999999999999"/>
    <n v="0.81"/>
    <n v="0"/>
    <n v="3"/>
    <n v="13"/>
    <n v="16"/>
    <x v="1"/>
    <x v="0"/>
    <x v="0"/>
  </r>
  <r>
    <n v="100"/>
    <d v="2011-01-05T00:00:00"/>
    <x v="0"/>
    <n v="1"/>
    <x v="8"/>
    <b v="0"/>
    <x v="4"/>
    <n v="1"/>
    <n v="0.2"/>
    <n v="0"/>
    <n v="0.28789999999999999"/>
    <n v="0.81"/>
    <n v="0"/>
    <n v="3"/>
    <n v="13"/>
    <n v="16"/>
    <x v="1"/>
    <x v="0"/>
    <x v="0"/>
  </r>
  <r>
    <n v="101"/>
    <d v="2011-01-05T00:00:00"/>
    <x v="0"/>
    <n v="1"/>
    <x v="9"/>
    <b v="0"/>
    <x v="4"/>
    <n v="1"/>
    <n v="0.22"/>
    <n v="0"/>
    <n v="0.28789999999999999"/>
    <n v="0.81"/>
    <n v="0"/>
    <n v="3"/>
    <n v="13"/>
    <n v="16"/>
    <x v="1"/>
    <x v="0"/>
    <x v="0"/>
  </r>
  <r>
    <n v="102"/>
    <d v="2011-01-05T00:00:00"/>
    <x v="0"/>
    <n v="1"/>
    <x v="10"/>
    <b v="0"/>
    <x v="4"/>
    <n v="1"/>
    <n v="0.22"/>
    <n v="0"/>
    <n v="0.28789999999999999"/>
    <n v="0.81"/>
    <n v="0"/>
    <n v="3"/>
    <n v="13"/>
    <n v="16"/>
    <x v="1"/>
    <x v="0"/>
    <x v="0"/>
  </r>
  <r>
    <n v="103"/>
    <d v="2011-01-05T00:00:00"/>
    <x v="0"/>
    <n v="1"/>
    <x v="11"/>
    <b v="0"/>
    <x v="4"/>
    <n v="1"/>
    <n v="0.26"/>
    <n v="0"/>
    <n v="0.28789999999999999"/>
    <n v="0.81"/>
    <n v="0"/>
    <n v="3"/>
    <n v="13"/>
    <n v="16"/>
    <x v="1"/>
    <x v="0"/>
    <x v="0"/>
  </r>
  <r>
    <n v="104"/>
    <d v="2011-01-05T00:00:00"/>
    <x v="0"/>
    <n v="1"/>
    <x v="12"/>
    <b v="0"/>
    <x v="4"/>
    <n v="1"/>
    <n v="0.26"/>
    <n v="0"/>
    <n v="0.28789999999999999"/>
    <n v="0.81"/>
    <n v="0"/>
    <n v="3"/>
    <n v="13"/>
    <n v="16"/>
    <x v="1"/>
    <x v="1"/>
    <x v="0"/>
  </r>
  <r>
    <n v="105"/>
    <d v="2011-01-05T00:00:00"/>
    <x v="0"/>
    <n v="1"/>
    <x v="13"/>
    <b v="0"/>
    <x v="4"/>
    <n v="1"/>
    <n v="0.28000000000000003"/>
    <n v="0"/>
    <n v="0.28789999999999999"/>
    <n v="0.81"/>
    <n v="0"/>
    <n v="3"/>
    <n v="13"/>
    <n v="16"/>
    <x v="1"/>
    <x v="1"/>
    <x v="0"/>
  </r>
  <r>
    <n v="106"/>
    <d v="2011-01-05T00:00:00"/>
    <x v="0"/>
    <n v="1"/>
    <x v="14"/>
    <b v="0"/>
    <x v="4"/>
    <n v="1"/>
    <n v="0.3"/>
    <n v="0"/>
    <n v="0.28789999999999999"/>
    <n v="0.81"/>
    <n v="0"/>
    <n v="3"/>
    <n v="13"/>
    <n v="16"/>
    <x v="1"/>
    <x v="1"/>
    <x v="0"/>
  </r>
  <r>
    <n v="107"/>
    <d v="2011-01-05T00:00:00"/>
    <x v="0"/>
    <n v="1"/>
    <x v="15"/>
    <b v="0"/>
    <x v="4"/>
    <n v="1"/>
    <n v="0.3"/>
    <n v="0"/>
    <n v="0.28789999999999999"/>
    <n v="0.81"/>
    <n v="0"/>
    <n v="3"/>
    <n v="13"/>
    <n v="16"/>
    <x v="1"/>
    <x v="1"/>
    <x v="0"/>
  </r>
  <r>
    <n v="108"/>
    <d v="2011-01-05T00:00:00"/>
    <x v="0"/>
    <n v="1"/>
    <x v="16"/>
    <b v="0"/>
    <x v="4"/>
    <n v="1"/>
    <n v="0.3"/>
    <n v="0"/>
    <n v="0.28789999999999999"/>
    <n v="0.81"/>
    <n v="0"/>
    <n v="3"/>
    <n v="13"/>
    <n v="16"/>
    <x v="1"/>
    <x v="2"/>
    <x v="0"/>
  </r>
  <r>
    <n v="109"/>
    <d v="2011-01-05T00:00:00"/>
    <x v="0"/>
    <n v="1"/>
    <x v="17"/>
    <b v="0"/>
    <x v="4"/>
    <n v="1"/>
    <n v="0.24"/>
    <n v="0"/>
    <n v="0.28789999999999999"/>
    <n v="0.81"/>
    <n v="0"/>
    <n v="3"/>
    <n v="13"/>
    <n v="16"/>
    <x v="1"/>
    <x v="2"/>
    <x v="0"/>
  </r>
  <r>
    <n v="110"/>
    <d v="2011-01-05T00:00:00"/>
    <x v="0"/>
    <n v="1"/>
    <x v="18"/>
    <b v="0"/>
    <x v="4"/>
    <n v="1"/>
    <n v="0.24"/>
    <n v="0"/>
    <n v="0.28789999999999999"/>
    <n v="0.81"/>
    <n v="0"/>
    <n v="3"/>
    <n v="13"/>
    <n v="16"/>
    <x v="1"/>
    <x v="2"/>
    <x v="0"/>
  </r>
  <r>
    <n v="111"/>
    <d v="2011-01-05T00:00:00"/>
    <x v="0"/>
    <n v="1"/>
    <x v="19"/>
    <b v="0"/>
    <x v="4"/>
    <n v="1"/>
    <n v="0.24"/>
    <n v="0"/>
    <n v="0.28789999999999999"/>
    <n v="0.81"/>
    <n v="0"/>
    <n v="3"/>
    <n v="13"/>
    <n v="16"/>
    <x v="1"/>
    <x v="2"/>
    <x v="0"/>
  </r>
  <r>
    <n v="112"/>
    <d v="2011-01-05T00:00:00"/>
    <x v="0"/>
    <n v="1"/>
    <x v="20"/>
    <b v="0"/>
    <x v="4"/>
    <n v="1"/>
    <n v="0.22"/>
    <n v="0"/>
    <n v="0.28789999999999999"/>
    <n v="0.81"/>
    <n v="0"/>
    <n v="3"/>
    <n v="13"/>
    <n v="16"/>
    <x v="1"/>
    <x v="2"/>
    <x v="0"/>
  </r>
  <r>
    <n v="113"/>
    <d v="2011-01-05T00:00:00"/>
    <x v="0"/>
    <n v="1"/>
    <x v="21"/>
    <b v="0"/>
    <x v="4"/>
    <n v="1"/>
    <n v="0.2"/>
    <n v="0"/>
    <n v="0.28789999999999999"/>
    <n v="0.81"/>
    <n v="0"/>
    <n v="3"/>
    <n v="13"/>
    <n v="16"/>
    <x v="1"/>
    <x v="3"/>
    <x v="0"/>
  </r>
  <r>
    <n v="114"/>
    <d v="2011-01-05T00:00:00"/>
    <x v="0"/>
    <n v="1"/>
    <x v="22"/>
    <b v="0"/>
    <x v="4"/>
    <n v="1"/>
    <n v="0.18"/>
    <n v="0"/>
    <n v="0.28789999999999999"/>
    <n v="0.81"/>
    <n v="0"/>
    <n v="3"/>
    <n v="13"/>
    <n v="16"/>
    <x v="1"/>
    <x v="3"/>
    <x v="0"/>
  </r>
  <r>
    <n v="115"/>
    <d v="2011-01-05T00:00:00"/>
    <x v="0"/>
    <n v="1"/>
    <x v="23"/>
    <b v="0"/>
    <x v="4"/>
    <n v="1"/>
    <n v="0.2"/>
    <n v="0"/>
    <n v="0.28789999999999999"/>
    <n v="0.81"/>
    <n v="0"/>
    <n v="3"/>
    <n v="13"/>
    <n v="16"/>
    <x v="1"/>
    <x v="3"/>
    <x v="0"/>
  </r>
  <r>
    <n v="116"/>
    <d v="2011-01-06T00:00:00"/>
    <x v="0"/>
    <n v="1"/>
    <x v="0"/>
    <b v="0"/>
    <x v="5"/>
    <n v="1"/>
    <n v="0.18"/>
    <n v="0"/>
    <n v="0.28789999999999999"/>
    <n v="0.81"/>
    <n v="0"/>
    <n v="3"/>
    <n v="13"/>
    <n v="16"/>
    <x v="1"/>
    <x v="0"/>
    <x v="0"/>
  </r>
  <r>
    <n v="117"/>
    <d v="2011-01-06T00:00:00"/>
    <x v="0"/>
    <n v="1"/>
    <x v="1"/>
    <b v="0"/>
    <x v="5"/>
    <n v="1"/>
    <n v="0.16"/>
    <n v="0"/>
    <n v="0.28789999999999999"/>
    <n v="0.81"/>
    <n v="0"/>
    <n v="3"/>
    <n v="13"/>
    <n v="16"/>
    <x v="1"/>
    <x v="0"/>
    <x v="0"/>
  </r>
  <r>
    <n v="118"/>
    <d v="2011-01-06T00:00:00"/>
    <x v="0"/>
    <n v="1"/>
    <x v="2"/>
    <b v="0"/>
    <x v="5"/>
    <n v="1"/>
    <n v="0.16"/>
    <n v="0"/>
    <n v="0.28789999999999999"/>
    <n v="0.81"/>
    <n v="0"/>
    <n v="3"/>
    <n v="13"/>
    <n v="16"/>
    <x v="1"/>
    <x v="0"/>
    <x v="0"/>
  </r>
  <r>
    <n v="119"/>
    <d v="2011-01-06T00:00:00"/>
    <x v="0"/>
    <n v="1"/>
    <x v="4"/>
    <b v="0"/>
    <x v="5"/>
    <n v="2"/>
    <n v="0.16"/>
    <n v="0"/>
    <n v="0.28789999999999999"/>
    <n v="0.81"/>
    <n v="0"/>
    <n v="3"/>
    <n v="13"/>
    <n v="16"/>
    <x v="1"/>
    <x v="0"/>
    <x v="1"/>
  </r>
  <r>
    <n v="120"/>
    <d v="2011-01-06T00:00:00"/>
    <x v="0"/>
    <n v="1"/>
    <x v="5"/>
    <b v="0"/>
    <x v="5"/>
    <n v="2"/>
    <n v="0.14000000000000001"/>
    <n v="0"/>
    <n v="0.28789999999999999"/>
    <n v="0.81"/>
    <n v="0"/>
    <n v="3"/>
    <n v="13"/>
    <n v="16"/>
    <x v="1"/>
    <x v="0"/>
    <x v="1"/>
  </r>
  <r>
    <n v="121"/>
    <d v="2011-01-06T00:00:00"/>
    <x v="0"/>
    <n v="1"/>
    <x v="6"/>
    <b v="0"/>
    <x v="5"/>
    <n v="2"/>
    <n v="0.14000000000000001"/>
    <n v="0"/>
    <n v="0.28789999999999999"/>
    <n v="0.81"/>
    <n v="0"/>
    <n v="3"/>
    <n v="13"/>
    <n v="16"/>
    <x v="1"/>
    <x v="0"/>
    <x v="1"/>
  </r>
  <r>
    <n v="122"/>
    <d v="2011-01-06T00:00:00"/>
    <x v="0"/>
    <n v="1"/>
    <x v="7"/>
    <b v="0"/>
    <x v="5"/>
    <n v="2"/>
    <n v="0.16"/>
    <n v="0"/>
    <n v="0.28789999999999999"/>
    <n v="0.81"/>
    <n v="0"/>
    <n v="3"/>
    <n v="13"/>
    <n v="16"/>
    <x v="1"/>
    <x v="0"/>
    <x v="1"/>
  </r>
  <r>
    <n v="123"/>
    <d v="2011-01-06T00:00:00"/>
    <x v="0"/>
    <n v="1"/>
    <x v="8"/>
    <b v="0"/>
    <x v="5"/>
    <n v="1"/>
    <n v="0.16"/>
    <n v="0"/>
    <n v="0.28789999999999999"/>
    <n v="0.81"/>
    <n v="0"/>
    <n v="3"/>
    <n v="13"/>
    <n v="16"/>
    <x v="1"/>
    <x v="0"/>
    <x v="0"/>
  </r>
  <r>
    <n v="124"/>
    <d v="2011-01-06T00:00:00"/>
    <x v="0"/>
    <n v="1"/>
    <x v="9"/>
    <b v="0"/>
    <x v="5"/>
    <n v="2"/>
    <n v="0.18"/>
    <n v="0"/>
    <n v="0.28789999999999999"/>
    <n v="0.81"/>
    <n v="0"/>
    <n v="3"/>
    <n v="13"/>
    <n v="16"/>
    <x v="1"/>
    <x v="0"/>
    <x v="1"/>
  </r>
  <r>
    <n v="125"/>
    <d v="2011-01-06T00:00:00"/>
    <x v="0"/>
    <n v="1"/>
    <x v="10"/>
    <b v="0"/>
    <x v="5"/>
    <n v="1"/>
    <n v="0.2"/>
    <n v="0"/>
    <n v="0.28789999999999999"/>
    <n v="0.81"/>
    <n v="0"/>
    <n v="3"/>
    <n v="13"/>
    <n v="16"/>
    <x v="1"/>
    <x v="0"/>
    <x v="0"/>
  </r>
  <r>
    <n v="126"/>
    <d v="2011-01-06T00:00:00"/>
    <x v="0"/>
    <n v="1"/>
    <x v="11"/>
    <b v="0"/>
    <x v="5"/>
    <n v="1"/>
    <n v="0.22"/>
    <n v="0"/>
    <n v="0.28789999999999999"/>
    <n v="0.81"/>
    <n v="0"/>
    <n v="3"/>
    <n v="13"/>
    <n v="16"/>
    <x v="1"/>
    <x v="0"/>
    <x v="0"/>
  </r>
  <r>
    <n v="127"/>
    <d v="2011-01-06T00:00:00"/>
    <x v="0"/>
    <n v="1"/>
    <x v="12"/>
    <b v="0"/>
    <x v="5"/>
    <n v="1"/>
    <n v="0.26"/>
    <n v="0"/>
    <n v="0.28789999999999999"/>
    <n v="0.81"/>
    <n v="0"/>
    <n v="3"/>
    <n v="13"/>
    <n v="16"/>
    <x v="1"/>
    <x v="1"/>
    <x v="0"/>
  </r>
  <r>
    <n v="128"/>
    <d v="2011-01-06T00:00:00"/>
    <x v="0"/>
    <n v="1"/>
    <x v="13"/>
    <b v="0"/>
    <x v="5"/>
    <n v="1"/>
    <n v="0.26"/>
    <n v="0"/>
    <n v="0.28789999999999999"/>
    <n v="0.81"/>
    <n v="0"/>
    <n v="3"/>
    <n v="13"/>
    <n v="16"/>
    <x v="1"/>
    <x v="1"/>
    <x v="0"/>
  </r>
  <r>
    <n v="129"/>
    <d v="2011-01-06T00:00:00"/>
    <x v="0"/>
    <n v="1"/>
    <x v="14"/>
    <b v="0"/>
    <x v="5"/>
    <n v="1"/>
    <n v="0.28000000000000003"/>
    <n v="0"/>
    <n v="0.28789999999999999"/>
    <n v="0.81"/>
    <n v="0"/>
    <n v="3"/>
    <n v="13"/>
    <n v="16"/>
    <x v="1"/>
    <x v="1"/>
    <x v="0"/>
  </r>
  <r>
    <n v="130"/>
    <d v="2011-01-06T00:00:00"/>
    <x v="0"/>
    <n v="1"/>
    <x v="15"/>
    <b v="0"/>
    <x v="5"/>
    <n v="1"/>
    <n v="0.28000000000000003"/>
    <n v="0"/>
    <n v="0.28789999999999999"/>
    <n v="0.81"/>
    <n v="0"/>
    <n v="3"/>
    <n v="13"/>
    <n v="16"/>
    <x v="1"/>
    <x v="1"/>
    <x v="0"/>
  </r>
  <r>
    <n v="131"/>
    <d v="2011-01-06T00:00:00"/>
    <x v="0"/>
    <n v="1"/>
    <x v="16"/>
    <b v="0"/>
    <x v="5"/>
    <n v="1"/>
    <n v="0.26"/>
    <n v="0"/>
    <n v="0.28789999999999999"/>
    <n v="0.81"/>
    <n v="0"/>
    <n v="3"/>
    <n v="13"/>
    <n v="16"/>
    <x v="1"/>
    <x v="2"/>
    <x v="0"/>
  </r>
  <r>
    <n v="132"/>
    <d v="2011-01-06T00:00:00"/>
    <x v="0"/>
    <n v="1"/>
    <x v="17"/>
    <b v="0"/>
    <x v="5"/>
    <n v="1"/>
    <n v="0.22"/>
    <n v="0"/>
    <n v="0.28789999999999999"/>
    <n v="0.81"/>
    <n v="0"/>
    <n v="3"/>
    <n v="13"/>
    <n v="16"/>
    <x v="1"/>
    <x v="2"/>
    <x v="0"/>
  </r>
  <r>
    <n v="133"/>
    <d v="2011-01-06T00:00:00"/>
    <x v="0"/>
    <n v="1"/>
    <x v="18"/>
    <b v="0"/>
    <x v="5"/>
    <n v="1"/>
    <n v="0.22"/>
    <n v="0"/>
    <n v="0.28789999999999999"/>
    <n v="0.81"/>
    <n v="0"/>
    <n v="3"/>
    <n v="13"/>
    <n v="16"/>
    <x v="1"/>
    <x v="2"/>
    <x v="0"/>
  </r>
  <r>
    <n v="134"/>
    <d v="2011-01-06T00:00:00"/>
    <x v="0"/>
    <n v="1"/>
    <x v="19"/>
    <b v="0"/>
    <x v="5"/>
    <n v="1"/>
    <n v="0.22"/>
    <n v="0"/>
    <n v="0.28789999999999999"/>
    <n v="0.81"/>
    <n v="0"/>
    <n v="3"/>
    <n v="13"/>
    <n v="16"/>
    <x v="1"/>
    <x v="2"/>
    <x v="0"/>
  </r>
  <r>
    <n v="135"/>
    <d v="2011-01-06T00:00:00"/>
    <x v="0"/>
    <n v="1"/>
    <x v="20"/>
    <b v="0"/>
    <x v="5"/>
    <n v="1"/>
    <n v="0.2"/>
    <n v="0"/>
    <n v="0.28789999999999999"/>
    <n v="0.81"/>
    <n v="0"/>
    <n v="3"/>
    <n v="13"/>
    <n v="16"/>
    <x v="1"/>
    <x v="2"/>
    <x v="0"/>
  </r>
  <r>
    <n v="136"/>
    <d v="2011-01-06T00:00:00"/>
    <x v="0"/>
    <n v="1"/>
    <x v="21"/>
    <b v="0"/>
    <x v="5"/>
    <n v="2"/>
    <n v="0.22"/>
    <n v="0"/>
    <n v="0.28789999999999999"/>
    <n v="0.81"/>
    <n v="0"/>
    <n v="3"/>
    <n v="13"/>
    <n v="16"/>
    <x v="1"/>
    <x v="3"/>
    <x v="1"/>
  </r>
  <r>
    <n v="137"/>
    <d v="2011-01-06T00:00:00"/>
    <x v="0"/>
    <n v="1"/>
    <x v="22"/>
    <b v="0"/>
    <x v="5"/>
    <n v="2"/>
    <n v="0.22"/>
    <n v="0"/>
    <n v="0.28789999999999999"/>
    <n v="0.81"/>
    <n v="0"/>
    <n v="3"/>
    <n v="13"/>
    <n v="16"/>
    <x v="1"/>
    <x v="3"/>
    <x v="1"/>
  </r>
  <r>
    <n v="138"/>
    <d v="2011-01-06T00:00:00"/>
    <x v="0"/>
    <n v="1"/>
    <x v="23"/>
    <b v="0"/>
    <x v="5"/>
    <n v="2"/>
    <n v="0.2"/>
    <n v="0"/>
    <n v="0.28789999999999999"/>
    <n v="0.81"/>
    <n v="0"/>
    <n v="3"/>
    <n v="13"/>
    <n v="16"/>
    <x v="1"/>
    <x v="3"/>
    <x v="1"/>
  </r>
  <r>
    <n v="139"/>
    <d v="2011-01-07T00:00:00"/>
    <x v="0"/>
    <n v="1"/>
    <x v="0"/>
    <b v="0"/>
    <x v="6"/>
    <n v="2"/>
    <n v="0.2"/>
    <n v="0"/>
    <n v="0.28789999999999999"/>
    <n v="0.81"/>
    <n v="0"/>
    <n v="3"/>
    <n v="13"/>
    <n v="16"/>
    <x v="0"/>
    <x v="0"/>
    <x v="1"/>
  </r>
  <r>
    <n v="140"/>
    <d v="2011-01-07T00:00:00"/>
    <x v="0"/>
    <n v="1"/>
    <x v="1"/>
    <b v="0"/>
    <x v="6"/>
    <n v="2"/>
    <n v="0.2"/>
    <n v="0"/>
    <n v="0.28789999999999999"/>
    <n v="0.81"/>
    <n v="0"/>
    <n v="3"/>
    <n v="13"/>
    <n v="16"/>
    <x v="0"/>
    <x v="0"/>
    <x v="1"/>
  </r>
  <r>
    <n v="141"/>
    <d v="2011-01-07T00:00:00"/>
    <x v="0"/>
    <n v="1"/>
    <x v="2"/>
    <b v="0"/>
    <x v="6"/>
    <n v="2"/>
    <n v="0.2"/>
    <n v="0"/>
    <n v="0.28789999999999999"/>
    <n v="0.81"/>
    <n v="0"/>
    <n v="3"/>
    <n v="13"/>
    <n v="16"/>
    <x v="0"/>
    <x v="0"/>
    <x v="1"/>
  </r>
  <r>
    <n v="142"/>
    <d v="2011-01-07T00:00:00"/>
    <x v="0"/>
    <n v="1"/>
    <x v="4"/>
    <b v="0"/>
    <x v="6"/>
    <n v="2"/>
    <n v="0.2"/>
    <n v="0"/>
    <n v="0.28789999999999999"/>
    <n v="0.81"/>
    <n v="0"/>
    <n v="3"/>
    <n v="13"/>
    <n v="16"/>
    <x v="0"/>
    <x v="0"/>
    <x v="1"/>
  </r>
  <r>
    <n v="143"/>
    <d v="2011-01-07T00:00:00"/>
    <x v="0"/>
    <n v="1"/>
    <x v="5"/>
    <b v="0"/>
    <x v="6"/>
    <n v="3"/>
    <n v="0.22"/>
    <n v="0"/>
    <n v="0.28789999999999999"/>
    <n v="0.81"/>
    <n v="0"/>
    <n v="3"/>
    <n v="13"/>
    <n v="16"/>
    <x v="0"/>
    <x v="0"/>
    <x v="2"/>
  </r>
  <r>
    <n v="144"/>
    <d v="2011-01-07T00:00:00"/>
    <x v="0"/>
    <n v="1"/>
    <x v="6"/>
    <b v="0"/>
    <x v="6"/>
    <n v="2"/>
    <n v="0.2"/>
    <n v="0"/>
    <n v="0.28789999999999999"/>
    <n v="0.81"/>
    <n v="0"/>
    <n v="3"/>
    <n v="13"/>
    <n v="16"/>
    <x v="0"/>
    <x v="0"/>
    <x v="1"/>
  </r>
  <r>
    <n v="145"/>
    <d v="2011-01-07T00:00:00"/>
    <x v="0"/>
    <n v="1"/>
    <x v="7"/>
    <b v="0"/>
    <x v="6"/>
    <n v="1"/>
    <n v="0.2"/>
    <n v="0"/>
    <n v="0.28789999999999999"/>
    <n v="0.81"/>
    <n v="0"/>
    <n v="3"/>
    <n v="13"/>
    <n v="16"/>
    <x v="0"/>
    <x v="0"/>
    <x v="0"/>
  </r>
  <r>
    <n v="146"/>
    <d v="2011-01-07T00:00:00"/>
    <x v="0"/>
    <n v="1"/>
    <x v="8"/>
    <b v="0"/>
    <x v="6"/>
    <n v="1"/>
    <n v="0.2"/>
    <n v="0"/>
    <n v="0.28789999999999999"/>
    <n v="0.81"/>
    <n v="0"/>
    <n v="3"/>
    <n v="13"/>
    <n v="16"/>
    <x v="0"/>
    <x v="0"/>
    <x v="0"/>
  </r>
  <r>
    <n v="147"/>
    <d v="2011-01-07T00:00:00"/>
    <x v="0"/>
    <n v="1"/>
    <x v="9"/>
    <b v="0"/>
    <x v="6"/>
    <n v="1"/>
    <n v="0.2"/>
    <n v="0"/>
    <n v="0.28789999999999999"/>
    <n v="0.81"/>
    <n v="0"/>
    <n v="3"/>
    <n v="13"/>
    <n v="16"/>
    <x v="0"/>
    <x v="0"/>
    <x v="0"/>
  </r>
  <r>
    <n v="148"/>
    <d v="2011-01-07T00:00:00"/>
    <x v="0"/>
    <n v="1"/>
    <x v="10"/>
    <b v="0"/>
    <x v="6"/>
    <n v="1"/>
    <n v="0.22"/>
    <n v="0"/>
    <n v="0.28789999999999999"/>
    <n v="0.81"/>
    <n v="0"/>
    <n v="3"/>
    <n v="13"/>
    <n v="16"/>
    <x v="0"/>
    <x v="0"/>
    <x v="0"/>
  </r>
  <r>
    <n v="149"/>
    <d v="2011-01-07T00:00:00"/>
    <x v="0"/>
    <n v="1"/>
    <x v="11"/>
    <b v="0"/>
    <x v="6"/>
    <n v="2"/>
    <n v="0.2"/>
    <n v="0"/>
    <n v="0.28789999999999999"/>
    <n v="0.81"/>
    <n v="0"/>
    <n v="3"/>
    <n v="13"/>
    <n v="16"/>
    <x v="0"/>
    <x v="0"/>
    <x v="1"/>
  </r>
  <r>
    <n v="150"/>
    <d v="2011-01-07T00:00:00"/>
    <x v="0"/>
    <n v="1"/>
    <x v="12"/>
    <b v="0"/>
    <x v="6"/>
    <n v="2"/>
    <n v="0.2"/>
    <n v="0"/>
    <n v="0.28789999999999999"/>
    <n v="0.81"/>
    <n v="0"/>
    <n v="3"/>
    <n v="13"/>
    <n v="16"/>
    <x v="0"/>
    <x v="1"/>
    <x v="1"/>
  </r>
  <r>
    <n v="151"/>
    <d v="2011-01-07T00:00:00"/>
    <x v="0"/>
    <n v="1"/>
    <x v="13"/>
    <b v="0"/>
    <x v="6"/>
    <n v="2"/>
    <n v="0.2"/>
    <n v="0"/>
    <n v="0.28789999999999999"/>
    <n v="0.81"/>
    <n v="0"/>
    <n v="3"/>
    <n v="13"/>
    <n v="16"/>
    <x v="0"/>
    <x v="1"/>
    <x v="1"/>
  </r>
  <r>
    <n v="152"/>
    <d v="2011-01-07T00:00:00"/>
    <x v="0"/>
    <n v="1"/>
    <x v="14"/>
    <b v="0"/>
    <x v="6"/>
    <n v="2"/>
    <n v="0.2"/>
    <n v="0"/>
    <n v="0.28789999999999999"/>
    <n v="0.81"/>
    <n v="0"/>
    <n v="3"/>
    <n v="13"/>
    <n v="16"/>
    <x v="0"/>
    <x v="1"/>
    <x v="1"/>
  </r>
  <r>
    <n v="153"/>
    <d v="2011-01-07T00:00:00"/>
    <x v="0"/>
    <n v="1"/>
    <x v="15"/>
    <b v="0"/>
    <x v="6"/>
    <n v="2"/>
    <n v="0.2"/>
    <n v="0"/>
    <n v="0.28789999999999999"/>
    <n v="0.81"/>
    <n v="0"/>
    <n v="3"/>
    <n v="13"/>
    <n v="16"/>
    <x v="0"/>
    <x v="1"/>
    <x v="1"/>
  </r>
  <r>
    <n v="154"/>
    <d v="2011-01-07T00:00:00"/>
    <x v="0"/>
    <n v="1"/>
    <x v="16"/>
    <b v="0"/>
    <x v="6"/>
    <n v="2"/>
    <n v="0.2"/>
    <n v="0"/>
    <n v="0.28789999999999999"/>
    <n v="0.81"/>
    <n v="0"/>
    <n v="3"/>
    <n v="13"/>
    <n v="16"/>
    <x v="0"/>
    <x v="2"/>
    <x v="1"/>
  </r>
  <r>
    <n v="155"/>
    <d v="2011-01-07T00:00:00"/>
    <x v="0"/>
    <n v="1"/>
    <x v="17"/>
    <b v="0"/>
    <x v="6"/>
    <n v="2"/>
    <n v="0.2"/>
    <n v="0"/>
    <n v="0.28789999999999999"/>
    <n v="0.81"/>
    <n v="0"/>
    <n v="3"/>
    <n v="13"/>
    <n v="16"/>
    <x v="0"/>
    <x v="2"/>
    <x v="1"/>
  </r>
  <r>
    <n v="156"/>
    <d v="2011-01-07T00:00:00"/>
    <x v="0"/>
    <n v="1"/>
    <x v="18"/>
    <b v="0"/>
    <x v="6"/>
    <n v="1"/>
    <n v="0.2"/>
    <n v="0"/>
    <n v="0.28789999999999999"/>
    <n v="0.81"/>
    <n v="0"/>
    <n v="3"/>
    <n v="13"/>
    <n v="16"/>
    <x v="0"/>
    <x v="2"/>
    <x v="0"/>
  </r>
  <r>
    <n v="157"/>
    <d v="2011-01-07T00:00:00"/>
    <x v="0"/>
    <n v="1"/>
    <x v="19"/>
    <b v="0"/>
    <x v="6"/>
    <n v="1"/>
    <n v="0.16"/>
    <n v="0"/>
    <n v="0.28789999999999999"/>
    <n v="0.81"/>
    <n v="0"/>
    <n v="3"/>
    <n v="13"/>
    <n v="16"/>
    <x v="0"/>
    <x v="2"/>
    <x v="0"/>
  </r>
  <r>
    <n v="158"/>
    <d v="2011-01-07T00:00:00"/>
    <x v="0"/>
    <n v="1"/>
    <x v="20"/>
    <b v="0"/>
    <x v="6"/>
    <n v="1"/>
    <n v="0.18"/>
    <n v="0"/>
    <n v="0.28789999999999999"/>
    <n v="0.81"/>
    <n v="0"/>
    <n v="3"/>
    <n v="13"/>
    <n v="16"/>
    <x v="0"/>
    <x v="2"/>
    <x v="0"/>
  </r>
  <r>
    <n v="159"/>
    <d v="2011-01-07T00:00:00"/>
    <x v="0"/>
    <n v="1"/>
    <x v="21"/>
    <b v="0"/>
    <x v="6"/>
    <n v="1"/>
    <n v="0.18"/>
    <n v="0"/>
    <n v="0.28789999999999999"/>
    <n v="0.81"/>
    <n v="0"/>
    <n v="3"/>
    <n v="13"/>
    <n v="16"/>
    <x v="0"/>
    <x v="3"/>
    <x v="0"/>
  </r>
  <r>
    <n v="160"/>
    <d v="2011-01-07T00:00:00"/>
    <x v="0"/>
    <n v="1"/>
    <x v="22"/>
    <b v="0"/>
    <x v="6"/>
    <n v="2"/>
    <n v="0.18"/>
    <n v="0"/>
    <n v="0.28789999999999999"/>
    <n v="0.81"/>
    <n v="0"/>
    <n v="3"/>
    <n v="13"/>
    <n v="16"/>
    <x v="0"/>
    <x v="3"/>
    <x v="1"/>
  </r>
  <r>
    <n v="161"/>
    <d v="2011-01-07T00:00:00"/>
    <x v="0"/>
    <n v="1"/>
    <x v="23"/>
    <b v="0"/>
    <x v="6"/>
    <n v="2"/>
    <n v="0.18"/>
    <n v="0"/>
    <n v="0.28789999999999999"/>
    <n v="0.81"/>
    <n v="0"/>
    <n v="3"/>
    <n v="13"/>
    <n v="16"/>
    <x v="0"/>
    <x v="3"/>
    <x v="1"/>
  </r>
  <r>
    <n v="162"/>
    <d v="2011-01-08T00:00:00"/>
    <x v="0"/>
    <n v="1"/>
    <x v="0"/>
    <b v="0"/>
    <x v="0"/>
    <n v="2"/>
    <n v="0.18"/>
    <n v="0"/>
    <n v="0.28789999999999999"/>
    <n v="0.81"/>
    <n v="0"/>
    <n v="3"/>
    <n v="13"/>
    <n v="16"/>
    <x v="0"/>
    <x v="0"/>
    <x v="1"/>
  </r>
  <r>
    <n v="163"/>
    <d v="2011-01-08T00:00:00"/>
    <x v="0"/>
    <n v="1"/>
    <x v="1"/>
    <b v="0"/>
    <x v="0"/>
    <n v="2"/>
    <n v="0.18"/>
    <n v="0"/>
    <n v="0.28789999999999999"/>
    <n v="0.81"/>
    <n v="0"/>
    <n v="3"/>
    <n v="13"/>
    <n v="16"/>
    <x v="0"/>
    <x v="0"/>
    <x v="1"/>
  </r>
  <r>
    <n v="164"/>
    <d v="2011-01-08T00:00:00"/>
    <x v="0"/>
    <n v="1"/>
    <x v="2"/>
    <b v="0"/>
    <x v="0"/>
    <n v="2"/>
    <n v="0.18"/>
    <n v="0"/>
    <n v="0.28789999999999999"/>
    <n v="0.81"/>
    <n v="0"/>
    <n v="3"/>
    <n v="13"/>
    <n v="16"/>
    <x v="0"/>
    <x v="0"/>
    <x v="1"/>
  </r>
  <r>
    <n v="165"/>
    <d v="2011-01-08T00:00:00"/>
    <x v="0"/>
    <n v="1"/>
    <x v="3"/>
    <b v="0"/>
    <x v="0"/>
    <n v="3"/>
    <n v="0.18"/>
    <n v="0"/>
    <n v="0.28789999999999999"/>
    <n v="0.81"/>
    <n v="0"/>
    <n v="3"/>
    <n v="13"/>
    <n v="16"/>
    <x v="0"/>
    <x v="0"/>
    <x v="2"/>
  </r>
  <r>
    <n v="166"/>
    <d v="2011-01-08T00:00:00"/>
    <x v="0"/>
    <n v="1"/>
    <x v="4"/>
    <b v="0"/>
    <x v="0"/>
    <n v="3"/>
    <n v="0.18"/>
    <n v="0"/>
    <n v="0.28789999999999999"/>
    <n v="0.81"/>
    <n v="0"/>
    <n v="3"/>
    <n v="13"/>
    <n v="16"/>
    <x v="0"/>
    <x v="0"/>
    <x v="2"/>
  </r>
  <r>
    <n v="167"/>
    <d v="2011-01-08T00:00:00"/>
    <x v="0"/>
    <n v="1"/>
    <x v="5"/>
    <b v="0"/>
    <x v="0"/>
    <n v="2"/>
    <n v="0.16"/>
    <n v="0"/>
    <n v="0.28789999999999999"/>
    <n v="0.81"/>
    <n v="0"/>
    <n v="3"/>
    <n v="13"/>
    <n v="16"/>
    <x v="0"/>
    <x v="0"/>
    <x v="1"/>
  </r>
  <r>
    <n v="168"/>
    <d v="2011-01-08T00:00:00"/>
    <x v="0"/>
    <n v="1"/>
    <x v="6"/>
    <b v="0"/>
    <x v="0"/>
    <n v="2"/>
    <n v="0.16"/>
    <n v="0"/>
    <n v="0.28789999999999999"/>
    <n v="0.81"/>
    <n v="0"/>
    <n v="3"/>
    <n v="13"/>
    <n v="16"/>
    <x v="0"/>
    <x v="0"/>
    <x v="1"/>
  </r>
  <r>
    <n v="169"/>
    <d v="2011-01-08T00:00:00"/>
    <x v="0"/>
    <n v="1"/>
    <x v="7"/>
    <b v="0"/>
    <x v="0"/>
    <n v="2"/>
    <n v="0.16"/>
    <n v="0"/>
    <n v="0.28789999999999999"/>
    <n v="0.81"/>
    <n v="0"/>
    <n v="3"/>
    <n v="13"/>
    <n v="16"/>
    <x v="0"/>
    <x v="0"/>
    <x v="1"/>
  </r>
  <r>
    <n v="170"/>
    <d v="2011-01-08T00:00:00"/>
    <x v="0"/>
    <n v="1"/>
    <x v="8"/>
    <b v="0"/>
    <x v="0"/>
    <n v="3"/>
    <n v="0.16"/>
    <n v="0"/>
    <n v="0.28789999999999999"/>
    <n v="0.81"/>
    <n v="0"/>
    <n v="3"/>
    <n v="13"/>
    <n v="16"/>
    <x v="0"/>
    <x v="0"/>
    <x v="2"/>
  </r>
  <r>
    <n v="171"/>
    <d v="2011-01-08T00:00:00"/>
    <x v="0"/>
    <n v="1"/>
    <x v="9"/>
    <b v="0"/>
    <x v="0"/>
    <n v="3"/>
    <n v="0.16"/>
    <n v="0"/>
    <n v="0.28789999999999999"/>
    <n v="0.81"/>
    <n v="0"/>
    <n v="3"/>
    <n v="13"/>
    <n v="16"/>
    <x v="0"/>
    <x v="0"/>
    <x v="2"/>
  </r>
  <r>
    <n v="172"/>
    <d v="2011-01-08T00:00:00"/>
    <x v="0"/>
    <n v="1"/>
    <x v="10"/>
    <b v="0"/>
    <x v="0"/>
    <n v="2"/>
    <n v="0.18"/>
    <n v="0"/>
    <n v="0.28789999999999999"/>
    <n v="0.81"/>
    <n v="0"/>
    <n v="3"/>
    <n v="13"/>
    <n v="16"/>
    <x v="0"/>
    <x v="0"/>
    <x v="1"/>
  </r>
  <r>
    <n v="173"/>
    <d v="2011-01-08T00:00:00"/>
    <x v="0"/>
    <n v="1"/>
    <x v="11"/>
    <b v="0"/>
    <x v="0"/>
    <n v="2"/>
    <n v="0.2"/>
    <n v="0"/>
    <n v="0.28789999999999999"/>
    <n v="0.81"/>
    <n v="0"/>
    <n v="3"/>
    <n v="13"/>
    <n v="16"/>
    <x v="0"/>
    <x v="0"/>
    <x v="1"/>
  </r>
  <r>
    <n v="174"/>
    <d v="2011-01-08T00:00:00"/>
    <x v="0"/>
    <n v="1"/>
    <x v="12"/>
    <b v="0"/>
    <x v="0"/>
    <n v="2"/>
    <n v="0.2"/>
    <n v="0"/>
    <n v="0.28789999999999999"/>
    <n v="0.81"/>
    <n v="0"/>
    <n v="3"/>
    <n v="13"/>
    <n v="16"/>
    <x v="0"/>
    <x v="1"/>
    <x v="1"/>
  </r>
  <r>
    <n v="175"/>
    <d v="2011-01-08T00:00:00"/>
    <x v="0"/>
    <n v="1"/>
    <x v="13"/>
    <b v="0"/>
    <x v="0"/>
    <n v="1"/>
    <n v="0.2"/>
    <n v="0"/>
    <n v="0.28789999999999999"/>
    <n v="0.81"/>
    <n v="0"/>
    <n v="3"/>
    <n v="13"/>
    <n v="16"/>
    <x v="0"/>
    <x v="1"/>
    <x v="0"/>
  </r>
  <r>
    <n v="176"/>
    <d v="2011-01-08T00:00:00"/>
    <x v="0"/>
    <n v="1"/>
    <x v="14"/>
    <b v="0"/>
    <x v="0"/>
    <n v="1"/>
    <n v="0.2"/>
    <n v="0"/>
    <n v="0.28789999999999999"/>
    <n v="0.81"/>
    <n v="0"/>
    <n v="3"/>
    <n v="13"/>
    <n v="16"/>
    <x v="0"/>
    <x v="1"/>
    <x v="0"/>
  </r>
  <r>
    <n v="177"/>
    <d v="2011-01-08T00:00:00"/>
    <x v="0"/>
    <n v="1"/>
    <x v="15"/>
    <b v="0"/>
    <x v="0"/>
    <n v="1"/>
    <n v="0.2"/>
    <n v="0"/>
    <n v="0.28789999999999999"/>
    <n v="0.81"/>
    <n v="0"/>
    <n v="3"/>
    <n v="13"/>
    <n v="16"/>
    <x v="0"/>
    <x v="1"/>
    <x v="0"/>
  </r>
  <r>
    <n v="178"/>
    <d v="2011-01-08T00:00:00"/>
    <x v="0"/>
    <n v="1"/>
    <x v="16"/>
    <b v="0"/>
    <x v="0"/>
    <n v="1"/>
    <n v="0.18"/>
    <n v="0"/>
    <n v="0.28789999999999999"/>
    <n v="0.81"/>
    <n v="0"/>
    <n v="3"/>
    <n v="13"/>
    <n v="16"/>
    <x v="0"/>
    <x v="2"/>
    <x v="0"/>
  </r>
  <r>
    <n v="179"/>
    <d v="2011-01-08T00:00:00"/>
    <x v="0"/>
    <n v="1"/>
    <x v="17"/>
    <b v="0"/>
    <x v="0"/>
    <n v="1"/>
    <n v="0.16"/>
    <n v="0"/>
    <n v="0.28789999999999999"/>
    <n v="0.81"/>
    <n v="0"/>
    <n v="3"/>
    <n v="13"/>
    <n v="16"/>
    <x v="0"/>
    <x v="2"/>
    <x v="0"/>
  </r>
  <r>
    <n v="180"/>
    <d v="2011-01-08T00:00:00"/>
    <x v="0"/>
    <n v="1"/>
    <x v="18"/>
    <b v="0"/>
    <x v="0"/>
    <n v="1"/>
    <n v="0.14000000000000001"/>
    <n v="0"/>
    <n v="0.28789999999999999"/>
    <n v="0.81"/>
    <n v="0"/>
    <n v="3"/>
    <n v="13"/>
    <n v="16"/>
    <x v="0"/>
    <x v="2"/>
    <x v="0"/>
  </r>
  <r>
    <n v="181"/>
    <d v="2011-01-08T00:00:00"/>
    <x v="0"/>
    <n v="1"/>
    <x v="19"/>
    <b v="0"/>
    <x v="0"/>
    <n v="1"/>
    <n v="0.14000000000000001"/>
    <n v="0"/>
    <n v="0.28789999999999999"/>
    <n v="0.81"/>
    <n v="0"/>
    <n v="3"/>
    <n v="13"/>
    <n v="16"/>
    <x v="0"/>
    <x v="2"/>
    <x v="0"/>
  </r>
  <r>
    <n v="182"/>
    <d v="2011-01-08T00:00:00"/>
    <x v="0"/>
    <n v="1"/>
    <x v="20"/>
    <b v="0"/>
    <x v="0"/>
    <n v="1"/>
    <n v="0.12"/>
    <n v="0"/>
    <n v="0.28789999999999999"/>
    <n v="0.81"/>
    <n v="0"/>
    <n v="3"/>
    <n v="13"/>
    <n v="16"/>
    <x v="0"/>
    <x v="2"/>
    <x v="0"/>
  </r>
  <r>
    <n v="183"/>
    <d v="2011-01-08T00:00:00"/>
    <x v="0"/>
    <n v="1"/>
    <x v="21"/>
    <b v="0"/>
    <x v="0"/>
    <n v="1"/>
    <n v="0.12"/>
    <n v="0"/>
    <n v="0.28789999999999999"/>
    <n v="0.81"/>
    <n v="0"/>
    <n v="3"/>
    <n v="13"/>
    <n v="16"/>
    <x v="0"/>
    <x v="3"/>
    <x v="0"/>
  </r>
  <r>
    <n v="184"/>
    <d v="2011-01-08T00:00:00"/>
    <x v="0"/>
    <n v="1"/>
    <x v="22"/>
    <b v="0"/>
    <x v="0"/>
    <n v="1"/>
    <n v="0.12"/>
    <n v="0"/>
    <n v="0.28789999999999999"/>
    <n v="0.81"/>
    <n v="0"/>
    <n v="3"/>
    <n v="13"/>
    <n v="16"/>
    <x v="0"/>
    <x v="3"/>
    <x v="0"/>
  </r>
  <r>
    <n v="185"/>
    <d v="2011-01-08T00:00:00"/>
    <x v="0"/>
    <n v="1"/>
    <x v="23"/>
    <b v="0"/>
    <x v="0"/>
    <n v="1"/>
    <n v="0.1"/>
    <n v="0"/>
    <n v="0.28789999999999999"/>
    <n v="0.81"/>
    <n v="0"/>
    <n v="3"/>
    <n v="13"/>
    <n v="16"/>
    <x v="0"/>
    <x v="3"/>
    <x v="0"/>
  </r>
  <r>
    <n v="186"/>
    <d v="2011-01-09T00:00:00"/>
    <x v="0"/>
    <n v="1"/>
    <x v="0"/>
    <b v="0"/>
    <x v="1"/>
    <n v="1"/>
    <n v="0.1"/>
    <n v="0"/>
    <n v="0.28789999999999999"/>
    <n v="0.81"/>
    <n v="0"/>
    <n v="3"/>
    <n v="13"/>
    <n v="16"/>
    <x v="1"/>
    <x v="0"/>
    <x v="0"/>
  </r>
  <r>
    <n v="187"/>
    <d v="2011-01-09T00:00:00"/>
    <x v="0"/>
    <n v="1"/>
    <x v="1"/>
    <b v="0"/>
    <x v="1"/>
    <n v="1"/>
    <n v="0.1"/>
    <n v="0"/>
    <n v="0.28789999999999999"/>
    <n v="0.81"/>
    <n v="0"/>
    <n v="3"/>
    <n v="13"/>
    <n v="16"/>
    <x v="1"/>
    <x v="0"/>
    <x v="0"/>
  </r>
  <r>
    <n v="188"/>
    <d v="2011-01-09T00:00:00"/>
    <x v="0"/>
    <n v="1"/>
    <x v="2"/>
    <b v="0"/>
    <x v="1"/>
    <n v="1"/>
    <n v="0.1"/>
    <n v="0"/>
    <n v="0.28789999999999999"/>
    <n v="0.81"/>
    <n v="0"/>
    <n v="3"/>
    <n v="13"/>
    <n v="16"/>
    <x v="1"/>
    <x v="0"/>
    <x v="0"/>
  </r>
  <r>
    <n v="189"/>
    <d v="2011-01-09T00:00:00"/>
    <x v="0"/>
    <n v="1"/>
    <x v="3"/>
    <b v="0"/>
    <x v="1"/>
    <n v="1"/>
    <n v="0.1"/>
    <n v="0"/>
    <n v="0.28789999999999999"/>
    <n v="0.81"/>
    <n v="0"/>
    <n v="3"/>
    <n v="13"/>
    <n v="16"/>
    <x v="1"/>
    <x v="0"/>
    <x v="0"/>
  </r>
  <r>
    <n v="190"/>
    <d v="2011-01-09T00:00:00"/>
    <x v="0"/>
    <n v="1"/>
    <x v="4"/>
    <b v="0"/>
    <x v="1"/>
    <n v="1"/>
    <n v="0.08"/>
    <n v="0"/>
    <n v="0.28789999999999999"/>
    <n v="0.81"/>
    <n v="0"/>
    <n v="3"/>
    <n v="13"/>
    <n v="16"/>
    <x v="1"/>
    <x v="0"/>
    <x v="0"/>
  </r>
  <r>
    <n v="191"/>
    <d v="2011-01-09T00:00:00"/>
    <x v="0"/>
    <n v="1"/>
    <x v="5"/>
    <b v="0"/>
    <x v="1"/>
    <n v="1"/>
    <n v="0.08"/>
    <n v="0"/>
    <n v="0.28789999999999999"/>
    <n v="0.81"/>
    <n v="0"/>
    <n v="3"/>
    <n v="13"/>
    <n v="16"/>
    <x v="1"/>
    <x v="0"/>
    <x v="0"/>
  </r>
  <r>
    <n v="192"/>
    <d v="2011-01-09T00:00:00"/>
    <x v="0"/>
    <n v="1"/>
    <x v="6"/>
    <b v="0"/>
    <x v="1"/>
    <n v="1"/>
    <n v="0.1"/>
    <n v="0"/>
    <n v="0.28789999999999999"/>
    <n v="0.81"/>
    <n v="0"/>
    <n v="3"/>
    <n v="13"/>
    <n v="16"/>
    <x v="1"/>
    <x v="0"/>
    <x v="0"/>
  </r>
  <r>
    <n v="193"/>
    <d v="2011-01-09T00:00:00"/>
    <x v="0"/>
    <n v="1"/>
    <x v="7"/>
    <b v="0"/>
    <x v="1"/>
    <n v="1"/>
    <n v="0.08"/>
    <n v="0"/>
    <n v="0.28789999999999999"/>
    <n v="0.81"/>
    <n v="0"/>
    <n v="3"/>
    <n v="13"/>
    <n v="16"/>
    <x v="1"/>
    <x v="0"/>
    <x v="0"/>
  </r>
  <r>
    <n v="194"/>
    <d v="2011-01-09T00:00:00"/>
    <x v="0"/>
    <n v="1"/>
    <x v="8"/>
    <b v="0"/>
    <x v="1"/>
    <n v="1"/>
    <n v="0.1"/>
    <n v="0"/>
    <n v="0.28789999999999999"/>
    <n v="0.81"/>
    <n v="0"/>
    <n v="3"/>
    <n v="13"/>
    <n v="16"/>
    <x v="1"/>
    <x v="0"/>
    <x v="0"/>
  </r>
  <r>
    <n v="195"/>
    <d v="2011-01-09T00:00:00"/>
    <x v="0"/>
    <n v="1"/>
    <x v="9"/>
    <b v="0"/>
    <x v="1"/>
    <n v="1"/>
    <n v="0.12"/>
    <n v="0"/>
    <n v="0.28789999999999999"/>
    <n v="0.81"/>
    <n v="0"/>
    <n v="3"/>
    <n v="13"/>
    <n v="16"/>
    <x v="1"/>
    <x v="0"/>
    <x v="0"/>
  </r>
  <r>
    <n v="196"/>
    <d v="2011-01-09T00:00:00"/>
    <x v="0"/>
    <n v="1"/>
    <x v="10"/>
    <b v="0"/>
    <x v="1"/>
    <n v="1"/>
    <n v="0.14000000000000001"/>
    <n v="0"/>
    <n v="0.28789999999999999"/>
    <n v="0.81"/>
    <n v="0"/>
    <n v="3"/>
    <n v="13"/>
    <n v="16"/>
    <x v="1"/>
    <x v="0"/>
    <x v="0"/>
  </r>
  <r>
    <n v="197"/>
    <d v="2011-01-09T00:00:00"/>
    <x v="0"/>
    <n v="1"/>
    <x v="11"/>
    <b v="0"/>
    <x v="1"/>
    <n v="1"/>
    <n v="0.16"/>
    <n v="0"/>
    <n v="0.28789999999999999"/>
    <n v="0.81"/>
    <n v="0"/>
    <n v="3"/>
    <n v="13"/>
    <n v="16"/>
    <x v="1"/>
    <x v="0"/>
    <x v="0"/>
  </r>
  <r>
    <n v="198"/>
    <d v="2011-01-09T00:00:00"/>
    <x v="0"/>
    <n v="1"/>
    <x v="12"/>
    <b v="0"/>
    <x v="1"/>
    <n v="1"/>
    <n v="0.18"/>
    <n v="0"/>
    <n v="0.28789999999999999"/>
    <n v="0.81"/>
    <n v="0"/>
    <n v="3"/>
    <n v="13"/>
    <n v="16"/>
    <x v="1"/>
    <x v="1"/>
    <x v="0"/>
  </r>
  <r>
    <n v="199"/>
    <d v="2011-01-09T00:00:00"/>
    <x v="0"/>
    <n v="1"/>
    <x v="13"/>
    <b v="0"/>
    <x v="1"/>
    <n v="1"/>
    <n v="0.2"/>
    <n v="0"/>
    <n v="0.28789999999999999"/>
    <n v="0.81"/>
    <n v="0"/>
    <n v="3"/>
    <n v="13"/>
    <n v="16"/>
    <x v="1"/>
    <x v="1"/>
    <x v="0"/>
  </r>
  <r>
    <n v="200"/>
    <d v="2011-01-09T00:00:00"/>
    <x v="0"/>
    <n v="1"/>
    <x v="14"/>
    <b v="0"/>
    <x v="1"/>
    <n v="1"/>
    <n v="0.22"/>
    <n v="0"/>
    <n v="0.28789999999999999"/>
    <n v="0.81"/>
    <n v="0"/>
    <n v="3"/>
    <n v="13"/>
    <n v="16"/>
    <x v="1"/>
    <x v="1"/>
    <x v="0"/>
  </r>
  <r>
    <n v="201"/>
    <d v="2011-01-09T00:00:00"/>
    <x v="0"/>
    <n v="1"/>
    <x v="15"/>
    <b v="0"/>
    <x v="1"/>
    <n v="1"/>
    <n v="0.22"/>
    <n v="0"/>
    <n v="0.28789999999999999"/>
    <n v="0.81"/>
    <n v="0"/>
    <n v="3"/>
    <n v="13"/>
    <n v="16"/>
    <x v="1"/>
    <x v="1"/>
    <x v="0"/>
  </r>
  <r>
    <n v="202"/>
    <d v="2011-01-09T00:00:00"/>
    <x v="0"/>
    <n v="1"/>
    <x v="16"/>
    <b v="0"/>
    <x v="1"/>
    <n v="1"/>
    <n v="0.2"/>
    <n v="0"/>
    <n v="0.28789999999999999"/>
    <n v="0.81"/>
    <n v="0"/>
    <n v="3"/>
    <n v="13"/>
    <n v="16"/>
    <x v="1"/>
    <x v="2"/>
    <x v="0"/>
  </r>
  <r>
    <n v="203"/>
    <d v="2011-01-09T00:00:00"/>
    <x v="0"/>
    <n v="1"/>
    <x v="17"/>
    <b v="0"/>
    <x v="1"/>
    <n v="1"/>
    <n v="0.18"/>
    <n v="0"/>
    <n v="0.28789999999999999"/>
    <n v="0.81"/>
    <n v="0"/>
    <n v="3"/>
    <n v="13"/>
    <n v="16"/>
    <x v="1"/>
    <x v="2"/>
    <x v="0"/>
  </r>
  <r>
    <n v="204"/>
    <d v="2011-01-09T00:00:00"/>
    <x v="0"/>
    <n v="1"/>
    <x v="18"/>
    <b v="0"/>
    <x v="1"/>
    <n v="1"/>
    <n v="0.16"/>
    <n v="0"/>
    <n v="0.28789999999999999"/>
    <n v="0.81"/>
    <n v="0"/>
    <n v="3"/>
    <n v="13"/>
    <n v="16"/>
    <x v="1"/>
    <x v="2"/>
    <x v="0"/>
  </r>
  <r>
    <n v="205"/>
    <d v="2011-01-09T00:00:00"/>
    <x v="0"/>
    <n v="1"/>
    <x v="19"/>
    <b v="0"/>
    <x v="1"/>
    <n v="1"/>
    <n v="0.16"/>
    <n v="0"/>
    <n v="0.28789999999999999"/>
    <n v="0.81"/>
    <n v="0"/>
    <n v="3"/>
    <n v="13"/>
    <n v="16"/>
    <x v="1"/>
    <x v="2"/>
    <x v="0"/>
  </r>
  <r>
    <n v="206"/>
    <d v="2011-01-09T00:00:00"/>
    <x v="0"/>
    <n v="1"/>
    <x v="20"/>
    <b v="0"/>
    <x v="1"/>
    <n v="1"/>
    <n v="0.14000000000000001"/>
    <n v="0"/>
    <n v="0.28789999999999999"/>
    <n v="0.81"/>
    <n v="0"/>
    <n v="3"/>
    <n v="13"/>
    <n v="16"/>
    <x v="1"/>
    <x v="2"/>
    <x v="0"/>
  </r>
  <r>
    <n v="207"/>
    <d v="2011-01-09T00:00:00"/>
    <x v="0"/>
    <n v="1"/>
    <x v="21"/>
    <b v="0"/>
    <x v="1"/>
    <n v="1"/>
    <n v="0.14000000000000001"/>
    <n v="0"/>
    <n v="0.28789999999999999"/>
    <n v="0.81"/>
    <n v="0"/>
    <n v="3"/>
    <n v="13"/>
    <n v="16"/>
    <x v="1"/>
    <x v="3"/>
    <x v="0"/>
  </r>
  <r>
    <n v="208"/>
    <d v="2011-01-09T00:00:00"/>
    <x v="0"/>
    <n v="1"/>
    <x v="22"/>
    <b v="0"/>
    <x v="1"/>
    <n v="1"/>
    <n v="0.14000000000000001"/>
    <n v="0"/>
    <n v="0.28789999999999999"/>
    <n v="0.81"/>
    <n v="0"/>
    <n v="3"/>
    <n v="13"/>
    <n v="16"/>
    <x v="1"/>
    <x v="3"/>
    <x v="0"/>
  </r>
  <r>
    <n v="209"/>
    <d v="2011-01-09T00:00:00"/>
    <x v="0"/>
    <n v="1"/>
    <x v="23"/>
    <b v="0"/>
    <x v="1"/>
    <n v="1"/>
    <n v="0.12"/>
    <n v="0"/>
    <n v="0.28789999999999999"/>
    <n v="0.81"/>
    <n v="0"/>
    <n v="3"/>
    <n v="13"/>
    <n v="16"/>
    <x v="1"/>
    <x v="3"/>
    <x v="0"/>
  </r>
  <r>
    <n v="210"/>
    <d v="2011-01-10T00:00:00"/>
    <x v="0"/>
    <n v="1"/>
    <x v="0"/>
    <b v="0"/>
    <x v="2"/>
    <n v="1"/>
    <n v="0.12"/>
    <n v="0"/>
    <n v="0.28789999999999999"/>
    <n v="0.81"/>
    <n v="0"/>
    <n v="3"/>
    <n v="13"/>
    <n v="16"/>
    <x v="1"/>
    <x v="0"/>
    <x v="0"/>
  </r>
  <r>
    <n v="211"/>
    <d v="2011-01-10T00:00:00"/>
    <x v="0"/>
    <n v="1"/>
    <x v="1"/>
    <b v="0"/>
    <x v="2"/>
    <n v="1"/>
    <n v="0.12"/>
    <n v="0"/>
    <n v="0.28789999999999999"/>
    <n v="0.81"/>
    <n v="0"/>
    <n v="3"/>
    <n v="13"/>
    <n v="16"/>
    <x v="1"/>
    <x v="0"/>
    <x v="0"/>
  </r>
  <r>
    <n v="212"/>
    <d v="2011-01-10T00:00:00"/>
    <x v="0"/>
    <n v="1"/>
    <x v="2"/>
    <b v="0"/>
    <x v="2"/>
    <n v="1"/>
    <n v="0.12"/>
    <n v="0"/>
    <n v="0.28789999999999999"/>
    <n v="0.81"/>
    <n v="0"/>
    <n v="3"/>
    <n v="13"/>
    <n v="16"/>
    <x v="1"/>
    <x v="0"/>
    <x v="0"/>
  </r>
  <r>
    <n v="213"/>
    <d v="2011-01-10T00:00:00"/>
    <x v="0"/>
    <n v="1"/>
    <x v="3"/>
    <b v="0"/>
    <x v="2"/>
    <n v="1"/>
    <n v="0.12"/>
    <n v="0"/>
    <n v="0.28789999999999999"/>
    <n v="0.81"/>
    <n v="0"/>
    <n v="3"/>
    <n v="13"/>
    <n v="16"/>
    <x v="1"/>
    <x v="0"/>
    <x v="0"/>
  </r>
  <r>
    <n v="214"/>
    <d v="2011-01-10T00:00:00"/>
    <x v="0"/>
    <n v="1"/>
    <x v="4"/>
    <b v="0"/>
    <x v="2"/>
    <n v="1"/>
    <n v="0.1"/>
    <n v="0"/>
    <n v="0.28789999999999999"/>
    <n v="0.81"/>
    <n v="0"/>
    <n v="3"/>
    <n v="13"/>
    <n v="16"/>
    <x v="1"/>
    <x v="0"/>
    <x v="0"/>
  </r>
  <r>
    <n v="215"/>
    <d v="2011-01-10T00:00:00"/>
    <x v="0"/>
    <n v="1"/>
    <x v="5"/>
    <b v="0"/>
    <x v="2"/>
    <n v="1"/>
    <n v="0.1"/>
    <n v="0"/>
    <n v="0.28789999999999999"/>
    <n v="0.81"/>
    <n v="0"/>
    <n v="3"/>
    <n v="13"/>
    <n v="16"/>
    <x v="1"/>
    <x v="0"/>
    <x v="0"/>
  </r>
  <r>
    <n v="216"/>
    <d v="2011-01-10T00:00:00"/>
    <x v="0"/>
    <n v="1"/>
    <x v="6"/>
    <b v="0"/>
    <x v="2"/>
    <n v="1"/>
    <n v="0.12"/>
    <n v="0"/>
    <n v="0.28789999999999999"/>
    <n v="0.81"/>
    <n v="0"/>
    <n v="3"/>
    <n v="13"/>
    <n v="16"/>
    <x v="1"/>
    <x v="0"/>
    <x v="0"/>
  </r>
  <r>
    <n v="217"/>
    <d v="2011-01-10T00:00:00"/>
    <x v="0"/>
    <n v="1"/>
    <x v="7"/>
    <b v="0"/>
    <x v="2"/>
    <n v="1"/>
    <n v="0.12"/>
    <n v="0"/>
    <n v="0.28789999999999999"/>
    <n v="0.81"/>
    <n v="0"/>
    <n v="3"/>
    <n v="13"/>
    <n v="16"/>
    <x v="1"/>
    <x v="0"/>
    <x v="0"/>
  </r>
  <r>
    <n v="218"/>
    <d v="2011-01-10T00:00:00"/>
    <x v="0"/>
    <n v="1"/>
    <x v="8"/>
    <b v="0"/>
    <x v="2"/>
    <n v="2"/>
    <n v="0.12"/>
    <n v="0"/>
    <n v="0.28789999999999999"/>
    <n v="0.81"/>
    <n v="0"/>
    <n v="3"/>
    <n v="13"/>
    <n v="16"/>
    <x v="1"/>
    <x v="0"/>
    <x v="1"/>
  </r>
  <r>
    <n v="219"/>
    <d v="2011-01-10T00:00:00"/>
    <x v="0"/>
    <n v="1"/>
    <x v="9"/>
    <b v="0"/>
    <x v="2"/>
    <n v="2"/>
    <n v="0.14000000000000001"/>
    <n v="0"/>
    <n v="0.28789999999999999"/>
    <n v="0.81"/>
    <n v="0"/>
    <n v="3"/>
    <n v="13"/>
    <n v="16"/>
    <x v="1"/>
    <x v="0"/>
    <x v="1"/>
  </r>
  <r>
    <n v="220"/>
    <d v="2011-01-10T00:00:00"/>
    <x v="0"/>
    <n v="1"/>
    <x v="10"/>
    <b v="0"/>
    <x v="2"/>
    <n v="2"/>
    <n v="0.14000000000000001"/>
    <n v="0"/>
    <n v="0.28789999999999999"/>
    <n v="0.81"/>
    <n v="0"/>
    <n v="3"/>
    <n v="13"/>
    <n v="16"/>
    <x v="1"/>
    <x v="0"/>
    <x v="1"/>
  </r>
  <r>
    <n v="221"/>
    <d v="2011-01-10T00:00:00"/>
    <x v="0"/>
    <n v="1"/>
    <x v="11"/>
    <b v="0"/>
    <x v="2"/>
    <n v="2"/>
    <n v="0.16"/>
    <n v="0"/>
    <n v="0.28789999999999999"/>
    <n v="0.81"/>
    <n v="0"/>
    <n v="3"/>
    <n v="13"/>
    <n v="16"/>
    <x v="1"/>
    <x v="0"/>
    <x v="1"/>
  </r>
  <r>
    <n v="222"/>
    <d v="2011-01-10T00:00:00"/>
    <x v="0"/>
    <n v="1"/>
    <x v="12"/>
    <b v="0"/>
    <x v="2"/>
    <n v="2"/>
    <n v="0.2"/>
    <n v="0"/>
    <n v="0.28789999999999999"/>
    <n v="0.81"/>
    <n v="0"/>
    <n v="3"/>
    <n v="13"/>
    <n v="16"/>
    <x v="1"/>
    <x v="1"/>
    <x v="1"/>
  </r>
  <r>
    <n v="223"/>
    <d v="2011-01-10T00:00:00"/>
    <x v="0"/>
    <n v="1"/>
    <x v="13"/>
    <b v="0"/>
    <x v="2"/>
    <n v="2"/>
    <n v="0.2"/>
    <n v="0"/>
    <n v="0.28789999999999999"/>
    <n v="0.81"/>
    <n v="0"/>
    <n v="3"/>
    <n v="13"/>
    <n v="16"/>
    <x v="1"/>
    <x v="1"/>
    <x v="1"/>
  </r>
  <r>
    <n v="224"/>
    <d v="2011-01-10T00:00:00"/>
    <x v="0"/>
    <n v="1"/>
    <x v="14"/>
    <b v="0"/>
    <x v="2"/>
    <n v="2"/>
    <n v="0.2"/>
    <n v="0"/>
    <n v="0.28789999999999999"/>
    <n v="0.81"/>
    <n v="0"/>
    <n v="3"/>
    <n v="13"/>
    <n v="16"/>
    <x v="1"/>
    <x v="1"/>
    <x v="1"/>
  </r>
  <r>
    <n v="225"/>
    <d v="2011-01-10T00:00:00"/>
    <x v="0"/>
    <n v="1"/>
    <x v="15"/>
    <b v="0"/>
    <x v="2"/>
    <n v="2"/>
    <n v="0.2"/>
    <n v="0"/>
    <n v="0.28789999999999999"/>
    <n v="0.81"/>
    <n v="0"/>
    <n v="3"/>
    <n v="13"/>
    <n v="16"/>
    <x v="1"/>
    <x v="1"/>
    <x v="1"/>
  </r>
  <r>
    <n v="226"/>
    <d v="2011-01-10T00:00:00"/>
    <x v="0"/>
    <n v="1"/>
    <x v="16"/>
    <b v="0"/>
    <x v="2"/>
    <n v="1"/>
    <n v="0.2"/>
    <n v="0"/>
    <n v="0.28789999999999999"/>
    <n v="0.81"/>
    <n v="0"/>
    <n v="3"/>
    <n v="13"/>
    <n v="16"/>
    <x v="1"/>
    <x v="2"/>
    <x v="0"/>
  </r>
  <r>
    <n v="227"/>
    <d v="2011-01-10T00:00:00"/>
    <x v="0"/>
    <n v="1"/>
    <x v="17"/>
    <b v="0"/>
    <x v="2"/>
    <n v="1"/>
    <n v="0.2"/>
    <n v="0"/>
    <n v="0.28789999999999999"/>
    <n v="0.81"/>
    <n v="0"/>
    <n v="3"/>
    <n v="13"/>
    <n v="16"/>
    <x v="1"/>
    <x v="2"/>
    <x v="0"/>
  </r>
  <r>
    <n v="228"/>
    <d v="2011-01-10T00:00:00"/>
    <x v="0"/>
    <n v="1"/>
    <x v="18"/>
    <b v="0"/>
    <x v="2"/>
    <n v="1"/>
    <n v="0.2"/>
    <n v="0"/>
    <n v="0.28789999999999999"/>
    <n v="0.81"/>
    <n v="0"/>
    <n v="3"/>
    <n v="13"/>
    <n v="16"/>
    <x v="1"/>
    <x v="2"/>
    <x v="0"/>
  </r>
  <r>
    <n v="229"/>
    <d v="2011-01-10T00:00:00"/>
    <x v="0"/>
    <n v="1"/>
    <x v="19"/>
    <b v="0"/>
    <x v="2"/>
    <n v="1"/>
    <n v="0.16"/>
    <n v="0"/>
    <n v="0.28789999999999999"/>
    <n v="0.81"/>
    <n v="0"/>
    <n v="3"/>
    <n v="13"/>
    <n v="16"/>
    <x v="1"/>
    <x v="2"/>
    <x v="0"/>
  </r>
  <r>
    <n v="230"/>
    <d v="2011-01-10T00:00:00"/>
    <x v="0"/>
    <n v="1"/>
    <x v="20"/>
    <b v="0"/>
    <x v="2"/>
    <n v="1"/>
    <n v="0.16"/>
    <n v="0"/>
    <n v="0.28789999999999999"/>
    <n v="0.81"/>
    <n v="0"/>
    <n v="3"/>
    <n v="13"/>
    <n v="16"/>
    <x v="1"/>
    <x v="2"/>
    <x v="0"/>
  </r>
  <r>
    <n v="231"/>
    <d v="2011-01-10T00:00:00"/>
    <x v="0"/>
    <n v="1"/>
    <x v="21"/>
    <b v="0"/>
    <x v="2"/>
    <n v="1"/>
    <n v="0.14000000000000001"/>
    <n v="0"/>
    <n v="0.28789999999999999"/>
    <n v="0.81"/>
    <n v="0"/>
    <n v="3"/>
    <n v="13"/>
    <n v="16"/>
    <x v="1"/>
    <x v="3"/>
    <x v="0"/>
  </r>
  <r>
    <n v="232"/>
    <d v="2011-01-10T00:00:00"/>
    <x v="0"/>
    <n v="1"/>
    <x v="22"/>
    <b v="0"/>
    <x v="2"/>
    <n v="1"/>
    <n v="0.14000000000000001"/>
    <n v="0"/>
    <n v="0.28789999999999999"/>
    <n v="0.81"/>
    <n v="0"/>
    <n v="3"/>
    <n v="13"/>
    <n v="16"/>
    <x v="1"/>
    <x v="3"/>
    <x v="0"/>
  </r>
  <r>
    <n v="233"/>
    <d v="2011-01-10T00:00:00"/>
    <x v="0"/>
    <n v="1"/>
    <x v="23"/>
    <b v="0"/>
    <x v="2"/>
    <n v="1"/>
    <n v="0.14000000000000001"/>
    <n v="0"/>
    <n v="0.28789999999999999"/>
    <n v="0.81"/>
    <n v="0"/>
    <n v="3"/>
    <n v="13"/>
    <n v="16"/>
    <x v="1"/>
    <x v="3"/>
    <x v="0"/>
  </r>
  <r>
    <n v="234"/>
    <d v="2011-01-11T00:00:00"/>
    <x v="0"/>
    <n v="1"/>
    <x v="0"/>
    <b v="0"/>
    <x v="3"/>
    <n v="1"/>
    <n v="0.14000000000000001"/>
    <n v="0"/>
    <n v="0.28789999999999999"/>
    <n v="0.81"/>
    <n v="0"/>
    <n v="3"/>
    <n v="13"/>
    <n v="16"/>
    <x v="1"/>
    <x v="0"/>
    <x v="0"/>
  </r>
  <r>
    <n v="235"/>
    <d v="2011-01-11T00:00:00"/>
    <x v="0"/>
    <n v="1"/>
    <x v="1"/>
    <b v="0"/>
    <x v="3"/>
    <n v="1"/>
    <n v="0.14000000000000001"/>
    <n v="0"/>
    <n v="0.28789999999999999"/>
    <n v="0.81"/>
    <n v="0"/>
    <n v="3"/>
    <n v="13"/>
    <n v="16"/>
    <x v="1"/>
    <x v="0"/>
    <x v="0"/>
  </r>
  <r>
    <n v="236"/>
    <d v="2011-01-11T00:00:00"/>
    <x v="0"/>
    <n v="1"/>
    <x v="2"/>
    <b v="0"/>
    <x v="3"/>
    <n v="2"/>
    <n v="0.16"/>
    <n v="0"/>
    <n v="0.28789999999999999"/>
    <n v="0.81"/>
    <n v="0"/>
    <n v="3"/>
    <n v="13"/>
    <n v="16"/>
    <x v="1"/>
    <x v="0"/>
    <x v="1"/>
  </r>
  <r>
    <n v="237"/>
    <d v="2011-01-11T00:00:00"/>
    <x v="0"/>
    <n v="1"/>
    <x v="5"/>
    <b v="0"/>
    <x v="3"/>
    <n v="2"/>
    <n v="0.16"/>
    <n v="0"/>
    <n v="0.28789999999999999"/>
    <n v="0.81"/>
    <n v="0"/>
    <n v="3"/>
    <n v="13"/>
    <n v="16"/>
    <x v="1"/>
    <x v="0"/>
    <x v="1"/>
  </r>
  <r>
    <n v="238"/>
    <d v="2011-01-11T00:00:00"/>
    <x v="0"/>
    <n v="1"/>
    <x v="6"/>
    <b v="0"/>
    <x v="3"/>
    <n v="2"/>
    <n v="0.16"/>
    <n v="0"/>
    <n v="0.28789999999999999"/>
    <n v="0.81"/>
    <n v="0"/>
    <n v="3"/>
    <n v="13"/>
    <n v="16"/>
    <x v="1"/>
    <x v="0"/>
    <x v="1"/>
  </r>
  <r>
    <n v="239"/>
    <d v="2011-01-11T00:00:00"/>
    <x v="0"/>
    <n v="1"/>
    <x v="7"/>
    <b v="0"/>
    <x v="3"/>
    <n v="2"/>
    <n v="0.16"/>
    <n v="0"/>
    <n v="0.28789999999999999"/>
    <n v="0.81"/>
    <n v="0"/>
    <n v="3"/>
    <n v="13"/>
    <n v="16"/>
    <x v="1"/>
    <x v="0"/>
    <x v="1"/>
  </r>
  <r>
    <n v="240"/>
    <d v="2011-01-11T00:00:00"/>
    <x v="0"/>
    <n v="1"/>
    <x v="8"/>
    <b v="0"/>
    <x v="3"/>
    <n v="2"/>
    <n v="0.18"/>
    <n v="0"/>
    <n v="0.28789999999999999"/>
    <n v="0.81"/>
    <n v="0"/>
    <n v="3"/>
    <n v="13"/>
    <n v="16"/>
    <x v="1"/>
    <x v="0"/>
    <x v="1"/>
  </r>
  <r>
    <n v="241"/>
    <d v="2011-01-11T00:00:00"/>
    <x v="0"/>
    <n v="1"/>
    <x v="9"/>
    <b v="0"/>
    <x v="3"/>
    <n v="2"/>
    <n v="0.18"/>
    <n v="0"/>
    <n v="0.28789999999999999"/>
    <n v="0.81"/>
    <n v="0"/>
    <n v="3"/>
    <n v="13"/>
    <n v="16"/>
    <x v="1"/>
    <x v="0"/>
    <x v="1"/>
  </r>
  <r>
    <n v="242"/>
    <d v="2011-01-11T00:00:00"/>
    <x v="0"/>
    <n v="1"/>
    <x v="10"/>
    <b v="0"/>
    <x v="3"/>
    <n v="2"/>
    <n v="0.2"/>
    <n v="0"/>
    <n v="0.28789999999999999"/>
    <n v="0.81"/>
    <n v="0"/>
    <n v="3"/>
    <n v="13"/>
    <n v="16"/>
    <x v="1"/>
    <x v="0"/>
    <x v="1"/>
  </r>
  <r>
    <n v="243"/>
    <d v="2011-01-11T00:00:00"/>
    <x v="0"/>
    <n v="1"/>
    <x v="11"/>
    <b v="0"/>
    <x v="3"/>
    <n v="2"/>
    <n v="0.2"/>
    <n v="0"/>
    <n v="0.28789999999999999"/>
    <n v="0.81"/>
    <n v="0"/>
    <n v="3"/>
    <n v="13"/>
    <n v="16"/>
    <x v="1"/>
    <x v="0"/>
    <x v="1"/>
  </r>
  <r>
    <n v="244"/>
    <d v="2011-01-11T00:00:00"/>
    <x v="0"/>
    <n v="1"/>
    <x v="12"/>
    <b v="0"/>
    <x v="3"/>
    <n v="2"/>
    <n v="0.2"/>
    <n v="0"/>
    <n v="0.28789999999999999"/>
    <n v="0.81"/>
    <n v="0"/>
    <n v="3"/>
    <n v="13"/>
    <n v="16"/>
    <x v="1"/>
    <x v="1"/>
    <x v="1"/>
  </r>
  <r>
    <n v="245"/>
    <d v="2011-01-11T00:00:00"/>
    <x v="0"/>
    <n v="1"/>
    <x v="13"/>
    <b v="0"/>
    <x v="3"/>
    <n v="2"/>
    <n v="0.2"/>
    <n v="0"/>
    <n v="0.28789999999999999"/>
    <n v="0.81"/>
    <n v="0"/>
    <n v="3"/>
    <n v="13"/>
    <n v="16"/>
    <x v="1"/>
    <x v="1"/>
    <x v="1"/>
  </r>
  <r>
    <n v="246"/>
    <d v="2011-01-11T00:00:00"/>
    <x v="0"/>
    <n v="1"/>
    <x v="14"/>
    <b v="0"/>
    <x v="3"/>
    <n v="2"/>
    <n v="0.2"/>
    <n v="0"/>
    <n v="0.28789999999999999"/>
    <n v="0.81"/>
    <n v="0"/>
    <n v="3"/>
    <n v="13"/>
    <n v="16"/>
    <x v="1"/>
    <x v="1"/>
    <x v="1"/>
  </r>
  <r>
    <n v="247"/>
    <d v="2011-01-11T00:00:00"/>
    <x v="0"/>
    <n v="1"/>
    <x v="15"/>
    <b v="0"/>
    <x v="3"/>
    <n v="2"/>
    <n v="0.16"/>
    <n v="0"/>
    <n v="0.28789999999999999"/>
    <n v="0.81"/>
    <n v="0"/>
    <n v="3"/>
    <n v="13"/>
    <n v="16"/>
    <x v="1"/>
    <x v="1"/>
    <x v="1"/>
  </r>
  <r>
    <n v="248"/>
    <d v="2011-01-11T00:00:00"/>
    <x v="0"/>
    <n v="1"/>
    <x v="16"/>
    <b v="0"/>
    <x v="3"/>
    <n v="2"/>
    <n v="0.16"/>
    <n v="0"/>
    <n v="0.28789999999999999"/>
    <n v="0.81"/>
    <n v="0"/>
    <n v="3"/>
    <n v="13"/>
    <n v="16"/>
    <x v="1"/>
    <x v="2"/>
    <x v="1"/>
  </r>
  <r>
    <n v="249"/>
    <d v="2011-01-11T00:00:00"/>
    <x v="0"/>
    <n v="1"/>
    <x v="17"/>
    <b v="0"/>
    <x v="3"/>
    <n v="2"/>
    <n v="0.16"/>
    <n v="0"/>
    <n v="0.28789999999999999"/>
    <n v="0.81"/>
    <n v="0"/>
    <n v="3"/>
    <n v="13"/>
    <n v="16"/>
    <x v="1"/>
    <x v="2"/>
    <x v="1"/>
  </r>
  <r>
    <n v="250"/>
    <d v="2011-01-11T00:00:00"/>
    <x v="0"/>
    <n v="1"/>
    <x v="18"/>
    <b v="0"/>
    <x v="3"/>
    <n v="3"/>
    <n v="0.16"/>
    <n v="0"/>
    <n v="0.28789999999999999"/>
    <n v="0.81"/>
    <n v="0"/>
    <n v="3"/>
    <n v="13"/>
    <n v="16"/>
    <x v="1"/>
    <x v="2"/>
    <x v="2"/>
  </r>
  <r>
    <n v="251"/>
    <d v="2011-01-11T00:00:00"/>
    <x v="0"/>
    <n v="1"/>
    <x v="19"/>
    <b v="0"/>
    <x v="3"/>
    <n v="3"/>
    <n v="0.16"/>
    <n v="0"/>
    <n v="0.28789999999999999"/>
    <n v="0.81"/>
    <n v="0"/>
    <n v="3"/>
    <n v="13"/>
    <n v="16"/>
    <x v="1"/>
    <x v="2"/>
    <x v="2"/>
  </r>
  <r>
    <n v="252"/>
    <d v="2011-01-11T00:00:00"/>
    <x v="0"/>
    <n v="1"/>
    <x v="20"/>
    <b v="0"/>
    <x v="3"/>
    <n v="3"/>
    <n v="0.16"/>
    <n v="0"/>
    <n v="0.28789999999999999"/>
    <n v="0.81"/>
    <n v="0"/>
    <n v="3"/>
    <n v="13"/>
    <n v="16"/>
    <x v="1"/>
    <x v="2"/>
    <x v="2"/>
  </r>
  <r>
    <n v="253"/>
    <d v="2011-01-11T00:00:00"/>
    <x v="0"/>
    <n v="1"/>
    <x v="21"/>
    <b v="0"/>
    <x v="3"/>
    <n v="3"/>
    <n v="0.16"/>
    <n v="0"/>
    <n v="0.28789999999999999"/>
    <n v="0.81"/>
    <n v="0"/>
    <n v="3"/>
    <n v="13"/>
    <n v="16"/>
    <x v="1"/>
    <x v="3"/>
    <x v="2"/>
  </r>
  <r>
    <n v="254"/>
    <d v="2011-01-11T00:00:00"/>
    <x v="0"/>
    <n v="1"/>
    <x v="22"/>
    <b v="0"/>
    <x v="3"/>
    <n v="3"/>
    <n v="0.16"/>
    <n v="0"/>
    <n v="0.28789999999999999"/>
    <n v="0.81"/>
    <n v="0"/>
    <n v="3"/>
    <n v="13"/>
    <n v="16"/>
    <x v="1"/>
    <x v="3"/>
    <x v="2"/>
  </r>
  <r>
    <n v="255"/>
    <d v="2011-01-11T00:00:00"/>
    <x v="0"/>
    <n v="1"/>
    <x v="23"/>
    <b v="0"/>
    <x v="3"/>
    <n v="3"/>
    <n v="0.16"/>
    <n v="0"/>
    <n v="0.28789999999999999"/>
    <n v="0.81"/>
    <n v="0"/>
    <n v="3"/>
    <n v="13"/>
    <n v="16"/>
    <x v="1"/>
    <x v="3"/>
    <x v="2"/>
  </r>
  <r>
    <n v="256"/>
    <d v="2011-01-12T00:00:00"/>
    <x v="0"/>
    <n v="1"/>
    <x v="0"/>
    <b v="0"/>
    <x v="4"/>
    <n v="2"/>
    <n v="0.16"/>
    <n v="0"/>
    <n v="0.28789999999999999"/>
    <n v="0.81"/>
    <n v="0"/>
    <n v="3"/>
    <n v="13"/>
    <n v="16"/>
    <x v="1"/>
    <x v="0"/>
    <x v="1"/>
  </r>
  <r>
    <n v="257"/>
    <d v="2011-01-12T00:00:00"/>
    <x v="0"/>
    <n v="1"/>
    <x v="1"/>
    <b v="0"/>
    <x v="4"/>
    <n v="2"/>
    <n v="0.16"/>
    <n v="0"/>
    <n v="0.28789999999999999"/>
    <n v="0.81"/>
    <n v="0"/>
    <n v="3"/>
    <n v="13"/>
    <n v="16"/>
    <x v="1"/>
    <x v="0"/>
    <x v="1"/>
  </r>
  <r>
    <n v="258"/>
    <d v="2011-01-12T00:00:00"/>
    <x v="0"/>
    <n v="1"/>
    <x v="2"/>
    <b v="0"/>
    <x v="4"/>
    <n v="1"/>
    <n v="0.14000000000000001"/>
    <n v="0"/>
    <n v="0.28789999999999999"/>
    <n v="0.81"/>
    <n v="0"/>
    <n v="3"/>
    <n v="13"/>
    <n v="16"/>
    <x v="1"/>
    <x v="0"/>
    <x v="0"/>
  </r>
  <r>
    <n v="259"/>
    <d v="2011-01-12T00:00:00"/>
    <x v="0"/>
    <n v="1"/>
    <x v="5"/>
    <b v="0"/>
    <x v="4"/>
    <n v="1"/>
    <n v="0.14000000000000001"/>
    <n v="0"/>
    <n v="0.28789999999999999"/>
    <n v="0.81"/>
    <n v="0"/>
    <n v="3"/>
    <n v="13"/>
    <n v="16"/>
    <x v="1"/>
    <x v="0"/>
    <x v="0"/>
  </r>
  <r>
    <n v="260"/>
    <d v="2011-01-12T00:00:00"/>
    <x v="0"/>
    <n v="1"/>
    <x v="6"/>
    <b v="0"/>
    <x v="4"/>
    <n v="1"/>
    <n v="0.12"/>
    <n v="0"/>
    <n v="0.28789999999999999"/>
    <n v="0.81"/>
    <n v="0"/>
    <n v="3"/>
    <n v="13"/>
    <n v="16"/>
    <x v="1"/>
    <x v="0"/>
    <x v="0"/>
  </r>
  <r>
    <n v="261"/>
    <d v="2011-01-12T00:00:00"/>
    <x v="0"/>
    <n v="1"/>
    <x v="7"/>
    <b v="0"/>
    <x v="4"/>
    <n v="1"/>
    <n v="0.14000000000000001"/>
    <n v="0"/>
    <n v="0.28789999999999999"/>
    <n v="0.81"/>
    <n v="0"/>
    <n v="3"/>
    <n v="13"/>
    <n v="16"/>
    <x v="1"/>
    <x v="0"/>
    <x v="0"/>
  </r>
  <r>
    <n v="262"/>
    <d v="2011-01-12T00:00:00"/>
    <x v="0"/>
    <n v="1"/>
    <x v="8"/>
    <b v="0"/>
    <x v="4"/>
    <n v="1"/>
    <n v="0.16"/>
    <n v="0"/>
    <n v="0.28789999999999999"/>
    <n v="0.81"/>
    <n v="0"/>
    <n v="3"/>
    <n v="13"/>
    <n v="16"/>
    <x v="1"/>
    <x v="0"/>
    <x v="0"/>
  </r>
  <r>
    <n v="263"/>
    <d v="2011-01-12T00:00:00"/>
    <x v="0"/>
    <n v="1"/>
    <x v="9"/>
    <b v="0"/>
    <x v="4"/>
    <n v="1"/>
    <n v="0.16"/>
    <n v="0"/>
    <n v="0.28789999999999999"/>
    <n v="0.81"/>
    <n v="0"/>
    <n v="3"/>
    <n v="13"/>
    <n v="16"/>
    <x v="1"/>
    <x v="0"/>
    <x v="0"/>
  </r>
  <r>
    <n v="264"/>
    <d v="2011-01-12T00:00:00"/>
    <x v="0"/>
    <n v="1"/>
    <x v="10"/>
    <b v="0"/>
    <x v="4"/>
    <n v="1"/>
    <n v="0.18"/>
    <n v="0"/>
    <n v="0.28789999999999999"/>
    <n v="0.81"/>
    <n v="0"/>
    <n v="3"/>
    <n v="13"/>
    <n v="16"/>
    <x v="1"/>
    <x v="0"/>
    <x v="0"/>
  </r>
  <r>
    <n v="265"/>
    <d v="2011-01-12T00:00:00"/>
    <x v="0"/>
    <n v="1"/>
    <x v="11"/>
    <b v="0"/>
    <x v="4"/>
    <n v="1"/>
    <n v="0.2"/>
    <n v="0"/>
    <n v="0.28789999999999999"/>
    <n v="0.81"/>
    <n v="0"/>
    <n v="3"/>
    <n v="13"/>
    <n v="16"/>
    <x v="1"/>
    <x v="0"/>
    <x v="0"/>
  </r>
  <r>
    <n v="266"/>
    <d v="2011-01-12T00:00:00"/>
    <x v="0"/>
    <n v="1"/>
    <x v="12"/>
    <b v="0"/>
    <x v="4"/>
    <n v="1"/>
    <n v="0.2"/>
    <n v="0"/>
    <n v="0.28789999999999999"/>
    <n v="0.81"/>
    <n v="0"/>
    <n v="3"/>
    <n v="13"/>
    <n v="16"/>
    <x v="1"/>
    <x v="1"/>
    <x v="0"/>
  </r>
  <r>
    <n v="267"/>
    <d v="2011-01-12T00:00:00"/>
    <x v="0"/>
    <n v="1"/>
    <x v="13"/>
    <b v="0"/>
    <x v="4"/>
    <n v="1"/>
    <n v="0.22"/>
    <n v="0"/>
    <n v="0.28789999999999999"/>
    <n v="0.81"/>
    <n v="0"/>
    <n v="3"/>
    <n v="13"/>
    <n v="16"/>
    <x v="1"/>
    <x v="1"/>
    <x v="0"/>
  </r>
  <r>
    <n v="268"/>
    <d v="2011-01-12T00:00:00"/>
    <x v="0"/>
    <n v="1"/>
    <x v="14"/>
    <b v="0"/>
    <x v="4"/>
    <n v="1"/>
    <n v="0.2"/>
    <n v="0"/>
    <n v="0.28789999999999999"/>
    <n v="0.81"/>
    <n v="0"/>
    <n v="3"/>
    <n v="13"/>
    <n v="16"/>
    <x v="1"/>
    <x v="1"/>
    <x v="0"/>
  </r>
  <r>
    <n v="269"/>
    <d v="2011-01-12T00:00:00"/>
    <x v="0"/>
    <n v="1"/>
    <x v="15"/>
    <b v="0"/>
    <x v="4"/>
    <n v="1"/>
    <n v="0.2"/>
    <n v="0"/>
    <n v="0.28789999999999999"/>
    <n v="0.81"/>
    <n v="0"/>
    <n v="3"/>
    <n v="13"/>
    <n v="16"/>
    <x v="1"/>
    <x v="1"/>
    <x v="0"/>
  </r>
  <r>
    <n v="270"/>
    <d v="2011-01-12T00:00:00"/>
    <x v="0"/>
    <n v="1"/>
    <x v="16"/>
    <b v="0"/>
    <x v="4"/>
    <n v="1"/>
    <n v="0.22"/>
    <n v="0"/>
    <n v="0.28789999999999999"/>
    <n v="0.81"/>
    <n v="0"/>
    <n v="3"/>
    <n v="13"/>
    <n v="16"/>
    <x v="1"/>
    <x v="2"/>
    <x v="0"/>
  </r>
  <r>
    <n v="271"/>
    <d v="2011-01-12T00:00:00"/>
    <x v="0"/>
    <n v="1"/>
    <x v="17"/>
    <b v="0"/>
    <x v="4"/>
    <n v="1"/>
    <n v="0.2"/>
    <n v="0"/>
    <n v="0.28789999999999999"/>
    <n v="0.81"/>
    <n v="0"/>
    <n v="3"/>
    <n v="13"/>
    <n v="16"/>
    <x v="1"/>
    <x v="2"/>
    <x v="0"/>
  </r>
  <r>
    <n v="272"/>
    <d v="2011-01-12T00:00:00"/>
    <x v="0"/>
    <n v="1"/>
    <x v="18"/>
    <b v="0"/>
    <x v="4"/>
    <n v="1"/>
    <n v="0.2"/>
    <n v="0"/>
    <n v="0.28789999999999999"/>
    <n v="0.81"/>
    <n v="0"/>
    <n v="3"/>
    <n v="13"/>
    <n v="16"/>
    <x v="1"/>
    <x v="2"/>
    <x v="0"/>
  </r>
  <r>
    <n v="273"/>
    <d v="2011-01-12T00:00:00"/>
    <x v="0"/>
    <n v="1"/>
    <x v="19"/>
    <b v="0"/>
    <x v="4"/>
    <n v="1"/>
    <n v="0.18"/>
    <n v="0"/>
    <n v="0.28789999999999999"/>
    <n v="0.81"/>
    <n v="0"/>
    <n v="3"/>
    <n v="13"/>
    <n v="16"/>
    <x v="1"/>
    <x v="2"/>
    <x v="0"/>
  </r>
  <r>
    <n v="274"/>
    <d v="2011-01-12T00:00:00"/>
    <x v="0"/>
    <n v="1"/>
    <x v="20"/>
    <b v="0"/>
    <x v="4"/>
    <n v="1"/>
    <n v="0.16"/>
    <n v="0"/>
    <n v="0.28789999999999999"/>
    <n v="0.81"/>
    <n v="0"/>
    <n v="3"/>
    <n v="13"/>
    <n v="16"/>
    <x v="1"/>
    <x v="2"/>
    <x v="0"/>
  </r>
  <r>
    <n v="275"/>
    <d v="2011-01-12T00:00:00"/>
    <x v="0"/>
    <n v="1"/>
    <x v="21"/>
    <b v="0"/>
    <x v="4"/>
    <n v="1"/>
    <n v="0.16"/>
    <n v="0"/>
    <n v="0.28789999999999999"/>
    <n v="0.81"/>
    <n v="0"/>
    <n v="3"/>
    <n v="13"/>
    <n v="16"/>
    <x v="1"/>
    <x v="3"/>
    <x v="0"/>
  </r>
  <r>
    <n v="276"/>
    <d v="2011-01-12T00:00:00"/>
    <x v="0"/>
    <n v="1"/>
    <x v="22"/>
    <b v="0"/>
    <x v="4"/>
    <n v="1"/>
    <n v="0.16"/>
    <n v="0"/>
    <n v="0.28789999999999999"/>
    <n v="0.81"/>
    <n v="0"/>
    <n v="3"/>
    <n v="13"/>
    <n v="16"/>
    <x v="1"/>
    <x v="3"/>
    <x v="0"/>
  </r>
  <r>
    <n v="277"/>
    <d v="2011-01-12T00:00:00"/>
    <x v="0"/>
    <n v="1"/>
    <x v="23"/>
    <b v="0"/>
    <x v="4"/>
    <n v="1"/>
    <n v="0.14000000000000001"/>
    <n v="0"/>
    <n v="0.28789999999999999"/>
    <n v="0.81"/>
    <n v="0"/>
    <n v="3"/>
    <n v="13"/>
    <n v="16"/>
    <x v="1"/>
    <x v="3"/>
    <x v="0"/>
  </r>
  <r>
    <n v="278"/>
    <d v="2011-01-13T00:00:00"/>
    <x v="0"/>
    <n v="1"/>
    <x v="0"/>
    <b v="0"/>
    <x v="5"/>
    <n v="1"/>
    <n v="0.14000000000000001"/>
    <n v="0"/>
    <n v="0.28789999999999999"/>
    <n v="0.81"/>
    <n v="0"/>
    <n v="3"/>
    <n v="13"/>
    <n v="16"/>
    <x v="1"/>
    <x v="0"/>
    <x v="0"/>
  </r>
  <r>
    <n v="279"/>
    <d v="2011-01-13T00:00:00"/>
    <x v="0"/>
    <n v="1"/>
    <x v="1"/>
    <b v="0"/>
    <x v="5"/>
    <n v="1"/>
    <n v="0.14000000000000001"/>
    <n v="0"/>
    <n v="0.28789999999999999"/>
    <n v="0.81"/>
    <n v="0"/>
    <n v="3"/>
    <n v="13"/>
    <n v="16"/>
    <x v="1"/>
    <x v="0"/>
    <x v="0"/>
  </r>
  <r>
    <n v="280"/>
    <d v="2011-01-13T00:00:00"/>
    <x v="0"/>
    <n v="1"/>
    <x v="2"/>
    <b v="0"/>
    <x v="5"/>
    <n v="1"/>
    <n v="0.14000000000000001"/>
    <n v="0"/>
    <n v="0.28789999999999999"/>
    <n v="0.81"/>
    <n v="0"/>
    <n v="3"/>
    <n v="13"/>
    <n v="16"/>
    <x v="1"/>
    <x v="0"/>
    <x v="0"/>
  </r>
  <r>
    <n v="281"/>
    <d v="2011-01-13T00:00:00"/>
    <x v="0"/>
    <n v="1"/>
    <x v="3"/>
    <b v="0"/>
    <x v="5"/>
    <n v="1"/>
    <n v="0.14000000000000001"/>
    <n v="0"/>
    <n v="0.28789999999999999"/>
    <n v="0.81"/>
    <n v="0"/>
    <n v="3"/>
    <n v="13"/>
    <n v="16"/>
    <x v="1"/>
    <x v="0"/>
    <x v="0"/>
  </r>
  <r>
    <n v="282"/>
    <d v="2011-01-13T00:00:00"/>
    <x v="0"/>
    <n v="1"/>
    <x v="4"/>
    <b v="0"/>
    <x v="5"/>
    <n v="1"/>
    <n v="0.14000000000000001"/>
    <n v="0"/>
    <n v="0.28789999999999999"/>
    <n v="0.81"/>
    <n v="0"/>
    <n v="3"/>
    <n v="13"/>
    <n v="16"/>
    <x v="1"/>
    <x v="0"/>
    <x v="0"/>
  </r>
  <r>
    <n v="283"/>
    <d v="2011-01-13T00:00:00"/>
    <x v="0"/>
    <n v="1"/>
    <x v="5"/>
    <b v="0"/>
    <x v="5"/>
    <n v="1"/>
    <n v="0.14000000000000001"/>
    <n v="0"/>
    <n v="0.28789999999999999"/>
    <n v="0.81"/>
    <n v="0"/>
    <n v="3"/>
    <n v="13"/>
    <n v="16"/>
    <x v="1"/>
    <x v="0"/>
    <x v="0"/>
  </r>
  <r>
    <n v="284"/>
    <d v="2011-01-13T00:00:00"/>
    <x v="0"/>
    <n v="1"/>
    <x v="6"/>
    <b v="0"/>
    <x v="5"/>
    <n v="1"/>
    <n v="0.12"/>
    <n v="0"/>
    <n v="0.28789999999999999"/>
    <n v="0.81"/>
    <n v="0"/>
    <n v="3"/>
    <n v="13"/>
    <n v="16"/>
    <x v="1"/>
    <x v="0"/>
    <x v="0"/>
  </r>
  <r>
    <n v="285"/>
    <d v="2011-01-13T00:00:00"/>
    <x v="0"/>
    <n v="1"/>
    <x v="7"/>
    <b v="0"/>
    <x v="5"/>
    <n v="1"/>
    <n v="0.12"/>
    <n v="0"/>
    <n v="0.28789999999999999"/>
    <n v="0.81"/>
    <n v="0"/>
    <n v="3"/>
    <n v="13"/>
    <n v="16"/>
    <x v="1"/>
    <x v="0"/>
    <x v="0"/>
  </r>
  <r>
    <n v="286"/>
    <d v="2011-01-13T00:00:00"/>
    <x v="0"/>
    <n v="1"/>
    <x v="8"/>
    <b v="0"/>
    <x v="5"/>
    <n v="1"/>
    <n v="0.14000000000000001"/>
    <n v="0"/>
    <n v="0.28789999999999999"/>
    <n v="0.81"/>
    <n v="0"/>
    <n v="3"/>
    <n v="13"/>
    <n v="16"/>
    <x v="1"/>
    <x v="0"/>
    <x v="0"/>
  </r>
  <r>
    <n v="287"/>
    <d v="2011-01-13T00:00:00"/>
    <x v="0"/>
    <n v="1"/>
    <x v="9"/>
    <b v="0"/>
    <x v="5"/>
    <n v="1"/>
    <n v="0.14000000000000001"/>
    <n v="0"/>
    <n v="0.28789999999999999"/>
    <n v="0.81"/>
    <n v="0"/>
    <n v="3"/>
    <n v="13"/>
    <n v="16"/>
    <x v="1"/>
    <x v="0"/>
    <x v="0"/>
  </r>
  <r>
    <n v="288"/>
    <d v="2011-01-13T00:00:00"/>
    <x v="0"/>
    <n v="1"/>
    <x v="10"/>
    <b v="0"/>
    <x v="5"/>
    <n v="2"/>
    <n v="0.16"/>
    <n v="0"/>
    <n v="0.28789999999999999"/>
    <n v="0.81"/>
    <n v="0"/>
    <n v="3"/>
    <n v="13"/>
    <n v="16"/>
    <x v="1"/>
    <x v="0"/>
    <x v="1"/>
  </r>
  <r>
    <n v="289"/>
    <d v="2011-01-13T00:00:00"/>
    <x v="0"/>
    <n v="1"/>
    <x v="11"/>
    <b v="0"/>
    <x v="5"/>
    <n v="2"/>
    <n v="0.2"/>
    <n v="0"/>
    <n v="0.28789999999999999"/>
    <n v="0.81"/>
    <n v="0"/>
    <n v="3"/>
    <n v="13"/>
    <n v="16"/>
    <x v="1"/>
    <x v="0"/>
    <x v="1"/>
  </r>
  <r>
    <n v="290"/>
    <d v="2011-01-13T00:00:00"/>
    <x v="0"/>
    <n v="1"/>
    <x v="12"/>
    <b v="0"/>
    <x v="5"/>
    <n v="1"/>
    <n v="0.2"/>
    <n v="0"/>
    <n v="0.28789999999999999"/>
    <n v="0.81"/>
    <n v="0"/>
    <n v="3"/>
    <n v="13"/>
    <n v="16"/>
    <x v="1"/>
    <x v="1"/>
    <x v="0"/>
  </r>
  <r>
    <n v="291"/>
    <d v="2011-01-13T00:00:00"/>
    <x v="0"/>
    <n v="1"/>
    <x v="13"/>
    <b v="0"/>
    <x v="5"/>
    <n v="1"/>
    <n v="0.22"/>
    <n v="0"/>
    <n v="0.28789999999999999"/>
    <n v="0.81"/>
    <n v="0"/>
    <n v="3"/>
    <n v="13"/>
    <n v="16"/>
    <x v="1"/>
    <x v="1"/>
    <x v="0"/>
  </r>
  <r>
    <n v="292"/>
    <d v="2011-01-13T00:00:00"/>
    <x v="0"/>
    <n v="1"/>
    <x v="14"/>
    <b v="0"/>
    <x v="5"/>
    <n v="1"/>
    <n v="0.22"/>
    <n v="0"/>
    <n v="0.28789999999999999"/>
    <n v="0.81"/>
    <n v="0"/>
    <n v="3"/>
    <n v="13"/>
    <n v="16"/>
    <x v="1"/>
    <x v="1"/>
    <x v="0"/>
  </r>
  <r>
    <n v="293"/>
    <d v="2011-01-13T00:00:00"/>
    <x v="0"/>
    <n v="1"/>
    <x v="15"/>
    <b v="0"/>
    <x v="5"/>
    <n v="1"/>
    <n v="0.24"/>
    <n v="0"/>
    <n v="0.28789999999999999"/>
    <n v="0.81"/>
    <n v="0"/>
    <n v="3"/>
    <n v="13"/>
    <n v="16"/>
    <x v="1"/>
    <x v="1"/>
    <x v="0"/>
  </r>
  <r>
    <n v="294"/>
    <d v="2011-01-13T00:00:00"/>
    <x v="0"/>
    <n v="1"/>
    <x v="16"/>
    <b v="0"/>
    <x v="5"/>
    <n v="1"/>
    <n v="0.24"/>
    <n v="0"/>
    <n v="0.28789999999999999"/>
    <n v="0.81"/>
    <n v="0"/>
    <n v="3"/>
    <n v="13"/>
    <n v="16"/>
    <x v="1"/>
    <x v="2"/>
    <x v="0"/>
  </r>
  <r>
    <n v="295"/>
    <d v="2011-01-13T00:00:00"/>
    <x v="0"/>
    <n v="1"/>
    <x v="17"/>
    <b v="0"/>
    <x v="5"/>
    <n v="1"/>
    <n v="0.2"/>
    <n v="0"/>
    <n v="0.28789999999999999"/>
    <n v="0.81"/>
    <n v="0"/>
    <n v="3"/>
    <n v="13"/>
    <n v="16"/>
    <x v="1"/>
    <x v="2"/>
    <x v="0"/>
  </r>
  <r>
    <n v="296"/>
    <d v="2011-01-13T00:00:00"/>
    <x v="0"/>
    <n v="1"/>
    <x v="18"/>
    <b v="0"/>
    <x v="5"/>
    <n v="1"/>
    <n v="0.2"/>
    <n v="0"/>
    <n v="0.28789999999999999"/>
    <n v="0.81"/>
    <n v="0"/>
    <n v="3"/>
    <n v="13"/>
    <n v="16"/>
    <x v="1"/>
    <x v="2"/>
    <x v="0"/>
  </r>
  <r>
    <n v="297"/>
    <d v="2011-01-13T00:00:00"/>
    <x v="0"/>
    <n v="1"/>
    <x v="19"/>
    <b v="0"/>
    <x v="5"/>
    <n v="1"/>
    <n v="0.16"/>
    <n v="0"/>
    <n v="0.28789999999999999"/>
    <n v="0.81"/>
    <n v="0"/>
    <n v="3"/>
    <n v="13"/>
    <n v="16"/>
    <x v="1"/>
    <x v="2"/>
    <x v="0"/>
  </r>
  <r>
    <n v="298"/>
    <d v="2011-01-13T00:00:00"/>
    <x v="0"/>
    <n v="1"/>
    <x v="20"/>
    <b v="0"/>
    <x v="5"/>
    <n v="1"/>
    <n v="0.16"/>
    <n v="0"/>
    <n v="0.28789999999999999"/>
    <n v="0.81"/>
    <n v="0"/>
    <n v="3"/>
    <n v="13"/>
    <n v="16"/>
    <x v="1"/>
    <x v="2"/>
    <x v="0"/>
  </r>
  <r>
    <n v="299"/>
    <d v="2011-01-13T00:00:00"/>
    <x v="0"/>
    <n v="1"/>
    <x v="21"/>
    <b v="0"/>
    <x v="5"/>
    <n v="1"/>
    <n v="0.14000000000000001"/>
    <n v="0"/>
    <n v="0.28789999999999999"/>
    <n v="0.81"/>
    <n v="0"/>
    <n v="3"/>
    <n v="13"/>
    <n v="16"/>
    <x v="1"/>
    <x v="3"/>
    <x v="0"/>
  </r>
  <r>
    <n v="300"/>
    <d v="2011-01-13T00:00:00"/>
    <x v="0"/>
    <n v="1"/>
    <x v="22"/>
    <b v="0"/>
    <x v="5"/>
    <n v="1"/>
    <n v="0.14000000000000001"/>
    <n v="0"/>
    <n v="0.28789999999999999"/>
    <n v="0.81"/>
    <n v="0"/>
    <n v="3"/>
    <n v="13"/>
    <n v="16"/>
    <x v="1"/>
    <x v="3"/>
    <x v="0"/>
  </r>
  <r>
    <n v="301"/>
    <d v="2011-01-13T00:00:00"/>
    <x v="0"/>
    <n v="1"/>
    <x v="23"/>
    <b v="0"/>
    <x v="5"/>
    <n v="1"/>
    <n v="0.12"/>
    <n v="0"/>
    <n v="0.28789999999999999"/>
    <n v="0.81"/>
    <n v="0"/>
    <n v="3"/>
    <n v="13"/>
    <n v="16"/>
    <x v="1"/>
    <x v="3"/>
    <x v="0"/>
  </r>
  <r>
    <n v="302"/>
    <d v="2011-01-14T00:00:00"/>
    <x v="0"/>
    <n v="1"/>
    <x v="0"/>
    <b v="0"/>
    <x v="6"/>
    <n v="1"/>
    <n v="0.12"/>
    <n v="0"/>
    <n v="0.28789999999999999"/>
    <n v="0.81"/>
    <n v="0"/>
    <n v="3"/>
    <n v="13"/>
    <n v="16"/>
    <x v="0"/>
    <x v="0"/>
    <x v="0"/>
  </r>
  <r>
    <n v="303"/>
    <d v="2011-01-14T00:00:00"/>
    <x v="0"/>
    <n v="1"/>
    <x v="1"/>
    <b v="0"/>
    <x v="6"/>
    <n v="1"/>
    <n v="0.1"/>
    <n v="0"/>
    <n v="0.28789999999999999"/>
    <n v="0.81"/>
    <n v="0"/>
    <n v="3"/>
    <n v="13"/>
    <n v="16"/>
    <x v="0"/>
    <x v="0"/>
    <x v="0"/>
  </r>
  <r>
    <n v="304"/>
    <d v="2011-01-14T00:00:00"/>
    <x v="0"/>
    <n v="1"/>
    <x v="2"/>
    <b v="0"/>
    <x v="6"/>
    <n v="1"/>
    <n v="0.1"/>
    <n v="0"/>
    <n v="0.28789999999999999"/>
    <n v="0.81"/>
    <n v="0"/>
    <n v="3"/>
    <n v="13"/>
    <n v="16"/>
    <x v="0"/>
    <x v="0"/>
    <x v="0"/>
  </r>
  <r>
    <n v="305"/>
    <d v="2011-01-14T00:00:00"/>
    <x v="0"/>
    <n v="1"/>
    <x v="3"/>
    <b v="0"/>
    <x v="6"/>
    <n v="1"/>
    <n v="0.1"/>
    <n v="0"/>
    <n v="0.28789999999999999"/>
    <n v="0.81"/>
    <n v="0"/>
    <n v="3"/>
    <n v="13"/>
    <n v="16"/>
    <x v="0"/>
    <x v="0"/>
    <x v="0"/>
  </r>
  <r>
    <n v="306"/>
    <d v="2011-01-14T00:00:00"/>
    <x v="0"/>
    <n v="1"/>
    <x v="5"/>
    <b v="0"/>
    <x v="6"/>
    <n v="1"/>
    <n v="0.1"/>
    <n v="0"/>
    <n v="0.28789999999999999"/>
    <n v="0.81"/>
    <n v="0"/>
    <n v="3"/>
    <n v="13"/>
    <n v="16"/>
    <x v="0"/>
    <x v="0"/>
    <x v="0"/>
  </r>
  <r>
    <n v="307"/>
    <d v="2011-01-14T00:00:00"/>
    <x v="0"/>
    <n v="1"/>
    <x v="6"/>
    <b v="0"/>
    <x v="6"/>
    <n v="1"/>
    <n v="0.1"/>
    <n v="0"/>
    <n v="0.28789999999999999"/>
    <n v="0.81"/>
    <n v="0"/>
    <n v="3"/>
    <n v="13"/>
    <n v="16"/>
    <x v="0"/>
    <x v="0"/>
    <x v="0"/>
  </r>
  <r>
    <n v="308"/>
    <d v="2011-01-14T00:00:00"/>
    <x v="0"/>
    <n v="1"/>
    <x v="7"/>
    <b v="0"/>
    <x v="6"/>
    <n v="1"/>
    <n v="0.1"/>
    <n v="0"/>
    <n v="0.28789999999999999"/>
    <n v="0.81"/>
    <n v="0"/>
    <n v="3"/>
    <n v="13"/>
    <n v="16"/>
    <x v="0"/>
    <x v="0"/>
    <x v="0"/>
  </r>
  <r>
    <n v="309"/>
    <d v="2011-01-14T00:00:00"/>
    <x v="0"/>
    <n v="1"/>
    <x v="8"/>
    <b v="0"/>
    <x v="6"/>
    <n v="1"/>
    <n v="0.12"/>
    <n v="0"/>
    <n v="0.28789999999999999"/>
    <n v="0.81"/>
    <n v="0"/>
    <n v="3"/>
    <n v="13"/>
    <n v="16"/>
    <x v="0"/>
    <x v="0"/>
    <x v="0"/>
  </r>
  <r>
    <n v="310"/>
    <d v="2011-01-14T00:00:00"/>
    <x v="0"/>
    <n v="1"/>
    <x v="9"/>
    <b v="0"/>
    <x v="6"/>
    <n v="1"/>
    <n v="0.14000000000000001"/>
    <n v="0"/>
    <n v="0.28789999999999999"/>
    <n v="0.81"/>
    <n v="0"/>
    <n v="3"/>
    <n v="13"/>
    <n v="16"/>
    <x v="0"/>
    <x v="0"/>
    <x v="0"/>
  </r>
  <r>
    <n v="311"/>
    <d v="2011-01-14T00:00:00"/>
    <x v="0"/>
    <n v="1"/>
    <x v="10"/>
    <b v="0"/>
    <x v="6"/>
    <n v="1"/>
    <n v="0.18"/>
    <n v="0"/>
    <n v="0.28789999999999999"/>
    <n v="0.81"/>
    <n v="0"/>
    <n v="3"/>
    <n v="13"/>
    <n v="16"/>
    <x v="0"/>
    <x v="0"/>
    <x v="0"/>
  </r>
  <r>
    <n v="312"/>
    <d v="2011-01-14T00:00:00"/>
    <x v="0"/>
    <n v="1"/>
    <x v="11"/>
    <b v="0"/>
    <x v="6"/>
    <n v="1"/>
    <n v="0.18"/>
    <n v="0"/>
    <n v="0.28789999999999999"/>
    <n v="0.81"/>
    <n v="0"/>
    <n v="3"/>
    <n v="13"/>
    <n v="16"/>
    <x v="0"/>
    <x v="0"/>
    <x v="0"/>
  </r>
  <r>
    <n v="313"/>
    <d v="2011-01-14T00:00:00"/>
    <x v="0"/>
    <n v="1"/>
    <x v="12"/>
    <b v="0"/>
    <x v="6"/>
    <n v="1"/>
    <n v="0.2"/>
    <n v="0"/>
    <n v="0.28789999999999999"/>
    <n v="0.81"/>
    <n v="0"/>
    <n v="3"/>
    <n v="13"/>
    <n v="16"/>
    <x v="0"/>
    <x v="1"/>
    <x v="0"/>
  </r>
  <r>
    <n v="314"/>
    <d v="2011-01-14T00:00:00"/>
    <x v="0"/>
    <n v="1"/>
    <x v="13"/>
    <b v="0"/>
    <x v="6"/>
    <n v="1"/>
    <n v="0.22"/>
    <n v="0"/>
    <n v="0.28789999999999999"/>
    <n v="0.81"/>
    <n v="0"/>
    <n v="3"/>
    <n v="13"/>
    <n v="16"/>
    <x v="0"/>
    <x v="1"/>
    <x v="0"/>
  </r>
  <r>
    <n v="315"/>
    <d v="2011-01-14T00:00:00"/>
    <x v="0"/>
    <n v="1"/>
    <x v="14"/>
    <b v="0"/>
    <x v="6"/>
    <n v="1"/>
    <n v="0.22"/>
    <n v="0"/>
    <n v="0.28789999999999999"/>
    <n v="0.81"/>
    <n v="0"/>
    <n v="3"/>
    <n v="13"/>
    <n v="16"/>
    <x v="0"/>
    <x v="1"/>
    <x v="0"/>
  </r>
  <r>
    <n v="316"/>
    <d v="2011-01-14T00:00:00"/>
    <x v="0"/>
    <n v="1"/>
    <x v="15"/>
    <b v="0"/>
    <x v="6"/>
    <n v="1"/>
    <n v="0.24"/>
    <n v="0"/>
    <n v="0.28789999999999999"/>
    <n v="0.81"/>
    <n v="0"/>
    <n v="3"/>
    <n v="13"/>
    <n v="16"/>
    <x v="0"/>
    <x v="1"/>
    <x v="0"/>
  </r>
  <r>
    <n v="317"/>
    <d v="2011-01-14T00:00:00"/>
    <x v="0"/>
    <n v="1"/>
    <x v="16"/>
    <b v="0"/>
    <x v="6"/>
    <n v="1"/>
    <n v="0.22"/>
    <n v="0"/>
    <n v="0.28789999999999999"/>
    <n v="0.81"/>
    <n v="0"/>
    <n v="3"/>
    <n v="13"/>
    <n v="16"/>
    <x v="0"/>
    <x v="2"/>
    <x v="0"/>
  </r>
  <r>
    <n v="318"/>
    <d v="2011-01-14T00:00:00"/>
    <x v="0"/>
    <n v="1"/>
    <x v="17"/>
    <b v="0"/>
    <x v="6"/>
    <n v="1"/>
    <n v="0.22"/>
    <n v="0"/>
    <n v="0.28789999999999999"/>
    <n v="0.81"/>
    <n v="0"/>
    <n v="3"/>
    <n v="13"/>
    <n v="16"/>
    <x v="0"/>
    <x v="2"/>
    <x v="0"/>
  </r>
  <r>
    <n v="319"/>
    <d v="2011-01-14T00:00:00"/>
    <x v="0"/>
    <n v="1"/>
    <x v="18"/>
    <b v="0"/>
    <x v="6"/>
    <n v="1"/>
    <n v="0.2"/>
    <n v="0"/>
    <n v="0.28789999999999999"/>
    <n v="0.81"/>
    <n v="0"/>
    <n v="3"/>
    <n v="13"/>
    <n v="16"/>
    <x v="0"/>
    <x v="2"/>
    <x v="0"/>
  </r>
  <r>
    <n v="320"/>
    <d v="2011-01-14T00:00:00"/>
    <x v="0"/>
    <n v="1"/>
    <x v="19"/>
    <b v="0"/>
    <x v="6"/>
    <n v="1"/>
    <n v="0.16"/>
    <n v="0"/>
    <n v="0.28789999999999999"/>
    <n v="0.81"/>
    <n v="0"/>
    <n v="3"/>
    <n v="13"/>
    <n v="16"/>
    <x v="0"/>
    <x v="2"/>
    <x v="0"/>
  </r>
  <r>
    <n v="321"/>
    <d v="2011-01-14T00:00:00"/>
    <x v="0"/>
    <n v="1"/>
    <x v="20"/>
    <b v="0"/>
    <x v="6"/>
    <n v="1"/>
    <n v="0.18"/>
    <n v="0"/>
    <n v="0.28789999999999999"/>
    <n v="0.81"/>
    <n v="0"/>
    <n v="3"/>
    <n v="13"/>
    <n v="16"/>
    <x v="0"/>
    <x v="2"/>
    <x v="0"/>
  </r>
  <r>
    <n v="322"/>
    <d v="2011-01-14T00:00:00"/>
    <x v="0"/>
    <n v="1"/>
    <x v="21"/>
    <b v="0"/>
    <x v="6"/>
    <n v="1"/>
    <n v="0.16"/>
    <n v="0"/>
    <n v="0.28789999999999999"/>
    <n v="0.81"/>
    <n v="0"/>
    <n v="3"/>
    <n v="13"/>
    <n v="16"/>
    <x v="0"/>
    <x v="3"/>
    <x v="0"/>
  </r>
  <r>
    <n v="323"/>
    <d v="2011-01-14T00:00:00"/>
    <x v="0"/>
    <n v="1"/>
    <x v="22"/>
    <b v="0"/>
    <x v="6"/>
    <n v="2"/>
    <n v="0.16"/>
    <n v="0"/>
    <n v="0.28789999999999999"/>
    <n v="0.81"/>
    <n v="0"/>
    <n v="3"/>
    <n v="13"/>
    <n v="16"/>
    <x v="0"/>
    <x v="3"/>
    <x v="1"/>
  </r>
  <r>
    <n v="324"/>
    <d v="2011-01-14T00:00:00"/>
    <x v="0"/>
    <n v="1"/>
    <x v="23"/>
    <b v="0"/>
    <x v="6"/>
    <n v="2"/>
    <n v="0.18"/>
    <n v="0"/>
    <n v="0.28789999999999999"/>
    <n v="0.81"/>
    <n v="0"/>
    <n v="3"/>
    <n v="13"/>
    <n v="16"/>
    <x v="0"/>
    <x v="3"/>
    <x v="1"/>
  </r>
  <r>
    <n v="325"/>
    <d v="2011-01-15T00:00:00"/>
    <x v="0"/>
    <n v="1"/>
    <x v="0"/>
    <b v="0"/>
    <x v="0"/>
    <n v="1"/>
    <n v="0.18"/>
    <n v="0"/>
    <n v="0.28789999999999999"/>
    <n v="0.81"/>
    <n v="0"/>
    <n v="3"/>
    <n v="13"/>
    <n v="16"/>
    <x v="0"/>
    <x v="0"/>
    <x v="0"/>
  </r>
  <r>
    <n v="326"/>
    <d v="2011-01-15T00:00:00"/>
    <x v="0"/>
    <n v="1"/>
    <x v="1"/>
    <b v="0"/>
    <x v="0"/>
    <n v="2"/>
    <n v="0.16"/>
    <n v="0"/>
    <n v="0.28789999999999999"/>
    <n v="0.81"/>
    <n v="0"/>
    <n v="3"/>
    <n v="13"/>
    <n v="16"/>
    <x v="0"/>
    <x v="0"/>
    <x v="1"/>
  </r>
  <r>
    <n v="327"/>
    <d v="2011-01-15T00:00:00"/>
    <x v="0"/>
    <n v="1"/>
    <x v="2"/>
    <b v="0"/>
    <x v="0"/>
    <n v="2"/>
    <n v="0.16"/>
    <n v="0"/>
    <n v="0.28789999999999999"/>
    <n v="0.81"/>
    <n v="0"/>
    <n v="3"/>
    <n v="13"/>
    <n v="16"/>
    <x v="0"/>
    <x v="0"/>
    <x v="1"/>
  </r>
  <r>
    <n v="328"/>
    <d v="2011-01-15T00:00:00"/>
    <x v="0"/>
    <n v="1"/>
    <x v="3"/>
    <b v="0"/>
    <x v="0"/>
    <n v="2"/>
    <n v="0.16"/>
    <n v="0"/>
    <n v="0.28789999999999999"/>
    <n v="0.81"/>
    <n v="0"/>
    <n v="3"/>
    <n v="13"/>
    <n v="16"/>
    <x v="0"/>
    <x v="0"/>
    <x v="1"/>
  </r>
  <r>
    <n v="329"/>
    <d v="2011-01-15T00:00:00"/>
    <x v="0"/>
    <n v="1"/>
    <x v="4"/>
    <b v="0"/>
    <x v="0"/>
    <n v="2"/>
    <n v="0.16"/>
    <n v="0"/>
    <n v="0.28789999999999999"/>
    <n v="0.81"/>
    <n v="0"/>
    <n v="3"/>
    <n v="13"/>
    <n v="16"/>
    <x v="0"/>
    <x v="0"/>
    <x v="1"/>
  </r>
  <r>
    <n v="330"/>
    <d v="2011-01-15T00:00:00"/>
    <x v="0"/>
    <n v="1"/>
    <x v="5"/>
    <b v="0"/>
    <x v="0"/>
    <n v="1"/>
    <n v="0.16"/>
    <n v="0"/>
    <n v="0.28789999999999999"/>
    <n v="0.81"/>
    <n v="0"/>
    <n v="3"/>
    <n v="13"/>
    <n v="16"/>
    <x v="0"/>
    <x v="0"/>
    <x v="0"/>
  </r>
  <r>
    <n v="331"/>
    <d v="2011-01-15T00:00:00"/>
    <x v="0"/>
    <n v="1"/>
    <x v="6"/>
    <b v="0"/>
    <x v="0"/>
    <n v="1"/>
    <n v="0.14000000000000001"/>
    <n v="0"/>
    <n v="0.28789999999999999"/>
    <n v="0.81"/>
    <n v="0"/>
    <n v="3"/>
    <n v="13"/>
    <n v="16"/>
    <x v="0"/>
    <x v="0"/>
    <x v="0"/>
  </r>
  <r>
    <n v="332"/>
    <d v="2011-01-15T00:00:00"/>
    <x v="0"/>
    <n v="1"/>
    <x v="7"/>
    <b v="0"/>
    <x v="0"/>
    <n v="1"/>
    <n v="0.14000000000000001"/>
    <n v="0"/>
    <n v="0.28789999999999999"/>
    <n v="0.81"/>
    <n v="0"/>
    <n v="3"/>
    <n v="13"/>
    <n v="16"/>
    <x v="0"/>
    <x v="0"/>
    <x v="0"/>
  </r>
  <r>
    <n v="333"/>
    <d v="2011-01-15T00:00:00"/>
    <x v="0"/>
    <n v="1"/>
    <x v="8"/>
    <b v="0"/>
    <x v="0"/>
    <n v="1"/>
    <n v="0.14000000000000001"/>
    <n v="0"/>
    <n v="0.28789999999999999"/>
    <n v="0.81"/>
    <n v="0"/>
    <n v="3"/>
    <n v="13"/>
    <n v="16"/>
    <x v="0"/>
    <x v="0"/>
    <x v="0"/>
  </r>
  <r>
    <n v="334"/>
    <d v="2011-01-15T00:00:00"/>
    <x v="0"/>
    <n v="1"/>
    <x v="9"/>
    <b v="0"/>
    <x v="0"/>
    <n v="1"/>
    <n v="0.16"/>
    <n v="0"/>
    <n v="0.28789999999999999"/>
    <n v="0.81"/>
    <n v="0"/>
    <n v="3"/>
    <n v="13"/>
    <n v="16"/>
    <x v="0"/>
    <x v="0"/>
    <x v="0"/>
  </r>
  <r>
    <n v="335"/>
    <d v="2011-01-15T00:00:00"/>
    <x v="0"/>
    <n v="1"/>
    <x v="10"/>
    <b v="0"/>
    <x v="0"/>
    <n v="1"/>
    <n v="0.18"/>
    <n v="0"/>
    <n v="0.28789999999999999"/>
    <n v="0.81"/>
    <n v="0"/>
    <n v="3"/>
    <n v="13"/>
    <n v="16"/>
    <x v="0"/>
    <x v="0"/>
    <x v="0"/>
  </r>
  <r>
    <n v="336"/>
    <d v="2011-01-15T00:00:00"/>
    <x v="0"/>
    <n v="1"/>
    <x v="11"/>
    <b v="0"/>
    <x v="0"/>
    <n v="1"/>
    <n v="0.2"/>
    <n v="0"/>
    <n v="0.28789999999999999"/>
    <n v="0.81"/>
    <n v="0"/>
    <n v="3"/>
    <n v="13"/>
    <n v="16"/>
    <x v="0"/>
    <x v="0"/>
    <x v="0"/>
  </r>
  <r>
    <n v="337"/>
    <d v="2011-01-15T00:00:00"/>
    <x v="0"/>
    <n v="1"/>
    <x v="12"/>
    <b v="0"/>
    <x v="0"/>
    <n v="1"/>
    <n v="0.24"/>
    <n v="0"/>
    <n v="0.28789999999999999"/>
    <n v="0.81"/>
    <n v="0"/>
    <n v="3"/>
    <n v="13"/>
    <n v="16"/>
    <x v="0"/>
    <x v="1"/>
    <x v="0"/>
  </r>
  <r>
    <n v="338"/>
    <d v="2011-01-15T00:00:00"/>
    <x v="0"/>
    <n v="1"/>
    <x v="13"/>
    <b v="0"/>
    <x v="0"/>
    <n v="1"/>
    <n v="0.28000000000000003"/>
    <n v="0"/>
    <n v="0.28789999999999999"/>
    <n v="0.81"/>
    <n v="0"/>
    <n v="3"/>
    <n v="13"/>
    <n v="16"/>
    <x v="0"/>
    <x v="1"/>
    <x v="0"/>
  </r>
  <r>
    <n v="339"/>
    <d v="2011-01-15T00:00:00"/>
    <x v="0"/>
    <n v="1"/>
    <x v="14"/>
    <b v="0"/>
    <x v="0"/>
    <n v="1"/>
    <n v="0.3"/>
    <n v="0"/>
    <n v="0.28789999999999999"/>
    <n v="0.81"/>
    <n v="0"/>
    <n v="3"/>
    <n v="13"/>
    <n v="16"/>
    <x v="0"/>
    <x v="1"/>
    <x v="0"/>
  </r>
  <r>
    <n v="340"/>
    <d v="2011-01-15T00:00:00"/>
    <x v="0"/>
    <n v="1"/>
    <x v="15"/>
    <b v="0"/>
    <x v="0"/>
    <n v="2"/>
    <n v="0.32"/>
    <n v="0"/>
    <n v="0.28789999999999999"/>
    <n v="0.81"/>
    <n v="0"/>
    <n v="3"/>
    <n v="13"/>
    <n v="16"/>
    <x v="0"/>
    <x v="1"/>
    <x v="1"/>
  </r>
  <r>
    <n v="341"/>
    <d v="2011-01-15T00:00:00"/>
    <x v="0"/>
    <n v="1"/>
    <x v="16"/>
    <b v="0"/>
    <x v="0"/>
    <n v="2"/>
    <n v="0.34"/>
    <n v="0"/>
    <n v="0.28789999999999999"/>
    <n v="0.81"/>
    <n v="0"/>
    <n v="3"/>
    <n v="13"/>
    <n v="16"/>
    <x v="0"/>
    <x v="2"/>
    <x v="1"/>
  </r>
  <r>
    <n v="342"/>
    <d v="2011-01-15T00:00:00"/>
    <x v="0"/>
    <n v="1"/>
    <x v="17"/>
    <b v="0"/>
    <x v="0"/>
    <n v="2"/>
    <n v="0.32"/>
    <n v="0"/>
    <n v="0.28789999999999999"/>
    <n v="0.81"/>
    <n v="0"/>
    <n v="3"/>
    <n v="13"/>
    <n v="16"/>
    <x v="0"/>
    <x v="2"/>
    <x v="1"/>
  </r>
  <r>
    <n v="343"/>
    <d v="2011-01-15T00:00:00"/>
    <x v="0"/>
    <n v="1"/>
    <x v="18"/>
    <b v="0"/>
    <x v="0"/>
    <n v="2"/>
    <n v="0.3"/>
    <n v="0"/>
    <n v="0.28789999999999999"/>
    <n v="0.81"/>
    <n v="0"/>
    <n v="3"/>
    <n v="13"/>
    <n v="16"/>
    <x v="0"/>
    <x v="2"/>
    <x v="1"/>
  </r>
  <r>
    <n v="344"/>
    <d v="2011-01-15T00:00:00"/>
    <x v="0"/>
    <n v="1"/>
    <x v="19"/>
    <b v="0"/>
    <x v="0"/>
    <n v="2"/>
    <n v="0.32"/>
    <n v="0"/>
    <n v="0.28789999999999999"/>
    <n v="0.81"/>
    <n v="0"/>
    <n v="3"/>
    <n v="13"/>
    <n v="16"/>
    <x v="0"/>
    <x v="2"/>
    <x v="1"/>
  </r>
  <r>
    <n v="345"/>
    <d v="2011-01-15T00:00:00"/>
    <x v="0"/>
    <n v="1"/>
    <x v="20"/>
    <b v="0"/>
    <x v="0"/>
    <n v="2"/>
    <n v="0.32"/>
    <n v="0"/>
    <n v="0.28789999999999999"/>
    <n v="0.81"/>
    <n v="0"/>
    <n v="3"/>
    <n v="13"/>
    <n v="16"/>
    <x v="0"/>
    <x v="2"/>
    <x v="1"/>
  </r>
  <r>
    <n v="346"/>
    <d v="2011-01-15T00:00:00"/>
    <x v="0"/>
    <n v="1"/>
    <x v="21"/>
    <b v="0"/>
    <x v="0"/>
    <n v="2"/>
    <n v="0.32"/>
    <n v="0"/>
    <n v="0.28789999999999999"/>
    <n v="0.81"/>
    <n v="0"/>
    <n v="3"/>
    <n v="13"/>
    <n v="16"/>
    <x v="0"/>
    <x v="3"/>
    <x v="1"/>
  </r>
  <r>
    <n v="347"/>
    <d v="2011-01-15T00:00:00"/>
    <x v="0"/>
    <n v="1"/>
    <x v="22"/>
    <b v="0"/>
    <x v="0"/>
    <n v="2"/>
    <n v="0.3"/>
    <n v="0"/>
    <n v="0.28789999999999999"/>
    <n v="0.81"/>
    <n v="0"/>
    <n v="3"/>
    <n v="13"/>
    <n v="16"/>
    <x v="0"/>
    <x v="3"/>
    <x v="1"/>
  </r>
  <r>
    <n v="348"/>
    <d v="2011-01-15T00:00:00"/>
    <x v="0"/>
    <n v="1"/>
    <x v="23"/>
    <b v="0"/>
    <x v="0"/>
    <n v="1"/>
    <n v="0.3"/>
    <n v="0"/>
    <n v="0.28789999999999999"/>
    <n v="0.81"/>
    <n v="0"/>
    <n v="3"/>
    <n v="13"/>
    <n v="16"/>
    <x v="0"/>
    <x v="3"/>
    <x v="0"/>
  </r>
  <r>
    <n v="349"/>
    <d v="2011-01-16T00:00:00"/>
    <x v="0"/>
    <n v="1"/>
    <x v="0"/>
    <b v="0"/>
    <x v="1"/>
    <n v="1"/>
    <n v="0.26"/>
    <n v="0"/>
    <n v="0.28789999999999999"/>
    <n v="0.81"/>
    <n v="0"/>
    <n v="3"/>
    <n v="13"/>
    <n v="16"/>
    <x v="1"/>
    <x v="0"/>
    <x v="0"/>
  </r>
  <r>
    <n v="350"/>
    <d v="2011-01-16T00:00:00"/>
    <x v="0"/>
    <n v="1"/>
    <x v="1"/>
    <b v="0"/>
    <x v="1"/>
    <n v="1"/>
    <n v="0.26"/>
    <n v="0"/>
    <n v="0.28789999999999999"/>
    <n v="0.81"/>
    <n v="0"/>
    <n v="3"/>
    <n v="13"/>
    <n v="16"/>
    <x v="1"/>
    <x v="0"/>
    <x v="0"/>
  </r>
  <r>
    <n v="351"/>
    <d v="2011-01-16T00:00:00"/>
    <x v="0"/>
    <n v="1"/>
    <x v="2"/>
    <b v="0"/>
    <x v="1"/>
    <n v="1"/>
    <n v="0.26"/>
    <n v="0"/>
    <n v="0.28789999999999999"/>
    <n v="0.81"/>
    <n v="0"/>
    <n v="3"/>
    <n v="13"/>
    <n v="16"/>
    <x v="1"/>
    <x v="0"/>
    <x v="0"/>
  </r>
  <r>
    <n v="352"/>
    <d v="2011-01-16T00:00:00"/>
    <x v="0"/>
    <n v="1"/>
    <x v="3"/>
    <b v="0"/>
    <x v="1"/>
    <n v="1"/>
    <n v="0.22"/>
    <n v="0"/>
    <n v="0.28789999999999999"/>
    <n v="0.81"/>
    <n v="0"/>
    <n v="3"/>
    <n v="13"/>
    <n v="16"/>
    <x v="1"/>
    <x v="0"/>
    <x v="0"/>
  </r>
  <r>
    <n v="353"/>
    <d v="2011-01-16T00:00:00"/>
    <x v="0"/>
    <n v="1"/>
    <x v="4"/>
    <b v="0"/>
    <x v="1"/>
    <n v="1"/>
    <n v="0.26"/>
    <n v="0"/>
    <n v="0.28789999999999999"/>
    <n v="0.81"/>
    <n v="0"/>
    <n v="3"/>
    <n v="13"/>
    <n v="16"/>
    <x v="1"/>
    <x v="0"/>
    <x v="0"/>
  </r>
  <r>
    <n v="354"/>
    <d v="2011-01-16T00:00:00"/>
    <x v="0"/>
    <n v="1"/>
    <x v="5"/>
    <b v="0"/>
    <x v="1"/>
    <n v="2"/>
    <n v="0.26"/>
    <n v="0"/>
    <n v="0.28789999999999999"/>
    <n v="0.81"/>
    <n v="0"/>
    <n v="3"/>
    <n v="13"/>
    <n v="16"/>
    <x v="1"/>
    <x v="0"/>
    <x v="1"/>
  </r>
  <r>
    <n v="355"/>
    <d v="2011-01-16T00:00:00"/>
    <x v="0"/>
    <n v="1"/>
    <x v="6"/>
    <b v="0"/>
    <x v="1"/>
    <n v="2"/>
    <n v="0.26"/>
    <n v="0"/>
    <n v="0.28789999999999999"/>
    <n v="0.81"/>
    <n v="0"/>
    <n v="3"/>
    <n v="13"/>
    <n v="16"/>
    <x v="1"/>
    <x v="0"/>
    <x v="1"/>
  </r>
  <r>
    <n v="356"/>
    <d v="2011-01-16T00:00:00"/>
    <x v="0"/>
    <n v="1"/>
    <x v="7"/>
    <b v="0"/>
    <x v="1"/>
    <n v="2"/>
    <n v="0.24"/>
    <n v="0"/>
    <n v="0.28789999999999999"/>
    <n v="0.81"/>
    <n v="0"/>
    <n v="3"/>
    <n v="13"/>
    <n v="16"/>
    <x v="1"/>
    <x v="0"/>
    <x v="1"/>
  </r>
  <r>
    <n v="357"/>
    <d v="2011-01-16T00:00:00"/>
    <x v="0"/>
    <n v="1"/>
    <x v="8"/>
    <b v="0"/>
    <x v="1"/>
    <n v="1"/>
    <n v="0.22"/>
    <n v="0"/>
    <n v="0.28789999999999999"/>
    <n v="0.81"/>
    <n v="0"/>
    <n v="3"/>
    <n v="13"/>
    <n v="16"/>
    <x v="1"/>
    <x v="0"/>
    <x v="0"/>
  </r>
  <r>
    <n v="358"/>
    <d v="2011-01-16T00:00:00"/>
    <x v="0"/>
    <n v="1"/>
    <x v="9"/>
    <b v="0"/>
    <x v="1"/>
    <n v="1"/>
    <n v="0.22"/>
    <n v="0"/>
    <n v="0.28789999999999999"/>
    <n v="0.81"/>
    <n v="0"/>
    <n v="3"/>
    <n v="13"/>
    <n v="16"/>
    <x v="1"/>
    <x v="0"/>
    <x v="0"/>
  </r>
  <r>
    <n v="359"/>
    <d v="2011-01-16T00:00:00"/>
    <x v="0"/>
    <n v="1"/>
    <x v="10"/>
    <b v="0"/>
    <x v="1"/>
    <n v="1"/>
    <n v="0.22"/>
    <n v="0"/>
    <n v="0.28789999999999999"/>
    <n v="0.81"/>
    <n v="0"/>
    <n v="3"/>
    <n v="13"/>
    <n v="16"/>
    <x v="1"/>
    <x v="0"/>
    <x v="0"/>
  </r>
  <r>
    <n v="360"/>
    <d v="2011-01-16T00:00:00"/>
    <x v="0"/>
    <n v="1"/>
    <x v="11"/>
    <b v="0"/>
    <x v="1"/>
    <n v="1"/>
    <n v="0.24"/>
    <n v="0"/>
    <n v="0.28789999999999999"/>
    <n v="0.81"/>
    <n v="0"/>
    <n v="3"/>
    <n v="13"/>
    <n v="16"/>
    <x v="1"/>
    <x v="0"/>
    <x v="0"/>
  </r>
  <r>
    <n v="361"/>
    <d v="2011-01-16T00:00:00"/>
    <x v="0"/>
    <n v="1"/>
    <x v="12"/>
    <b v="0"/>
    <x v="1"/>
    <n v="1"/>
    <n v="0.24"/>
    <n v="0"/>
    <n v="0.28789999999999999"/>
    <n v="0.81"/>
    <n v="0"/>
    <n v="3"/>
    <n v="13"/>
    <n v="16"/>
    <x v="1"/>
    <x v="1"/>
    <x v="0"/>
  </r>
  <r>
    <n v="362"/>
    <d v="2011-01-16T00:00:00"/>
    <x v="0"/>
    <n v="1"/>
    <x v="13"/>
    <b v="0"/>
    <x v="1"/>
    <n v="1"/>
    <n v="0.26"/>
    <n v="0"/>
    <n v="0.28789999999999999"/>
    <n v="0.81"/>
    <n v="0"/>
    <n v="3"/>
    <n v="13"/>
    <n v="16"/>
    <x v="1"/>
    <x v="1"/>
    <x v="0"/>
  </r>
  <r>
    <n v="363"/>
    <d v="2011-01-16T00:00:00"/>
    <x v="0"/>
    <n v="1"/>
    <x v="14"/>
    <b v="0"/>
    <x v="1"/>
    <n v="1"/>
    <n v="0.28000000000000003"/>
    <n v="0"/>
    <n v="0.28789999999999999"/>
    <n v="0.81"/>
    <n v="0"/>
    <n v="3"/>
    <n v="13"/>
    <n v="16"/>
    <x v="1"/>
    <x v="1"/>
    <x v="0"/>
  </r>
  <r>
    <n v="364"/>
    <d v="2011-01-16T00:00:00"/>
    <x v="0"/>
    <n v="1"/>
    <x v="15"/>
    <b v="0"/>
    <x v="1"/>
    <n v="1"/>
    <n v="0.26"/>
    <n v="0"/>
    <n v="0.28789999999999999"/>
    <n v="0.81"/>
    <n v="0"/>
    <n v="3"/>
    <n v="13"/>
    <n v="16"/>
    <x v="1"/>
    <x v="1"/>
    <x v="0"/>
  </r>
  <r>
    <n v="365"/>
    <d v="2011-01-16T00:00:00"/>
    <x v="0"/>
    <n v="1"/>
    <x v="16"/>
    <b v="0"/>
    <x v="1"/>
    <n v="1"/>
    <n v="0.24"/>
    <n v="0"/>
    <n v="0.28789999999999999"/>
    <n v="0.81"/>
    <n v="0"/>
    <n v="3"/>
    <n v="13"/>
    <n v="16"/>
    <x v="1"/>
    <x v="2"/>
    <x v="0"/>
  </r>
  <r>
    <n v="366"/>
    <d v="2011-01-16T00:00:00"/>
    <x v="0"/>
    <n v="1"/>
    <x v="17"/>
    <b v="0"/>
    <x v="1"/>
    <n v="1"/>
    <n v="0.22"/>
    <n v="0"/>
    <n v="0.28789999999999999"/>
    <n v="0.81"/>
    <n v="0"/>
    <n v="3"/>
    <n v="13"/>
    <n v="16"/>
    <x v="1"/>
    <x v="2"/>
    <x v="0"/>
  </r>
  <r>
    <n v="367"/>
    <d v="2011-01-16T00:00:00"/>
    <x v="0"/>
    <n v="1"/>
    <x v="18"/>
    <b v="0"/>
    <x v="1"/>
    <n v="1"/>
    <n v="0.2"/>
    <n v="0"/>
    <n v="0.28789999999999999"/>
    <n v="0.81"/>
    <n v="0"/>
    <n v="3"/>
    <n v="13"/>
    <n v="16"/>
    <x v="1"/>
    <x v="2"/>
    <x v="0"/>
  </r>
  <r>
    <n v="368"/>
    <d v="2011-01-16T00:00:00"/>
    <x v="0"/>
    <n v="1"/>
    <x v="19"/>
    <b v="0"/>
    <x v="1"/>
    <n v="1"/>
    <n v="0.18"/>
    <n v="0"/>
    <n v="0.28789999999999999"/>
    <n v="0.81"/>
    <n v="0"/>
    <n v="3"/>
    <n v="13"/>
    <n v="16"/>
    <x v="1"/>
    <x v="2"/>
    <x v="0"/>
  </r>
  <r>
    <n v="369"/>
    <d v="2011-01-16T00:00:00"/>
    <x v="0"/>
    <n v="1"/>
    <x v="20"/>
    <b v="0"/>
    <x v="1"/>
    <n v="1"/>
    <n v="0.18"/>
    <n v="0"/>
    <n v="0.28789999999999999"/>
    <n v="0.81"/>
    <n v="0"/>
    <n v="3"/>
    <n v="13"/>
    <n v="16"/>
    <x v="1"/>
    <x v="2"/>
    <x v="0"/>
  </r>
  <r>
    <n v="370"/>
    <d v="2011-01-16T00:00:00"/>
    <x v="0"/>
    <n v="1"/>
    <x v="21"/>
    <b v="0"/>
    <x v="1"/>
    <n v="1"/>
    <n v="0.18"/>
    <n v="0"/>
    <n v="0.28789999999999999"/>
    <n v="0.81"/>
    <n v="0"/>
    <n v="3"/>
    <n v="13"/>
    <n v="16"/>
    <x v="1"/>
    <x v="3"/>
    <x v="0"/>
  </r>
  <r>
    <n v="371"/>
    <d v="2011-01-16T00:00:00"/>
    <x v="0"/>
    <n v="1"/>
    <x v="22"/>
    <b v="0"/>
    <x v="1"/>
    <n v="2"/>
    <n v="0.2"/>
    <n v="0"/>
    <n v="0.28789999999999999"/>
    <n v="0.81"/>
    <n v="0"/>
    <n v="3"/>
    <n v="13"/>
    <n v="16"/>
    <x v="1"/>
    <x v="3"/>
    <x v="1"/>
  </r>
  <r>
    <n v="372"/>
    <d v="2011-01-16T00:00:00"/>
    <x v="0"/>
    <n v="1"/>
    <x v="23"/>
    <b v="0"/>
    <x v="1"/>
    <n v="2"/>
    <n v="0.2"/>
    <n v="0"/>
    <n v="0.28789999999999999"/>
    <n v="0.81"/>
    <n v="0"/>
    <n v="3"/>
    <n v="13"/>
    <n v="16"/>
    <x v="1"/>
    <x v="3"/>
    <x v="1"/>
  </r>
  <r>
    <n v="373"/>
    <d v="2011-01-17T00:00:00"/>
    <x v="0"/>
    <n v="1"/>
    <x v="0"/>
    <b v="1"/>
    <x v="2"/>
    <n v="2"/>
    <n v="0.2"/>
    <n v="0"/>
    <n v="0.28789999999999999"/>
    <n v="0.81"/>
    <n v="0"/>
    <n v="3"/>
    <n v="13"/>
    <n v="16"/>
    <x v="1"/>
    <x v="0"/>
    <x v="1"/>
  </r>
  <r>
    <n v="374"/>
    <d v="2011-01-17T00:00:00"/>
    <x v="0"/>
    <n v="1"/>
    <x v="1"/>
    <b v="1"/>
    <x v="2"/>
    <n v="2"/>
    <n v="0.2"/>
    <n v="0"/>
    <n v="0.28789999999999999"/>
    <n v="0.81"/>
    <n v="0"/>
    <n v="3"/>
    <n v="13"/>
    <n v="16"/>
    <x v="1"/>
    <x v="0"/>
    <x v="1"/>
  </r>
  <r>
    <n v="375"/>
    <d v="2011-01-17T00:00:00"/>
    <x v="0"/>
    <n v="1"/>
    <x v="2"/>
    <b v="1"/>
    <x v="2"/>
    <n v="2"/>
    <n v="0.18"/>
    <n v="0"/>
    <n v="0.28789999999999999"/>
    <n v="0.81"/>
    <n v="0"/>
    <n v="3"/>
    <n v="13"/>
    <n v="16"/>
    <x v="1"/>
    <x v="0"/>
    <x v="1"/>
  </r>
  <r>
    <n v="376"/>
    <d v="2011-01-17T00:00:00"/>
    <x v="0"/>
    <n v="1"/>
    <x v="3"/>
    <b v="1"/>
    <x v="2"/>
    <n v="2"/>
    <n v="0.18"/>
    <n v="0"/>
    <n v="0.28789999999999999"/>
    <n v="0.81"/>
    <n v="0"/>
    <n v="3"/>
    <n v="13"/>
    <n v="16"/>
    <x v="1"/>
    <x v="0"/>
    <x v="1"/>
  </r>
  <r>
    <n v="377"/>
    <d v="2011-01-17T00:00:00"/>
    <x v="0"/>
    <n v="1"/>
    <x v="4"/>
    <b v="1"/>
    <x v="2"/>
    <n v="2"/>
    <n v="0.18"/>
    <n v="0"/>
    <n v="0.28789999999999999"/>
    <n v="0.81"/>
    <n v="0"/>
    <n v="3"/>
    <n v="13"/>
    <n v="16"/>
    <x v="1"/>
    <x v="0"/>
    <x v="1"/>
  </r>
  <r>
    <n v="378"/>
    <d v="2011-01-17T00:00:00"/>
    <x v="0"/>
    <n v="1"/>
    <x v="5"/>
    <b v="1"/>
    <x v="2"/>
    <n v="2"/>
    <n v="0.18"/>
    <n v="0"/>
    <n v="0.28789999999999999"/>
    <n v="0.81"/>
    <n v="0"/>
    <n v="3"/>
    <n v="13"/>
    <n v="16"/>
    <x v="1"/>
    <x v="0"/>
    <x v="1"/>
  </r>
  <r>
    <n v="379"/>
    <d v="2011-01-17T00:00:00"/>
    <x v="0"/>
    <n v="1"/>
    <x v="6"/>
    <b v="1"/>
    <x v="2"/>
    <n v="2"/>
    <n v="0.18"/>
    <n v="0"/>
    <n v="0.28789999999999999"/>
    <n v="0.81"/>
    <n v="0"/>
    <n v="3"/>
    <n v="13"/>
    <n v="16"/>
    <x v="1"/>
    <x v="0"/>
    <x v="1"/>
  </r>
  <r>
    <n v="380"/>
    <d v="2011-01-17T00:00:00"/>
    <x v="0"/>
    <n v="1"/>
    <x v="7"/>
    <b v="1"/>
    <x v="2"/>
    <n v="2"/>
    <n v="0.16"/>
    <n v="0"/>
    <n v="0.28789999999999999"/>
    <n v="0.81"/>
    <n v="0"/>
    <n v="3"/>
    <n v="13"/>
    <n v="16"/>
    <x v="1"/>
    <x v="0"/>
    <x v="1"/>
  </r>
  <r>
    <n v="381"/>
    <d v="2011-01-17T00:00:00"/>
    <x v="0"/>
    <n v="1"/>
    <x v="8"/>
    <b v="1"/>
    <x v="2"/>
    <n v="2"/>
    <n v="0.16"/>
    <n v="0"/>
    <n v="0.28789999999999999"/>
    <n v="0.81"/>
    <n v="0"/>
    <n v="3"/>
    <n v="13"/>
    <n v="16"/>
    <x v="1"/>
    <x v="0"/>
    <x v="1"/>
  </r>
  <r>
    <n v="382"/>
    <d v="2011-01-17T00:00:00"/>
    <x v="0"/>
    <n v="1"/>
    <x v="9"/>
    <b v="1"/>
    <x v="2"/>
    <n v="2"/>
    <n v="0.16"/>
    <n v="0"/>
    <n v="0.28789999999999999"/>
    <n v="0.81"/>
    <n v="0"/>
    <n v="3"/>
    <n v="13"/>
    <n v="16"/>
    <x v="1"/>
    <x v="0"/>
    <x v="1"/>
  </r>
  <r>
    <n v="383"/>
    <d v="2011-01-17T00:00:00"/>
    <x v="0"/>
    <n v="1"/>
    <x v="10"/>
    <b v="1"/>
    <x v="2"/>
    <n v="2"/>
    <n v="0.16"/>
    <n v="0"/>
    <n v="0.28789999999999999"/>
    <n v="0.81"/>
    <n v="0"/>
    <n v="3"/>
    <n v="13"/>
    <n v="16"/>
    <x v="1"/>
    <x v="0"/>
    <x v="1"/>
  </r>
  <r>
    <n v="384"/>
    <d v="2011-01-17T00:00:00"/>
    <x v="0"/>
    <n v="1"/>
    <x v="11"/>
    <b v="1"/>
    <x v="2"/>
    <n v="2"/>
    <n v="0.16"/>
    <n v="0"/>
    <n v="0.28789999999999999"/>
    <n v="0.81"/>
    <n v="0"/>
    <n v="3"/>
    <n v="13"/>
    <n v="16"/>
    <x v="1"/>
    <x v="0"/>
    <x v="1"/>
  </r>
  <r>
    <n v="385"/>
    <d v="2011-01-17T00:00:00"/>
    <x v="0"/>
    <n v="1"/>
    <x v="12"/>
    <b v="1"/>
    <x v="2"/>
    <n v="2"/>
    <n v="0.18"/>
    <n v="0"/>
    <n v="0.28789999999999999"/>
    <n v="0.81"/>
    <n v="0"/>
    <n v="3"/>
    <n v="13"/>
    <n v="16"/>
    <x v="1"/>
    <x v="1"/>
    <x v="1"/>
  </r>
  <r>
    <n v="386"/>
    <d v="2011-01-17T00:00:00"/>
    <x v="0"/>
    <n v="1"/>
    <x v="13"/>
    <b v="1"/>
    <x v="2"/>
    <n v="2"/>
    <n v="0.18"/>
    <n v="0"/>
    <n v="0.28789999999999999"/>
    <n v="0.81"/>
    <n v="0"/>
    <n v="3"/>
    <n v="13"/>
    <n v="16"/>
    <x v="1"/>
    <x v="1"/>
    <x v="1"/>
  </r>
  <r>
    <n v="387"/>
    <d v="2011-01-17T00:00:00"/>
    <x v="0"/>
    <n v="1"/>
    <x v="14"/>
    <b v="1"/>
    <x v="2"/>
    <n v="2"/>
    <n v="0.18"/>
    <n v="0"/>
    <n v="0.28789999999999999"/>
    <n v="0.81"/>
    <n v="0"/>
    <n v="3"/>
    <n v="13"/>
    <n v="16"/>
    <x v="1"/>
    <x v="1"/>
    <x v="1"/>
  </r>
  <r>
    <n v="388"/>
    <d v="2011-01-17T00:00:00"/>
    <x v="0"/>
    <n v="1"/>
    <x v="15"/>
    <b v="1"/>
    <x v="2"/>
    <n v="2"/>
    <n v="0.2"/>
    <n v="0"/>
    <n v="0.28789999999999999"/>
    <n v="0.81"/>
    <n v="0"/>
    <n v="3"/>
    <n v="13"/>
    <n v="16"/>
    <x v="1"/>
    <x v="1"/>
    <x v="1"/>
  </r>
  <r>
    <n v="389"/>
    <d v="2011-01-17T00:00:00"/>
    <x v="0"/>
    <n v="1"/>
    <x v="16"/>
    <b v="1"/>
    <x v="2"/>
    <n v="2"/>
    <n v="0.2"/>
    <n v="0"/>
    <n v="0.28789999999999999"/>
    <n v="0.81"/>
    <n v="0"/>
    <n v="3"/>
    <n v="13"/>
    <n v="16"/>
    <x v="1"/>
    <x v="2"/>
    <x v="1"/>
  </r>
  <r>
    <n v="390"/>
    <d v="2011-01-17T00:00:00"/>
    <x v="0"/>
    <n v="1"/>
    <x v="17"/>
    <b v="1"/>
    <x v="2"/>
    <n v="1"/>
    <n v="0.2"/>
    <n v="0"/>
    <n v="0.28789999999999999"/>
    <n v="0.81"/>
    <n v="0"/>
    <n v="3"/>
    <n v="13"/>
    <n v="16"/>
    <x v="1"/>
    <x v="2"/>
    <x v="0"/>
  </r>
  <r>
    <n v="391"/>
    <d v="2011-01-17T00:00:00"/>
    <x v="0"/>
    <n v="1"/>
    <x v="18"/>
    <b v="1"/>
    <x v="2"/>
    <n v="2"/>
    <n v="0.18"/>
    <n v="0"/>
    <n v="0.28789999999999999"/>
    <n v="0.81"/>
    <n v="0"/>
    <n v="3"/>
    <n v="13"/>
    <n v="16"/>
    <x v="1"/>
    <x v="2"/>
    <x v="1"/>
  </r>
  <r>
    <n v="392"/>
    <d v="2011-01-17T00:00:00"/>
    <x v="0"/>
    <n v="1"/>
    <x v="19"/>
    <b v="1"/>
    <x v="2"/>
    <n v="3"/>
    <n v="0.18"/>
    <n v="0"/>
    <n v="0.28789999999999999"/>
    <n v="0.81"/>
    <n v="0"/>
    <n v="3"/>
    <n v="13"/>
    <n v="16"/>
    <x v="1"/>
    <x v="2"/>
    <x v="2"/>
  </r>
  <r>
    <n v="393"/>
    <d v="2011-01-17T00:00:00"/>
    <x v="0"/>
    <n v="1"/>
    <x v="20"/>
    <b v="1"/>
    <x v="2"/>
    <n v="3"/>
    <n v="0.16"/>
    <n v="0"/>
    <n v="0.28789999999999999"/>
    <n v="0.81"/>
    <n v="0"/>
    <n v="3"/>
    <n v="13"/>
    <n v="16"/>
    <x v="1"/>
    <x v="2"/>
    <x v="2"/>
  </r>
  <r>
    <n v="394"/>
    <d v="2011-01-17T00:00:00"/>
    <x v="0"/>
    <n v="1"/>
    <x v="21"/>
    <b v="1"/>
    <x v="2"/>
    <n v="3"/>
    <n v="0.16"/>
    <n v="0"/>
    <n v="0.28789999999999999"/>
    <n v="0.81"/>
    <n v="0"/>
    <n v="3"/>
    <n v="13"/>
    <n v="16"/>
    <x v="1"/>
    <x v="3"/>
    <x v="2"/>
  </r>
  <r>
    <n v="395"/>
    <d v="2011-01-17T00:00:00"/>
    <x v="0"/>
    <n v="1"/>
    <x v="22"/>
    <b v="1"/>
    <x v="2"/>
    <n v="3"/>
    <n v="0.14000000000000001"/>
    <n v="0"/>
    <n v="0.28789999999999999"/>
    <n v="0.81"/>
    <n v="0"/>
    <n v="3"/>
    <n v="13"/>
    <n v="16"/>
    <x v="1"/>
    <x v="3"/>
    <x v="2"/>
  </r>
  <r>
    <n v="396"/>
    <d v="2011-01-17T00:00:00"/>
    <x v="0"/>
    <n v="1"/>
    <x v="23"/>
    <b v="1"/>
    <x v="2"/>
    <n v="3"/>
    <n v="0.16"/>
    <n v="0"/>
    <n v="0.28789999999999999"/>
    <n v="0.81"/>
    <n v="0"/>
    <n v="3"/>
    <n v="13"/>
    <n v="16"/>
    <x v="1"/>
    <x v="3"/>
    <x v="2"/>
  </r>
  <r>
    <n v="397"/>
    <d v="2011-01-18T00:00:00"/>
    <x v="0"/>
    <n v="1"/>
    <x v="12"/>
    <b v="0"/>
    <x v="3"/>
    <n v="2"/>
    <n v="0.2"/>
    <n v="0"/>
    <n v="0.28789999999999999"/>
    <n v="0.81"/>
    <n v="0"/>
    <n v="3"/>
    <n v="13"/>
    <n v="16"/>
    <x v="1"/>
    <x v="1"/>
    <x v="1"/>
  </r>
  <r>
    <n v="398"/>
    <d v="2011-01-18T00:00:00"/>
    <x v="0"/>
    <n v="1"/>
    <x v="13"/>
    <b v="0"/>
    <x v="3"/>
    <n v="2"/>
    <n v="0.2"/>
    <n v="0"/>
    <n v="0.28789999999999999"/>
    <n v="0.81"/>
    <n v="0"/>
    <n v="3"/>
    <n v="13"/>
    <n v="16"/>
    <x v="1"/>
    <x v="1"/>
    <x v="1"/>
  </r>
  <r>
    <n v="399"/>
    <d v="2011-01-18T00:00:00"/>
    <x v="0"/>
    <n v="1"/>
    <x v="14"/>
    <b v="0"/>
    <x v="3"/>
    <n v="2"/>
    <n v="0.22"/>
    <n v="0"/>
    <n v="0.28789999999999999"/>
    <n v="0.81"/>
    <n v="0"/>
    <n v="3"/>
    <n v="13"/>
    <n v="16"/>
    <x v="1"/>
    <x v="1"/>
    <x v="1"/>
  </r>
  <r>
    <n v="400"/>
    <d v="2011-01-18T00:00:00"/>
    <x v="0"/>
    <n v="1"/>
    <x v="15"/>
    <b v="0"/>
    <x v="3"/>
    <n v="2"/>
    <n v="0.22"/>
    <n v="0"/>
    <n v="0.28789999999999999"/>
    <n v="0.81"/>
    <n v="0"/>
    <n v="3"/>
    <n v="13"/>
    <n v="16"/>
    <x v="1"/>
    <x v="1"/>
    <x v="1"/>
  </r>
  <r>
    <n v="401"/>
    <d v="2011-01-18T00:00:00"/>
    <x v="0"/>
    <n v="1"/>
    <x v="16"/>
    <b v="0"/>
    <x v="3"/>
    <n v="2"/>
    <n v="0.22"/>
    <n v="0"/>
    <n v="0.28789999999999999"/>
    <n v="0.81"/>
    <n v="0"/>
    <n v="3"/>
    <n v="13"/>
    <n v="16"/>
    <x v="1"/>
    <x v="2"/>
    <x v="1"/>
  </r>
  <r>
    <n v="402"/>
    <d v="2011-01-18T00:00:00"/>
    <x v="0"/>
    <n v="1"/>
    <x v="17"/>
    <b v="0"/>
    <x v="3"/>
    <n v="2"/>
    <n v="0.22"/>
    <n v="0"/>
    <n v="0.28789999999999999"/>
    <n v="0.81"/>
    <n v="0"/>
    <n v="3"/>
    <n v="13"/>
    <n v="16"/>
    <x v="1"/>
    <x v="2"/>
    <x v="1"/>
  </r>
  <r>
    <n v="403"/>
    <d v="2011-01-18T00:00:00"/>
    <x v="0"/>
    <n v="1"/>
    <x v="18"/>
    <b v="0"/>
    <x v="3"/>
    <n v="2"/>
    <n v="0.22"/>
    <n v="0"/>
    <n v="0.28789999999999999"/>
    <n v="0.81"/>
    <n v="0"/>
    <n v="3"/>
    <n v="13"/>
    <n v="16"/>
    <x v="1"/>
    <x v="2"/>
    <x v="1"/>
  </r>
  <r>
    <n v="404"/>
    <d v="2011-01-18T00:00:00"/>
    <x v="0"/>
    <n v="1"/>
    <x v="19"/>
    <b v="0"/>
    <x v="3"/>
    <n v="2"/>
    <n v="0.22"/>
    <n v="0"/>
    <n v="0.28789999999999999"/>
    <n v="0.81"/>
    <n v="0"/>
    <n v="3"/>
    <n v="13"/>
    <n v="16"/>
    <x v="1"/>
    <x v="2"/>
    <x v="1"/>
  </r>
  <r>
    <n v="405"/>
    <d v="2011-01-18T00:00:00"/>
    <x v="0"/>
    <n v="1"/>
    <x v="20"/>
    <b v="0"/>
    <x v="3"/>
    <n v="2"/>
    <n v="0.22"/>
    <n v="0"/>
    <n v="0.28789999999999999"/>
    <n v="0.81"/>
    <n v="0"/>
    <n v="3"/>
    <n v="13"/>
    <n v="16"/>
    <x v="1"/>
    <x v="2"/>
    <x v="1"/>
  </r>
  <r>
    <n v="406"/>
    <d v="2011-01-18T00:00:00"/>
    <x v="0"/>
    <n v="1"/>
    <x v="21"/>
    <b v="0"/>
    <x v="3"/>
    <n v="2"/>
    <n v="0.22"/>
    <n v="0"/>
    <n v="0.28789999999999999"/>
    <n v="0.81"/>
    <n v="0"/>
    <n v="3"/>
    <n v="13"/>
    <n v="16"/>
    <x v="1"/>
    <x v="3"/>
    <x v="1"/>
  </r>
  <r>
    <n v="407"/>
    <d v="2011-01-18T00:00:00"/>
    <x v="0"/>
    <n v="1"/>
    <x v="22"/>
    <b v="0"/>
    <x v="3"/>
    <n v="2"/>
    <n v="0.22"/>
    <n v="0"/>
    <n v="0.28789999999999999"/>
    <n v="0.81"/>
    <n v="0"/>
    <n v="3"/>
    <n v="13"/>
    <n v="16"/>
    <x v="1"/>
    <x v="3"/>
    <x v="1"/>
  </r>
  <r>
    <n v="408"/>
    <d v="2011-01-18T00:00:00"/>
    <x v="0"/>
    <n v="1"/>
    <x v="23"/>
    <b v="0"/>
    <x v="3"/>
    <n v="2"/>
    <n v="0.22"/>
    <n v="0"/>
    <n v="0.28789999999999999"/>
    <n v="0.81"/>
    <n v="0"/>
    <n v="3"/>
    <n v="13"/>
    <n v="16"/>
    <x v="1"/>
    <x v="3"/>
    <x v="1"/>
  </r>
  <r>
    <n v="409"/>
    <d v="2011-01-19T00:00:00"/>
    <x v="0"/>
    <n v="1"/>
    <x v="0"/>
    <b v="0"/>
    <x v="4"/>
    <n v="2"/>
    <n v="0.22"/>
    <n v="0"/>
    <n v="0.28789999999999999"/>
    <n v="0.81"/>
    <n v="0"/>
    <n v="3"/>
    <n v="13"/>
    <n v="16"/>
    <x v="1"/>
    <x v="0"/>
    <x v="1"/>
  </r>
  <r>
    <n v="410"/>
    <d v="2011-01-19T00:00:00"/>
    <x v="0"/>
    <n v="1"/>
    <x v="1"/>
    <b v="0"/>
    <x v="4"/>
    <n v="3"/>
    <n v="0.22"/>
    <n v="0"/>
    <n v="0.28789999999999999"/>
    <n v="0.81"/>
    <n v="0"/>
    <n v="3"/>
    <n v="13"/>
    <n v="16"/>
    <x v="1"/>
    <x v="0"/>
    <x v="2"/>
  </r>
  <r>
    <n v="411"/>
    <d v="2011-01-19T00:00:00"/>
    <x v="0"/>
    <n v="1"/>
    <x v="2"/>
    <b v="0"/>
    <x v="4"/>
    <n v="3"/>
    <n v="0.22"/>
    <n v="0"/>
    <n v="0.28789999999999999"/>
    <n v="0.81"/>
    <n v="0"/>
    <n v="3"/>
    <n v="13"/>
    <n v="16"/>
    <x v="1"/>
    <x v="0"/>
    <x v="2"/>
  </r>
  <r>
    <n v="412"/>
    <d v="2011-01-19T00:00:00"/>
    <x v="0"/>
    <n v="1"/>
    <x v="4"/>
    <b v="0"/>
    <x v="4"/>
    <n v="3"/>
    <n v="0.22"/>
    <n v="0"/>
    <n v="0.28789999999999999"/>
    <n v="0.81"/>
    <n v="0"/>
    <n v="3"/>
    <n v="13"/>
    <n v="16"/>
    <x v="1"/>
    <x v="0"/>
    <x v="2"/>
  </r>
  <r>
    <n v="413"/>
    <d v="2011-01-19T00:00:00"/>
    <x v="0"/>
    <n v="1"/>
    <x v="5"/>
    <b v="0"/>
    <x v="4"/>
    <n v="2"/>
    <n v="0.22"/>
    <n v="0"/>
    <n v="0.28789999999999999"/>
    <n v="0.81"/>
    <n v="0"/>
    <n v="3"/>
    <n v="13"/>
    <n v="16"/>
    <x v="1"/>
    <x v="0"/>
    <x v="1"/>
  </r>
  <r>
    <n v="414"/>
    <d v="2011-01-19T00:00:00"/>
    <x v="0"/>
    <n v="1"/>
    <x v="6"/>
    <b v="0"/>
    <x v="4"/>
    <n v="2"/>
    <n v="0.22"/>
    <n v="0"/>
    <n v="0.28789999999999999"/>
    <n v="0.81"/>
    <n v="0"/>
    <n v="3"/>
    <n v="13"/>
    <n v="16"/>
    <x v="1"/>
    <x v="0"/>
    <x v="1"/>
  </r>
  <r>
    <n v="415"/>
    <d v="2011-01-19T00:00:00"/>
    <x v="0"/>
    <n v="1"/>
    <x v="7"/>
    <b v="0"/>
    <x v="4"/>
    <n v="2"/>
    <n v="0.24"/>
    <n v="0"/>
    <n v="0.28789999999999999"/>
    <n v="0.81"/>
    <n v="0"/>
    <n v="3"/>
    <n v="13"/>
    <n v="16"/>
    <x v="1"/>
    <x v="0"/>
    <x v="1"/>
  </r>
  <r>
    <n v="416"/>
    <d v="2011-01-19T00:00:00"/>
    <x v="0"/>
    <n v="1"/>
    <x v="8"/>
    <b v="0"/>
    <x v="4"/>
    <n v="2"/>
    <n v="0.24"/>
    <n v="0"/>
    <n v="0.28789999999999999"/>
    <n v="0.81"/>
    <n v="0"/>
    <n v="3"/>
    <n v="13"/>
    <n v="16"/>
    <x v="1"/>
    <x v="0"/>
    <x v="1"/>
  </r>
  <r>
    <n v="417"/>
    <d v="2011-01-19T00:00:00"/>
    <x v="0"/>
    <n v="1"/>
    <x v="9"/>
    <b v="0"/>
    <x v="4"/>
    <n v="2"/>
    <n v="0.24"/>
    <n v="0"/>
    <n v="0.28789999999999999"/>
    <n v="0.81"/>
    <n v="0"/>
    <n v="3"/>
    <n v="13"/>
    <n v="16"/>
    <x v="1"/>
    <x v="0"/>
    <x v="1"/>
  </r>
  <r>
    <n v="418"/>
    <d v="2011-01-19T00:00:00"/>
    <x v="0"/>
    <n v="1"/>
    <x v="10"/>
    <b v="0"/>
    <x v="4"/>
    <n v="2"/>
    <n v="0.26"/>
    <n v="0"/>
    <n v="0.28789999999999999"/>
    <n v="0.81"/>
    <n v="0"/>
    <n v="3"/>
    <n v="13"/>
    <n v="16"/>
    <x v="1"/>
    <x v="0"/>
    <x v="1"/>
  </r>
  <r>
    <n v="419"/>
    <d v="2011-01-19T00:00:00"/>
    <x v="0"/>
    <n v="1"/>
    <x v="11"/>
    <b v="0"/>
    <x v="4"/>
    <n v="2"/>
    <n v="0.28000000000000003"/>
    <n v="0"/>
    <n v="0.28789999999999999"/>
    <n v="0.81"/>
    <n v="0"/>
    <n v="3"/>
    <n v="13"/>
    <n v="16"/>
    <x v="1"/>
    <x v="0"/>
    <x v="1"/>
  </r>
  <r>
    <n v="420"/>
    <d v="2011-01-19T00:00:00"/>
    <x v="0"/>
    <n v="1"/>
    <x v="12"/>
    <b v="0"/>
    <x v="4"/>
    <n v="2"/>
    <n v="0.3"/>
    <n v="0"/>
    <n v="0.28789999999999999"/>
    <n v="0.81"/>
    <n v="0"/>
    <n v="3"/>
    <n v="13"/>
    <n v="16"/>
    <x v="1"/>
    <x v="1"/>
    <x v="1"/>
  </r>
  <r>
    <n v="421"/>
    <d v="2011-01-19T00:00:00"/>
    <x v="0"/>
    <n v="1"/>
    <x v="13"/>
    <b v="0"/>
    <x v="4"/>
    <n v="1"/>
    <n v="0.4"/>
    <n v="0"/>
    <n v="0.28789999999999999"/>
    <n v="0.81"/>
    <n v="0"/>
    <n v="3"/>
    <n v="13"/>
    <n v="16"/>
    <x v="1"/>
    <x v="1"/>
    <x v="0"/>
  </r>
  <r>
    <n v="422"/>
    <d v="2011-01-19T00:00:00"/>
    <x v="0"/>
    <n v="1"/>
    <x v="14"/>
    <b v="0"/>
    <x v="4"/>
    <n v="1"/>
    <n v="0.4"/>
    <n v="0"/>
    <n v="0.28789999999999999"/>
    <n v="0.81"/>
    <n v="0"/>
    <n v="3"/>
    <n v="13"/>
    <n v="16"/>
    <x v="1"/>
    <x v="1"/>
    <x v="0"/>
  </r>
  <r>
    <n v="423"/>
    <d v="2011-01-19T00:00:00"/>
    <x v="0"/>
    <n v="1"/>
    <x v="15"/>
    <b v="0"/>
    <x v="4"/>
    <n v="1"/>
    <n v="0.4"/>
    <n v="0"/>
    <n v="0.28789999999999999"/>
    <n v="0.81"/>
    <n v="0"/>
    <n v="3"/>
    <n v="13"/>
    <n v="16"/>
    <x v="1"/>
    <x v="1"/>
    <x v="0"/>
  </r>
  <r>
    <n v="424"/>
    <d v="2011-01-19T00:00:00"/>
    <x v="0"/>
    <n v="1"/>
    <x v="16"/>
    <b v="0"/>
    <x v="4"/>
    <n v="1"/>
    <n v="0.38"/>
    <n v="0"/>
    <n v="0.28789999999999999"/>
    <n v="0.81"/>
    <n v="0"/>
    <n v="3"/>
    <n v="13"/>
    <n v="16"/>
    <x v="1"/>
    <x v="2"/>
    <x v="0"/>
  </r>
  <r>
    <n v="425"/>
    <d v="2011-01-19T00:00:00"/>
    <x v="0"/>
    <n v="1"/>
    <x v="17"/>
    <b v="0"/>
    <x v="4"/>
    <n v="1"/>
    <n v="0.36"/>
    <n v="0"/>
    <n v="0.28789999999999999"/>
    <n v="0.81"/>
    <n v="0"/>
    <n v="3"/>
    <n v="13"/>
    <n v="16"/>
    <x v="1"/>
    <x v="2"/>
    <x v="0"/>
  </r>
  <r>
    <n v="426"/>
    <d v="2011-01-19T00:00:00"/>
    <x v="0"/>
    <n v="1"/>
    <x v="18"/>
    <b v="0"/>
    <x v="4"/>
    <n v="1"/>
    <n v="0.34"/>
    <n v="0"/>
    <n v="0.28789999999999999"/>
    <n v="0.81"/>
    <n v="0"/>
    <n v="3"/>
    <n v="13"/>
    <n v="16"/>
    <x v="1"/>
    <x v="2"/>
    <x v="0"/>
  </r>
  <r>
    <n v="427"/>
    <d v="2011-01-19T00:00:00"/>
    <x v="0"/>
    <n v="1"/>
    <x v="19"/>
    <b v="0"/>
    <x v="4"/>
    <n v="1"/>
    <n v="0.32"/>
    <n v="0"/>
    <n v="0.28789999999999999"/>
    <n v="0.81"/>
    <n v="0"/>
    <n v="3"/>
    <n v="13"/>
    <n v="16"/>
    <x v="1"/>
    <x v="2"/>
    <x v="0"/>
  </r>
  <r>
    <n v="428"/>
    <d v="2011-01-19T00:00:00"/>
    <x v="0"/>
    <n v="1"/>
    <x v="20"/>
    <b v="0"/>
    <x v="4"/>
    <n v="1"/>
    <n v="0.32"/>
    <n v="0"/>
    <n v="0.28789999999999999"/>
    <n v="0.81"/>
    <n v="0"/>
    <n v="3"/>
    <n v="13"/>
    <n v="16"/>
    <x v="1"/>
    <x v="2"/>
    <x v="0"/>
  </r>
  <r>
    <n v="429"/>
    <d v="2011-01-19T00:00:00"/>
    <x v="0"/>
    <n v="1"/>
    <x v="21"/>
    <b v="0"/>
    <x v="4"/>
    <n v="1"/>
    <n v="0.32"/>
    <n v="0"/>
    <n v="0.28789999999999999"/>
    <n v="0.81"/>
    <n v="0"/>
    <n v="3"/>
    <n v="13"/>
    <n v="16"/>
    <x v="1"/>
    <x v="3"/>
    <x v="0"/>
  </r>
  <r>
    <n v="430"/>
    <d v="2011-01-19T00:00:00"/>
    <x v="0"/>
    <n v="1"/>
    <x v="22"/>
    <b v="0"/>
    <x v="4"/>
    <n v="1"/>
    <n v="0.3"/>
    <n v="0"/>
    <n v="0.28789999999999999"/>
    <n v="0.81"/>
    <n v="0"/>
    <n v="3"/>
    <n v="13"/>
    <n v="16"/>
    <x v="1"/>
    <x v="3"/>
    <x v="0"/>
  </r>
  <r>
    <n v="431"/>
    <d v="2011-01-19T00:00:00"/>
    <x v="0"/>
    <n v="1"/>
    <x v="23"/>
    <b v="0"/>
    <x v="4"/>
    <n v="1"/>
    <n v="0.3"/>
    <n v="0"/>
    <n v="0.28789999999999999"/>
    <n v="0.81"/>
    <n v="0"/>
    <n v="3"/>
    <n v="13"/>
    <n v="16"/>
    <x v="1"/>
    <x v="3"/>
    <x v="0"/>
  </r>
  <r>
    <n v="432"/>
    <d v="2011-01-20T00:00:00"/>
    <x v="0"/>
    <n v="1"/>
    <x v="0"/>
    <b v="0"/>
    <x v="5"/>
    <n v="1"/>
    <n v="0.26"/>
    <n v="0"/>
    <n v="0.28789999999999999"/>
    <n v="0.81"/>
    <n v="0"/>
    <n v="3"/>
    <n v="13"/>
    <n v="16"/>
    <x v="1"/>
    <x v="0"/>
    <x v="0"/>
  </r>
  <r>
    <n v="433"/>
    <d v="2011-01-20T00:00:00"/>
    <x v="0"/>
    <n v="1"/>
    <x v="1"/>
    <b v="0"/>
    <x v="5"/>
    <n v="1"/>
    <n v="0.26"/>
    <n v="0"/>
    <n v="0.28789999999999999"/>
    <n v="0.81"/>
    <n v="0"/>
    <n v="3"/>
    <n v="13"/>
    <n v="16"/>
    <x v="1"/>
    <x v="0"/>
    <x v="0"/>
  </r>
  <r>
    <n v="434"/>
    <d v="2011-01-20T00:00:00"/>
    <x v="0"/>
    <n v="1"/>
    <x v="2"/>
    <b v="0"/>
    <x v="5"/>
    <n v="1"/>
    <n v="0.26"/>
    <n v="0"/>
    <n v="0.28789999999999999"/>
    <n v="0.81"/>
    <n v="0"/>
    <n v="3"/>
    <n v="13"/>
    <n v="16"/>
    <x v="1"/>
    <x v="0"/>
    <x v="0"/>
  </r>
  <r>
    <n v="435"/>
    <d v="2011-01-20T00:00:00"/>
    <x v="0"/>
    <n v="1"/>
    <x v="3"/>
    <b v="0"/>
    <x v="5"/>
    <n v="1"/>
    <n v="0.26"/>
    <n v="0"/>
    <n v="0.28789999999999999"/>
    <n v="0.81"/>
    <n v="0"/>
    <n v="3"/>
    <n v="13"/>
    <n v="16"/>
    <x v="1"/>
    <x v="0"/>
    <x v="0"/>
  </r>
  <r>
    <n v="436"/>
    <d v="2011-01-20T00:00:00"/>
    <x v="0"/>
    <n v="1"/>
    <x v="4"/>
    <b v="0"/>
    <x v="5"/>
    <n v="1"/>
    <n v="0.26"/>
    <n v="0"/>
    <n v="0.28789999999999999"/>
    <n v="0.81"/>
    <n v="0"/>
    <n v="3"/>
    <n v="13"/>
    <n v="16"/>
    <x v="1"/>
    <x v="0"/>
    <x v="0"/>
  </r>
  <r>
    <n v="437"/>
    <d v="2011-01-20T00:00:00"/>
    <x v="0"/>
    <n v="1"/>
    <x v="5"/>
    <b v="0"/>
    <x v="5"/>
    <n v="1"/>
    <n v="0.24"/>
    <n v="0"/>
    <n v="0.28789999999999999"/>
    <n v="0.81"/>
    <n v="0"/>
    <n v="3"/>
    <n v="13"/>
    <n v="16"/>
    <x v="1"/>
    <x v="0"/>
    <x v="0"/>
  </r>
  <r>
    <n v="438"/>
    <d v="2011-01-20T00:00:00"/>
    <x v="0"/>
    <n v="1"/>
    <x v="6"/>
    <b v="0"/>
    <x v="5"/>
    <n v="1"/>
    <n v="0.22"/>
    <n v="0"/>
    <n v="0.28789999999999999"/>
    <n v="0.81"/>
    <n v="0"/>
    <n v="3"/>
    <n v="13"/>
    <n v="16"/>
    <x v="1"/>
    <x v="0"/>
    <x v="0"/>
  </r>
  <r>
    <n v="439"/>
    <d v="2011-01-20T00:00:00"/>
    <x v="0"/>
    <n v="1"/>
    <x v="7"/>
    <b v="0"/>
    <x v="5"/>
    <n v="1"/>
    <n v="0.22"/>
    <n v="0"/>
    <n v="0.28789999999999999"/>
    <n v="0.81"/>
    <n v="0"/>
    <n v="3"/>
    <n v="13"/>
    <n v="16"/>
    <x v="1"/>
    <x v="0"/>
    <x v="0"/>
  </r>
  <r>
    <n v="440"/>
    <d v="2011-01-20T00:00:00"/>
    <x v="0"/>
    <n v="1"/>
    <x v="8"/>
    <b v="0"/>
    <x v="5"/>
    <n v="1"/>
    <n v="0.22"/>
    <n v="0"/>
    <n v="0.28789999999999999"/>
    <n v="0.81"/>
    <n v="0"/>
    <n v="3"/>
    <n v="13"/>
    <n v="16"/>
    <x v="1"/>
    <x v="0"/>
    <x v="0"/>
  </r>
  <r>
    <n v="441"/>
    <d v="2011-01-20T00:00:00"/>
    <x v="0"/>
    <n v="1"/>
    <x v="9"/>
    <b v="0"/>
    <x v="5"/>
    <n v="2"/>
    <n v="0.24"/>
    <n v="0"/>
    <n v="0.28789999999999999"/>
    <n v="0.81"/>
    <n v="0"/>
    <n v="3"/>
    <n v="13"/>
    <n v="16"/>
    <x v="1"/>
    <x v="0"/>
    <x v="1"/>
  </r>
  <r>
    <n v="442"/>
    <d v="2011-01-20T00:00:00"/>
    <x v="0"/>
    <n v="1"/>
    <x v="10"/>
    <b v="0"/>
    <x v="5"/>
    <n v="1"/>
    <n v="0.26"/>
    <n v="0"/>
    <n v="0.28789999999999999"/>
    <n v="0.81"/>
    <n v="0"/>
    <n v="3"/>
    <n v="13"/>
    <n v="16"/>
    <x v="1"/>
    <x v="0"/>
    <x v="0"/>
  </r>
  <r>
    <n v="443"/>
    <d v="2011-01-20T00:00:00"/>
    <x v="0"/>
    <n v="1"/>
    <x v="11"/>
    <b v="0"/>
    <x v="5"/>
    <n v="2"/>
    <n v="0.28000000000000003"/>
    <n v="0"/>
    <n v="0.28789999999999999"/>
    <n v="0.81"/>
    <n v="0"/>
    <n v="3"/>
    <n v="13"/>
    <n v="16"/>
    <x v="1"/>
    <x v="0"/>
    <x v="1"/>
  </r>
  <r>
    <n v="444"/>
    <d v="2011-01-20T00:00:00"/>
    <x v="0"/>
    <n v="1"/>
    <x v="12"/>
    <b v="0"/>
    <x v="5"/>
    <n v="2"/>
    <n v="0.3"/>
    <n v="0"/>
    <n v="0.28789999999999999"/>
    <n v="0.81"/>
    <n v="0"/>
    <n v="3"/>
    <n v="13"/>
    <n v="16"/>
    <x v="1"/>
    <x v="1"/>
    <x v="1"/>
  </r>
  <r>
    <n v="445"/>
    <d v="2011-01-20T00:00:00"/>
    <x v="0"/>
    <n v="1"/>
    <x v="13"/>
    <b v="0"/>
    <x v="5"/>
    <n v="2"/>
    <n v="0.28000000000000003"/>
    <n v="0"/>
    <n v="0.28789999999999999"/>
    <n v="0.81"/>
    <n v="0"/>
    <n v="3"/>
    <n v="13"/>
    <n v="16"/>
    <x v="1"/>
    <x v="1"/>
    <x v="1"/>
  </r>
  <r>
    <n v="446"/>
    <d v="2011-01-20T00:00:00"/>
    <x v="0"/>
    <n v="1"/>
    <x v="14"/>
    <b v="0"/>
    <x v="5"/>
    <n v="2"/>
    <n v="0.3"/>
    <n v="0"/>
    <n v="0.28789999999999999"/>
    <n v="0.81"/>
    <n v="0"/>
    <n v="3"/>
    <n v="13"/>
    <n v="16"/>
    <x v="1"/>
    <x v="1"/>
    <x v="1"/>
  </r>
  <r>
    <n v="447"/>
    <d v="2011-01-20T00:00:00"/>
    <x v="0"/>
    <n v="1"/>
    <x v="15"/>
    <b v="0"/>
    <x v="5"/>
    <n v="2"/>
    <n v="0.32"/>
    <n v="0"/>
    <n v="0.28789999999999999"/>
    <n v="0.81"/>
    <n v="0"/>
    <n v="3"/>
    <n v="13"/>
    <n v="16"/>
    <x v="1"/>
    <x v="1"/>
    <x v="1"/>
  </r>
  <r>
    <n v="448"/>
    <d v="2011-01-20T00:00:00"/>
    <x v="0"/>
    <n v="1"/>
    <x v="16"/>
    <b v="0"/>
    <x v="5"/>
    <n v="2"/>
    <n v="0.3"/>
    <n v="0"/>
    <n v="0.28789999999999999"/>
    <n v="0.81"/>
    <n v="0"/>
    <n v="3"/>
    <n v="13"/>
    <n v="16"/>
    <x v="1"/>
    <x v="2"/>
    <x v="1"/>
  </r>
  <r>
    <n v="449"/>
    <d v="2011-01-20T00:00:00"/>
    <x v="0"/>
    <n v="1"/>
    <x v="17"/>
    <b v="0"/>
    <x v="5"/>
    <n v="2"/>
    <n v="0.3"/>
    <n v="0"/>
    <n v="0.28789999999999999"/>
    <n v="0.81"/>
    <n v="0"/>
    <n v="3"/>
    <n v="13"/>
    <n v="16"/>
    <x v="1"/>
    <x v="2"/>
    <x v="1"/>
  </r>
  <r>
    <n v="450"/>
    <d v="2011-01-20T00:00:00"/>
    <x v="0"/>
    <n v="1"/>
    <x v="18"/>
    <b v="0"/>
    <x v="5"/>
    <n v="2"/>
    <n v="0.26"/>
    <n v="0"/>
    <n v="0.28789999999999999"/>
    <n v="0.81"/>
    <n v="0"/>
    <n v="3"/>
    <n v="13"/>
    <n v="16"/>
    <x v="1"/>
    <x v="2"/>
    <x v="1"/>
  </r>
  <r>
    <n v="451"/>
    <d v="2011-01-20T00:00:00"/>
    <x v="0"/>
    <n v="1"/>
    <x v="19"/>
    <b v="0"/>
    <x v="5"/>
    <n v="1"/>
    <n v="0.26"/>
    <n v="0"/>
    <n v="0.28789999999999999"/>
    <n v="0.81"/>
    <n v="0"/>
    <n v="3"/>
    <n v="13"/>
    <n v="16"/>
    <x v="1"/>
    <x v="2"/>
    <x v="0"/>
  </r>
  <r>
    <n v="452"/>
    <d v="2011-01-20T00:00:00"/>
    <x v="0"/>
    <n v="1"/>
    <x v="20"/>
    <b v="0"/>
    <x v="5"/>
    <n v="2"/>
    <n v="0.26"/>
    <n v="0"/>
    <n v="0.28789999999999999"/>
    <n v="0.81"/>
    <n v="0"/>
    <n v="3"/>
    <n v="13"/>
    <n v="16"/>
    <x v="1"/>
    <x v="2"/>
    <x v="1"/>
  </r>
  <r>
    <n v="453"/>
    <d v="2011-01-20T00:00:00"/>
    <x v="0"/>
    <n v="1"/>
    <x v="21"/>
    <b v="0"/>
    <x v="5"/>
    <n v="2"/>
    <n v="0.24"/>
    <n v="0"/>
    <n v="0.28789999999999999"/>
    <n v="0.81"/>
    <n v="0"/>
    <n v="3"/>
    <n v="13"/>
    <n v="16"/>
    <x v="1"/>
    <x v="3"/>
    <x v="1"/>
  </r>
  <r>
    <n v="454"/>
    <d v="2011-01-20T00:00:00"/>
    <x v="0"/>
    <n v="1"/>
    <x v="22"/>
    <b v="0"/>
    <x v="5"/>
    <n v="2"/>
    <n v="0.24"/>
    <n v="0"/>
    <n v="0.28789999999999999"/>
    <n v="0.81"/>
    <n v="0"/>
    <n v="3"/>
    <n v="13"/>
    <n v="16"/>
    <x v="1"/>
    <x v="3"/>
    <x v="1"/>
  </r>
  <r>
    <n v="455"/>
    <d v="2011-01-20T00:00:00"/>
    <x v="0"/>
    <n v="1"/>
    <x v="23"/>
    <b v="0"/>
    <x v="5"/>
    <n v="2"/>
    <n v="0.24"/>
    <n v="0"/>
    <n v="0.28789999999999999"/>
    <n v="0.81"/>
    <n v="0"/>
    <n v="3"/>
    <n v="13"/>
    <n v="16"/>
    <x v="1"/>
    <x v="3"/>
    <x v="1"/>
  </r>
  <r>
    <n v="456"/>
    <d v="2011-01-21T00:00:00"/>
    <x v="0"/>
    <n v="1"/>
    <x v="0"/>
    <b v="0"/>
    <x v="6"/>
    <n v="2"/>
    <n v="0.24"/>
    <n v="0"/>
    <n v="0.28789999999999999"/>
    <n v="0.81"/>
    <n v="0"/>
    <n v="3"/>
    <n v="13"/>
    <n v="16"/>
    <x v="0"/>
    <x v="0"/>
    <x v="1"/>
  </r>
  <r>
    <n v="457"/>
    <d v="2011-01-21T00:00:00"/>
    <x v="0"/>
    <n v="1"/>
    <x v="1"/>
    <b v="0"/>
    <x v="6"/>
    <n v="2"/>
    <n v="0.24"/>
    <n v="0"/>
    <n v="0.28789999999999999"/>
    <n v="0.81"/>
    <n v="0"/>
    <n v="3"/>
    <n v="13"/>
    <n v="16"/>
    <x v="0"/>
    <x v="0"/>
    <x v="1"/>
  </r>
  <r>
    <n v="458"/>
    <d v="2011-01-21T00:00:00"/>
    <x v="0"/>
    <n v="1"/>
    <x v="2"/>
    <b v="0"/>
    <x v="6"/>
    <n v="3"/>
    <n v="0.24"/>
    <n v="0"/>
    <n v="0.28789999999999999"/>
    <n v="0.81"/>
    <n v="0"/>
    <n v="3"/>
    <n v="13"/>
    <n v="16"/>
    <x v="0"/>
    <x v="0"/>
    <x v="2"/>
  </r>
  <r>
    <n v="459"/>
    <d v="2011-01-21T00:00:00"/>
    <x v="0"/>
    <n v="1"/>
    <x v="3"/>
    <b v="0"/>
    <x v="6"/>
    <n v="3"/>
    <n v="0.22"/>
    <n v="0"/>
    <n v="0.28789999999999999"/>
    <n v="0.81"/>
    <n v="0"/>
    <n v="3"/>
    <n v="13"/>
    <n v="16"/>
    <x v="0"/>
    <x v="0"/>
    <x v="2"/>
  </r>
  <r>
    <n v="460"/>
    <d v="2011-01-21T00:00:00"/>
    <x v="0"/>
    <n v="1"/>
    <x v="4"/>
    <b v="0"/>
    <x v="6"/>
    <n v="2"/>
    <n v="0.22"/>
    <n v="0"/>
    <n v="0.28789999999999999"/>
    <n v="0.81"/>
    <n v="0"/>
    <n v="3"/>
    <n v="13"/>
    <n v="16"/>
    <x v="0"/>
    <x v="0"/>
    <x v="1"/>
  </r>
  <r>
    <n v="461"/>
    <d v="2011-01-21T00:00:00"/>
    <x v="0"/>
    <n v="1"/>
    <x v="5"/>
    <b v="0"/>
    <x v="6"/>
    <n v="1"/>
    <n v="0.24"/>
    <n v="0"/>
    <n v="0.28789999999999999"/>
    <n v="0.81"/>
    <n v="0"/>
    <n v="3"/>
    <n v="13"/>
    <n v="16"/>
    <x v="0"/>
    <x v="0"/>
    <x v="0"/>
  </r>
  <r>
    <n v="462"/>
    <d v="2011-01-21T00:00:00"/>
    <x v="0"/>
    <n v="1"/>
    <x v="6"/>
    <b v="0"/>
    <x v="6"/>
    <n v="1"/>
    <n v="0.22"/>
    <n v="0"/>
    <n v="0.28789999999999999"/>
    <n v="0.81"/>
    <n v="0"/>
    <n v="3"/>
    <n v="13"/>
    <n v="16"/>
    <x v="0"/>
    <x v="0"/>
    <x v="0"/>
  </r>
  <r>
    <n v="463"/>
    <d v="2011-01-21T00:00:00"/>
    <x v="0"/>
    <n v="1"/>
    <x v="7"/>
    <b v="0"/>
    <x v="6"/>
    <n v="1"/>
    <n v="0.2"/>
    <n v="0"/>
    <n v="0.28789999999999999"/>
    <n v="0.81"/>
    <n v="0"/>
    <n v="3"/>
    <n v="13"/>
    <n v="16"/>
    <x v="0"/>
    <x v="0"/>
    <x v="0"/>
  </r>
  <r>
    <n v="464"/>
    <d v="2011-01-21T00:00:00"/>
    <x v="0"/>
    <n v="1"/>
    <x v="8"/>
    <b v="0"/>
    <x v="6"/>
    <n v="1"/>
    <n v="0.2"/>
    <n v="0"/>
    <n v="0.28789999999999999"/>
    <n v="0.81"/>
    <n v="0"/>
    <n v="3"/>
    <n v="13"/>
    <n v="16"/>
    <x v="0"/>
    <x v="0"/>
    <x v="0"/>
  </r>
  <r>
    <n v="465"/>
    <d v="2011-01-21T00:00:00"/>
    <x v="0"/>
    <n v="1"/>
    <x v="9"/>
    <b v="0"/>
    <x v="6"/>
    <n v="1"/>
    <n v="0.2"/>
    <n v="0"/>
    <n v="0.28789999999999999"/>
    <n v="0.81"/>
    <n v="0"/>
    <n v="3"/>
    <n v="13"/>
    <n v="16"/>
    <x v="0"/>
    <x v="0"/>
    <x v="0"/>
  </r>
  <r>
    <n v="466"/>
    <d v="2011-01-21T00:00:00"/>
    <x v="0"/>
    <n v="1"/>
    <x v="10"/>
    <b v="0"/>
    <x v="6"/>
    <n v="1"/>
    <n v="0.2"/>
    <n v="0"/>
    <n v="0.28789999999999999"/>
    <n v="0.81"/>
    <n v="0"/>
    <n v="3"/>
    <n v="13"/>
    <n v="16"/>
    <x v="0"/>
    <x v="0"/>
    <x v="0"/>
  </r>
  <r>
    <n v="467"/>
    <d v="2011-01-21T00:00:00"/>
    <x v="0"/>
    <n v="1"/>
    <x v="11"/>
    <b v="0"/>
    <x v="6"/>
    <n v="1"/>
    <n v="0.22"/>
    <n v="0"/>
    <n v="0.28789999999999999"/>
    <n v="0.81"/>
    <n v="0"/>
    <n v="3"/>
    <n v="13"/>
    <n v="16"/>
    <x v="0"/>
    <x v="0"/>
    <x v="0"/>
  </r>
  <r>
    <n v="468"/>
    <d v="2011-01-21T00:00:00"/>
    <x v="0"/>
    <n v="1"/>
    <x v="12"/>
    <b v="0"/>
    <x v="6"/>
    <n v="1"/>
    <n v="0.22"/>
    <n v="0"/>
    <n v="0.28789999999999999"/>
    <n v="0.81"/>
    <n v="0"/>
    <n v="3"/>
    <n v="13"/>
    <n v="16"/>
    <x v="0"/>
    <x v="1"/>
    <x v="0"/>
  </r>
  <r>
    <n v="469"/>
    <d v="2011-01-21T00:00:00"/>
    <x v="0"/>
    <n v="1"/>
    <x v="13"/>
    <b v="0"/>
    <x v="6"/>
    <n v="1"/>
    <n v="0.2"/>
    <n v="0"/>
    <n v="0.28789999999999999"/>
    <n v="0.81"/>
    <n v="0"/>
    <n v="3"/>
    <n v="13"/>
    <n v="16"/>
    <x v="0"/>
    <x v="1"/>
    <x v="0"/>
  </r>
  <r>
    <n v="470"/>
    <d v="2011-01-21T00:00:00"/>
    <x v="0"/>
    <n v="1"/>
    <x v="14"/>
    <b v="0"/>
    <x v="6"/>
    <n v="1"/>
    <n v="0.2"/>
    <n v="0"/>
    <n v="0.28789999999999999"/>
    <n v="0.81"/>
    <n v="0"/>
    <n v="3"/>
    <n v="13"/>
    <n v="16"/>
    <x v="0"/>
    <x v="1"/>
    <x v="0"/>
  </r>
  <r>
    <n v="471"/>
    <d v="2011-01-21T00:00:00"/>
    <x v="0"/>
    <n v="1"/>
    <x v="15"/>
    <b v="0"/>
    <x v="6"/>
    <n v="1"/>
    <n v="0.16"/>
    <n v="0"/>
    <n v="0.28789999999999999"/>
    <n v="0.81"/>
    <n v="0"/>
    <n v="3"/>
    <n v="13"/>
    <n v="16"/>
    <x v="0"/>
    <x v="1"/>
    <x v="0"/>
  </r>
  <r>
    <n v="472"/>
    <d v="2011-01-21T00:00:00"/>
    <x v="0"/>
    <n v="1"/>
    <x v="16"/>
    <b v="0"/>
    <x v="6"/>
    <n v="1"/>
    <n v="0.16"/>
    <n v="0"/>
    <n v="0.28789999999999999"/>
    <n v="0.81"/>
    <n v="0"/>
    <n v="3"/>
    <n v="13"/>
    <n v="16"/>
    <x v="0"/>
    <x v="2"/>
    <x v="0"/>
  </r>
  <r>
    <n v="473"/>
    <d v="2011-01-21T00:00:00"/>
    <x v="0"/>
    <n v="1"/>
    <x v="17"/>
    <b v="0"/>
    <x v="6"/>
    <n v="1"/>
    <n v="0.14000000000000001"/>
    <n v="0"/>
    <n v="0.28789999999999999"/>
    <n v="0.81"/>
    <n v="0"/>
    <n v="3"/>
    <n v="13"/>
    <n v="16"/>
    <x v="0"/>
    <x v="2"/>
    <x v="0"/>
  </r>
  <r>
    <n v="474"/>
    <d v="2011-01-21T00:00:00"/>
    <x v="0"/>
    <n v="1"/>
    <x v="18"/>
    <b v="0"/>
    <x v="6"/>
    <n v="1"/>
    <n v="0.12"/>
    <n v="0"/>
    <n v="0.28789999999999999"/>
    <n v="0.81"/>
    <n v="0"/>
    <n v="3"/>
    <n v="13"/>
    <n v="16"/>
    <x v="0"/>
    <x v="2"/>
    <x v="0"/>
  </r>
  <r>
    <n v="475"/>
    <d v="2011-01-21T00:00:00"/>
    <x v="0"/>
    <n v="1"/>
    <x v="19"/>
    <b v="0"/>
    <x v="6"/>
    <n v="1"/>
    <n v="0.12"/>
    <n v="0"/>
    <n v="0.28789999999999999"/>
    <n v="0.81"/>
    <n v="0"/>
    <n v="3"/>
    <n v="13"/>
    <n v="16"/>
    <x v="0"/>
    <x v="2"/>
    <x v="0"/>
  </r>
  <r>
    <n v="476"/>
    <d v="2011-01-21T00:00:00"/>
    <x v="0"/>
    <n v="1"/>
    <x v="20"/>
    <b v="0"/>
    <x v="6"/>
    <n v="1"/>
    <n v="0.1"/>
    <n v="0"/>
    <n v="0.28789999999999999"/>
    <n v="0.81"/>
    <n v="0"/>
    <n v="3"/>
    <n v="13"/>
    <n v="16"/>
    <x v="0"/>
    <x v="2"/>
    <x v="0"/>
  </r>
  <r>
    <n v="477"/>
    <d v="2011-01-21T00:00:00"/>
    <x v="0"/>
    <n v="1"/>
    <x v="21"/>
    <b v="0"/>
    <x v="6"/>
    <n v="1"/>
    <n v="0.08"/>
    <n v="0"/>
    <n v="0.28789999999999999"/>
    <n v="0.81"/>
    <n v="0"/>
    <n v="3"/>
    <n v="13"/>
    <n v="16"/>
    <x v="0"/>
    <x v="3"/>
    <x v="0"/>
  </r>
  <r>
    <n v="478"/>
    <d v="2011-01-21T00:00:00"/>
    <x v="0"/>
    <n v="1"/>
    <x v="22"/>
    <b v="0"/>
    <x v="6"/>
    <n v="1"/>
    <n v="0.06"/>
    <n v="0"/>
    <n v="0.28789999999999999"/>
    <n v="0.81"/>
    <n v="0"/>
    <n v="3"/>
    <n v="13"/>
    <n v="16"/>
    <x v="0"/>
    <x v="3"/>
    <x v="0"/>
  </r>
  <r>
    <n v="479"/>
    <d v="2011-01-21T00:00:00"/>
    <x v="0"/>
    <n v="1"/>
    <x v="23"/>
    <b v="0"/>
    <x v="6"/>
    <n v="1"/>
    <n v="0.06"/>
    <n v="0"/>
    <n v="0.28789999999999999"/>
    <n v="0.81"/>
    <n v="0"/>
    <n v="3"/>
    <n v="13"/>
    <n v="16"/>
    <x v="0"/>
    <x v="3"/>
    <x v="0"/>
  </r>
  <r>
    <n v="480"/>
    <d v="2011-01-22T00:00:00"/>
    <x v="0"/>
    <n v="1"/>
    <x v="0"/>
    <b v="0"/>
    <x v="0"/>
    <n v="1"/>
    <n v="0.04"/>
    <n v="0"/>
    <n v="0.28789999999999999"/>
    <n v="0.81"/>
    <n v="0"/>
    <n v="3"/>
    <n v="13"/>
    <n v="16"/>
    <x v="0"/>
    <x v="0"/>
    <x v="0"/>
  </r>
  <r>
    <n v="481"/>
    <d v="2011-01-22T00:00:00"/>
    <x v="0"/>
    <n v="1"/>
    <x v="1"/>
    <b v="0"/>
    <x v="0"/>
    <n v="2"/>
    <n v="0.04"/>
    <n v="0"/>
    <n v="0.28789999999999999"/>
    <n v="0.81"/>
    <n v="0"/>
    <n v="3"/>
    <n v="13"/>
    <n v="16"/>
    <x v="0"/>
    <x v="0"/>
    <x v="1"/>
  </r>
  <r>
    <n v="482"/>
    <d v="2011-01-22T00:00:00"/>
    <x v="0"/>
    <n v="1"/>
    <x v="2"/>
    <b v="0"/>
    <x v="0"/>
    <n v="2"/>
    <n v="0.04"/>
    <n v="0"/>
    <n v="0.28789999999999999"/>
    <n v="0.81"/>
    <n v="0"/>
    <n v="3"/>
    <n v="13"/>
    <n v="16"/>
    <x v="0"/>
    <x v="0"/>
    <x v="1"/>
  </r>
  <r>
    <n v="483"/>
    <d v="2011-01-22T00:00:00"/>
    <x v="0"/>
    <n v="1"/>
    <x v="3"/>
    <b v="0"/>
    <x v="0"/>
    <n v="2"/>
    <n v="0.04"/>
    <n v="0"/>
    <n v="0.28789999999999999"/>
    <n v="0.81"/>
    <n v="0"/>
    <n v="3"/>
    <n v="13"/>
    <n v="16"/>
    <x v="0"/>
    <x v="0"/>
    <x v="1"/>
  </r>
  <r>
    <n v="484"/>
    <d v="2011-01-22T00:00:00"/>
    <x v="0"/>
    <n v="1"/>
    <x v="4"/>
    <b v="0"/>
    <x v="0"/>
    <n v="2"/>
    <n v="0.02"/>
    <n v="0"/>
    <n v="0.28789999999999999"/>
    <n v="0.81"/>
    <n v="0"/>
    <n v="3"/>
    <n v="13"/>
    <n v="16"/>
    <x v="0"/>
    <x v="0"/>
    <x v="1"/>
  </r>
  <r>
    <n v="485"/>
    <d v="2011-01-22T00:00:00"/>
    <x v="0"/>
    <n v="1"/>
    <x v="6"/>
    <b v="0"/>
    <x v="0"/>
    <n v="2"/>
    <n v="0.02"/>
    <n v="0"/>
    <n v="0.28789999999999999"/>
    <n v="0.81"/>
    <n v="0"/>
    <n v="3"/>
    <n v="13"/>
    <n v="16"/>
    <x v="0"/>
    <x v="0"/>
    <x v="1"/>
  </r>
  <r>
    <n v="486"/>
    <d v="2011-01-22T00:00:00"/>
    <x v="0"/>
    <n v="1"/>
    <x v="7"/>
    <b v="0"/>
    <x v="0"/>
    <n v="1"/>
    <n v="0.02"/>
    <n v="0"/>
    <n v="0.28789999999999999"/>
    <n v="0.81"/>
    <n v="0"/>
    <n v="3"/>
    <n v="13"/>
    <n v="16"/>
    <x v="0"/>
    <x v="0"/>
    <x v="0"/>
  </r>
  <r>
    <n v="487"/>
    <d v="2011-01-22T00:00:00"/>
    <x v="0"/>
    <n v="1"/>
    <x v="8"/>
    <b v="0"/>
    <x v="0"/>
    <n v="1"/>
    <n v="0.02"/>
    <n v="0"/>
    <n v="0.28789999999999999"/>
    <n v="0.81"/>
    <n v="0"/>
    <n v="3"/>
    <n v="13"/>
    <n v="16"/>
    <x v="0"/>
    <x v="0"/>
    <x v="0"/>
  </r>
  <r>
    <n v="488"/>
    <d v="2011-01-22T00:00:00"/>
    <x v="0"/>
    <n v="1"/>
    <x v="9"/>
    <b v="0"/>
    <x v="0"/>
    <n v="1"/>
    <n v="0.04"/>
    <n v="0"/>
    <n v="0.28789999999999999"/>
    <n v="0.81"/>
    <n v="0"/>
    <n v="3"/>
    <n v="13"/>
    <n v="16"/>
    <x v="0"/>
    <x v="0"/>
    <x v="0"/>
  </r>
  <r>
    <n v="489"/>
    <d v="2011-01-22T00:00:00"/>
    <x v="0"/>
    <n v="1"/>
    <x v="10"/>
    <b v="0"/>
    <x v="0"/>
    <n v="2"/>
    <n v="0.04"/>
    <n v="0"/>
    <n v="0.28789999999999999"/>
    <n v="0.81"/>
    <n v="0"/>
    <n v="3"/>
    <n v="13"/>
    <n v="16"/>
    <x v="0"/>
    <x v="0"/>
    <x v="1"/>
  </r>
  <r>
    <n v="490"/>
    <d v="2011-01-22T00:00:00"/>
    <x v="0"/>
    <n v="1"/>
    <x v="11"/>
    <b v="0"/>
    <x v="0"/>
    <n v="2"/>
    <n v="0.06"/>
    <n v="0"/>
    <n v="0.28789999999999999"/>
    <n v="0.81"/>
    <n v="0"/>
    <n v="3"/>
    <n v="13"/>
    <n v="16"/>
    <x v="0"/>
    <x v="0"/>
    <x v="1"/>
  </r>
  <r>
    <n v="491"/>
    <d v="2011-01-22T00:00:00"/>
    <x v="0"/>
    <n v="1"/>
    <x v="12"/>
    <b v="0"/>
    <x v="0"/>
    <n v="2"/>
    <n v="0.06"/>
    <n v="0"/>
    <n v="0.28789999999999999"/>
    <n v="0.81"/>
    <n v="0"/>
    <n v="3"/>
    <n v="13"/>
    <n v="16"/>
    <x v="0"/>
    <x v="1"/>
    <x v="1"/>
  </r>
  <r>
    <n v="492"/>
    <d v="2011-01-22T00:00:00"/>
    <x v="0"/>
    <n v="1"/>
    <x v="13"/>
    <b v="0"/>
    <x v="0"/>
    <n v="1"/>
    <n v="0.08"/>
    <n v="0"/>
    <n v="0.28789999999999999"/>
    <n v="0.81"/>
    <n v="0"/>
    <n v="3"/>
    <n v="13"/>
    <n v="16"/>
    <x v="0"/>
    <x v="1"/>
    <x v="0"/>
  </r>
  <r>
    <n v="493"/>
    <d v="2011-01-22T00:00:00"/>
    <x v="0"/>
    <n v="1"/>
    <x v="14"/>
    <b v="0"/>
    <x v="0"/>
    <n v="1"/>
    <n v="0.1"/>
    <n v="0"/>
    <n v="0.28789999999999999"/>
    <n v="0.81"/>
    <n v="0"/>
    <n v="3"/>
    <n v="13"/>
    <n v="16"/>
    <x v="0"/>
    <x v="1"/>
    <x v="0"/>
  </r>
  <r>
    <n v="494"/>
    <d v="2011-01-22T00:00:00"/>
    <x v="0"/>
    <n v="1"/>
    <x v="15"/>
    <b v="0"/>
    <x v="0"/>
    <n v="1"/>
    <n v="0.12"/>
    <n v="0"/>
    <n v="0.28789999999999999"/>
    <n v="0.81"/>
    <n v="0"/>
    <n v="3"/>
    <n v="13"/>
    <n v="16"/>
    <x v="0"/>
    <x v="1"/>
    <x v="0"/>
  </r>
  <r>
    <n v="495"/>
    <d v="2011-01-22T00:00:00"/>
    <x v="0"/>
    <n v="1"/>
    <x v="16"/>
    <b v="0"/>
    <x v="0"/>
    <n v="1"/>
    <n v="0.12"/>
    <n v="0"/>
    <n v="0.28789999999999999"/>
    <n v="0.81"/>
    <n v="0"/>
    <n v="3"/>
    <n v="13"/>
    <n v="16"/>
    <x v="0"/>
    <x v="2"/>
    <x v="0"/>
  </r>
  <r>
    <n v="496"/>
    <d v="2011-01-22T00:00:00"/>
    <x v="0"/>
    <n v="1"/>
    <x v="17"/>
    <b v="0"/>
    <x v="0"/>
    <n v="1"/>
    <n v="0.12"/>
    <n v="0"/>
    <n v="0.28789999999999999"/>
    <n v="0.81"/>
    <n v="0"/>
    <n v="3"/>
    <n v="13"/>
    <n v="16"/>
    <x v="0"/>
    <x v="2"/>
    <x v="0"/>
  </r>
  <r>
    <n v="497"/>
    <d v="2011-01-22T00:00:00"/>
    <x v="0"/>
    <n v="1"/>
    <x v="18"/>
    <b v="0"/>
    <x v="0"/>
    <n v="1"/>
    <n v="0.08"/>
    <n v="0"/>
    <n v="0.28789999999999999"/>
    <n v="0.81"/>
    <n v="0"/>
    <n v="3"/>
    <n v="13"/>
    <n v="16"/>
    <x v="0"/>
    <x v="2"/>
    <x v="0"/>
  </r>
  <r>
    <n v="498"/>
    <d v="2011-01-22T00:00:00"/>
    <x v="0"/>
    <n v="1"/>
    <x v="19"/>
    <b v="0"/>
    <x v="0"/>
    <n v="1"/>
    <n v="0.08"/>
    <n v="0"/>
    <n v="0.28789999999999999"/>
    <n v="0.81"/>
    <n v="0"/>
    <n v="3"/>
    <n v="13"/>
    <n v="16"/>
    <x v="0"/>
    <x v="2"/>
    <x v="0"/>
  </r>
  <r>
    <n v="499"/>
    <d v="2011-01-22T00:00:00"/>
    <x v="0"/>
    <n v="1"/>
    <x v="20"/>
    <b v="0"/>
    <x v="0"/>
    <n v="1"/>
    <n v="0.06"/>
    <n v="0"/>
    <n v="0.28789999999999999"/>
    <n v="0.81"/>
    <n v="0"/>
    <n v="3"/>
    <n v="13"/>
    <n v="16"/>
    <x v="0"/>
    <x v="2"/>
    <x v="0"/>
  </r>
  <r>
    <n v="500"/>
    <d v="2011-01-22T00:00:00"/>
    <x v="0"/>
    <n v="1"/>
    <x v="21"/>
    <b v="0"/>
    <x v="0"/>
    <n v="1"/>
    <n v="0.06"/>
    <n v="0"/>
    <n v="0.28789999999999999"/>
    <n v="0.81"/>
    <n v="0"/>
    <n v="3"/>
    <n v="13"/>
    <n v="16"/>
    <x v="0"/>
    <x v="3"/>
    <x v="0"/>
  </r>
  <r>
    <n v="501"/>
    <d v="2011-01-22T00:00:00"/>
    <x v="0"/>
    <n v="1"/>
    <x v="22"/>
    <b v="0"/>
    <x v="0"/>
    <n v="1"/>
    <n v="0.06"/>
    <n v="0"/>
    <n v="0.28789999999999999"/>
    <n v="0.81"/>
    <n v="0"/>
    <n v="3"/>
    <n v="13"/>
    <n v="16"/>
    <x v="0"/>
    <x v="3"/>
    <x v="0"/>
  </r>
  <r>
    <n v="502"/>
    <d v="2011-01-22T00:00:00"/>
    <x v="0"/>
    <n v="1"/>
    <x v="23"/>
    <b v="0"/>
    <x v="0"/>
    <n v="1"/>
    <n v="0.04"/>
    <n v="0"/>
    <n v="0.28789999999999999"/>
    <n v="0.81"/>
    <n v="0"/>
    <n v="3"/>
    <n v="13"/>
    <n v="16"/>
    <x v="0"/>
    <x v="3"/>
    <x v="0"/>
  </r>
  <r>
    <n v="503"/>
    <d v="2011-01-23T00:00:00"/>
    <x v="0"/>
    <n v="1"/>
    <x v="0"/>
    <b v="0"/>
    <x v="1"/>
    <n v="1"/>
    <n v="0.04"/>
    <n v="0"/>
    <n v="0.28789999999999999"/>
    <n v="0.81"/>
    <n v="0"/>
    <n v="3"/>
    <n v="13"/>
    <n v="16"/>
    <x v="1"/>
    <x v="0"/>
    <x v="0"/>
  </r>
  <r>
    <n v="504"/>
    <d v="2011-01-23T00:00:00"/>
    <x v="0"/>
    <n v="1"/>
    <x v="1"/>
    <b v="0"/>
    <x v="1"/>
    <n v="1"/>
    <n v="0.04"/>
    <n v="0"/>
    <n v="0.28789999999999999"/>
    <n v="0.81"/>
    <n v="0"/>
    <n v="3"/>
    <n v="13"/>
    <n v="16"/>
    <x v="1"/>
    <x v="0"/>
    <x v="0"/>
  </r>
  <r>
    <n v="505"/>
    <d v="2011-01-23T00:00:00"/>
    <x v="0"/>
    <n v="1"/>
    <x v="2"/>
    <b v="0"/>
    <x v="1"/>
    <n v="1"/>
    <n v="0.02"/>
    <n v="0"/>
    <n v="0.28789999999999999"/>
    <n v="0.81"/>
    <n v="0"/>
    <n v="3"/>
    <n v="13"/>
    <n v="16"/>
    <x v="1"/>
    <x v="0"/>
    <x v="0"/>
  </r>
  <r>
    <n v="506"/>
    <d v="2011-01-23T00:00:00"/>
    <x v="0"/>
    <n v="1"/>
    <x v="3"/>
    <b v="0"/>
    <x v="1"/>
    <n v="1"/>
    <n v="0.02"/>
    <n v="0"/>
    <n v="0.28789999999999999"/>
    <n v="0.81"/>
    <n v="0"/>
    <n v="3"/>
    <n v="13"/>
    <n v="16"/>
    <x v="1"/>
    <x v="0"/>
    <x v="0"/>
  </r>
  <r>
    <n v="507"/>
    <d v="2011-01-23T00:00:00"/>
    <x v="0"/>
    <n v="1"/>
    <x v="5"/>
    <b v="0"/>
    <x v="1"/>
    <n v="2"/>
    <n v="0.04"/>
    <n v="0"/>
    <n v="0.28789999999999999"/>
    <n v="0.81"/>
    <n v="0"/>
    <n v="3"/>
    <n v="13"/>
    <n v="16"/>
    <x v="1"/>
    <x v="0"/>
    <x v="1"/>
  </r>
  <r>
    <n v="508"/>
    <d v="2011-01-23T00:00:00"/>
    <x v="0"/>
    <n v="1"/>
    <x v="6"/>
    <b v="0"/>
    <x v="1"/>
    <n v="2"/>
    <n v="0.04"/>
    <n v="0"/>
    <n v="0.28789999999999999"/>
    <n v="0.81"/>
    <n v="0"/>
    <n v="3"/>
    <n v="13"/>
    <n v="16"/>
    <x v="1"/>
    <x v="0"/>
    <x v="1"/>
  </r>
  <r>
    <n v="509"/>
    <d v="2011-01-23T00:00:00"/>
    <x v="0"/>
    <n v="1"/>
    <x v="7"/>
    <b v="0"/>
    <x v="1"/>
    <n v="1"/>
    <n v="0.08"/>
    <n v="0"/>
    <n v="0.28789999999999999"/>
    <n v="0.81"/>
    <n v="0"/>
    <n v="3"/>
    <n v="13"/>
    <n v="16"/>
    <x v="1"/>
    <x v="0"/>
    <x v="0"/>
  </r>
  <r>
    <n v="510"/>
    <d v="2011-01-23T00:00:00"/>
    <x v="0"/>
    <n v="1"/>
    <x v="8"/>
    <b v="0"/>
    <x v="1"/>
    <n v="1"/>
    <n v="0.06"/>
    <n v="0"/>
    <n v="0.28789999999999999"/>
    <n v="0.81"/>
    <n v="0"/>
    <n v="3"/>
    <n v="13"/>
    <n v="16"/>
    <x v="1"/>
    <x v="0"/>
    <x v="0"/>
  </r>
  <r>
    <n v="511"/>
    <d v="2011-01-23T00:00:00"/>
    <x v="0"/>
    <n v="1"/>
    <x v="9"/>
    <b v="0"/>
    <x v="1"/>
    <n v="1"/>
    <n v="0.1"/>
    <n v="0"/>
    <n v="0.28789999999999999"/>
    <n v="0.81"/>
    <n v="0"/>
    <n v="3"/>
    <n v="13"/>
    <n v="16"/>
    <x v="1"/>
    <x v="0"/>
    <x v="0"/>
  </r>
  <r>
    <n v="512"/>
    <d v="2011-01-23T00:00:00"/>
    <x v="0"/>
    <n v="1"/>
    <x v="10"/>
    <b v="0"/>
    <x v="1"/>
    <n v="1"/>
    <n v="0.14000000000000001"/>
    <n v="0"/>
    <n v="0.28789999999999999"/>
    <n v="0.81"/>
    <n v="0"/>
    <n v="3"/>
    <n v="13"/>
    <n v="16"/>
    <x v="1"/>
    <x v="0"/>
    <x v="0"/>
  </r>
  <r>
    <n v="513"/>
    <d v="2011-01-23T00:00:00"/>
    <x v="0"/>
    <n v="1"/>
    <x v="11"/>
    <b v="0"/>
    <x v="1"/>
    <n v="1"/>
    <n v="0.14000000000000001"/>
    <n v="0"/>
    <n v="0.28789999999999999"/>
    <n v="0.81"/>
    <n v="0"/>
    <n v="3"/>
    <n v="13"/>
    <n v="16"/>
    <x v="1"/>
    <x v="0"/>
    <x v="0"/>
  </r>
  <r>
    <n v="514"/>
    <d v="2011-01-23T00:00:00"/>
    <x v="0"/>
    <n v="1"/>
    <x v="12"/>
    <b v="0"/>
    <x v="1"/>
    <n v="1"/>
    <n v="0.16"/>
    <n v="0"/>
    <n v="0.28789999999999999"/>
    <n v="0.81"/>
    <n v="0"/>
    <n v="3"/>
    <n v="13"/>
    <n v="16"/>
    <x v="1"/>
    <x v="1"/>
    <x v="0"/>
  </r>
  <r>
    <n v="515"/>
    <d v="2011-01-23T00:00:00"/>
    <x v="0"/>
    <n v="1"/>
    <x v="13"/>
    <b v="0"/>
    <x v="1"/>
    <n v="1"/>
    <n v="0.14000000000000001"/>
    <n v="0"/>
    <n v="0.28789999999999999"/>
    <n v="0.81"/>
    <n v="0"/>
    <n v="3"/>
    <n v="13"/>
    <n v="16"/>
    <x v="1"/>
    <x v="1"/>
    <x v="0"/>
  </r>
  <r>
    <n v="516"/>
    <d v="2011-01-23T00:00:00"/>
    <x v="0"/>
    <n v="1"/>
    <x v="14"/>
    <b v="0"/>
    <x v="1"/>
    <n v="1"/>
    <n v="0.16"/>
    <n v="0"/>
    <n v="0.28789999999999999"/>
    <n v="0.81"/>
    <n v="0"/>
    <n v="3"/>
    <n v="13"/>
    <n v="16"/>
    <x v="1"/>
    <x v="1"/>
    <x v="0"/>
  </r>
  <r>
    <n v="517"/>
    <d v="2011-01-23T00:00:00"/>
    <x v="0"/>
    <n v="1"/>
    <x v="15"/>
    <b v="0"/>
    <x v="1"/>
    <n v="1"/>
    <n v="0.16"/>
    <n v="0"/>
    <n v="0.28789999999999999"/>
    <n v="0.81"/>
    <n v="0"/>
    <n v="3"/>
    <n v="13"/>
    <n v="16"/>
    <x v="1"/>
    <x v="1"/>
    <x v="0"/>
  </r>
  <r>
    <n v="518"/>
    <d v="2011-01-23T00:00:00"/>
    <x v="0"/>
    <n v="1"/>
    <x v="16"/>
    <b v="0"/>
    <x v="1"/>
    <n v="1"/>
    <n v="0.16"/>
    <n v="0"/>
    <n v="0.28789999999999999"/>
    <n v="0.81"/>
    <n v="0"/>
    <n v="3"/>
    <n v="13"/>
    <n v="16"/>
    <x v="1"/>
    <x v="2"/>
    <x v="0"/>
  </r>
  <r>
    <n v="519"/>
    <d v="2011-01-23T00:00:00"/>
    <x v="0"/>
    <n v="1"/>
    <x v="17"/>
    <b v="0"/>
    <x v="1"/>
    <n v="1"/>
    <n v="0.14000000000000001"/>
    <n v="0"/>
    <n v="0.28789999999999999"/>
    <n v="0.81"/>
    <n v="0"/>
    <n v="3"/>
    <n v="13"/>
    <n v="16"/>
    <x v="1"/>
    <x v="2"/>
    <x v="0"/>
  </r>
  <r>
    <n v="520"/>
    <d v="2011-01-23T00:00:00"/>
    <x v="0"/>
    <n v="1"/>
    <x v="18"/>
    <b v="0"/>
    <x v="1"/>
    <n v="1"/>
    <n v="0.12"/>
    <n v="0"/>
    <n v="0.28789999999999999"/>
    <n v="0.81"/>
    <n v="0"/>
    <n v="3"/>
    <n v="13"/>
    <n v="16"/>
    <x v="1"/>
    <x v="2"/>
    <x v="0"/>
  </r>
  <r>
    <n v="521"/>
    <d v="2011-01-23T00:00:00"/>
    <x v="0"/>
    <n v="1"/>
    <x v="19"/>
    <b v="0"/>
    <x v="1"/>
    <n v="1"/>
    <n v="0.12"/>
    <n v="0"/>
    <n v="0.28789999999999999"/>
    <n v="0.81"/>
    <n v="0"/>
    <n v="3"/>
    <n v="13"/>
    <n v="16"/>
    <x v="1"/>
    <x v="2"/>
    <x v="0"/>
  </r>
  <r>
    <n v="522"/>
    <d v="2011-01-23T00:00:00"/>
    <x v="0"/>
    <n v="1"/>
    <x v="20"/>
    <b v="0"/>
    <x v="1"/>
    <n v="1"/>
    <n v="0.1"/>
    <n v="0"/>
    <n v="0.28789999999999999"/>
    <n v="0.81"/>
    <n v="0"/>
    <n v="3"/>
    <n v="13"/>
    <n v="16"/>
    <x v="1"/>
    <x v="2"/>
    <x v="0"/>
  </r>
  <r>
    <n v="523"/>
    <d v="2011-01-23T00:00:00"/>
    <x v="0"/>
    <n v="1"/>
    <x v="21"/>
    <b v="0"/>
    <x v="1"/>
    <n v="1"/>
    <n v="0.1"/>
    <n v="0"/>
    <n v="0.28789999999999999"/>
    <n v="0.81"/>
    <n v="0"/>
    <n v="3"/>
    <n v="13"/>
    <n v="16"/>
    <x v="1"/>
    <x v="3"/>
    <x v="0"/>
  </r>
  <r>
    <n v="524"/>
    <d v="2011-01-23T00:00:00"/>
    <x v="0"/>
    <n v="1"/>
    <x v="22"/>
    <b v="0"/>
    <x v="1"/>
    <n v="1"/>
    <n v="0.08"/>
    <n v="0"/>
    <n v="0.28789999999999999"/>
    <n v="0.81"/>
    <n v="0"/>
    <n v="3"/>
    <n v="13"/>
    <n v="16"/>
    <x v="1"/>
    <x v="3"/>
    <x v="0"/>
  </r>
  <r>
    <n v="525"/>
    <d v="2011-01-23T00:00:00"/>
    <x v="0"/>
    <n v="1"/>
    <x v="23"/>
    <b v="0"/>
    <x v="1"/>
    <n v="1"/>
    <n v="0.06"/>
    <n v="0"/>
    <n v="0.28789999999999999"/>
    <n v="0.81"/>
    <n v="0"/>
    <n v="3"/>
    <n v="13"/>
    <n v="16"/>
    <x v="1"/>
    <x v="3"/>
    <x v="0"/>
  </r>
  <r>
    <n v="526"/>
    <d v="2011-01-24T00:00:00"/>
    <x v="0"/>
    <n v="1"/>
    <x v="0"/>
    <b v="0"/>
    <x v="2"/>
    <n v="1"/>
    <n v="0.06"/>
    <n v="0"/>
    <n v="0.28789999999999999"/>
    <n v="0.81"/>
    <n v="0"/>
    <n v="3"/>
    <n v="13"/>
    <n v="16"/>
    <x v="1"/>
    <x v="0"/>
    <x v="0"/>
  </r>
  <r>
    <n v="527"/>
    <d v="2011-01-24T00:00:00"/>
    <x v="0"/>
    <n v="1"/>
    <x v="1"/>
    <b v="0"/>
    <x v="2"/>
    <n v="1"/>
    <n v="0.04"/>
    <n v="0"/>
    <n v="0.28789999999999999"/>
    <n v="0.81"/>
    <n v="0"/>
    <n v="3"/>
    <n v="13"/>
    <n v="16"/>
    <x v="1"/>
    <x v="0"/>
    <x v="0"/>
  </r>
  <r>
    <n v="528"/>
    <d v="2011-01-24T00:00:00"/>
    <x v="0"/>
    <n v="1"/>
    <x v="3"/>
    <b v="0"/>
    <x v="2"/>
    <n v="1"/>
    <n v="0.04"/>
    <n v="0"/>
    <n v="0.28789999999999999"/>
    <n v="0.81"/>
    <n v="0"/>
    <n v="3"/>
    <n v="13"/>
    <n v="16"/>
    <x v="1"/>
    <x v="0"/>
    <x v="0"/>
  </r>
  <r>
    <n v="529"/>
    <d v="2011-01-24T00:00:00"/>
    <x v="0"/>
    <n v="1"/>
    <x v="4"/>
    <b v="0"/>
    <x v="2"/>
    <n v="1"/>
    <n v="0.02"/>
    <n v="0"/>
    <n v="0.28789999999999999"/>
    <n v="0.81"/>
    <n v="0"/>
    <n v="3"/>
    <n v="13"/>
    <n v="16"/>
    <x v="1"/>
    <x v="0"/>
    <x v="0"/>
  </r>
  <r>
    <n v="530"/>
    <d v="2011-01-24T00:00:00"/>
    <x v="0"/>
    <n v="1"/>
    <x v="5"/>
    <b v="0"/>
    <x v="2"/>
    <n v="1"/>
    <n v="0.02"/>
    <n v="0"/>
    <n v="0.28789999999999999"/>
    <n v="0.81"/>
    <n v="0"/>
    <n v="3"/>
    <n v="13"/>
    <n v="16"/>
    <x v="1"/>
    <x v="0"/>
    <x v="0"/>
  </r>
  <r>
    <n v="531"/>
    <d v="2011-01-24T00:00:00"/>
    <x v="0"/>
    <n v="1"/>
    <x v="6"/>
    <b v="0"/>
    <x v="2"/>
    <n v="1"/>
    <n v="0.02"/>
    <n v="0"/>
    <n v="0.28789999999999999"/>
    <n v="0.81"/>
    <n v="0"/>
    <n v="3"/>
    <n v="13"/>
    <n v="16"/>
    <x v="1"/>
    <x v="0"/>
    <x v="0"/>
  </r>
  <r>
    <n v="532"/>
    <d v="2011-01-24T00:00:00"/>
    <x v="0"/>
    <n v="1"/>
    <x v="7"/>
    <b v="0"/>
    <x v="2"/>
    <n v="1"/>
    <n v="0.02"/>
    <n v="0"/>
    <n v="0.28789999999999999"/>
    <n v="0.81"/>
    <n v="0"/>
    <n v="3"/>
    <n v="13"/>
    <n v="16"/>
    <x v="1"/>
    <x v="0"/>
    <x v="0"/>
  </r>
  <r>
    <n v="533"/>
    <d v="2011-01-24T00:00:00"/>
    <x v="0"/>
    <n v="1"/>
    <x v="8"/>
    <b v="0"/>
    <x v="2"/>
    <n v="1"/>
    <n v="0.04"/>
    <n v="0"/>
    <n v="0.28789999999999999"/>
    <n v="0.81"/>
    <n v="0"/>
    <n v="3"/>
    <n v="13"/>
    <n v="16"/>
    <x v="1"/>
    <x v="0"/>
    <x v="0"/>
  </r>
  <r>
    <n v="534"/>
    <d v="2011-01-24T00:00:00"/>
    <x v="0"/>
    <n v="1"/>
    <x v="9"/>
    <b v="0"/>
    <x v="2"/>
    <n v="1"/>
    <n v="0.06"/>
    <n v="0"/>
    <n v="0.28789999999999999"/>
    <n v="0.81"/>
    <n v="0"/>
    <n v="3"/>
    <n v="13"/>
    <n v="16"/>
    <x v="1"/>
    <x v="0"/>
    <x v="0"/>
  </r>
  <r>
    <n v="535"/>
    <d v="2011-01-24T00:00:00"/>
    <x v="0"/>
    <n v="1"/>
    <x v="10"/>
    <b v="0"/>
    <x v="2"/>
    <n v="1"/>
    <n v="0.1"/>
    <n v="0"/>
    <n v="0.28789999999999999"/>
    <n v="0.81"/>
    <n v="0"/>
    <n v="3"/>
    <n v="13"/>
    <n v="16"/>
    <x v="1"/>
    <x v="0"/>
    <x v="0"/>
  </r>
  <r>
    <n v="536"/>
    <d v="2011-01-24T00:00:00"/>
    <x v="0"/>
    <n v="1"/>
    <x v="11"/>
    <b v="0"/>
    <x v="2"/>
    <n v="1"/>
    <n v="0.1"/>
    <n v="0"/>
    <n v="0.28789999999999999"/>
    <n v="0.81"/>
    <n v="0"/>
    <n v="3"/>
    <n v="13"/>
    <n v="16"/>
    <x v="1"/>
    <x v="0"/>
    <x v="0"/>
  </r>
  <r>
    <n v="537"/>
    <d v="2011-01-24T00:00:00"/>
    <x v="0"/>
    <n v="1"/>
    <x v="12"/>
    <b v="0"/>
    <x v="2"/>
    <n v="2"/>
    <n v="0.12"/>
    <n v="0"/>
    <n v="0.28789999999999999"/>
    <n v="0.81"/>
    <n v="0"/>
    <n v="3"/>
    <n v="13"/>
    <n v="16"/>
    <x v="1"/>
    <x v="1"/>
    <x v="1"/>
  </r>
  <r>
    <n v="538"/>
    <d v="2011-01-24T00:00:00"/>
    <x v="0"/>
    <n v="1"/>
    <x v="13"/>
    <b v="0"/>
    <x v="2"/>
    <n v="2"/>
    <n v="0.14000000000000001"/>
    <n v="0"/>
    <n v="0.28789999999999999"/>
    <n v="0.81"/>
    <n v="0"/>
    <n v="3"/>
    <n v="13"/>
    <n v="16"/>
    <x v="1"/>
    <x v="1"/>
    <x v="1"/>
  </r>
  <r>
    <n v="539"/>
    <d v="2011-01-24T00:00:00"/>
    <x v="0"/>
    <n v="1"/>
    <x v="14"/>
    <b v="0"/>
    <x v="2"/>
    <n v="2"/>
    <n v="0.14000000000000001"/>
    <n v="0"/>
    <n v="0.28789999999999999"/>
    <n v="0.81"/>
    <n v="0"/>
    <n v="3"/>
    <n v="13"/>
    <n v="16"/>
    <x v="1"/>
    <x v="1"/>
    <x v="1"/>
  </r>
  <r>
    <n v="540"/>
    <d v="2011-01-24T00:00:00"/>
    <x v="0"/>
    <n v="1"/>
    <x v="15"/>
    <b v="0"/>
    <x v="2"/>
    <n v="1"/>
    <n v="0.16"/>
    <n v="0"/>
    <n v="0.28789999999999999"/>
    <n v="0.81"/>
    <n v="0"/>
    <n v="3"/>
    <n v="13"/>
    <n v="16"/>
    <x v="1"/>
    <x v="1"/>
    <x v="0"/>
  </r>
  <r>
    <n v="541"/>
    <d v="2011-01-24T00:00:00"/>
    <x v="0"/>
    <n v="1"/>
    <x v="16"/>
    <b v="0"/>
    <x v="2"/>
    <n v="1"/>
    <n v="0.16"/>
    <n v="0"/>
    <n v="0.28789999999999999"/>
    <n v="0.81"/>
    <n v="0"/>
    <n v="3"/>
    <n v="13"/>
    <n v="16"/>
    <x v="1"/>
    <x v="2"/>
    <x v="0"/>
  </r>
  <r>
    <n v="542"/>
    <d v="2011-01-24T00:00:00"/>
    <x v="0"/>
    <n v="1"/>
    <x v="17"/>
    <b v="0"/>
    <x v="2"/>
    <n v="1"/>
    <n v="0.14000000000000001"/>
    <n v="0"/>
    <n v="0.28789999999999999"/>
    <n v="0.81"/>
    <n v="0"/>
    <n v="3"/>
    <n v="13"/>
    <n v="16"/>
    <x v="1"/>
    <x v="2"/>
    <x v="0"/>
  </r>
  <r>
    <n v="543"/>
    <d v="2011-01-24T00:00:00"/>
    <x v="0"/>
    <n v="1"/>
    <x v="18"/>
    <b v="0"/>
    <x v="2"/>
    <n v="1"/>
    <n v="0.14000000000000001"/>
    <n v="0"/>
    <n v="0.28789999999999999"/>
    <n v="0.81"/>
    <n v="0"/>
    <n v="3"/>
    <n v="13"/>
    <n v="16"/>
    <x v="1"/>
    <x v="2"/>
    <x v="0"/>
  </r>
  <r>
    <n v="544"/>
    <d v="2011-01-24T00:00:00"/>
    <x v="0"/>
    <n v="1"/>
    <x v="19"/>
    <b v="0"/>
    <x v="2"/>
    <n v="1"/>
    <n v="0.14000000000000001"/>
    <n v="0"/>
    <n v="0.28789999999999999"/>
    <n v="0.81"/>
    <n v="0"/>
    <n v="3"/>
    <n v="13"/>
    <n v="16"/>
    <x v="1"/>
    <x v="2"/>
    <x v="0"/>
  </r>
  <r>
    <n v="545"/>
    <d v="2011-01-24T00:00:00"/>
    <x v="0"/>
    <n v="1"/>
    <x v="20"/>
    <b v="0"/>
    <x v="2"/>
    <n v="1"/>
    <n v="0.14000000000000001"/>
    <n v="0"/>
    <n v="0.28789999999999999"/>
    <n v="0.81"/>
    <n v="0"/>
    <n v="3"/>
    <n v="13"/>
    <n v="16"/>
    <x v="1"/>
    <x v="2"/>
    <x v="0"/>
  </r>
  <r>
    <n v="546"/>
    <d v="2011-01-24T00:00:00"/>
    <x v="0"/>
    <n v="1"/>
    <x v="21"/>
    <b v="0"/>
    <x v="2"/>
    <n v="1"/>
    <n v="0.14000000000000001"/>
    <n v="0"/>
    <n v="0.28789999999999999"/>
    <n v="0.81"/>
    <n v="0"/>
    <n v="3"/>
    <n v="13"/>
    <n v="16"/>
    <x v="1"/>
    <x v="3"/>
    <x v="0"/>
  </r>
  <r>
    <n v="547"/>
    <d v="2011-01-24T00:00:00"/>
    <x v="0"/>
    <n v="1"/>
    <x v="22"/>
    <b v="0"/>
    <x v="2"/>
    <n v="2"/>
    <n v="0.14000000000000001"/>
    <n v="0"/>
    <n v="0.28789999999999999"/>
    <n v="0.81"/>
    <n v="0"/>
    <n v="3"/>
    <n v="13"/>
    <n v="16"/>
    <x v="1"/>
    <x v="3"/>
    <x v="1"/>
  </r>
  <r>
    <n v="548"/>
    <d v="2011-01-24T00:00:00"/>
    <x v="0"/>
    <n v="1"/>
    <x v="23"/>
    <b v="0"/>
    <x v="2"/>
    <n v="2"/>
    <n v="0.16"/>
    <n v="0"/>
    <n v="0.28789999999999999"/>
    <n v="0.81"/>
    <n v="0"/>
    <n v="3"/>
    <n v="13"/>
    <n v="16"/>
    <x v="1"/>
    <x v="3"/>
    <x v="1"/>
  </r>
  <r>
    <n v="549"/>
    <d v="2011-01-25T00:00:00"/>
    <x v="0"/>
    <n v="1"/>
    <x v="0"/>
    <b v="0"/>
    <x v="3"/>
    <n v="2"/>
    <n v="0.16"/>
    <n v="0"/>
    <n v="0.28789999999999999"/>
    <n v="0.81"/>
    <n v="0"/>
    <n v="3"/>
    <n v="13"/>
    <n v="16"/>
    <x v="1"/>
    <x v="0"/>
    <x v="1"/>
  </r>
  <r>
    <n v="550"/>
    <d v="2011-01-25T00:00:00"/>
    <x v="0"/>
    <n v="1"/>
    <x v="1"/>
    <b v="0"/>
    <x v="3"/>
    <n v="2"/>
    <n v="0.16"/>
    <n v="0"/>
    <n v="0.28789999999999999"/>
    <n v="0.81"/>
    <n v="0"/>
    <n v="3"/>
    <n v="13"/>
    <n v="16"/>
    <x v="1"/>
    <x v="0"/>
    <x v="1"/>
  </r>
  <r>
    <n v="551"/>
    <d v="2011-01-25T00:00:00"/>
    <x v="0"/>
    <n v="1"/>
    <x v="2"/>
    <b v="0"/>
    <x v="3"/>
    <n v="1"/>
    <n v="0.16"/>
    <n v="0"/>
    <n v="0.28789999999999999"/>
    <n v="0.81"/>
    <n v="0"/>
    <n v="3"/>
    <n v="13"/>
    <n v="16"/>
    <x v="1"/>
    <x v="0"/>
    <x v="0"/>
  </r>
  <r>
    <n v="552"/>
    <d v="2011-01-25T00:00:00"/>
    <x v="0"/>
    <n v="1"/>
    <x v="4"/>
    <b v="0"/>
    <x v="3"/>
    <n v="1"/>
    <n v="0.14000000000000001"/>
    <n v="0"/>
    <n v="0.28789999999999999"/>
    <n v="0.81"/>
    <n v="0"/>
    <n v="3"/>
    <n v="13"/>
    <n v="16"/>
    <x v="1"/>
    <x v="0"/>
    <x v="0"/>
  </r>
  <r>
    <n v="553"/>
    <d v="2011-01-25T00:00:00"/>
    <x v="0"/>
    <n v="1"/>
    <x v="5"/>
    <b v="0"/>
    <x v="3"/>
    <n v="1"/>
    <n v="0.14000000000000001"/>
    <n v="0"/>
    <n v="0.28789999999999999"/>
    <n v="0.81"/>
    <n v="0"/>
    <n v="3"/>
    <n v="13"/>
    <n v="16"/>
    <x v="1"/>
    <x v="0"/>
    <x v="0"/>
  </r>
  <r>
    <n v="554"/>
    <d v="2011-01-25T00:00:00"/>
    <x v="0"/>
    <n v="1"/>
    <x v="6"/>
    <b v="0"/>
    <x v="3"/>
    <n v="1"/>
    <n v="0.16"/>
    <n v="0"/>
    <n v="0.28789999999999999"/>
    <n v="0.81"/>
    <n v="0"/>
    <n v="3"/>
    <n v="13"/>
    <n v="16"/>
    <x v="1"/>
    <x v="0"/>
    <x v="0"/>
  </r>
  <r>
    <n v="555"/>
    <d v="2011-01-25T00:00:00"/>
    <x v="0"/>
    <n v="1"/>
    <x v="7"/>
    <b v="0"/>
    <x v="3"/>
    <n v="1"/>
    <n v="0.16"/>
    <n v="0"/>
    <n v="0.28789999999999999"/>
    <n v="0.81"/>
    <n v="0"/>
    <n v="3"/>
    <n v="13"/>
    <n v="16"/>
    <x v="1"/>
    <x v="0"/>
    <x v="0"/>
  </r>
  <r>
    <n v="556"/>
    <d v="2011-01-25T00:00:00"/>
    <x v="0"/>
    <n v="1"/>
    <x v="8"/>
    <b v="0"/>
    <x v="3"/>
    <n v="2"/>
    <n v="0.16"/>
    <n v="0"/>
    <n v="0.28789999999999999"/>
    <n v="0.81"/>
    <n v="0"/>
    <n v="3"/>
    <n v="13"/>
    <n v="16"/>
    <x v="1"/>
    <x v="0"/>
    <x v="1"/>
  </r>
  <r>
    <n v="557"/>
    <d v="2011-01-25T00:00:00"/>
    <x v="0"/>
    <n v="1"/>
    <x v="9"/>
    <b v="0"/>
    <x v="3"/>
    <n v="2"/>
    <n v="0.2"/>
    <n v="0"/>
    <n v="0.28789999999999999"/>
    <n v="0.81"/>
    <n v="0"/>
    <n v="3"/>
    <n v="13"/>
    <n v="16"/>
    <x v="1"/>
    <x v="0"/>
    <x v="1"/>
  </r>
  <r>
    <n v="558"/>
    <d v="2011-01-25T00:00:00"/>
    <x v="0"/>
    <n v="1"/>
    <x v="10"/>
    <b v="0"/>
    <x v="3"/>
    <n v="2"/>
    <n v="0.22"/>
    <n v="0"/>
    <n v="0.28789999999999999"/>
    <n v="0.81"/>
    <n v="0"/>
    <n v="3"/>
    <n v="13"/>
    <n v="16"/>
    <x v="1"/>
    <x v="0"/>
    <x v="1"/>
  </r>
  <r>
    <n v="559"/>
    <d v="2011-01-25T00:00:00"/>
    <x v="0"/>
    <n v="1"/>
    <x v="11"/>
    <b v="0"/>
    <x v="3"/>
    <n v="2"/>
    <n v="0.24"/>
    <n v="0"/>
    <n v="0.28789999999999999"/>
    <n v="0.81"/>
    <n v="0"/>
    <n v="3"/>
    <n v="13"/>
    <n v="16"/>
    <x v="1"/>
    <x v="0"/>
    <x v="1"/>
  </r>
  <r>
    <n v="560"/>
    <d v="2011-01-25T00:00:00"/>
    <x v="0"/>
    <n v="1"/>
    <x v="12"/>
    <b v="0"/>
    <x v="3"/>
    <n v="2"/>
    <n v="0.26"/>
    <n v="0"/>
    <n v="0.28789999999999999"/>
    <n v="0.81"/>
    <n v="0"/>
    <n v="3"/>
    <n v="13"/>
    <n v="16"/>
    <x v="1"/>
    <x v="1"/>
    <x v="1"/>
  </r>
  <r>
    <n v="561"/>
    <d v="2011-01-25T00:00:00"/>
    <x v="0"/>
    <n v="1"/>
    <x v="13"/>
    <b v="0"/>
    <x v="3"/>
    <n v="2"/>
    <n v="0.26"/>
    <n v="0"/>
    <n v="0.28789999999999999"/>
    <n v="0.81"/>
    <n v="0"/>
    <n v="3"/>
    <n v="13"/>
    <n v="16"/>
    <x v="1"/>
    <x v="1"/>
    <x v="1"/>
  </r>
  <r>
    <n v="562"/>
    <d v="2011-01-25T00:00:00"/>
    <x v="0"/>
    <n v="1"/>
    <x v="14"/>
    <b v="0"/>
    <x v="3"/>
    <n v="2"/>
    <n v="0.3"/>
    <n v="0"/>
    <n v="0.28789999999999999"/>
    <n v="0.81"/>
    <n v="0"/>
    <n v="3"/>
    <n v="13"/>
    <n v="16"/>
    <x v="1"/>
    <x v="1"/>
    <x v="1"/>
  </r>
  <r>
    <n v="563"/>
    <d v="2011-01-25T00:00:00"/>
    <x v="0"/>
    <n v="1"/>
    <x v="15"/>
    <b v="0"/>
    <x v="3"/>
    <n v="2"/>
    <n v="0.32"/>
    <n v="0"/>
    <n v="0.28789999999999999"/>
    <n v="0.81"/>
    <n v="0"/>
    <n v="3"/>
    <n v="13"/>
    <n v="16"/>
    <x v="1"/>
    <x v="1"/>
    <x v="1"/>
  </r>
  <r>
    <n v="564"/>
    <d v="2011-01-25T00:00:00"/>
    <x v="0"/>
    <n v="1"/>
    <x v="16"/>
    <b v="0"/>
    <x v="3"/>
    <n v="2"/>
    <n v="0.32"/>
    <n v="0"/>
    <n v="0.28789999999999999"/>
    <n v="0.81"/>
    <n v="0"/>
    <n v="3"/>
    <n v="13"/>
    <n v="16"/>
    <x v="1"/>
    <x v="2"/>
    <x v="1"/>
  </r>
  <r>
    <n v="565"/>
    <d v="2011-01-25T00:00:00"/>
    <x v="0"/>
    <n v="1"/>
    <x v="17"/>
    <b v="0"/>
    <x v="3"/>
    <n v="1"/>
    <n v="0.3"/>
    <n v="0"/>
    <n v="0.28789999999999999"/>
    <n v="0.81"/>
    <n v="0"/>
    <n v="3"/>
    <n v="13"/>
    <n v="16"/>
    <x v="1"/>
    <x v="2"/>
    <x v="0"/>
  </r>
  <r>
    <n v="566"/>
    <d v="2011-01-25T00:00:00"/>
    <x v="0"/>
    <n v="1"/>
    <x v="18"/>
    <b v="0"/>
    <x v="3"/>
    <n v="2"/>
    <n v="0.3"/>
    <n v="0"/>
    <n v="0.28789999999999999"/>
    <n v="0.81"/>
    <n v="0"/>
    <n v="3"/>
    <n v="13"/>
    <n v="16"/>
    <x v="1"/>
    <x v="2"/>
    <x v="1"/>
  </r>
  <r>
    <n v="567"/>
    <d v="2011-01-25T00:00:00"/>
    <x v="0"/>
    <n v="1"/>
    <x v="19"/>
    <b v="0"/>
    <x v="3"/>
    <n v="2"/>
    <n v="0.26"/>
    <n v="0"/>
    <n v="0.28789999999999999"/>
    <n v="0.81"/>
    <n v="0"/>
    <n v="3"/>
    <n v="13"/>
    <n v="16"/>
    <x v="1"/>
    <x v="2"/>
    <x v="1"/>
  </r>
  <r>
    <n v="568"/>
    <d v="2011-01-25T00:00:00"/>
    <x v="0"/>
    <n v="1"/>
    <x v="20"/>
    <b v="0"/>
    <x v="3"/>
    <n v="1"/>
    <n v="0.24"/>
    <n v="0"/>
    <n v="0.28789999999999999"/>
    <n v="0.81"/>
    <n v="0"/>
    <n v="3"/>
    <n v="13"/>
    <n v="16"/>
    <x v="1"/>
    <x v="2"/>
    <x v="0"/>
  </r>
  <r>
    <n v="569"/>
    <d v="2011-01-25T00:00:00"/>
    <x v="0"/>
    <n v="1"/>
    <x v="21"/>
    <b v="0"/>
    <x v="3"/>
    <n v="1"/>
    <n v="0.24"/>
    <n v="0"/>
    <n v="0.28789999999999999"/>
    <n v="0.81"/>
    <n v="0"/>
    <n v="3"/>
    <n v="13"/>
    <n v="16"/>
    <x v="1"/>
    <x v="3"/>
    <x v="0"/>
  </r>
  <r>
    <n v="570"/>
    <d v="2011-01-25T00:00:00"/>
    <x v="0"/>
    <n v="1"/>
    <x v="22"/>
    <b v="0"/>
    <x v="3"/>
    <n v="1"/>
    <n v="0.22"/>
    <n v="0"/>
    <n v="0.28789999999999999"/>
    <n v="0.81"/>
    <n v="0"/>
    <n v="3"/>
    <n v="13"/>
    <n v="16"/>
    <x v="1"/>
    <x v="3"/>
    <x v="0"/>
  </r>
  <r>
    <n v="571"/>
    <d v="2011-01-25T00:00:00"/>
    <x v="0"/>
    <n v="1"/>
    <x v="23"/>
    <b v="0"/>
    <x v="3"/>
    <n v="2"/>
    <n v="0.22"/>
    <n v="0"/>
    <n v="0.28789999999999999"/>
    <n v="0.81"/>
    <n v="0"/>
    <n v="3"/>
    <n v="13"/>
    <n v="16"/>
    <x v="1"/>
    <x v="3"/>
    <x v="1"/>
  </r>
  <r>
    <n v="572"/>
    <d v="2011-01-26T00:00:00"/>
    <x v="0"/>
    <n v="1"/>
    <x v="0"/>
    <b v="0"/>
    <x v="4"/>
    <n v="2"/>
    <n v="0.22"/>
    <n v="0"/>
    <n v="0.28789999999999999"/>
    <n v="0.81"/>
    <n v="0"/>
    <n v="3"/>
    <n v="13"/>
    <n v="16"/>
    <x v="1"/>
    <x v="0"/>
    <x v="1"/>
  </r>
  <r>
    <n v="573"/>
    <d v="2011-01-26T00:00:00"/>
    <x v="0"/>
    <n v="1"/>
    <x v="1"/>
    <b v="0"/>
    <x v="4"/>
    <n v="2"/>
    <n v="0.24"/>
    <n v="0"/>
    <n v="0.28789999999999999"/>
    <n v="0.81"/>
    <n v="0"/>
    <n v="3"/>
    <n v="13"/>
    <n v="16"/>
    <x v="1"/>
    <x v="0"/>
    <x v="1"/>
  </r>
  <r>
    <n v="574"/>
    <d v="2011-01-26T00:00:00"/>
    <x v="0"/>
    <n v="1"/>
    <x v="2"/>
    <b v="0"/>
    <x v="4"/>
    <n v="3"/>
    <n v="0.22"/>
    <n v="0"/>
    <n v="0.28789999999999999"/>
    <n v="0.81"/>
    <n v="0"/>
    <n v="3"/>
    <n v="13"/>
    <n v="16"/>
    <x v="1"/>
    <x v="0"/>
    <x v="2"/>
  </r>
  <r>
    <n v="575"/>
    <d v="2011-01-26T00:00:00"/>
    <x v="0"/>
    <n v="1"/>
    <x v="5"/>
    <b v="0"/>
    <x v="4"/>
    <n v="3"/>
    <n v="0.2"/>
    <n v="0"/>
    <n v="0.28789999999999999"/>
    <n v="0.81"/>
    <n v="0"/>
    <n v="3"/>
    <n v="13"/>
    <n v="16"/>
    <x v="1"/>
    <x v="0"/>
    <x v="2"/>
  </r>
  <r>
    <n v="576"/>
    <d v="2011-01-26T00:00:00"/>
    <x v="0"/>
    <n v="1"/>
    <x v="6"/>
    <b v="0"/>
    <x v="4"/>
    <n v="3"/>
    <n v="0.2"/>
    <n v="0"/>
    <n v="0.28789999999999999"/>
    <n v="0.81"/>
    <n v="0"/>
    <n v="3"/>
    <n v="13"/>
    <n v="16"/>
    <x v="1"/>
    <x v="0"/>
    <x v="2"/>
  </r>
  <r>
    <n v="577"/>
    <d v="2011-01-26T00:00:00"/>
    <x v="0"/>
    <n v="1"/>
    <x v="7"/>
    <b v="0"/>
    <x v="4"/>
    <n v="3"/>
    <n v="0.22"/>
    <n v="0"/>
    <n v="0.28789999999999999"/>
    <n v="0.81"/>
    <n v="0"/>
    <n v="3"/>
    <n v="13"/>
    <n v="16"/>
    <x v="1"/>
    <x v="0"/>
    <x v="2"/>
  </r>
  <r>
    <n v="578"/>
    <d v="2011-01-26T00:00:00"/>
    <x v="0"/>
    <n v="1"/>
    <x v="8"/>
    <b v="0"/>
    <x v="4"/>
    <n v="3"/>
    <n v="0.22"/>
    <n v="0"/>
    <n v="0.28789999999999999"/>
    <n v="0.81"/>
    <n v="0"/>
    <n v="3"/>
    <n v="13"/>
    <n v="16"/>
    <x v="1"/>
    <x v="0"/>
    <x v="2"/>
  </r>
  <r>
    <n v="579"/>
    <d v="2011-01-26T00:00:00"/>
    <x v="0"/>
    <n v="1"/>
    <x v="9"/>
    <b v="0"/>
    <x v="4"/>
    <n v="3"/>
    <n v="0.22"/>
    <n v="0"/>
    <n v="0.28789999999999999"/>
    <n v="0.81"/>
    <n v="0"/>
    <n v="3"/>
    <n v="13"/>
    <n v="16"/>
    <x v="1"/>
    <x v="0"/>
    <x v="2"/>
  </r>
  <r>
    <n v="580"/>
    <d v="2011-01-26T00:00:00"/>
    <x v="0"/>
    <n v="1"/>
    <x v="10"/>
    <b v="0"/>
    <x v="4"/>
    <n v="3"/>
    <n v="0.22"/>
    <n v="0"/>
    <n v="0.28789999999999999"/>
    <n v="0.81"/>
    <n v="0"/>
    <n v="3"/>
    <n v="13"/>
    <n v="16"/>
    <x v="1"/>
    <x v="0"/>
    <x v="2"/>
  </r>
  <r>
    <n v="581"/>
    <d v="2011-01-26T00:00:00"/>
    <x v="0"/>
    <n v="1"/>
    <x v="11"/>
    <b v="0"/>
    <x v="4"/>
    <n v="3"/>
    <n v="0.22"/>
    <n v="0"/>
    <n v="0.28789999999999999"/>
    <n v="0.81"/>
    <n v="0"/>
    <n v="3"/>
    <n v="13"/>
    <n v="16"/>
    <x v="1"/>
    <x v="0"/>
    <x v="2"/>
  </r>
  <r>
    <n v="582"/>
    <d v="2011-01-26T00:00:00"/>
    <x v="0"/>
    <n v="1"/>
    <x v="12"/>
    <b v="0"/>
    <x v="4"/>
    <n v="3"/>
    <n v="0.22"/>
    <n v="0"/>
    <n v="0.28789999999999999"/>
    <n v="0.81"/>
    <n v="0"/>
    <n v="3"/>
    <n v="13"/>
    <n v="16"/>
    <x v="1"/>
    <x v="1"/>
    <x v="2"/>
  </r>
  <r>
    <n v="583"/>
    <d v="2011-01-26T00:00:00"/>
    <x v="0"/>
    <n v="1"/>
    <x v="13"/>
    <b v="0"/>
    <x v="4"/>
    <n v="3"/>
    <n v="0.22"/>
    <n v="0"/>
    <n v="0.28789999999999999"/>
    <n v="0.81"/>
    <n v="0"/>
    <n v="3"/>
    <n v="13"/>
    <n v="16"/>
    <x v="1"/>
    <x v="1"/>
    <x v="2"/>
  </r>
  <r>
    <n v="584"/>
    <d v="2011-01-26T00:00:00"/>
    <x v="0"/>
    <n v="1"/>
    <x v="14"/>
    <b v="0"/>
    <x v="4"/>
    <n v="3"/>
    <n v="0.22"/>
    <n v="0"/>
    <n v="0.28789999999999999"/>
    <n v="0.81"/>
    <n v="0"/>
    <n v="3"/>
    <n v="13"/>
    <n v="16"/>
    <x v="1"/>
    <x v="1"/>
    <x v="2"/>
  </r>
  <r>
    <n v="585"/>
    <d v="2011-01-26T00:00:00"/>
    <x v="0"/>
    <n v="1"/>
    <x v="15"/>
    <b v="0"/>
    <x v="4"/>
    <n v="3"/>
    <n v="0.22"/>
    <n v="0"/>
    <n v="0.28789999999999999"/>
    <n v="0.81"/>
    <n v="0"/>
    <n v="3"/>
    <n v="13"/>
    <n v="16"/>
    <x v="1"/>
    <x v="1"/>
    <x v="2"/>
  </r>
  <r>
    <n v="586"/>
    <d v="2011-01-26T00:00:00"/>
    <x v="0"/>
    <n v="1"/>
    <x v="16"/>
    <b v="0"/>
    <x v="4"/>
    <n v="4"/>
    <n v="0.22"/>
    <n v="0"/>
    <n v="0.28789999999999999"/>
    <n v="0.81"/>
    <n v="0"/>
    <n v="3"/>
    <n v="13"/>
    <n v="16"/>
    <x v="1"/>
    <x v="2"/>
    <x v="3"/>
  </r>
  <r>
    <n v="587"/>
    <d v="2011-01-26T00:00:00"/>
    <x v="0"/>
    <n v="1"/>
    <x v="17"/>
    <b v="0"/>
    <x v="4"/>
    <n v="3"/>
    <n v="0.2"/>
    <n v="0"/>
    <n v="0.28789999999999999"/>
    <n v="0.81"/>
    <n v="0"/>
    <n v="3"/>
    <n v="13"/>
    <n v="16"/>
    <x v="1"/>
    <x v="2"/>
    <x v="2"/>
  </r>
  <r>
    <n v="588"/>
    <d v="2011-01-27T00:00:00"/>
    <x v="0"/>
    <n v="1"/>
    <x v="16"/>
    <b v="0"/>
    <x v="5"/>
    <n v="1"/>
    <n v="0.22"/>
    <n v="0"/>
    <n v="0.28789999999999999"/>
    <n v="0.81"/>
    <n v="0"/>
    <n v="3"/>
    <n v="13"/>
    <n v="16"/>
    <x v="1"/>
    <x v="2"/>
    <x v="0"/>
  </r>
  <r>
    <n v="589"/>
    <d v="2011-01-27T00:00:00"/>
    <x v="0"/>
    <n v="1"/>
    <x v="17"/>
    <b v="0"/>
    <x v="5"/>
    <n v="1"/>
    <n v="0.22"/>
    <n v="0"/>
    <n v="0.28789999999999999"/>
    <n v="0.81"/>
    <n v="0"/>
    <n v="3"/>
    <n v="13"/>
    <n v="16"/>
    <x v="1"/>
    <x v="2"/>
    <x v="0"/>
  </r>
  <r>
    <n v="590"/>
    <d v="2011-01-27T00:00:00"/>
    <x v="0"/>
    <n v="1"/>
    <x v="18"/>
    <b v="0"/>
    <x v="5"/>
    <n v="1"/>
    <n v="0.2"/>
    <n v="0"/>
    <n v="0.28789999999999999"/>
    <n v="0.81"/>
    <n v="0"/>
    <n v="3"/>
    <n v="13"/>
    <n v="16"/>
    <x v="1"/>
    <x v="2"/>
    <x v="0"/>
  </r>
  <r>
    <n v="591"/>
    <d v="2011-01-27T00:00:00"/>
    <x v="0"/>
    <n v="1"/>
    <x v="19"/>
    <b v="0"/>
    <x v="5"/>
    <n v="1"/>
    <n v="0.2"/>
    <n v="0"/>
    <n v="0.28789999999999999"/>
    <n v="0.81"/>
    <n v="0"/>
    <n v="3"/>
    <n v="13"/>
    <n v="16"/>
    <x v="1"/>
    <x v="2"/>
    <x v="0"/>
  </r>
  <r>
    <n v="592"/>
    <d v="2011-01-27T00:00:00"/>
    <x v="0"/>
    <n v="1"/>
    <x v="20"/>
    <b v="0"/>
    <x v="5"/>
    <n v="1"/>
    <n v="0.18"/>
    <n v="0"/>
    <n v="0.28789999999999999"/>
    <n v="0.81"/>
    <n v="0"/>
    <n v="3"/>
    <n v="13"/>
    <n v="16"/>
    <x v="1"/>
    <x v="2"/>
    <x v="0"/>
  </r>
  <r>
    <n v="593"/>
    <d v="2011-01-27T00:00:00"/>
    <x v="0"/>
    <n v="1"/>
    <x v="21"/>
    <b v="0"/>
    <x v="5"/>
    <n v="1"/>
    <n v="0.18"/>
    <n v="0"/>
    <n v="0.28789999999999999"/>
    <n v="0.81"/>
    <n v="0"/>
    <n v="3"/>
    <n v="13"/>
    <n v="16"/>
    <x v="1"/>
    <x v="3"/>
    <x v="0"/>
  </r>
  <r>
    <n v="594"/>
    <d v="2011-01-27T00:00:00"/>
    <x v="0"/>
    <n v="1"/>
    <x v="22"/>
    <b v="0"/>
    <x v="5"/>
    <n v="1"/>
    <n v="0.18"/>
    <n v="0"/>
    <n v="0.28789999999999999"/>
    <n v="0.81"/>
    <n v="0"/>
    <n v="3"/>
    <n v="13"/>
    <n v="16"/>
    <x v="1"/>
    <x v="3"/>
    <x v="0"/>
  </r>
  <r>
    <n v="595"/>
    <d v="2011-01-27T00:00:00"/>
    <x v="0"/>
    <n v="1"/>
    <x v="23"/>
    <b v="0"/>
    <x v="5"/>
    <n v="1"/>
    <n v="0.18"/>
    <n v="0"/>
    <n v="0.28789999999999999"/>
    <n v="0.81"/>
    <n v="0"/>
    <n v="3"/>
    <n v="13"/>
    <n v="16"/>
    <x v="1"/>
    <x v="3"/>
    <x v="0"/>
  </r>
  <r>
    <n v="596"/>
    <d v="2011-01-28T00:00:00"/>
    <x v="0"/>
    <n v="1"/>
    <x v="0"/>
    <b v="0"/>
    <x v="6"/>
    <n v="2"/>
    <n v="0.2"/>
    <n v="0"/>
    <n v="0.28789999999999999"/>
    <n v="0.81"/>
    <n v="0"/>
    <n v="3"/>
    <n v="13"/>
    <n v="16"/>
    <x v="0"/>
    <x v="0"/>
    <x v="1"/>
  </r>
  <r>
    <n v="597"/>
    <d v="2011-01-28T00:00:00"/>
    <x v="0"/>
    <n v="1"/>
    <x v="1"/>
    <b v="0"/>
    <x v="6"/>
    <n v="2"/>
    <n v="0.2"/>
    <n v="0"/>
    <n v="0.28789999999999999"/>
    <n v="0.81"/>
    <n v="0"/>
    <n v="3"/>
    <n v="13"/>
    <n v="16"/>
    <x v="0"/>
    <x v="0"/>
    <x v="1"/>
  </r>
  <r>
    <n v="598"/>
    <d v="2011-01-28T00:00:00"/>
    <x v="0"/>
    <n v="1"/>
    <x v="2"/>
    <b v="0"/>
    <x v="6"/>
    <n v="2"/>
    <n v="0.2"/>
    <n v="0"/>
    <n v="0.28789999999999999"/>
    <n v="0.81"/>
    <n v="0"/>
    <n v="3"/>
    <n v="13"/>
    <n v="16"/>
    <x v="0"/>
    <x v="0"/>
    <x v="1"/>
  </r>
  <r>
    <n v="599"/>
    <d v="2011-01-28T00:00:00"/>
    <x v="0"/>
    <n v="1"/>
    <x v="3"/>
    <b v="0"/>
    <x v="6"/>
    <n v="2"/>
    <n v="0.2"/>
    <n v="0"/>
    <n v="0.28789999999999999"/>
    <n v="0.81"/>
    <n v="0"/>
    <n v="3"/>
    <n v="13"/>
    <n v="16"/>
    <x v="0"/>
    <x v="0"/>
    <x v="1"/>
  </r>
  <r>
    <n v="600"/>
    <d v="2011-01-28T00:00:00"/>
    <x v="0"/>
    <n v="1"/>
    <x v="5"/>
    <b v="0"/>
    <x v="6"/>
    <n v="2"/>
    <n v="0.18"/>
    <n v="0"/>
    <n v="0.28789999999999999"/>
    <n v="0.81"/>
    <n v="0"/>
    <n v="3"/>
    <n v="13"/>
    <n v="16"/>
    <x v="0"/>
    <x v="0"/>
    <x v="1"/>
  </r>
  <r>
    <n v="601"/>
    <d v="2011-01-28T00:00:00"/>
    <x v="0"/>
    <n v="1"/>
    <x v="6"/>
    <b v="0"/>
    <x v="6"/>
    <n v="2"/>
    <n v="0.18"/>
    <n v="0"/>
    <n v="0.28789999999999999"/>
    <n v="0.81"/>
    <n v="0"/>
    <n v="3"/>
    <n v="13"/>
    <n v="16"/>
    <x v="0"/>
    <x v="0"/>
    <x v="1"/>
  </r>
  <r>
    <n v="602"/>
    <d v="2011-01-28T00:00:00"/>
    <x v="0"/>
    <n v="1"/>
    <x v="7"/>
    <b v="0"/>
    <x v="6"/>
    <n v="2"/>
    <n v="0.16"/>
    <n v="0"/>
    <n v="0.28789999999999999"/>
    <n v="0.81"/>
    <n v="0"/>
    <n v="3"/>
    <n v="13"/>
    <n v="16"/>
    <x v="0"/>
    <x v="0"/>
    <x v="1"/>
  </r>
  <r>
    <n v="603"/>
    <d v="2011-01-28T00:00:00"/>
    <x v="0"/>
    <n v="1"/>
    <x v="8"/>
    <b v="0"/>
    <x v="6"/>
    <n v="2"/>
    <n v="0.16"/>
    <n v="0"/>
    <n v="0.28789999999999999"/>
    <n v="0.81"/>
    <n v="0"/>
    <n v="3"/>
    <n v="13"/>
    <n v="16"/>
    <x v="0"/>
    <x v="0"/>
    <x v="1"/>
  </r>
  <r>
    <n v="604"/>
    <d v="2011-01-28T00:00:00"/>
    <x v="0"/>
    <n v="1"/>
    <x v="9"/>
    <b v="0"/>
    <x v="6"/>
    <n v="3"/>
    <n v="0.18"/>
    <n v="0"/>
    <n v="0.28789999999999999"/>
    <n v="0.81"/>
    <n v="0"/>
    <n v="3"/>
    <n v="13"/>
    <n v="16"/>
    <x v="0"/>
    <x v="0"/>
    <x v="2"/>
  </r>
  <r>
    <n v="605"/>
    <d v="2011-01-28T00:00:00"/>
    <x v="0"/>
    <n v="1"/>
    <x v="10"/>
    <b v="0"/>
    <x v="6"/>
    <n v="3"/>
    <n v="0.18"/>
    <n v="0"/>
    <n v="0.28789999999999999"/>
    <n v="0.81"/>
    <n v="0"/>
    <n v="3"/>
    <n v="13"/>
    <n v="16"/>
    <x v="0"/>
    <x v="0"/>
    <x v="2"/>
  </r>
  <r>
    <n v="606"/>
    <d v="2011-01-28T00:00:00"/>
    <x v="0"/>
    <n v="1"/>
    <x v="11"/>
    <b v="0"/>
    <x v="6"/>
    <n v="3"/>
    <n v="0.18"/>
    <n v="0"/>
    <n v="0.28789999999999999"/>
    <n v="0.81"/>
    <n v="0"/>
    <n v="3"/>
    <n v="13"/>
    <n v="16"/>
    <x v="0"/>
    <x v="0"/>
    <x v="2"/>
  </r>
  <r>
    <n v="607"/>
    <d v="2011-01-28T00:00:00"/>
    <x v="0"/>
    <n v="1"/>
    <x v="12"/>
    <b v="0"/>
    <x v="6"/>
    <n v="3"/>
    <n v="0.18"/>
    <n v="0"/>
    <n v="0.28789999999999999"/>
    <n v="0.81"/>
    <n v="0"/>
    <n v="3"/>
    <n v="13"/>
    <n v="16"/>
    <x v="0"/>
    <x v="1"/>
    <x v="2"/>
  </r>
  <r>
    <n v="608"/>
    <d v="2011-01-28T00:00:00"/>
    <x v="0"/>
    <n v="1"/>
    <x v="13"/>
    <b v="0"/>
    <x v="6"/>
    <n v="3"/>
    <n v="0.18"/>
    <n v="0"/>
    <n v="0.28789999999999999"/>
    <n v="0.81"/>
    <n v="0"/>
    <n v="3"/>
    <n v="13"/>
    <n v="16"/>
    <x v="0"/>
    <x v="1"/>
    <x v="2"/>
  </r>
  <r>
    <n v="609"/>
    <d v="2011-01-28T00:00:00"/>
    <x v="0"/>
    <n v="1"/>
    <x v="14"/>
    <b v="0"/>
    <x v="6"/>
    <n v="3"/>
    <n v="0.22"/>
    <n v="0"/>
    <n v="0.28789999999999999"/>
    <n v="0.81"/>
    <n v="0"/>
    <n v="3"/>
    <n v="13"/>
    <n v="16"/>
    <x v="0"/>
    <x v="1"/>
    <x v="2"/>
  </r>
  <r>
    <n v="610"/>
    <d v="2011-01-28T00:00:00"/>
    <x v="0"/>
    <n v="1"/>
    <x v="15"/>
    <b v="0"/>
    <x v="6"/>
    <n v="2"/>
    <n v="0.2"/>
    <n v="0"/>
    <n v="0.28789999999999999"/>
    <n v="0.81"/>
    <n v="0"/>
    <n v="3"/>
    <n v="13"/>
    <n v="16"/>
    <x v="0"/>
    <x v="1"/>
    <x v="1"/>
  </r>
  <r>
    <n v="1"/>
    <d v="2011-01-28T00:00:00"/>
    <x v="0"/>
    <n v="1"/>
    <x v="15"/>
    <b v="0"/>
    <x v="6"/>
    <n v="2"/>
    <n v="0.2"/>
    <n v="0"/>
    <n v="0.28789999999999999"/>
    <n v="0.81"/>
    <n v="0"/>
    <n v="3"/>
    <n v="13"/>
    <n v="16"/>
    <x v="0"/>
    <x v="1"/>
    <x v="1"/>
  </r>
  <r>
    <n v="2"/>
    <d v="2011-01-28T00:00:00"/>
    <x v="0"/>
    <n v="1"/>
    <x v="15"/>
    <b v="0"/>
    <x v="6"/>
    <n v="2"/>
    <n v="0.2"/>
    <n v="1"/>
    <n v="0.2727"/>
    <n v="0.8"/>
    <n v="0"/>
    <n v="8"/>
    <n v="32"/>
    <n v="40"/>
    <x v="0"/>
    <x v="1"/>
    <x v="1"/>
  </r>
  <r>
    <n v="3"/>
    <d v="2011-01-28T00:00:00"/>
    <x v="0"/>
    <n v="1"/>
    <x v="15"/>
    <b v="0"/>
    <x v="6"/>
    <n v="2"/>
    <n v="0.2"/>
    <n v="2"/>
    <n v="0.2727"/>
    <n v="0.8"/>
    <n v="0"/>
    <n v="5"/>
    <n v="27"/>
    <n v="32"/>
    <x v="0"/>
    <x v="1"/>
    <x v="1"/>
  </r>
  <r>
    <n v="4"/>
    <d v="2011-01-28T00:00:00"/>
    <x v="0"/>
    <n v="1"/>
    <x v="15"/>
    <b v="0"/>
    <x v="6"/>
    <n v="2"/>
    <n v="0.2"/>
    <n v="3"/>
    <n v="0.28789999999999999"/>
    <n v="0.75"/>
    <n v="0"/>
    <n v="3"/>
    <n v="10"/>
    <n v="13"/>
    <x v="0"/>
    <x v="1"/>
    <x v="1"/>
  </r>
  <r>
    <n v="5"/>
    <d v="2011-01-28T00:00:00"/>
    <x v="0"/>
    <n v="1"/>
    <x v="15"/>
    <b v="0"/>
    <x v="6"/>
    <n v="2"/>
    <n v="0.2"/>
    <n v="4"/>
    <n v="0.28789999999999999"/>
    <n v="0.75"/>
    <n v="0"/>
    <n v="0"/>
    <n v="1"/>
    <n v="1"/>
    <x v="0"/>
    <x v="1"/>
    <x v="1"/>
  </r>
  <r>
    <n v="6"/>
    <d v="2011-01-28T00:00:00"/>
    <x v="0"/>
    <n v="1"/>
    <x v="15"/>
    <b v="0"/>
    <x v="6"/>
    <n v="2"/>
    <n v="0.2"/>
    <n v="5"/>
    <n v="0.2576"/>
    <n v="0.75"/>
    <n v="8.9599999999999999E-2"/>
    <n v="0"/>
    <n v="1"/>
    <n v="1"/>
    <x v="0"/>
    <x v="1"/>
    <x v="1"/>
  </r>
  <r>
    <n v="7"/>
    <d v="2011-01-28T00:00:00"/>
    <x v="0"/>
    <n v="1"/>
    <x v="15"/>
    <b v="0"/>
    <x v="6"/>
    <n v="2"/>
    <n v="0.2"/>
    <n v="6"/>
    <n v="0.2727"/>
    <n v="0.8"/>
    <n v="0"/>
    <n v="2"/>
    <n v="0"/>
    <n v="2"/>
    <x v="0"/>
    <x v="1"/>
    <x v="1"/>
  </r>
  <r>
    <n v="8"/>
    <d v="2011-01-28T00:00:00"/>
    <x v="0"/>
    <n v="1"/>
    <x v="15"/>
    <b v="0"/>
    <x v="6"/>
    <n v="2"/>
    <n v="0.2"/>
    <n v="7"/>
    <n v="0.2576"/>
    <n v="0.86"/>
    <n v="0"/>
    <n v="1"/>
    <n v="2"/>
    <n v="3"/>
    <x v="0"/>
    <x v="1"/>
    <x v="1"/>
  </r>
  <r>
    <n v="9"/>
    <d v="2011-01-28T00:00:00"/>
    <x v="0"/>
    <n v="1"/>
    <x v="15"/>
    <b v="0"/>
    <x v="6"/>
    <n v="2"/>
    <n v="0.2"/>
    <n v="8"/>
    <n v="0"/>
    <n v="0.75"/>
    <n v="0"/>
    <n v="1"/>
    <n v="7"/>
    <n v="8"/>
    <x v="0"/>
    <x v="1"/>
    <x v="1"/>
  </r>
  <r>
    <n v="10"/>
    <d v="2011-01-28T00:00:00"/>
    <x v="0"/>
    <n v="1"/>
    <x v="15"/>
    <b v="0"/>
    <x v="6"/>
    <n v="2"/>
    <n v="0.2"/>
    <n v="9"/>
    <n v="0.34849999999999998"/>
    <n v="0.76"/>
    <n v="0"/>
    <n v="8"/>
    <n v="6"/>
    <n v="14"/>
    <x v="0"/>
    <x v="1"/>
    <x v="1"/>
  </r>
  <r>
    <n v="11"/>
    <d v="2011-01-28T00:00:00"/>
    <x v="0"/>
    <n v="1"/>
    <x v="15"/>
    <b v="0"/>
    <x v="6"/>
    <n v="2"/>
    <n v="0.2"/>
    <n v="10"/>
    <n v="0.39389999999999997"/>
    <n v="0.76"/>
    <n v="0.25369999999999998"/>
    <n v="12"/>
    <n v="24"/>
    <n v="36"/>
    <x v="0"/>
    <x v="1"/>
    <x v="1"/>
  </r>
  <r>
    <n v="12"/>
    <d v="2011-01-28T00:00:00"/>
    <x v="0"/>
    <n v="1"/>
    <x v="15"/>
    <b v="0"/>
    <x v="6"/>
    <n v="2"/>
    <n v="0.2"/>
    <n v="11"/>
    <n v="0.33329999999999999"/>
    <n v="0.81"/>
    <n v="0.28360000000000002"/>
    <n v="26"/>
    <n v="30"/>
    <n v="56"/>
    <x v="0"/>
    <x v="1"/>
    <x v="1"/>
  </r>
  <r>
    <n v="13"/>
    <d v="2011-01-28T00:00:00"/>
    <x v="0"/>
    <n v="1"/>
    <x v="15"/>
    <b v="0"/>
    <x v="6"/>
    <n v="2"/>
    <n v="0.2"/>
    <n v="12"/>
    <n v="0.42420000000000002"/>
    <n v="0.77"/>
    <n v="0.28360000000000002"/>
    <n v="29"/>
    <n v="55"/>
    <n v="84"/>
    <x v="0"/>
    <x v="1"/>
    <x v="1"/>
  </r>
  <r>
    <n v="14"/>
    <d v="2011-01-28T00:00:00"/>
    <x v="0"/>
    <n v="1"/>
    <x v="15"/>
    <b v="0"/>
    <x v="6"/>
    <n v="2"/>
    <n v="0.2"/>
    <n v="13"/>
    <n v="0.45450000000000002"/>
    <n v="0.72"/>
    <n v="0.29849999999999999"/>
    <n v="47"/>
    <n v="47"/>
    <n v="94"/>
    <x v="0"/>
    <x v="1"/>
    <x v="1"/>
  </r>
  <r>
    <n v="15"/>
    <d v="2011-01-28T00:00:00"/>
    <x v="0"/>
    <n v="1"/>
    <x v="15"/>
    <b v="0"/>
    <x v="6"/>
    <n v="2"/>
    <n v="0.2"/>
    <n v="14"/>
    <n v="0.45450000000000002"/>
    <n v="0.72"/>
    <n v="0.28360000000000002"/>
    <n v="35"/>
    <n v="71"/>
    <n v="106"/>
    <x v="0"/>
    <x v="1"/>
    <x v="1"/>
  </r>
  <r>
    <n v="16"/>
    <d v="2011-01-28T00:00:00"/>
    <x v="0"/>
    <n v="1"/>
    <x v="15"/>
    <b v="0"/>
    <x v="6"/>
    <n v="2"/>
    <n v="0.2"/>
    <n v="15"/>
    <n v="0.43940000000000001"/>
    <n v="0.77"/>
    <n v="0.29849999999999999"/>
    <n v="40"/>
    <n v="70"/>
    <n v="110"/>
    <x v="0"/>
    <x v="1"/>
    <x v="1"/>
  </r>
  <r>
    <n v="17"/>
    <d v="2011-01-28T00:00:00"/>
    <x v="0"/>
    <n v="1"/>
    <x v="15"/>
    <b v="0"/>
    <x v="6"/>
    <n v="2"/>
    <n v="0.2"/>
    <n v="16"/>
    <n v="0.42420000000000002"/>
    <n v="0.82"/>
    <n v="0.29849999999999999"/>
    <n v="41"/>
    <n v="52"/>
    <n v="93"/>
    <x v="0"/>
    <x v="1"/>
    <x v="1"/>
  </r>
  <r>
    <n v="18"/>
    <d v="2011-01-28T00:00:00"/>
    <x v="0"/>
    <n v="1"/>
    <x v="15"/>
    <b v="0"/>
    <x v="6"/>
    <n v="2"/>
    <n v="0.2"/>
    <n v="17"/>
    <n v="0"/>
    <n v="0.82"/>
    <n v="0.28360000000000002"/>
    <n v="15"/>
    <n v="52"/>
    <n v="67"/>
    <x v="0"/>
    <x v="1"/>
    <x v="1"/>
  </r>
  <r>
    <n v="19"/>
    <d v="2011-01-28T00:00:00"/>
    <x v="0"/>
    <n v="1"/>
    <x v="15"/>
    <b v="0"/>
    <x v="6"/>
    <n v="2"/>
    <n v="0.2"/>
    <n v="18"/>
    <n v="0.42420000000000002"/>
    <n v="0.88"/>
    <n v="0.25369999999999998"/>
    <n v="9"/>
    <n v="26"/>
    <n v="35"/>
    <x v="0"/>
    <x v="1"/>
    <x v="1"/>
  </r>
  <r>
    <n v="20"/>
    <d v="2011-01-28T00:00:00"/>
    <x v="0"/>
    <n v="1"/>
    <x v="15"/>
    <b v="0"/>
    <x v="6"/>
    <n v="2"/>
    <n v="0.2"/>
    <n v="19"/>
    <n v="0.42420000000000002"/>
    <n v="0.88"/>
    <n v="0.25369999999999998"/>
    <n v="6"/>
    <n v="31"/>
    <n v="37"/>
    <x v="0"/>
    <x v="1"/>
    <x v="1"/>
  </r>
  <r>
    <n v="21"/>
    <d v="2011-01-28T00:00:00"/>
    <x v="0"/>
    <n v="1"/>
    <x v="15"/>
    <b v="0"/>
    <x v="6"/>
    <n v="2"/>
    <n v="0.2"/>
    <n v="20"/>
    <n v="0.40910000000000002"/>
    <n v="0.87"/>
    <n v="0.25369999999999998"/>
    <n v="11"/>
    <n v="25"/>
    <n v="36"/>
    <x v="0"/>
    <x v="1"/>
    <x v="1"/>
  </r>
  <r>
    <n v="22"/>
    <d v="2011-01-28T00:00:00"/>
    <x v="0"/>
    <n v="1"/>
    <x v="15"/>
    <b v="0"/>
    <x v="6"/>
    <n v="2"/>
    <n v="0.2"/>
    <n v="21"/>
    <n v="0.40910000000000002"/>
    <n v="0.87"/>
    <n v="0.19400000000000001"/>
    <n v="3"/>
    <n v="31"/>
    <n v="34"/>
    <x v="0"/>
    <x v="1"/>
    <x v="1"/>
  </r>
  <r>
    <n v="23"/>
    <d v="2011-01-28T00:00:00"/>
    <x v="0"/>
    <n v="1"/>
    <x v="15"/>
    <b v="0"/>
    <x v="6"/>
    <n v="2"/>
    <n v="0.2"/>
    <n v="22"/>
    <n v="0.40910000000000002"/>
    <n v="0.94"/>
    <n v="0.22389999999999999"/>
    <n v="11"/>
    <n v="17"/>
    <n v="28"/>
    <x v="0"/>
    <x v="1"/>
    <x v="1"/>
  </r>
  <r>
    <n v="24"/>
    <d v="2011-01-28T00:00:00"/>
    <x v="0"/>
    <n v="1"/>
    <x v="15"/>
    <b v="0"/>
    <x v="6"/>
    <n v="2"/>
    <n v="0.2"/>
    <n v="23"/>
    <n v="0"/>
    <n v="0.88"/>
    <n v="0.29849999999999999"/>
    <n v="15"/>
    <n v="24"/>
    <n v="39"/>
    <x v="0"/>
    <x v="1"/>
    <x v="1"/>
  </r>
  <r>
    <n v="25"/>
    <d v="2011-01-28T00:00:00"/>
    <x v="0"/>
    <n v="1"/>
    <x v="15"/>
    <b v="0"/>
    <x v="6"/>
    <n v="2"/>
    <n v="0.2"/>
    <n v="24"/>
    <n v="0.45450000000000002"/>
    <n v="0.88"/>
    <n v="0.29849999999999999"/>
    <n v="4"/>
    <n v="13"/>
    <n v="17"/>
    <x v="0"/>
    <x v="1"/>
    <x v="1"/>
  </r>
  <r>
    <n v="26"/>
    <d v="2011-01-28T00:00:00"/>
    <x v="0"/>
    <n v="1"/>
    <x v="15"/>
    <b v="0"/>
    <x v="6"/>
    <n v="2"/>
    <n v="0.2"/>
    <n v="25"/>
    <n v="0.43940000000000001"/>
    <n v="0.94"/>
    <n v="0.25369999999999998"/>
    <n v="1"/>
    <n v="16"/>
    <n v="17"/>
    <x v="0"/>
    <x v="1"/>
    <x v="1"/>
  </r>
  <r>
    <n v="27"/>
    <d v="2011-01-28T00:00:00"/>
    <x v="0"/>
    <n v="1"/>
    <x v="15"/>
    <b v="0"/>
    <x v="6"/>
    <n v="2"/>
    <n v="0.2"/>
    <n v="26"/>
    <n v="0.42420000000000002"/>
    <n v="1"/>
    <n v="0.28360000000000002"/>
    <n v="1"/>
    <n v="8"/>
    <n v="9"/>
    <x v="0"/>
    <x v="1"/>
    <x v="1"/>
  </r>
  <r>
    <n v="28"/>
    <d v="2011-01-28T00:00:00"/>
    <x v="0"/>
    <n v="1"/>
    <x v="15"/>
    <b v="0"/>
    <x v="6"/>
    <n v="2"/>
    <n v="0.2"/>
    <n v="27"/>
    <n v="0.45450000000000002"/>
    <n v="0.94"/>
    <n v="0.19400000000000001"/>
    <n v="2"/>
    <n v="4"/>
    <n v="6"/>
    <x v="0"/>
    <x v="1"/>
    <x v="1"/>
  </r>
  <r>
    <n v="29"/>
    <d v="2011-01-28T00:00:00"/>
    <x v="0"/>
    <n v="1"/>
    <x v="15"/>
    <b v="0"/>
    <x v="6"/>
    <n v="2"/>
    <n v="0.2"/>
    <n v="28"/>
    <n v="0"/>
    <n v="0.94"/>
    <n v="0.19400000000000001"/>
    <n v="2"/>
    <n v="1"/>
    <n v="3"/>
    <x v="0"/>
    <x v="1"/>
    <x v="1"/>
  </r>
  <r>
    <n v="30"/>
    <d v="2011-01-28T00:00:00"/>
    <x v="0"/>
    <n v="1"/>
    <x v="15"/>
    <b v="0"/>
    <x v="6"/>
    <n v="2"/>
    <n v="0.2"/>
    <n v="29"/>
    <n v="0.42420000000000002"/>
    <n v="0.77"/>
    <n v="0.29849999999999999"/>
    <n v="0"/>
    <n v="2"/>
    <n v="2"/>
    <x v="0"/>
    <x v="1"/>
    <x v="1"/>
  </r>
  <r>
    <n v="31"/>
    <d v="2011-01-28T00:00:00"/>
    <x v="0"/>
    <n v="1"/>
    <x v="15"/>
    <b v="0"/>
    <x v="6"/>
    <n v="2"/>
    <n v="0.2"/>
    <n v="30"/>
    <n v="0.40910000000000002"/>
    <n v="0.76"/>
    <n v="0.19400000000000001"/>
    <n v="0"/>
    <n v="1"/>
    <n v="1"/>
    <x v="0"/>
    <x v="1"/>
    <x v="1"/>
  </r>
  <r>
    <n v="32"/>
    <d v="2011-01-28T00:00:00"/>
    <x v="0"/>
    <n v="1"/>
    <x v="15"/>
    <b v="0"/>
    <x v="6"/>
    <n v="2"/>
    <n v="0.2"/>
    <n v="31"/>
    <n v="0.40910000000000002"/>
    <n v="0.71"/>
    <n v="0.22389999999999999"/>
    <n v="0"/>
    <n v="8"/>
    <n v="8"/>
    <x v="0"/>
    <x v="1"/>
    <x v="1"/>
  </r>
  <r>
    <n v="33"/>
    <d v="2011-01-28T00:00:00"/>
    <x v="0"/>
    <n v="1"/>
    <x v="15"/>
    <b v="0"/>
    <x v="6"/>
    <n v="2"/>
    <n v="0.2"/>
    <n v="32"/>
    <n v="0"/>
    <n v="0.76"/>
    <n v="0.22389999999999999"/>
    <n v="1"/>
    <n v="19"/>
    <n v="20"/>
    <x v="0"/>
    <x v="1"/>
    <x v="1"/>
  </r>
  <r>
    <n v="34"/>
    <d v="2011-01-28T00:00:00"/>
    <x v="0"/>
    <n v="1"/>
    <x v="15"/>
    <b v="0"/>
    <x v="6"/>
    <n v="2"/>
    <n v="0.2"/>
    <n v="33"/>
    <n v="0.34849999999999998"/>
    <n v="0.81"/>
    <n v="0.22389999999999999"/>
    <n v="7"/>
    <n v="46"/>
    <n v="53"/>
    <x v="0"/>
    <x v="1"/>
    <x v="1"/>
  </r>
  <r>
    <n v="35"/>
    <d v="2011-01-28T00:00:00"/>
    <x v="0"/>
    <n v="1"/>
    <x v="15"/>
    <b v="0"/>
    <x v="6"/>
    <n v="2"/>
    <n v="0.2"/>
    <n v="34"/>
    <n v="0.33329999999999999"/>
    <n v="0.71"/>
    <n v="0.25369999999999998"/>
    <n v="16"/>
    <n v="54"/>
    <n v="70"/>
    <x v="0"/>
    <x v="1"/>
    <x v="1"/>
  </r>
  <r>
    <n v="36"/>
    <d v="2011-01-28T00:00:00"/>
    <x v="0"/>
    <n v="1"/>
    <x v="15"/>
    <b v="0"/>
    <x v="6"/>
    <n v="2"/>
    <n v="0.2"/>
    <n v="35"/>
    <n v="0.33329999999999999"/>
    <n v="0.66"/>
    <n v="0.29849999999999999"/>
    <n v="20"/>
    <n v="73"/>
    <n v="93"/>
    <x v="0"/>
    <x v="1"/>
    <x v="1"/>
  </r>
  <r>
    <n v="37"/>
    <d v="2011-01-28T00:00:00"/>
    <x v="0"/>
    <n v="1"/>
    <x v="15"/>
    <b v="0"/>
    <x v="6"/>
    <n v="2"/>
    <n v="0.2"/>
    <n v="36"/>
    <n v="0.34849999999999998"/>
    <n v="0.66"/>
    <n v="0.1343"/>
    <n v="11"/>
    <n v="64"/>
    <n v="75"/>
    <x v="0"/>
    <x v="1"/>
    <x v="1"/>
  </r>
  <r>
    <n v="38"/>
    <d v="2011-01-28T00:00:00"/>
    <x v="0"/>
    <n v="1"/>
    <x v="15"/>
    <b v="0"/>
    <x v="6"/>
    <n v="2"/>
    <n v="0.2"/>
    <n v="37"/>
    <n v="0"/>
    <n v="0.76"/>
    <n v="0.19400000000000001"/>
    <n v="4"/>
    <n v="55"/>
    <n v="59"/>
    <x v="0"/>
    <x v="1"/>
    <x v="1"/>
  </r>
  <r>
    <n v="39"/>
    <d v="2011-01-28T00:00:00"/>
    <x v="0"/>
    <n v="1"/>
    <x v="15"/>
    <b v="0"/>
    <x v="6"/>
    <n v="2"/>
    <n v="0.2"/>
    <n v="38"/>
    <n v="0.33329999999999999"/>
    <n v="0.81"/>
    <n v="0.16420000000000001"/>
    <n v="19"/>
    <n v="55"/>
    <n v="74"/>
    <x v="0"/>
    <x v="1"/>
    <x v="1"/>
  </r>
  <r>
    <n v="40"/>
    <d v="2011-01-28T00:00:00"/>
    <x v="0"/>
    <n v="1"/>
    <x v="15"/>
    <b v="0"/>
    <x v="6"/>
    <n v="2"/>
    <n v="0.2"/>
    <n v="39"/>
    <n v="0.33329999999999999"/>
    <n v="0.71"/>
    <n v="0.16420000000000001"/>
    <n v="9"/>
    <n v="67"/>
    <n v="76"/>
    <x v="0"/>
    <x v="1"/>
    <x v="1"/>
  </r>
  <r>
    <n v="41"/>
    <d v="2011-01-28T00:00:00"/>
    <x v="0"/>
    <n v="1"/>
    <x v="15"/>
    <b v="0"/>
    <x v="6"/>
    <n v="2"/>
    <n v="0.2"/>
    <n v="40"/>
    <n v="0.33329999999999999"/>
    <n v="0.56999999999999995"/>
    <n v="0.19400000000000001"/>
    <n v="7"/>
    <n v="58"/>
    <n v="65"/>
    <x v="0"/>
    <x v="1"/>
    <x v="1"/>
  </r>
  <r>
    <n v="42"/>
    <d v="2011-01-28T00:00:00"/>
    <x v="0"/>
    <n v="1"/>
    <x v="15"/>
    <b v="0"/>
    <x v="6"/>
    <n v="2"/>
    <n v="0.2"/>
    <n v="41"/>
    <n v="0.33329999999999999"/>
    <n v="0.46"/>
    <n v="0.32840000000000003"/>
    <n v="10"/>
    <n v="43"/>
    <n v="53"/>
    <x v="0"/>
    <x v="1"/>
    <x v="1"/>
  </r>
  <r>
    <n v="43"/>
    <d v="2011-01-28T00:00:00"/>
    <x v="0"/>
    <n v="1"/>
    <x v="15"/>
    <b v="0"/>
    <x v="6"/>
    <n v="2"/>
    <n v="0.2"/>
    <n v="42"/>
    <n v="0.28789999999999999"/>
    <n v="0.42"/>
    <n v="0.44779999999999998"/>
    <n v="1"/>
    <n v="29"/>
    <n v="30"/>
    <x v="0"/>
    <x v="1"/>
    <x v="1"/>
  </r>
  <r>
    <n v="44"/>
    <d v="2011-01-28T00:00:00"/>
    <x v="0"/>
    <n v="1"/>
    <x v="15"/>
    <b v="0"/>
    <x v="6"/>
    <n v="2"/>
    <n v="0.2"/>
    <n v="43"/>
    <n v="0"/>
    <n v="0.39"/>
    <n v="0.35820000000000002"/>
    <n v="5"/>
    <n v="17"/>
    <n v="22"/>
    <x v="0"/>
    <x v="1"/>
    <x v="1"/>
  </r>
  <r>
    <n v="45"/>
    <d v="2011-01-28T00:00:00"/>
    <x v="0"/>
    <n v="1"/>
    <x v="15"/>
    <b v="0"/>
    <x v="6"/>
    <n v="2"/>
    <n v="0.2"/>
    <n v="44"/>
    <n v="0.2273"/>
    <n v="0.44"/>
    <n v="0.32840000000000003"/>
    <n v="11"/>
    <n v="20"/>
    <n v="31"/>
    <x v="0"/>
    <x v="1"/>
    <x v="1"/>
  </r>
  <r>
    <n v="46"/>
    <d v="2011-01-28T00:00:00"/>
    <x v="0"/>
    <n v="1"/>
    <x v="15"/>
    <b v="0"/>
    <x v="6"/>
    <n v="2"/>
    <n v="0.2"/>
    <n v="45"/>
    <n v="0.21210000000000001"/>
    <n v="0.44"/>
    <n v="0.29849999999999999"/>
    <n v="0"/>
    <n v="9"/>
    <n v="9"/>
    <x v="0"/>
    <x v="1"/>
    <x v="1"/>
  </r>
  <r>
    <n v="47"/>
    <d v="2011-01-28T00:00:00"/>
    <x v="0"/>
    <n v="1"/>
    <x v="15"/>
    <b v="0"/>
    <x v="6"/>
    <n v="2"/>
    <n v="0.2"/>
    <n v="46"/>
    <n v="0.2273"/>
    <n v="0.47"/>
    <n v="0.16420000000000001"/>
    <n v="0"/>
    <n v="8"/>
    <n v="8"/>
    <x v="0"/>
    <x v="1"/>
    <x v="1"/>
  </r>
  <r>
    <n v="48"/>
    <d v="2011-01-28T00:00:00"/>
    <x v="0"/>
    <n v="1"/>
    <x v="15"/>
    <b v="0"/>
    <x v="6"/>
    <n v="2"/>
    <n v="0.2"/>
    <n v="47"/>
    <n v="0.19700000000000001"/>
    <n v="0.44"/>
    <n v="0.35820000000000002"/>
    <n v="0"/>
    <n v="5"/>
    <n v="5"/>
    <x v="0"/>
    <x v="1"/>
    <x v="1"/>
  </r>
  <r>
    <n v="49"/>
    <d v="2011-01-28T00:00:00"/>
    <x v="0"/>
    <n v="1"/>
    <x v="15"/>
    <b v="0"/>
    <x v="6"/>
    <n v="2"/>
    <n v="0.2"/>
    <n v="48"/>
    <n v="0"/>
    <n v="0.44"/>
    <n v="0.41789999999999999"/>
    <n v="0"/>
    <n v="2"/>
    <n v="2"/>
    <x v="0"/>
    <x v="1"/>
    <x v="1"/>
  </r>
  <r>
    <n v="50"/>
    <d v="2011-01-28T00:00:00"/>
    <x v="0"/>
    <n v="1"/>
    <x v="15"/>
    <b v="0"/>
    <x v="6"/>
    <n v="2"/>
    <n v="0.2"/>
    <n v="49"/>
    <n v="0.13639999999999999"/>
    <n v="0.47"/>
    <n v="0.3881"/>
    <n v="0"/>
    <n v="1"/>
    <n v="1"/>
    <x v="0"/>
    <x v="1"/>
    <x v="1"/>
  </r>
  <r>
    <n v="51"/>
    <d v="2011-01-28T00:00:00"/>
    <x v="0"/>
    <n v="1"/>
    <x v="15"/>
    <b v="0"/>
    <x v="6"/>
    <n v="2"/>
    <n v="0.2"/>
    <n v="50"/>
    <n v="0.13639999999999999"/>
    <n v="0.47"/>
    <n v="0.28360000000000002"/>
    <n v="0"/>
    <n v="3"/>
    <n v="3"/>
    <x v="0"/>
    <x v="1"/>
    <x v="1"/>
  </r>
  <r>
    <n v="52"/>
    <d v="2011-01-28T00:00:00"/>
    <x v="0"/>
    <n v="1"/>
    <x v="15"/>
    <b v="0"/>
    <x v="6"/>
    <n v="2"/>
    <n v="0.2"/>
    <n v="51"/>
    <n v="0.1061"/>
    <n v="0.5"/>
    <n v="0.3881"/>
    <n v="0"/>
    <n v="30"/>
    <n v="30"/>
    <x v="0"/>
    <x v="1"/>
    <x v="1"/>
  </r>
  <r>
    <n v="53"/>
    <d v="2011-01-28T00:00:00"/>
    <x v="0"/>
    <n v="1"/>
    <x v="15"/>
    <b v="0"/>
    <x v="6"/>
    <n v="2"/>
    <n v="0.2"/>
    <n v="52"/>
    <n v="0.13639999999999999"/>
    <n v="0.5"/>
    <n v="0.19400000000000001"/>
    <n v="1"/>
    <n v="63"/>
    <n v="64"/>
    <x v="0"/>
    <x v="1"/>
    <x v="1"/>
  </r>
  <r>
    <n v="54"/>
    <d v="2011-01-28T00:00:00"/>
    <x v="0"/>
    <n v="1"/>
    <x v="15"/>
    <b v="0"/>
    <x v="6"/>
    <n v="2"/>
    <n v="0.2"/>
    <n v="53"/>
    <n v="0.1212"/>
    <n v="0.5"/>
    <n v="0.28360000000000002"/>
    <n v="1"/>
    <n v="153"/>
    <n v="154"/>
    <x v="0"/>
    <x v="1"/>
    <x v="1"/>
  </r>
  <r>
    <n v="55"/>
    <d v="2011-01-28T00:00:00"/>
    <x v="0"/>
    <n v="1"/>
    <x v="15"/>
    <b v="0"/>
    <x v="6"/>
    <n v="2"/>
    <n v="0.2"/>
    <n v="54"/>
    <n v="0.13639999999999999"/>
    <n v="0.43"/>
    <n v="0.3881"/>
    <n v="7"/>
    <n v="81"/>
    <n v="88"/>
    <x v="0"/>
    <x v="1"/>
    <x v="1"/>
  </r>
  <r>
    <n v="56"/>
    <d v="2011-01-28T00:00:00"/>
    <x v="0"/>
    <n v="1"/>
    <x v="15"/>
    <b v="0"/>
    <x v="6"/>
    <n v="2"/>
    <n v="0.2"/>
    <n v="55"/>
    <n v="0.16669999999999999"/>
    <n v="0.43"/>
    <n v="0.25369999999999998"/>
    <n v="11"/>
    <n v="33"/>
    <n v="44"/>
    <x v="0"/>
    <x v="1"/>
    <x v="1"/>
  </r>
  <r>
    <n v="57"/>
    <d v="2011-01-28T00:00:00"/>
    <x v="0"/>
    <n v="1"/>
    <x v="15"/>
    <b v="0"/>
    <x v="6"/>
    <n v="2"/>
    <n v="0.2"/>
    <n v="56"/>
    <n v="0.18179999999999999"/>
    <n v="0.4"/>
    <n v="0.32840000000000003"/>
    <n v="10"/>
    <n v="41"/>
    <n v="51"/>
    <x v="0"/>
    <x v="1"/>
    <x v="1"/>
  </r>
  <r>
    <n v="58"/>
    <d v="2011-01-28T00:00:00"/>
    <x v="0"/>
    <n v="1"/>
    <x v="15"/>
    <b v="0"/>
    <x v="6"/>
    <n v="2"/>
    <n v="0.2"/>
    <n v="57"/>
    <n v="0.21210000000000001"/>
    <n v="0.35"/>
    <n v="0.29849999999999999"/>
    <n v="13"/>
    <n v="48"/>
    <n v="61"/>
    <x v="0"/>
    <x v="1"/>
    <x v="1"/>
  </r>
  <r>
    <n v="59"/>
    <d v="2011-01-28T00:00:00"/>
    <x v="0"/>
    <n v="1"/>
    <x v="15"/>
    <b v="0"/>
    <x v="6"/>
    <n v="2"/>
    <n v="0.2"/>
    <n v="58"/>
    <n v="0"/>
    <n v="0.35"/>
    <n v="0.28360000000000002"/>
    <n v="8"/>
    <n v="53"/>
    <n v="61"/>
    <x v="0"/>
    <x v="1"/>
    <x v="1"/>
  </r>
  <r>
    <n v="60"/>
    <d v="2011-01-28T00:00:00"/>
    <x v="0"/>
    <n v="1"/>
    <x v="15"/>
    <b v="0"/>
    <x v="6"/>
    <n v="2"/>
    <n v="0.2"/>
    <n v="59"/>
    <n v="0.2424"/>
    <n v="0.3"/>
    <n v="0.28360000000000002"/>
    <n v="11"/>
    <n v="66"/>
    <n v="77"/>
    <x v="0"/>
    <x v="1"/>
    <x v="1"/>
  </r>
  <r>
    <n v="61"/>
    <d v="2011-01-28T00:00:00"/>
    <x v="0"/>
    <n v="1"/>
    <x v="15"/>
    <b v="0"/>
    <x v="6"/>
    <n v="2"/>
    <n v="0.2"/>
    <n v="60"/>
    <n v="0.2424"/>
    <n v="0.3"/>
    <n v="0.25369999999999998"/>
    <n v="14"/>
    <n v="58"/>
    <n v="72"/>
    <x v="0"/>
    <x v="1"/>
    <x v="1"/>
  </r>
  <r>
    <n v="62"/>
    <d v="2011-01-28T00:00:00"/>
    <x v="0"/>
    <n v="1"/>
    <x v="15"/>
    <b v="0"/>
    <x v="6"/>
    <n v="2"/>
    <n v="0.2"/>
    <n v="61"/>
    <n v="0.2424"/>
    <n v="0.3"/>
    <n v="0.25369999999999998"/>
    <n v="9"/>
    <n v="67"/>
    <n v="76"/>
    <x v="0"/>
    <x v="1"/>
    <x v="1"/>
  </r>
  <r>
    <n v="63"/>
    <d v="2011-01-28T00:00:00"/>
    <x v="0"/>
    <n v="1"/>
    <x v="15"/>
    <b v="0"/>
    <x v="6"/>
    <n v="2"/>
    <n v="0.2"/>
    <n v="62"/>
    <n v="0.2273"/>
    <n v="0.3"/>
    <n v="0.22389999999999999"/>
    <n v="11"/>
    <n v="146"/>
    <n v="157"/>
    <x v="0"/>
    <x v="1"/>
    <x v="1"/>
  </r>
  <r>
    <n v="64"/>
    <d v="2011-01-28T00:00:00"/>
    <x v="0"/>
    <n v="1"/>
    <x v="15"/>
    <b v="0"/>
    <x v="6"/>
    <n v="2"/>
    <n v="0.2"/>
    <n v="63"/>
    <n v="0.2576"/>
    <n v="0.32"/>
    <n v="0.1045"/>
    <n v="9"/>
    <n v="148"/>
    <n v="157"/>
    <x v="0"/>
    <x v="1"/>
    <x v="1"/>
  </r>
  <r>
    <n v="65"/>
    <d v="2011-01-28T00:00:00"/>
    <x v="0"/>
    <n v="1"/>
    <x v="15"/>
    <b v="0"/>
    <x v="6"/>
    <n v="2"/>
    <n v="0.2"/>
    <n v="64"/>
    <n v="0.2576"/>
    <n v="0.47"/>
    <n v="0"/>
    <n v="8"/>
    <n v="102"/>
    <n v="110"/>
    <x v="0"/>
    <x v="1"/>
    <x v="1"/>
  </r>
  <r>
    <n v="66"/>
    <d v="2011-01-28T00:00:00"/>
    <x v="0"/>
    <n v="1"/>
    <x v="15"/>
    <b v="0"/>
    <x v="6"/>
    <n v="2"/>
    <n v="0.2"/>
    <n v="65"/>
    <n v="0"/>
    <n v="0.47"/>
    <n v="0.1045"/>
    <n v="3"/>
    <n v="49"/>
    <n v="52"/>
    <x v="0"/>
    <x v="1"/>
    <x v="1"/>
  </r>
  <r>
    <n v="67"/>
    <d v="2011-01-28T00:00:00"/>
    <x v="0"/>
    <n v="1"/>
    <x v="15"/>
    <b v="0"/>
    <x v="6"/>
    <n v="2"/>
    <n v="0.2"/>
    <n v="66"/>
    <n v="0.19700000000000001"/>
    <n v="0.64"/>
    <n v="0.1343"/>
    <n v="3"/>
    <n v="49"/>
    <n v="52"/>
    <x v="0"/>
    <x v="1"/>
    <x v="1"/>
  </r>
  <r>
    <n v="68"/>
    <d v="2011-01-28T00:00:00"/>
    <x v="0"/>
    <n v="1"/>
    <x v="15"/>
    <b v="0"/>
    <x v="6"/>
    <n v="2"/>
    <n v="0.2"/>
    <n v="67"/>
    <n v="0.1515"/>
    <n v="0.69"/>
    <n v="0.1343"/>
    <n v="0"/>
    <n v="20"/>
    <n v="20"/>
    <x v="0"/>
    <x v="1"/>
    <x v="1"/>
  </r>
  <r>
    <n v="69"/>
    <d v="2011-01-28T00:00:00"/>
    <x v="0"/>
    <n v="1"/>
    <x v="15"/>
    <b v="0"/>
    <x v="6"/>
    <n v="2"/>
    <n v="0.2"/>
    <n v="68"/>
    <n v="0.21210000000000001"/>
    <n v="0.55000000000000004"/>
    <n v="0.1045"/>
    <n v="1"/>
    <n v="11"/>
    <n v="12"/>
    <x v="0"/>
    <x v="1"/>
    <x v="1"/>
  </r>
  <r>
    <n v="70"/>
    <d v="2011-01-28T00:00:00"/>
    <x v="0"/>
    <n v="1"/>
    <x v="15"/>
    <b v="0"/>
    <x v="6"/>
    <n v="2"/>
    <n v="0.2"/>
    <n v="69"/>
    <n v="0"/>
    <n v="0.55000000000000004"/>
    <n v="0.1045"/>
    <n v="0"/>
    <n v="5"/>
    <n v="5"/>
    <x v="0"/>
    <x v="1"/>
    <x v="1"/>
  </r>
  <r>
    <n v="71"/>
    <d v="2011-01-28T00:00:00"/>
    <x v="0"/>
    <n v="1"/>
    <x v="15"/>
    <b v="0"/>
    <x v="6"/>
    <n v="2"/>
    <n v="0.2"/>
    <n v="70"/>
    <n v="0.18179999999999999"/>
    <n v="0.59"/>
    <n v="0.1045"/>
    <n v="0"/>
    <n v="2"/>
    <n v="2"/>
    <x v="0"/>
    <x v="1"/>
    <x v="1"/>
  </r>
  <r>
    <n v="72"/>
    <d v="2011-01-28T00:00:00"/>
    <x v="0"/>
    <n v="1"/>
    <x v="15"/>
    <b v="0"/>
    <x v="6"/>
    <n v="2"/>
    <n v="0.2"/>
    <n v="71"/>
    <n v="0.1515"/>
    <n v="0.63"/>
    <n v="0.1343"/>
    <n v="0"/>
    <n v="1"/>
    <n v="1"/>
    <x v="0"/>
    <x v="1"/>
    <x v="1"/>
  </r>
  <r>
    <n v="73"/>
    <d v="2011-01-28T00:00:00"/>
    <x v="0"/>
    <n v="1"/>
    <x v="15"/>
    <b v="0"/>
    <x v="6"/>
    <n v="2"/>
    <n v="0.2"/>
    <n v="72"/>
    <n v="0.18179999999999999"/>
    <n v="0.63"/>
    <n v="8.9599999999999999E-2"/>
    <n v="0"/>
    <n v="2"/>
    <n v="2"/>
    <x v="0"/>
    <x v="1"/>
    <x v="1"/>
  </r>
  <r>
    <n v="74"/>
    <d v="2011-01-28T00:00:00"/>
    <x v="0"/>
    <n v="1"/>
    <x v="15"/>
    <b v="0"/>
    <x v="6"/>
    <n v="2"/>
    <n v="0.2"/>
    <n v="73"/>
    <n v="0.1515"/>
    <n v="0.68"/>
    <n v="0.1045"/>
    <n v="0"/>
    <n v="4"/>
    <n v="4"/>
    <x v="0"/>
    <x v="1"/>
    <x v="1"/>
  </r>
  <r>
    <n v="75"/>
    <d v="2011-01-28T00:00:00"/>
    <x v="0"/>
    <n v="1"/>
    <x v="15"/>
    <b v="0"/>
    <x v="6"/>
    <n v="2"/>
    <n v="0.2"/>
    <n v="74"/>
    <n v="0.1515"/>
    <n v="0.74"/>
    <n v="0.1045"/>
    <n v="0"/>
    <n v="36"/>
    <n v="36"/>
    <x v="0"/>
    <x v="1"/>
    <x v="1"/>
  </r>
  <r>
    <n v="76"/>
    <d v="2011-01-28T00:00:00"/>
    <x v="0"/>
    <n v="1"/>
    <x v="15"/>
    <b v="0"/>
    <x v="6"/>
    <n v="2"/>
    <n v="0.2"/>
    <n v="75"/>
    <n v="0.1515"/>
    <n v="0.74"/>
    <n v="0.1343"/>
    <n v="2"/>
    <n v="92"/>
    <n v="94"/>
    <x v="0"/>
    <x v="1"/>
    <x v="1"/>
  </r>
  <r>
    <n v="77"/>
    <d v="2011-01-28T00:00:00"/>
    <x v="0"/>
    <n v="1"/>
    <x v="15"/>
    <b v="0"/>
    <x v="6"/>
    <n v="2"/>
    <n v="0.2"/>
    <n v="76"/>
    <n v="0.1515"/>
    <n v="0.69"/>
    <n v="0.16420000000000001"/>
    <n v="2"/>
    <n v="177"/>
    <n v="179"/>
    <x v="0"/>
    <x v="1"/>
    <x v="1"/>
  </r>
  <r>
    <n v="78"/>
    <d v="2011-01-28T00:00:00"/>
    <x v="0"/>
    <n v="1"/>
    <x v="15"/>
    <b v="0"/>
    <x v="6"/>
    <n v="2"/>
    <n v="0.2"/>
    <n v="77"/>
    <n v="0.1515"/>
    <n v="0.64"/>
    <n v="0.22389999999999999"/>
    <n v="2"/>
    <n v="98"/>
    <n v="100"/>
    <x v="0"/>
    <x v="1"/>
    <x v="1"/>
  </r>
  <r>
    <n v="79"/>
    <d v="2011-01-28T00:00:00"/>
    <x v="0"/>
    <n v="1"/>
    <x v="15"/>
    <b v="0"/>
    <x v="6"/>
    <n v="2"/>
    <n v="0.2"/>
    <n v="78"/>
    <n v="0.13639999999999999"/>
    <n v="0.69"/>
    <n v="0.32840000000000003"/>
    <n v="5"/>
    <n v="37"/>
    <n v="42"/>
    <x v="0"/>
    <x v="1"/>
    <x v="1"/>
  </r>
  <r>
    <n v="80"/>
    <d v="2011-01-28T00:00:00"/>
    <x v="0"/>
    <n v="1"/>
    <x v="15"/>
    <b v="0"/>
    <x v="6"/>
    <n v="2"/>
    <n v="0.2"/>
    <n v="79"/>
    <n v="0.21210000000000001"/>
    <n v="0.51"/>
    <n v="0.29849999999999999"/>
    <n v="7"/>
    <n v="50"/>
    <n v="57"/>
    <x v="0"/>
    <x v="1"/>
    <x v="1"/>
  </r>
  <r>
    <n v="81"/>
    <d v="2011-01-28T00:00:00"/>
    <x v="0"/>
    <n v="1"/>
    <x v="15"/>
    <b v="0"/>
    <x v="6"/>
    <n v="2"/>
    <n v="0.2"/>
    <n v="80"/>
    <n v="0.2273"/>
    <n v="0.51"/>
    <n v="0.16420000000000001"/>
    <n v="12"/>
    <n v="66"/>
    <n v="78"/>
    <x v="0"/>
    <x v="1"/>
    <x v="1"/>
  </r>
  <r>
    <n v="82"/>
    <d v="2011-01-28T00:00:00"/>
    <x v="0"/>
    <n v="1"/>
    <x v="15"/>
    <b v="0"/>
    <x v="6"/>
    <n v="2"/>
    <n v="0.2"/>
    <n v="81"/>
    <n v="0.2273"/>
    <n v="0.56000000000000005"/>
    <n v="0.19400000000000001"/>
    <n v="18"/>
    <n v="79"/>
    <n v="97"/>
    <x v="0"/>
    <x v="1"/>
    <x v="1"/>
  </r>
  <r>
    <n v="83"/>
    <d v="2011-01-28T00:00:00"/>
    <x v="0"/>
    <n v="1"/>
    <x v="15"/>
    <b v="0"/>
    <x v="6"/>
    <n v="2"/>
    <n v="0.2"/>
    <n v="82"/>
    <n v="0.2576"/>
    <n v="0.52"/>
    <n v="0.22389999999999999"/>
    <n v="9"/>
    <n v="54"/>
    <n v="63"/>
    <x v="0"/>
    <x v="1"/>
    <x v="1"/>
  </r>
  <r>
    <n v="84"/>
    <d v="2011-01-28T00:00:00"/>
    <x v="0"/>
    <n v="1"/>
    <x v="15"/>
    <b v="0"/>
    <x v="6"/>
    <n v="2"/>
    <n v="0.2"/>
    <n v="83"/>
    <n v="0.2727"/>
    <n v="0.52"/>
    <n v="0.25369999999999998"/>
    <n v="17"/>
    <n v="48"/>
    <n v="65"/>
    <x v="0"/>
    <x v="1"/>
    <x v="1"/>
  </r>
  <r>
    <n v="85"/>
    <d v="2011-01-28T00:00:00"/>
    <x v="0"/>
    <n v="1"/>
    <x v="15"/>
    <b v="0"/>
    <x v="6"/>
    <n v="2"/>
    <n v="0.2"/>
    <n v="84"/>
    <n v="0.28789999999999999"/>
    <n v="0.49"/>
    <n v="0.25369999999999998"/>
    <n v="15"/>
    <n v="68"/>
    <n v="83"/>
    <x v="0"/>
    <x v="1"/>
    <x v="1"/>
  </r>
  <r>
    <n v="86"/>
    <d v="2011-01-28T00:00:00"/>
    <x v="0"/>
    <n v="1"/>
    <x v="15"/>
    <b v="0"/>
    <x v="6"/>
    <n v="2"/>
    <n v="0.2"/>
    <n v="85"/>
    <n v="0.2727"/>
    <n v="0.48"/>
    <n v="0.22389999999999999"/>
    <n v="10"/>
    <n v="202"/>
    <n v="212"/>
    <x v="0"/>
    <x v="1"/>
    <x v="1"/>
  </r>
  <r>
    <n v="87"/>
    <d v="2011-01-28T00:00:00"/>
    <x v="0"/>
    <n v="1"/>
    <x v="15"/>
    <b v="0"/>
    <x v="6"/>
    <n v="2"/>
    <n v="0.2"/>
    <n v="86"/>
    <n v="0.2576"/>
    <n v="0.48"/>
    <n v="0.19400000000000001"/>
    <n v="3"/>
    <n v="179"/>
    <n v="182"/>
    <x v="0"/>
    <x v="1"/>
    <x v="1"/>
  </r>
  <r>
    <n v="88"/>
    <d v="2011-01-28T00:00:00"/>
    <x v="0"/>
    <n v="1"/>
    <x v="15"/>
    <b v="0"/>
    <x v="6"/>
    <n v="2"/>
    <n v="0.2"/>
    <n v="87"/>
    <n v="0.2576"/>
    <n v="0.48"/>
    <n v="0.1045"/>
    <n v="2"/>
    <n v="110"/>
    <n v="112"/>
    <x v="0"/>
    <x v="1"/>
    <x v="1"/>
  </r>
  <r>
    <n v="89"/>
    <d v="2011-01-28T00:00:00"/>
    <x v="0"/>
    <n v="1"/>
    <x v="15"/>
    <b v="0"/>
    <x v="6"/>
    <n v="2"/>
    <n v="0.2"/>
    <n v="88"/>
    <n v="0.2576"/>
    <n v="0.48"/>
    <n v="0.1045"/>
    <n v="1"/>
    <n v="53"/>
    <n v="54"/>
    <x v="0"/>
    <x v="1"/>
    <x v="1"/>
  </r>
  <r>
    <n v="90"/>
    <d v="2011-01-28T00:00:00"/>
    <x v="0"/>
    <n v="1"/>
    <x v="15"/>
    <b v="0"/>
    <x v="6"/>
    <n v="2"/>
    <n v="0.2"/>
    <n v="89"/>
    <n v="0.2727"/>
    <n v="0.64"/>
    <n v="0"/>
    <n v="0"/>
    <n v="48"/>
    <n v="48"/>
    <x v="0"/>
    <x v="1"/>
    <x v="1"/>
  </r>
  <r>
    <n v="91"/>
    <d v="2011-01-28T00:00:00"/>
    <x v="0"/>
    <n v="1"/>
    <x v="15"/>
    <b v="0"/>
    <x v="6"/>
    <n v="2"/>
    <n v="0.2"/>
    <n v="90"/>
    <n v="0.2576"/>
    <n v="0.64"/>
    <n v="8.9599999999999999E-2"/>
    <n v="1"/>
    <n v="34"/>
    <n v="35"/>
    <x v="0"/>
    <x v="1"/>
    <x v="1"/>
  </r>
  <r>
    <n v="92"/>
    <d v="2011-01-28T00:00:00"/>
    <x v="0"/>
    <n v="1"/>
    <x v="15"/>
    <b v="0"/>
    <x v="6"/>
    <n v="2"/>
    <n v="0.2"/>
    <n v="91"/>
    <n v="0.2273"/>
    <n v="0.69"/>
    <n v="8.9599999999999999E-2"/>
    <n v="2"/>
    <n v="9"/>
    <n v="11"/>
    <x v="0"/>
    <x v="1"/>
    <x v="1"/>
  </r>
  <r>
    <n v="93"/>
    <d v="2011-01-28T00:00:00"/>
    <x v="0"/>
    <n v="1"/>
    <x v="15"/>
    <b v="0"/>
    <x v="6"/>
    <n v="2"/>
    <n v="0.2"/>
    <n v="92"/>
    <n v="0.2576"/>
    <n v="0.64"/>
    <n v="0"/>
    <n v="0"/>
    <n v="6"/>
    <n v="6"/>
    <x v="0"/>
    <x v="1"/>
    <x v="1"/>
  </r>
  <r>
    <n v="94"/>
    <d v="2011-01-28T00:00:00"/>
    <x v="0"/>
    <n v="1"/>
    <x v="15"/>
    <b v="0"/>
    <x v="6"/>
    <n v="2"/>
    <n v="0.2"/>
    <n v="93"/>
    <n v="0.19700000000000001"/>
    <n v="0.74"/>
    <n v="8.9599999999999999E-2"/>
    <n v="0"/>
    <n v="6"/>
    <n v="6"/>
    <x v="0"/>
    <x v="1"/>
    <x v="1"/>
  </r>
  <r>
    <n v="95"/>
    <d v="2011-01-28T00:00:00"/>
    <x v="0"/>
    <n v="1"/>
    <x v="15"/>
    <b v="0"/>
    <x v="6"/>
    <n v="2"/>
    <n v="0.2"/>
    <n v="94"/>
    <n v="0.19700000000000001"/>
    <n v="0.74"/>
    <n v="8.9599999999999999E-2"/>
    <n v="0"/>
    <n v="2"/>
    <n v="2"/>
    <x v="0"/>
    <x v="1"/>
    <x v="1"/>
  </r>
  <r>
    <n v="96"/>
    <d v="2011-01-28T00:00:00"/>
    <x v="0"/>
    <n v="1"/>
    <x v="15"/>
    <b v="0"/>
    <x v="6"/>
    <n v="2"/>
    <n v="0.2"/>
    <n v="95"/>
    <n v="0.2273"/>
    <n v="0.48"/>
    <n v="0.22389999999999999"/>
    <n v="0"/>
    <n v="2"/>
    <n v="2"/>
    <x v="0"/>
    <x v="1"/>
    <x v="1"/>
  </r>
  <r>
    <n v="97"/>
    <d v="2011-01-28T00:00:00"/>
    <x v="0"/>
    <n v="1"/>
    <x v="15"/>
    <b v="0"/>
    <x v="6"/>
    <n v="2"/>
    <n v="0.2"/>
    <n v="96"/>
    <n v="0.2273"/>
    <n v="0.47"/>
    <n v="0.16420000000000001"/>
    <n v="0"/>
    <n v="3"/>
    <n v="3"/>
    <x v="0"/>
    <x v="1"/>
    <x v="1"/>
  </r>
  <r>
    <n v="98"/>
    <d v="2011-01-28T00:00:00"/>
    <x v="0"/>
    <n v="1"/>
    <x v="15"/>
    <b v="0"/>
    <x v="6"/>
    <n v="2"/>
    <n v="0.2"/>
    <n v="97"/>
    <n v="0.19700000000000001"/>
    <n v="0.47"/>
    <n v="0.22389999999999999"/>
    <n v="0"/>
    <n v="33"/>
    <n v="33"/>
    <x v="0"/>
    <x v="1"/>
    <x v="1"/>
  </r>
  <r>
    <n v="99"/>
    <d v="2011-01-28T00:00:00"/>
    <x v="0"/>
    <n v="1"/>
    <x v="15"/>
    <b v="0"/>
    <x v="6"/>
    <n v="2"/>
    <n v="0.2"/>
    <n v="98"/>
    <n v="0.18179999999999999"/>
    <n v="0.43"/>
    <n v="0.19400000000000001"/>
    <n v="1"/>
    <n v="87"/>
    <n v="88"/>
    <x v="0"/>
    <x v="1"/>
    <x v="1"/>
  </r>
  <r>
    <n v="100"/>
    <d v="2011-01-28T00:00:00"/>
    <x v="0"/>
    <n v="1"/>
    <x v="15"/>
    <b v="0"/>
    <x v="6"/>
    <n v="2"/>
    <n v="0.2"/>
    <n v="99"/>
    <n v="0.18179999999999999"/>
    <n v="0.4"/>
    <n v="0.29849999999999999"/>
    <n v="3"/>
    <n v="192"/>
    <n v="195"/>
    <x v="0"/>
    <x v="1"/>
    <x v="1"/>
  </r>
  <r>
    <n v="101"/>
    <d v="2011-01-28T00:00:00"/>
    <x v="0"/>
    <n v="1"/>
    <x v="15"/>
    <b v="0"/>
    <x v="6"/>
    <n v="2"/>
    <n v="0.2"/>
    <n v="100"/>
    <n v="0.19700000000000001"/>
    <n v="0.37"/>
    <n v="0.32840000000000003"/>
    <n v="6"/>
    <n v="109"/>
    <n v="115"/>
    <x v="0"/>
    <x v="1"/>
    <x v="1"/>
  </r>
  <r>
    <n v="102"/>
    <d v="2011-01-28T00:00:00"/>
    <x v="0"/>
    <n v="1"/>
    <x v="15"/>
    <b v="0"/>
    <x v="6"/>
    <n v="2"/>
    <n v="0.2"/>
    <n v="101"/>
    <n v="0.19700000000000001"/>
    <n v="0.37"/>
    <n v="0.32840000000000003"/>
    <n v="4"/>
    <n v="53"/>
    <n v="57"/>
    <x v="0"/>
    <x v="1"/>
    <x v="1"/>
  </r>
  <r>
    <n v="103"/>
    <d v="2011-01-28T00:00:00"/>
    <x v="0"/>
    <n v="1"/>
    <x v="15"/>
    <b v="0"/>
    <x v="6"/>
    <n v="2"/>
    <n v="0.2"/>
    <n v="102"/>
    <n v="0.2273"/>
    <n v="0.33"/>
    <n v="0.32840000000000003"/>
    <n v="12"/>
    <n v="34"/>
    <n v="46"/>
    <x v="0"/>
    <x v="1"/>
    <x v="1"/>
  </r>
  <r>
    <n v="104"/>
    <d v="2011-01-28T00:00:00"/>
    <x v="0"/>
    <n v="1"/>
    <x v="15"/>
    <b v="0"/>
    <x v="6"/>
    <n v="2"/>
    <n v="0.2"/>
    <n v="103"/>
    <n v="0.2273"/>
    <n v="0.33"/>
    <n v="0.32840000000000003"/>
    <n v="5"/>
    <n v="74"/>
    <n v="79"/>
    <x v="0"/>
    <x v="1"/>
    <x v="1"/>
  </r>
  <r>
    <n v="105"/>
    <d v="2011-01-28T00:00:00"/>
    <x v="0"/>
    <n v="1"/>
    <x v="15"/>
    <b v="0"/>
    <x v="6"/>
    <n v="2"/>
    <n v="0.2"/>
    <n v="104"/>
    <n v="0.2576"/>
    <n v="0.3"/>
    <n v="0.29849999999999999"/>
    <n v="6"/>
    <n v="65"/>
    <n v="71"/>
    <x v="0"/>
    <x v="1"/>
    <x v="1"/>
  </r>
  <r>
    <n v="106"/>
    <d v="2011-01-28T00:00:00"/>
    <x v="0"/>
    <n v="1"/>
    <x v="15"/>
    <b v="0"/>
    <x v="6"/>
    <n v="2"/>
    <n v="0.2"/>
    <n v="105"/>
    <n v="0.28789999999999999"/>
    <n v="0.28000000000000003"/>
    <n v="0.19400000000000001"/>
    <n v="10"/>
    <n v="52"/>
    <n v="62"/>
    <x v="0"/>
    <x v="1"/>
    <x v="1"/>
  </r>
  <r>
    <n v="107"/>
    <d v="2011-01-28T00:00:00"/>
    <x v="0"/>
    <n v="1"/>
    <x v="15"/>
    <b v="0"/>
    <x v="6"/>
    <n v="2"/>
    <n v="0.2"/>
    <n v="106"/>
    <n v="0.28789999999999999"/>
    <n v="0.28000000000000003"/>
    <n v="0.19400000000000001"/>
    <n v="7"/>
    <n v="55"/>
    <n v="62"/>
    <x v="0"/>
    <x v="1"/>
    <x v="1"/>
  </r>
  <r>
    <n v="108"/>
    <d v="2011-01-28T00:00:00"/>
    <x v="0"/>
    <n v="1"/>
    <x v="15"/>
    <b v="0"/>
    <x v="6"/>
    <n v="2"/>
    <n v="0.2"/>
    <n v="107"/>
    <n v="0.31819999999999998"/>
    <n v="0.28000000000000003"/>
    <n v="8.9599999999999999E-2"/>
    <n v="4"/>
    <n v="85"/>
    <n v="89"/>
    <x v="0"/>
    <x v="1"/>
    <x v="1"/>
  </r>
  <r>
    <n v="109"/>
    <d v="2011-01-28T00:00:00"/>
    <x v="0"/>
    <n v="1"/>
    <x v="15"/>
    <b v="0"/>
    <x v="6"/>
    <n v="2"/>
    <n v="0.2"/>
    <n v="108"/>
    <n v="0.2273"/>
    <n v="0.38"/>
    <n v="0.19400000000000001"/>
    <n v="4"/>
    <n v="186"/>
    <n v="190"/>
    <x v="0"/>
    <x v="1"/>
    <x v="1"/>
  </r>
  <r>
    <n v="110"/>
    <d v="2011-01-28T00:00:00"/>
    <x v="0"/>
    <n v="1"/>
    <x v="15"/>
    <b v="0"/>
    <x v="6"/>
    <n v="2"/>
    <n v="0.2"/>
    <n v="109"/>
    <n v="0.2424"/>
    <n v="0.38"/>
    <n v="0.1343"/>
    <n v="3"/>
    <n v="166"/>
    <n v="169"/>
    <x v="0"/>
    <x v="1"/>
    <x v="1"/>
  </r>
  <r>
    <n v="111"/>
    <d v="2011-01-28T00:00:00"/>
    <x v="0"/>
    <n v="1"/>
    <x v="15"/>
    <b v="0"/>
    <x v="6"/>
    <n v="2"/>
    <n v="0.2"/>
    <n v="110"/>
    <n v="0.2576"/>
    <n v="0.38"/>
    <n v="0.1045"/>
    <n v="5"/>
    <n v="127"/>
    <n v="132"/>
    <x v="0"/>
    <x v="1"/>
    <x v="1"/>
  </r>
  <r>
    <n v="112"/>
    <d v="2011-01-28T00:00:00"/>
    <x v="0"/>
    <n v="1"/>
    <x v="15"/>
    <b v="0"/>
    <x v="6"/>
    <n v="2"/>
    <n v="0.2"/>
    <n v="111"/>
    <n v="0.2273"/>
    <n v="0.47"/>
    <n v="0.16420000000000001"/>
    <n v="7"/>
    <n v="82"/>
    <n v="89"/>
    <x v="0"/>
    <x v="1"/>
    <x v="1"/>
  </r>
  <r>
    <n v="113"/>
    <d v="2011-01-28T00:00:00"/>
    <x v="0"/>
    <n v="1"/>
    <x v="15"/>
    <b v="0"/>
    <x v="6"/>
    <n v="2"/>
    <n v="0.2"/>
    <n v="112"/>
    <n v="0.19700000000000001"/>
    <n v="0.51"/>
    <n v="0.19400000000000001"/>
    <n v="3"/>
    <n v="40"/>
    <n v="43"/>
    <x v="0"/>
    <x v="1"/>
    <x v="1"/>
  </r>
  <r>
    <n v="114"/>
    <d v="2011-01-28T00:00:00"/>
    <x v="0"/>
    <n v="1"/>
    <x v="15"/>
    <b v="0"/>
    <x v="6"/>
    <n v="2"/>
    <n v="0.2"/>
    <n v="113"/>
    <n v="0.19700000000000001"/>
    <n v="0.55000000000000004"/>
    <n v="0.1343"/>
    <n v="1"/>
    <n v="41"/>
    <n v="42"/>
    <x v="0"/>
    <x v="1"/>
    <x v="1"/>
  </r>
  <r>
    <n v="115"/>
    <d v="2011-01-28T00:00:00"/>
    <x v="0"/>
    <n v="1"/>
    <x v="15"/>
    <b v="0"/>
    <x v="6"/>
    <n v="2"/>
    <n v="0.2"/>
    <n v="114"/>
    <n v="0.2576"/>
    <n v="0.47"/>
    <n v="0"/>
    <n v="1"/>
    <n v="18"/>
    <n v="19"/>
    <x v="0"/>
    <x v="1"/>
    <x v="1"/>
  </r>
  <r>
    <n v="116"/>
    <d v="2011-01-28T00:00:00"/>
    <x v="0"/>
    <n v="1"/>
    <x v="15"/>
    <b v="0"/>
    <x v="6"/>
    <n v="2"/>
    <n v="0.2"/>
    <n v="115"/>
    <n v="0.2424"/>
    <n v="0.55000000000000004"/>
    <n v="0"/>
    <n v="0"/>
    <n v="11"/>
    <n v="11"/>
    <x v="0"/>
    <x v="1"/>
    <x v="1"/>
  </r>
  <r>
    <n v="117"/>
    <d v="2011-01-28T00:00:00"/>
    <x v="0"/>
    <n v="1"/>
    <x v="15"/>
    <b v="0"/>
    <x v="6"/>
    <n v="2"/>
    <n v="0.2"/>
    <n v="116"/>
    <n v="0.2273"/>
    <n v="0.64"/>
    <n v="0"/>
    <n v="0"/>
    <n v="4"/>
    <n v="4"/>
    <x v="0"/>
    <x v="1"/>
    <x v="1"/>
  </r>
  <r>
    <n v="118"/>
    <d v="2011-01-28T00:00:00"/>
    <x v="0"/>
    <n v="1"/>
    <x v="15"/>
    <b v="0"/>
    <x v="6"/>
    <n v="2"/>
    <n v="0.2"/>
    <n v="117"/>
    <n v="0.2273"/>
    <n v="0.64"/>
    <n v="0"/>
    <n v="0"/>
    <n v="2"/>
    <n v="2"/>
    <x v="0"/>
    <x v="1"/>
    <x v="1"/>
  </r>
  <r>
    <n v="119"/>
    <d v="2011-01-28T00:00:00"/>
    <x v="0"/>
    <n v="1"/>
    <x v="15"/>
    <b v="0"/>
    <x v="6"/>
    <n v="2"/>
    <n v="0.2"/>
    <n v="118"/>
    <n v="0.19700000000000001"/>
    <n v="0.64"/>
    <n v="8.9599999999999999E-2"/>
    <n v="0"/>
    <n v="1"/>
    <n v="1"/>
    <x v="0"/>
    <x v="1"/>
    <x v="1"/>
  </r>
  <r>
    <n v="120"/>
    <d v="2011-01-28T00:00:00"/>
    <x v="0"/>
    <n v="1"/>
    <x v="15"/>
    <b v="0"/>
    <x v="6"/>
    <n v="2"/>
    <n v="0.2"/>
    <n v="119"/>
    <n v="0.18179999999999999"/>
    <n v="0.69"/>
    <n v="8.9599999999999999E-2"/>
    <n v="0"/>
    <n v="4"/>
    <n v="4"/>
    <x v="0"/>
    <x v="1"/>
    <x v="1"/>
  </r>
  <r>
    <n v="121"/>
    <d v="2011-01-28T00:00:00"/>
    <x v="0"/>
    <n v="1"/>
    <x v="15"/>
    <b v="0"/>
    <x v="6"/>
    <n v="2"/>
    <n v="0.2"/>
    <n v="120"/>
    <n v="0.16669999999999999"/>
    <n v="0.63"/>
    <n v="0.1045"/>
    <n v="0"/>
    <n v="36"/>
    <n v="36"/>
    <x v="0"/>
    <x v="1"/>
    <x v="1"/>
  </r>
  <r>
    <n v="122"/>
    <d v="2011-01-28T00:00:00"/>
    <x v="0"/>
    <n v="1"/>
    <x v="15"/>
    <b v="0"/>
    <x v="6"/>
    <n v="2"/>
    <n v="0.2"/>
    <n v="121"/>
    <n v="0.2273"/>
    <n v="0.59"/>
    <n v="0"/>
    <n v="0"/>
    <n v="95"/>
    <n v="95"/>
    <x v="0"/>
    <x v="1"/>
    <x v="1"/>
  </r>
  <r>
    <n v="123"/>
    <d v="2011-01-28T00:00:00"/>
    <x v="0"/>
    <n v="1"/>
    <x v="15"/>
    <b v="0"/>
    <x v="6"/>
    <n v="2"/>
    <n v="0.2"/>
    <n v="122"/>
    <n v="0.2273"/>
    <n v="0.59"/>
    <n v="0"/>
    <n v="3"/>
    <n v="216"/>
    <n v="219"/>
    <x v="0"/>
    <x v="1"/>
    <x v="1"/>
  </r>
  <r>
    <n v="124"/>
    <d v="2011-01-28T00:00:00"/>
    <x v="0"/>
    <n v="1"/>
    <x v="15"/>
    <b v="0"/>
    <x v="6"/>
    <n v="2"/>
    <n v="0.2"/>
    <n v="123"/>
    <n v="0.2424"/>
    <n v="0.51"/>
    <n v="0"/>
    <n v="6"/>
    <n v="116"/>
    <n v="122"/>
    <x v="0"/>
    <x v="1"/>
    <x v="1"/>
  </r>
  <r>
    <n v="125"/>
    <d v="2011-01-28T00:00:00"/>
    <x v="0"/>
    <n v="1"/>
    <x v="15"/>
    <b v="0"/>
    <x v="6"/>
    <n v="2"/>
    <n v="0.2"/>
    <n v="124"/>
    <n v="0.2576"/>
    <n v="0.47"/>
    <n v="0"/>
    <n v="3"/>
    <n v="42"/>
    <n v="45"/>
    <x v="0"/>
    <x v="1"/>
    <x v="1"/>
  </r>
  <r>
    <n v="126"/>
    <d v="2011-01-28T00:00:00"/>
    <x v="0"/>
    <n v="1"/>
    <x v="15"/>
    <b v="0"/>
    <x v="6"/>
    <n v="2"/>
    <n v="0.2"/>
    <n v="125"/>
    <n v="0.2576"/>
    <n v="0.44"/>
    <n v="8.9599999999999999E-2"/>
    <n v="2"/>
    <n v="57"/>
    <n v="59"/>
    <x v="0"/>
    <x v="1"/>
    <x v="1"/>
  </r>
  <r>
    <n v="127"/>
    <d v="2011-01-28T00:00:00"/>
    <x v="0"/>
    <n v="1"/>
    <x v="15"/>
    <b v="0"/>
    <x v="6"/>
    <n v="2"/>
    <n v="0.2"/>
    <n v="126"/>
    <n v="0.28789999999999999"/>
    <n v="0.35"/>
    <n v="0"/>
    <n v="6"/>
    <n v="78"/>
    <n v="84"/>
    <x v="0"/>
    <x v="1"/>
    <x v="1"/>
  </r>
  <r>
    <n v="128"/>
    <d v="2011-01-28T00:00:00"/>
    <x v="0"/>
    <n v="1"/>
    <x v="15"/>
    <b v="0"/>
    <x v="6"/>
    <n v="2"/>
    <n v="0.2"/>
    <n v="127"/>
    <n v="0.2727"/>
    <n v="0.35"/>
    <n v="0.1045"/>
    <n v="12"/>
    <n v="55"/>
    <n v="67"/>
    <x v="0"/>
    <x v="1"/>
    <x v="1"/>
  </r>
  <r>
    <n v="129"/>
    <d v="2011-01-28T00:00:00"/>
    <x v="0"/>
    <n v="1"/>
    <x v="15"/>
    <b v="0"/>
    <x v="6"/>
    <n v="2"/>
    <n v="0.2"/>
    <n v="128"/>
    <n v="0.2727"/>
    <n v="0.36"/>
    <n v="0.16420000000000001"/>
    <n v="11"/>
    <n v="59"/>
    <n v="70"/>
    <x v="0"/>
    <x v="1"/>
    <x v="1"/>
  </r>
  <r>
    <n v="130"/>
    <d v="2011-01-28T00:00:00"/>
    <x v="0"/>
    <n v="1"/>
    <x v="15"/>
    <b v="0"/>
    <x v="6"/>
    <n v="2"/>
    <n v="0.2"/>
    <n v="129"/>
    <n v="0.2727"/>
    <n v="0.36"/>
    <n v="0"/>
    <n v="8"/>
    <n v="54"/>
    <n v="62"/>
    <x v="0"/>
    <x v="1"/>
    <x v="1"/>
  </r>
  <r>
    <n v="131"/>
    <d v="2011-01-28T00:00:00"/>
    <x v="0"/>
    <n v="1"/>
    <x v="15"/>
    <b v="0"/>
    <x v="6"/>
    <n v="2"/>
    <n v="0.2"/>
    <n v="130"/>
    <n v="0.2576"/>
    <n v="0.38"/>
    <n v="0.16420000000000001"/>
    <n v="12"/>
    <n v="74"/>
    <n v="86"/>
    <x v="0"/>
    <x v="1"/>
    <x v="1"/>
  </r>
  <r>
    <n v="132"/>
    <d v="2011-01-28T00:00:00"/>
    <x v="0"/>
    <n v="1"/>
    <x v="15"/>
    <b v="0"/>
    <x v="6"/>
    <n v="2"/>
    <n v="0.2"/>
    <n v="131"/>
    <n v="0.2273"/>
    <n v="0.51"/>
    <n v="0.16420000000000001"/>
    <n v="9"/>
    <n v="163"/>
    <n v="172"/>
    <x v="0"/>
    <x v="1"/>
    <x v="1"/>
  </r>
  <r>
    <n v="133"/>
    <d v="2011-01-28T00:00:00"/>
    <x v="0"/>
    <n v="1"/>
    <x v="15"/>
    <b v="0"/>
    <x v="6"/>
    <n v="2"/>
    <n v="0.2"/>
    <n v="132"/>
    <n v="0.2273"/>
    <n v="0.51"/>
    <n v="0.1343"/>
    <n v="5"/>
    <n v="158"/>
    <n v="163"/>
    <x v="0"/>
    <x v="1"/>
    <x v="1"/>
  </r>
  <r>
    <n v="134"/>
    <d v="2011-01-28T00:00:00"/>
    <x v="0"/>
    <n v="1"/>
    <x v="15"/>
    <b v="0"/>
    <x v="6"/>
    <n v="2"/>
    <n v="0.2"/>
    <n v="133"/>
    <n v="0.2576"/>
    <n v="0.55000000000000004"/>
    <n v="8.9599999999999999E-2"/>
    <n v="3"/>
    <n v="109"/>
    <n v="112"/>
    <x v="0"/>
    <x v="1"/>
    <x v="1"/>
  </r>
  <r>
    <n v="135"/>
    <d v="2011-01-28T00:00:00"/>
    <x v="0"/>
    <n v="1"/>
    <x v="15"/>
    <b v="0"/>
    <x v="6"/>
    <n v="2"/>
    <n v="0.2"/>
    <n v="134"/>
    <n v="0.21210000000000001"/>
    <n v="0.51"/>
    <n v="0.16420000000000001"/>
    <n v="3"/>
    <n v="66"/>
    <n v="69"/>
    <x v="0"/>
    <x v="1"/>
    <x v="1"/>
  </r>
  <r>
    <n v="136"/>
    <d v="2011-01-28T00:00:00"/>
    <x v="0"/>
    <n v="1"/>
    <x v="15"/>
    <b v="0"/>
    <x v="6"/>
    <n v="2"/>
    <n v="0.2"/>
    <n v="135"/>
    <n v="0.21210000000000001"/>
    <n v="0.55000000000000004"/>
    <n v="0.22389999999999999"/>
    <n v="0"/>
    <n v="48"/>
    <n v="48"/>
    <x v="0"/>
    <x v="1"/>
    <x v="1"/>
  </r>
  <r>
    <n v="137"/>
    <d v="2011-01-28T00:00:00"/>
    <x v="0"/>
    <n v="1"/>
    <x v="15"/>
    <b v="0"/>
    <x v="6"/>
    <n v="2"/>
    <n v="0.2"/>
    <n v="136"/>
    <n v="0.21210000000000001"/>
    <n v="0.51"/>
    <n v="0.28360000000000002"/>
    <n v="1"/>
    <n v="51"/>
    <n v="52"/>
    <x v="0"/>
    <x v="1"/>
    <x v="1"/>
  </r>
  <r>
    <n v="138"/>
    <d v="2011-01-28T00:00:00"/>
    <x v="0"/>
    <n v="1"/>
    <x v="15"/>
    <b v="0"/>
    <x v="6"/>
    <n v="2"/>
    <n v="0.2"/>
    <n v="137"/>
    <n v="0.19700000000000001"/>
    <n v="0.59"/>
    <n v="0.19400000000000001"/>
    <n v="4"/>
    <n v="19"/>
    <n v="23"/>
    <x v="0"/>
    <x v="1"/>
    <x v="1"/>
  </r>
  <r>
    <n v="139"/>
    <d v="2011-01-28T00:00:00"/>
    <x v="0"/>
    <n v="1"/>
    <x v="15"/>
    <b v="0"/>
    <x v="6"/>
    <n v="2"/>
    <n v="0.2"/>
    <n v="138"/>
    <n v="0.19700000000000001"/>
    <n v="0.64"/>
    <n v="0.19400000000000001"/>
    <n v="4"/>
    <n v="13"/>
    <n v="17"/>
    <x v="0"/>
    <x v="1"/>
    <x v="1"/>
  </r>
  <r>
    <n v="140"/>
    <d v="2011-01-28T00:00:00"/>
    <x v="0"/>
    <n v="1"/>
    <x v="15"/>
    <b v="0"/>
    <x v="6"/>
    <n v="2"/>
    <n v="0.2"/>
    <n v="139"/>
    <n v="0.19700000000000001"/>
    <n v="0.69"/>
    <n v="0.22389999999999999"/>
    <n v="2"/>
    <n v="5"/>
    <n v="7"/>
    <x v="0"/>
    <x v="1"/>
    <x v="1"/>
  </r>
  <r>
    <n v="141"/>
    <d v="2011-01-28T00:00:00"/>
    <x v="0"/>
    <n v="1"/>
    <x v="15"/>
    <b v="0"/>
    <x v="6"/>
    <n v="2"/>
    <n v="0.2"/>
    <n v="140"/>
    <n v="0.19700000000000001"/>
    <n v="0.69"/>
    <n v="0.22389999999999999"/>
    <n v="0"/>
    <n v="1"/>
    <n v="1"/>
    <x v="0"/>
    <x v="1"/>
    <x v="1"/>
  </r>
  <r>
    <n v="142"/>
    <d v="2011-01-28T00:00:00"/>
    <x v="0"/>
    <n v="1"/>
    <x v="15"/>
    <b v="0"/>
    <x v="6"/>
    <n v="2"/>
    <n v="0.2"/>
    <n v="141"/>
    <n v="0.21210000000000001"/>
    <n v="0.69"/>
    <n v="0.1343"/>
    <n v="0"/>
    <n v="1"/>
    <n v="1"/>
    <x v="0"/>
    <x v="1"/>
    <x v="1"/>
  </r>
  <r>
    <n v="143"/>
    <d v="2011-01-28T00:00:00"/>
    <x v="0"/>
    <n v="1"/>
    <x v="15"/>
    <b v="0"/>
    <x v="6"/>
    <n v="2"/>
    <n v="0.2"/>
    <n v="142"/>
    <n v="0.2727"/>
    <n v="0.55000000000000004"/>
    <n v="0"/>
    <n v="0"/>
    <n v="5"/>
    <n v="5"/>
    <x v="0"/>
    <x v="1"/>
    <x v="1"/>
  </r>
  <r>
    <n v="144"/>
    <d v="2011-01-28T00:00:00"/>
    <x v="0"/>
    <n v="1"/>
    <x v="15"/>
    <b v="0"/>
    <x v="6"/>
    <n v="2"/>
    <n v="0.2"/>
    <n v="143"/>
    <n v="0.2576"/>
    <n v="0.69"/>
    <n v="0"/>
    <n v="8"/>
    <n v="26"/>
    <n v="34"/>
    <x v="0"/>
    <x v="1"/>
    <x v="1"/>
  </r>
  <r>
    <n v="145"/>
    <d v="2011-01-28T00:00:00"/>
    <x v="0"/>
    <n v="1"/>
    <x v="15"/>
    <b v="0"/>
    <x v="6"/>
    <n v="2"/>
    <n v="0.2"/>
    <n v="144"/>
    <n v="0.21210000000000001"/>
    <n v="0.69"/>
    <n v="0.1343"/>
    <n v="8"/>
    <n v="76"/>
    <n v="84"/>
    <x v="0"/>
    <x v="1"/>
    <x v="1"/>
  </r>
  <r>
    <n v="146"/>
    <d v="2011-01-28T00:00:00"/>
    <x v="0"/>
    <n v="1"/>
    <x v="15"/>
    <b v="0"/>
    <x v="6"/>
    <n v="2"/>
    <n v="0.2"/>
    <n v="145"/>
    <n v="0.19700000000000001"/>
    <n v="0.51"/>
    <n v="0.25369999999999998"/>
    <n v="20"/>
    <n v="190"/>
    <n v="210"/>
    <x v="0"/>
    <x v="1"/>
    <x v="1"/>
  </r>
  <r>
    <n v="147"/>
    <d v="2011-01-28T00:00:00"/>
    <x v="0"/>
    <n v="1"/>
    <x v="15"/>
    <b v="0"/>
    <x v="6"/>
    <n v="2"/>
    <n v="0.2"/>
    <n v="146"/>
    <n v="0.18179999999999999"/>
    <n v="0.47"/>
    <n v="0.29849999999999999"/>
    <n v="9"/>
    <n v="125"/>
    <n v="134"/>
    <x v="0"/>
    <x v="1"/>
    <x v="1"/>
  </r>
  <r>
    <n v="148"/>
    <d v="2011-01-28T00:00:00"/>
    <x v="0"/>
    <n v="1"/>
    <x v="15"/>
    <b v="0"/>
    <x v="6"/>
    <n v="2"/>
    <n v="0.2"/>
    <n v="147"/>
    <n v="0.19700000000000001"/>
    <n v="0.37"/>
    <n v="0.32840000000000003"/>
    <n v="16"/>
    <n v="47"/>
    <n v="63"/>
    <x v="0"/>
    <x v="1"/>
    <x v="1"/>
  </r>
  <r>
    <n v="149"/>
    <d v="2011-01-28T00:00:00"/>
    <x v="0"/>
    <n v="1"/>
    <x v="15"/>
    <b v="0"/>
    <x v="6"/>
    <n v="2"/>
    <n v="0.2"/>
    <n v="148"/>
    <n v="0.19700000000000001"/>
    <n v="0.4"/>
    <n v="0.22389999999999999"/>
    <n v="19"/>
    <n v="48"/>
    <n v="67"/>
    <x v="0"/>
    <x v="1"/>
    <x v="1"/>
  </r>
  <r>
    <n v="150"/>
    <d v="2011-01-28T00:00:00"/>
    <x v="0"/>
    <n v="1"/>
    <x v="15"/>
    <b v="0"/>
    <x v="6"/>
    <n v="2"/>
    <n v="0.2"/>
    <n v="149"/>
    <n v="0.19700000000000001"/>
    <n v="0.37"/>
    <n v="0.25369999999999998"/>
    <n v="9"/>
    <n v="50"/>
    <n v="59"/>
    <x v="0"/>
    <x v="1"/>
    <x v="1"/>
  </r>
  <r>
    <n v="151"/>
    <d v="2011-01-28T00:00:00"/>
    <x v="0"/>
    <n v="1"/>
    <x v="15"/>
    <b v="0"/>
    <x v="6"/>
    <n v="2"/>
    <n v="0.2"/>
    <n v="150"/>
    <n v="0.18179999999999999"/>
    <n v="0.37"/>
    <n v="0.28360000000000002"/>
    <n v="9"/>
    <n v="64"/>
    <n v="73"/>
    <x v="0"/>
    <x v="1"/>
    <x v="1"/>
  </r>
  <r>
    <n v="152"/>
    <d v="2011-01-28T00:00:00"/>
    <x v="0"/>
    <n v="1"/>
    <x v="15"/>
    <b v="0"/>
    <x v="6"/>
    <n v="2"/>
    <n v="0.2"/>
    <n v="151"/>
    <n v="0.19700000000000001"/>
    <n v="0.4"/>
    <n v="0.25369999999999998"/>
    <n v="7"/>
    <n v="43"/>
    <n v="50"/>
    <x v="0"/>
    <x v="1"/>
    <x v="1"/>
  </r>
  <r>
    <n v="153"/>
    <d v="2011-01-28T00:00:00"/>
    <x v="0"/>
    <n v="1"/>
    <x v="15"/>
    <b v="0"/>
    <x v="6"/>
    <n v="2"/>
    <n v="0.2"/>
    <n v="152"/>
    <n v="0.21210000000000001"/>
    <n v="0.37"/>
    <n v="0.16420000000000001"/>
    <n v="9"/>
    <n v="63"/>
    <n v="72"/>
    <x v="0"/>
    <x v="1"/>
    <x v="1"/>
  </r>
  <r>
    <n v="154"/>
    <d v="2011-01-28T00:00:00"/>
    <x v="0"/>
    <n v="1"/>
    <x v="15"/>
    <b v="0"/>
    <x v="6"/>
    <n v="2"/>
    <n v="0.2"/>
    <n v="153"/>
    <n v="0.21210000000000001"/>
    <n v="0.37"/>
    <n v="0.16420000000000001"/>
    <n v="5"/>
    <n v="82"/>
    <n v="87"/>
    <x v="0"/>
    <x v="1"/>
    <x v="1"/>
  </r>
  <r>
    <n v="155"/>
    <d v="2011-01-28T00:00:00"/>
    <x v="0"/>
    <n v="1"/>
    <x v="15"/>
    <b v="0"/>
    <x v="6"/>
    <n v="2"/>
    <n v="0.2"/>
    <n v="154"/>
    <n v="0.2576"/>
    <n v="0.37"/>
    <n v="0"/>
    <n v="9"/>
    <n v="178"/>
    <n v="187"/>
    <x v="0"/>
    <x v="1"/>
    <x v="1"/>
  </r>
  <r>
    <n v="156"/>
    <d v="2011-01-28T00:00:00"/>
    <x v="0"/>
    <n v="1"/>
    <x v="15"/>
    <b v="0"/>
    <x v="6"/>
    <n v="2"/>
    <n v="0.2"/>
    <n v="155"/>
    <n v="0.2273"/>
    <n v="0.4"/>
    <n v="8.9599999999999999E-2"/>
    <n v="7"/>
    <n v="116"/>
    <n v="123"/>
    <x v="0"/>
    <x v="1"/>
    <x v="1"/>
  </r>
  <r>
    <n v="157"/>
    <d v="2011-01-28T00:00:00"/>
    <x v="0"/>
    <n v="1"/>
    <x v="15"/>
    <b v="0"/>
    <x v="6"/>
    <n v="2"/>
    <n v="0.2"/>
    <n v="156"/>
    <n v="0.19700000000000001"/>
    <n v="0.55000000000000004"/>
    <n v="8.9599999999999999E-2"/>
    <n v="3"/>
    <n v="92"/>
    <n v="95"/>
    <x v="0"/>
    <x v="1"/>
    <x v="1"/>
  </r>
  <r>
    <n v="158"/>
    <d v="2011-01-28T00:00:00"/>
    <x v="0"/>
    <n v="1"/>
    <x v="15"/>
    <b v="0"/>
    <x v="6"/>
    <n v="2"/>
    <n v="0.2"/>
    <n v="157"/>
    <n v="0.21210000000000001"/>
    <n v="0.47"/>
    <n v="0.1045"/>
    <n v="1"/>
    <n v="50"/>
    <n v="51"/>
    <x v="0"/>
    <x v="1"/>
    <x v="1"/>
  </r>
  <r>
    <n v="159"/>
    <d v="2011-01-28T00:00:00"/>
    <x v="0"/>
    <n v="1"/>
    <x v="15"/>
    <b v="0"/>
    <x v="6"/>
    <n v="2"/>
    <n v="0.2"/>
    <n v="158"/>
    <n v="0.19700000000000001"/>
    <n v="0.47"/>
    <n v="0.1343"/>
    <n v="0"/>
    <n v="39"/>
    <n v="39"/>
    <x v="0"/>
    <x v="1"/>
    <x v="1"/>
  </r>
  <r>
    <n v="160"/>
    <d v="2011-01-28T00:00:00"/>
    <x v="0"/>
    <n v="1"/>
    <x v="15"/>
    <b v="0"/>
    <x v="6"/>
    <n v="2"/>
    <n v="0.2"/>
    <n v="159"/>
    <n v="0.19700000000000001"/>
    <n v="0.43"/>
    <n v="0.16420000000000001"/>
    <n v="2"/>
    <n v="34"/>
    <n v="36"/>
    <x v="0"/>
    <x v="1"/>
    <x v="1"/>
  </r>
  <r>
    <n v="161"/>
    <d v="2011-01-28T00:00:00"/>
    <x v="0"/>
    <n v="1"/>
    <x v="15"/>
    <b v="0"/>
    <x v="6"/>
    <n v="2"/>
    <n v="0.2"/>
    <n v="160"/>
    <n v="0.19700000000000001"/>
    <n v="0.51"/>
    <n v="0.16420000000000001"/>
    <n v="1"/>
    <n v="14"/>
    <n v="15"/>
    <x v="0"/>
    <x v="1"/>
    <x v="1"/>
  </r>
  <r>
    <n v="162"/>
    <d v="2011-01-28T00:00:00"/>
    <x v="0"/>
    <n v="1"/>
    <x v="15"/>
    <b v="0"/>
    <x v="6"/>
    <n v="2"/>
    <n v="0.2"/>
    <n v="161"/>
    <n v="0.19700000000000001"/>
    <n v="0.51"/>
    <n v="0.16420000000000001"/>
    <n v="1"/>
    <n v="24"/>
    <n v="25"/>
    <x v="0"/>
    <x v="1"/>
    <x v="1"/>
  </r>
  <r>
    <n v="163"/>
    <d v="2011-01-28T00:00:00"/>
    <x v="0"/>
    <n v="1"/>
    <x v="15"/>
    <b v="0"/>
    <x v="6"/>
    <n v="2"/>
    <n v="0.2"/>
    <n v="162"/>
    <n v="0.21210000000000001"/>
    <n v="0.55000000000000004"/>
    <n v="8.9599999999999999E-2"/>
    <n v="1"/>
    <n v="15"/>
    <n v="16"/>
    <x v="0"/>
    <x v="1"/>
    <x v="1"/>
  </r>
  <r>
    <n v="164"/>
    <d v="2011-01-28T00:00:00"/>
    <x v="0"/>
    <n v="1"/>
    <x v="15"/>
    <b v="0"/>
    <x v="6"/>
    <n v="2"/>
    <n v="0.2"/>
    <n v="163"/>
    <n v="0.2424"/>
    <n v="0.55000000000000004"/>
    <n v="0"/>
    <n v="3"/>
    <n v="13"/>
    <n v="16"/>
    <x v="0"/>
    <x v="1"/>
    <x v="1"/>
  </r>
  <r>
    <n v="165"/>
    <d v="2011-01-28T00:00:00"/>
    <x v="0"/>
    <n v="1"/>
    <x v="15"/>
    <b v="0"/>
    <x v="6"/>
    <n v="2"/>
    <n v="0.2"/>
    <n v="164"/>
    <n v="0.19700000000000001"/>
    <n v="0.55000000000000004"/>
    <n v="0.16420000000000001"/>
    <n v="0"/>
    <n v="7"/>
    <n v="7"/>
    <x v="0"/>
    <x v="1"/>
    <x v="1"/>
  </r>
  <r>
    <n v="166"/>
    <d v="2011-01-28T00:00:00"/>
    <x v="0"/>
    <n v="1"/>
    <x v="15"/>
    <b v="0"/>
    <x v="6"/>
    <n v="2"/>
    <n v="0.2"/>
    <n v="165"/>
    <n v="0.19700000000000001"/>
    <n v="0.55000000000000004"/>
    <n v="0.16420000000000001"/>
    <n v="0"/>
    <n v="1"/>
    <n v="1"/>
    <x v="0"/>
    <x v="1"/>
    <x v="1"/>
  </r>
  <r>
    <n v="167"/>
    <d v="2011-01-28T00:00:00"/>
    <x v="0"/>
    <n v="1"/>
    <x v="15"/>
    <b v="0"/>
    <x v="6"/>
    <n v="2"/>
    <n v="0.2"/>
    <n v="166"/>
    <n v="0.16669999999999999"/>
    <n v="0.74"/>
    <n v="0.16420000000000001"/>
    <n v="0"/>
    <n v="5"/>
    <n v="5"/>
    <x v="0"/>
    <x v="1"/>
    <x v="1"/>
  </r>
  <r>
    <n v="168"/>
    <d v="2011-01-28T00:00:00"/>
    <x v="0"/>
    <n v="1"/>
    <x v="15"/>
    <b v="0"/>
    <x v="6"/>
    <n v="2"/>
    <n v="0.2"/>
    <n v="167"/>
    <n v="0.16669999999999999"/>
    <n v="0.74"/>
    <n v="0.16420000000000001"/>
    <n v="0"/>
    <n v="2"/>
    <n v="2"/>
    <x v="0"/>
    <x v="1"/>
    <x v="1"/>
  </r>
  <r>
    <n v="169"/>
    <d v="2011-01-28T00:00:00"/>
    <x v="0"/>
    <n v="1"/>
    <x v="15"/>
    <b v="0"/>
    <x v="6"/>
    <n v="2"/>
    <n v="0.2"/>
    <n v="168"/>
    <n v="0.18179999999999999"/>
    <n v="0.74"/>
    <n v="0.1045"/>
    <n v="1"/>
    <n v="8"/>
    <n v="9"/>
    <x v="0"/>
    <x v="1"/>
    <x v="1"/>
  </r>
  <r>
    <n v="170"/>
    <d v="2011-01-28T00:00:00"/>
    <x v="0"/>
    <n v="1"/>
    <x v="15"/>
    <b v="0"/>
    <x v="6"/>
    <n v="2"/>
    <n v="0.2"/>
    <n v="169"/>
    <n v="0.18179999999999999"/>
    <n v="0.93"/>
    <n v="0.1045"/>
    <n v="0"/>
    <n v="15"/>
    <n v="15"/>
    <x v="0"/>
    <x v="1"/>
    <x v="1"/>
  </r>
  <r>
    <n v="171"/>
    <d v="2011-01-28T00:00:00"/>
    <x v="0"/>
    <n v="1"/>
    <x v="15"/>
    <b v="0"/>
    <x v="6"/>
    <n v="2"/>
    <n v="0.2"/>
    <n v="170"/>
    <n v="0.18179999999999999"/>
    <n v="0.93"/>
    <n v="0.1045"/>
    <n v="0"/>
    <n v="20"/>
    <n v="20"/>
    <x v="0"/>
    <x v="1"/>
    <x v="1"/>
  </r>
  <r>
    <n v="172"/>
    <d v="2011-01-28T00:00:00"/>
    <x v="0"/>
    <n v="1"/>
    <x v="15"/>
    <b v="0"/>
    <x v="6"/>
    <n v="2"/>
    <n v="0.2"/>
    <n v="171"/>
    <n v="0.19700000000000001"/>
    <n v="0.8"/>
    <n v="0.16420000000000001"/>
    <n v="5"/>
    <n v="56"/>
    <n v="61"/>
    <x v="0"/>
    <x v="1"/>
    <x v="1"/>
  </r>
  <r>
    <n v="173"/>
    <d v="2011-01-28T00:00:00"/>
    <x v="0"/>
    <n v="1"/>
    <x v="15"/>
    <b v="0"/>
    <x v="6"/>
    <n v="2"/>
    <n v="0.2"/>
    <n v="172"/>
    <n v="0.18179999999999999"/>
    <n v="0.69"/>
    <n v="0.3881"/>
    <n v="2"/>
    <n v="60"/>
    <n v="62"/>
    <x v="0"/>
    <x v="1"/>
    <x v="1"/>
  </r>
  <r>
    <n v="174"/>
    <d v="2011-01-28T00:00:00"/>
    <x v="0"/>
    <n v="1"/>
    <x v="15"/>
    <b v="0"/>
    <x v="6"/>
    <n v="2"/>
    <n v="0.2"/>
    <n v="173"/>
    <n v="0.18179999999999999"/>
    <n v="0.59"/>
    <n v="0.35820000000000002"/>
    <n v="8"/>
    <n v="90"/>
    <n v="98"/>
    <x v="0"/>
    <x v="1"/>
    <x v="1"/>
  </r>
  <r>
    <n v="175"/>
    <d v="2011-01-28T00:00:00"/>
    <x v="0"/>
    <n v="1"/>
    <x v="15"/>
    <b v="0"/>
    <x v="6"/>
    <n v="2"/>
    <n v="0.2"/>
    <n v="174"/>
    <n v="0.18179999999999999"/>
    <n v="0.44"/>
    <n v="0.32840000000000003"/>
    <n v="7"/>
    <n v="95"/>
    <n v="102"/>
    <x v="0"/>
    <x v="1"/>
    <x v="1"/>
  </r>
  <r>
    <n v="176"/>
    <d v="2011-01-28T00:00:00"/>
    <x v="0"/>
    <n v="1"/>
    <x v="15"/>
    <b v="0"/>
    <x v="6"/>
    <n v="2"/>
    <n v="0.2"/>
    <n v="175"/>
    <n v="0.16669999999999999"/>
    <n v="0.32"/>
    <n v="0.49249999999999999"/>
    <n v="12"/>
    <n v="83"/>
    <n v="95"/>
    <x v="0"/>
    <x v="1"/>
    <x v="1"/>
  </r>
  <r>
    <n v="177"/>
    <d v="2011-01-28T00:00:00"/>
    <x v="0"/>
    <n v="1"/>
    <x v="15"/>
    <b v="0"/>
    <x v="6"/>
    <n v="2"/>
    <n v="0.2"/>
    <n v="176"/>
    <n v="0.16669999999999999"/>
    <n v="0.32"/>
    <n v="0.44779999999999998"/>
    <n v="5"/>
    <n v="69"/>
    <n v="74"/>
    <x v="0"/>
    <x v="1"/>
    <x v="1"/>
  </r>
  <r>
    <n v="178"/>
    <d v="2011-01-28T00:00:00"/>
    <x v="0"/>
    <n v="1"/>
    <x v="15"/>
    <b v="0"/>
    <x v="6"/>
    <n v="2"/>
    <n v="0.2"/>
    <n v="177"/>
    <n v="0.13639999999999999"/>
    <n v="0.28999999999999998"/>
    <n v="0.44779999999999998"/>
    <n v="8"/>
    <n v="68"/>
    <n v="76"/>
    <x v="0"/>
    <x v="1"/>
    <x v="1"/>
  </r>
  <r>
    <n v="179"/>
    <d v="2011-01-28T00:00:00"/>
    <x v="0"/>
    <n v="1"/>
    <x v="15"/>
    <b v="0"/>
    <x v="6"/>
    <n v="2"/>
    <n v="0.2"/>
    <n v="178"/>
    <n v="0.1212"/>
    <n v="0.37"/>
    <n v="0.55220000000000002"/>
    <n v="5"/>
    <n v="64"/>
    <n v="69"/>
    <x v="0"/>
    <x v="1"/>
    <x v="1"/>
  </r>
  <r>
    <n v="180"/>
    <d v="2011-01-28T00:00:00"/>
    <x v="0"/>
    <n v="1"/>
    <x v="15"/>
    <b v="0"/>
    <x v="6"/>
    <n v="2"/>
    <n v="0.2"/>
    <n v="179"/>
    <n v="0.1212"/>
    <n v="0.39"/>
    <n v="0.29849999999999999"/>
    <n v="3"/>
    <n v="52"/>
    <n v="55"/>
    <x v="0"/>
    <x v="1"/>
    <x v="1"/>
  </r>
  <r>
    <n v="181"/>
    <d v="2011-01-28T00:00:00"/>
    <x v="0"/>
    <n v="1"/>
    <x v="15"/>
    <b v="0"/>
    <x v="6"/>
    <n v="2"/>
    <n v="0.2"/>
    <n v="180"/>
    <n v="0.1212"/>
    <n v="0.36"/>
    <n v="0.25369999999999998"/>
    <n v="4"/>
    <n v="26"/>
    <n v="30"/>
    <x v="0"/>
    <x v="1"/>
    <x v="1"/>
  </r>
  <r>
    <n v="182"/>
    <d v="2011-01-28T00:00:00"/>
    <x v="0"/>
    <n v="1"/>
    <x v="15"/>
    <b v="0"/>
    <x v="6"/>
    <n v="2"/>
    <n v="0.2"/>
    <n v="181"/>
    <n v="0.1212"/>
    <n v="0.36"/>
    <n v="0.25369999999999998"/>
    <n v="0"/>
    <n v="28"/>
    <n v="28"/>
    <x v="0"/>
    <x v="1"/>
    <x v="1"/>
  </r>
  <r>
    <n v="183"/>
    <d v="2011-01-28T00:00:00"/>
    <x v="0"/>
    <n v="1"/>
    <x v="15"/>
    <b v="0"/>
    <x v="6"/>
    <n v="2"/>
    <n v="0.2"/>
    <n v="182"/>
    <n v="0.1061"/>
    <n v="0.39"/>
    <n v="0.35820000000000002"/>
    <n v="2"/>
    <n v="35"/>
    <n v="37"/>
    <x v="0"/>
    <x v="1"/>
    <x v="1"/>
  </r>
  <r>
    <n v="184"/>
    <d v="2011-01-28T00:00:00"/>
    <x v="0"/>
    <n v="1"/>
    <x v="15"/>
    <b v="0"/>
    <x v="6"/>
    <n v="2"/>
    <n v="0.2"/>
    <n v="183"/>
    <n v="0.1061"/>
    <n v="0.36"/>
    <n v="0.3881"/>
    <n v="1"/>
    <n v="33"/>
    <n v="34"/>
    <x v="0"/>
    <x v="1"/>
    <x v="1"/>
  </r>
  <r>
    <n v="185"/>
    <d v="2011-01-28T00:00:00"/>
    <x v="0"/>
    <n v="1"/>
    <x v="15"/>
    <b v="0"/>
    <x v="6"/>
    <n v="2"/>
    <n v="0.2"/>
    <n v="184"/>
    <n v="6.0600000000000001E-2"/>
    <n v="0.39"/>
    <n v="0.44779999999999998"/>
    <n v="0"/>
    <n v="22"/>
    <n v="22"/>
    <x v="0"/>
    <x v="1"/>
    <x v="1"/>
  </r>
  <r>
    <n v="186"/>
    <d v="2011-01-28T00:00:00"/>
    <x v="0"/>
    <n v="1"/>
    <x v="15"/>
    <b v="0"/>
    <x v="6"/>
    <n v="2"/>
    <n v="0.2"/>
    <n v="185"/>
    <n v="7.5800000000000006E-2"/>
    <n v="0.42"/>
    <n v="0.3881"/>
    <n v="1"/>
    <n v="24"/>
    <n v="25"/>
    <x v="0"/>
    <x v="1"/>
    <x v="1"/>
  </r>
  <r>
    <n v="187"/>
    <d v="2011-01-28T00:00:00"/>
    <x v="0"/>
    <n v="1"/>
    <x v="15"/>
    <b v="0"/>
    <x v="6"/>
    <n v="2"/>
    <n v="0.2"/>
    <n v="186"/>
    <n v="6.0600000000000001E-2"/>
    <n v="0.42"/>
    <n v="0.4627"/>
    <n v="0"/>
    <n v="12"/>
    <n v="12"/>
    <x v="0"/>
    <x v="1"/>
    <x v="1"/>
  </r>
  <r>
    <n v="188"/>
    <d v="2011-01-28T00:00:00"/>
    <x v="0"/>
    <n v="1"/>
    <x v="15"/>
    <b v="0"/>
    <x v="6"/>
    <n v="2"/>
    <n v="0.2"/>
    <n v="187"/>
    <n v="6.0600000000000001E-2"/>
    <n v="0.46"/>
    <n v="0.4627"/>
    <n v="0"/>
    <n v="11"/>
    <n v="11"/>
    <x v="0"/>
    <x v="1"/>
    <x v="1"/>
  </r>
  <r>
    <n v="189"/>
    <d v="2011-01-28T00:00:00"/>
    <x v="0"/>
    <n v="1"/>
    <x v="15"/>
    <b v="0"/>
    <x v="6"/>
    <n v="2"/>
    <n v="0.2"/>
    <n v="188"/>
    <n v="7.5800000000000006E-2"/>
    <n v="0.46"/>
    <n v="0.41789999999999999"/>
    <n v="0"/>
    <n v="4"/>
    <n v="4"/>
    <x v="0"/>
    <x v="1"/>
    <x v="1"/>
  </r>
  <r>
    <n v="190"/>
    <d v="2011-01-28T00:00:00"/>
    <x v="0"/>
    <n v="1"/>
    <x v="15"/>
    <b v="0"/>
    <x v="6"/>
    <n v="2"/>
    <n v="0.2"/>
    <n v="189"/>
    <n v="9.0899999999999995E-2"/>
    <n v="0.53"/>
    <n v="0.19400000000000001"/>
    <n v="0"/>
    <n v="1"/>
    <n v="1"/>
    <x v="0"/>
    <x v="1"/>
    <x v="1"/>
  </r>
  <r>
    <n v="191"/>
    <d v="2011-01-28T00:00:00"/>
    <x v="0"/>
    <n v="1"/>
    <x v="15"/>
    <b v="0"/>
    <x v="6"/>
    <n v="2"/>
    <n v="0.2"/>
    <n v="190"/>
    <n v="9.0899999999999995E-2"/>
    <n v="0.53"/>
    <n v="0.19400000000000001"/>
    <n v="0"/>
    <n v="1"/>
    <n v="1"/>
    <x v="0"/>
    <x v="1"/>
    <x v="1"/>
  </r>
  <r>
    <n v="192"/>
    <d v="2011-01-28T00:00:00"/>
    <x v="0"/>
    <n v="1"/>
    <x v="15"/>
    <b v="0"/>
    <x v="6"/>
    <n v="2"/>
    <n v="0.2"/>
    <n v="191"/>
    <n v="9.0899999999999995E-2"/>
    <n v="0.49"/>
    <n v="0.28360000000000002"/>
    <n v="0"/>
    <n v="1"/>
    <n v="1"/>
    <x v="0"/>
    <x v="1"/>
    <x v="1"/>
  </r>
  <r>
    <n v="193"/>
    <d v="2011-01-28T00:00:00"/>
    <x v="0"/>
    <n v="1"/>
    <x v="15"/>
    <b v="0"/>
    <x v="6"/>
    <n v="2"/>
    <n v="0.2"/>
    <n v="192"/>
    <n v="9.0899999999999995E-2"/>
    <n v="0.53"/>
    <n v="0.19400000000000001"/>
    <n v="1"/>
    <n v="5"/>
    <n v="6"/>
    <x v="0"/>
    <x v="1"/>
    <x v="1"/>
  </r>
  <r>
    <n v="194"/>
    <d v="2011-01-28T00:00:00"/>
    <x v="0"/>
    <n v="1"/>
    <x v="15"/>
    <b v="0"/>
    <x v="6"/>
    <n v="2"/>
    <n v="0.2"/>
    <n v="193"/>
    <n v="9.0899999999999995E-2"/>
    <n v="0.49"/>
    <n v="0.28360000000000002"/>
    <n v="0"/>
    <n v="10"/>
    <n v="10"/>
    <x v="0"/>
    <x v="1"/>
    <x v="1"/>
  </r>
  <r>
    <n v="195"/>
    <d v="2011-01-28T00:00:00"/>
    <x v="0"/>
    <n v="1"/>
    <x v="15"/>
    <b v="0"/>
    <x v="6"/>
    <n v="2"/>
    <n v="0.2"/>
    <n v="194"/>
    <n v="7.5800000000000006E-2"/>
    <n v="0.46"/>
    <n v="0.52239999999999998"/>
    <n v="0"/>
    <n v="19"/>
    <n v="19"/>
    <x v="0"/>
    <x v="1"/>
    <x v="1"/>
  </r>
  <r>
    <n v="196"/>
    <d v="2011-01-28T00:00:00"/>
    <x v="0"/>
    <n v="1"/>
    <x v="15"/>
    <b v="0"/>
    <x v="6"/>
    <n v="2"/>
    <n v="0.2"/>
    <n v="195"/>
    <n v="0.1061"/>
    <n v="0.43"/>
    <n v="0.3881"/>
    <n v="0"/>
    <n v="49"/>
    <n v="49"/>
    <x v="0"/>
    <x v="1"/>
    <x v="1"/>
  </r>
  <r>
    <n v="197"/>
    <d v="2011-01-28T00:00:00"/>
    <x v="0"/>
    <n v="1"/>
    <x v="15"/>
    <b v="0"/>
    <x v="6"/>
    <n v="2"/>
    <n v="0.2"/>
    <n v="196"/>
    <n v="0.1212"/>
    <n v="0.4"/>
    <n v="0.52239999999999998"/>
    <n v="2"/>
    <n v="47"/>
    <n v="49"/>
    <x v="0"/>
    <x v="1"/>
    <x v="1"/>
  </r>
  <r>
    <n v="198"/>
    <d v="2011-01-28T00:00:00"/>
    <x v="0"/>
    <n v="1"/>
    <x v="15"/>
    <b v="0"/>
    <x v="6"/>
    <n v="2"/>
    <n v="0.2"/>
    <n v="197"/>
    <n v="0.13639999999999999"/>
    <n v="0.37"/>
    <n v="0.44779999999999998"/>
    <n v="4"/>
    <n v="79"/>
    <n v="83"/>
    <x v="0"/>
    <x v="1"/>
    <x v="1"/>
  </r>
  <r>
    <n v="199"/>
    <d v="2011-01-28T00:00:00"/>
    <x v="0"/>
    <n v="1"/>
    <x v="15"/>
    <b v="0"/>
    <x v="6"/>
    <n v="2"/>
    <n v="0.2"/>
    <n v="198"/>
    <n v="0.16669999999999999"/>
    <n v="0.34"/>
    <n v="0.44779999999999998"/>
    <n v="6"/>
    <n v="69"/>
    <n v="75"/>
    <x v="0"/>
    <x v="1"/>
    <x v="1"/>
  </r>
  <r>
    <n v="200"/>
    <d v="2011-01-28T00:00:00"/>
    <x v="0"/>
    <n v="1"/>
    <x v="15"/>
    <b v="0"/>
    <x v="6"/>
    <n v="2"/>
    <n v="0.2"/>
    <n v="199"/>
    <n v="0.18179999999999999"/>
    <n v="0.32"/>
    <n v="0.4627"/>
    <n v="8"/>
    <n v="64"/>
    <n v="72"/>
    <x v="0"/>
    <x v="1"/>
    <x v="1"/>
  </r>
  <r>
    <n v="201"/>
    <d v="2011-01-28T00:00:00"/>
    <x v="0"/>
    <n v="1"/>
    <x v="15"/>
    <b v="0"/>
    <x v="6"/>
    <n v="2"/>
    <n v="0.2"/>
    <n v="200"/>
    <n v="0.19700000000000001"/>
    <n v="0.35"/>
    <n v="0.35820000000000002"/>
    <n v="5"/>
    <n v="77"/>
    <n v="82"/>
    <x v="0"/>
    <x v="1"/>
    <x v="1"/>
  </r>
  <r>
    <n v="202"/>
    <d v="2011-01-28T00:00:00"/>
    <x v="0"/>
    <n v="1"/>
    <x v="15"/>
    <b v="0"/>
    <x v="6"/>
    <n v="2"/>
    <n v="0.2"/>
    <n v="201"/>
    <n v="0.16669999999999999"/>
    <n v="0.34"/>
    <n v="0.44779999999999998"/>
    <n v="13"/>
    <n v="79"/>
    <n v="92"/>
    <x v="0"/>
    <x v="1"/>
    <x v="1"/>
  </r>
  <r>
    <n v="203"/>
    <d v="2011-01-28T00:00:00"/>
    <x v="0"/>
    <n v="1"/>
    <x v="15"/>
    <b v="0"/>
    <x v="6"/>
    <n v="2"/>
    <n v="0.2"/>
    <n v="202"/>
    <n v="0.1515"/>
    <n v="0.37"/>
    <n v="0.3881"/>
    <n v="3"/>
    <n v="59"/>
    <n v="62"/>
    <x v="0"/>
    <x v="1"/>
    <x v="1"/>
  </r>
  <r>
    <n v="204"/>
    <d v="2011-01-28T00:00:00"/>
    <x v="0"/>
    <n v="1"/>
    <x v="15"/>
    <b v="0"/>
    <x v="6"/>
    <n v="2"/>
    <n v="0.2"/>
    <n v="203"/>
    <n v="0.13639999999999999"/>
    <n v="0.4"/>
    <n v="0.32840000000000003"/>
    <n v="4"/>
    <n v="44"/>
    <n v="48"/>
    <x v="0"/>
    <x v="1"/>
    <x v="1"/>
  </r>
  <r>
    <n v="205"/>
    <d v="2011-01-28T00:00:00"/>
    <x v="0"/>
    <n v="1"/>
    <x v="15"/>
    <b v="0"/>
    <x v="6"/>
    <n v="2"/>
    <n v="0.2"/>
    <n v="204"/>
    <n v="0.13639999999999999"/>
    <n v="0.43"/>
    <n v="0.32840000000000003"/>
    <n v="1"/>
    <n v="40"/>
    <n v="41"/>
    <x v="0"/>
    <x v="1"/>
    <x v="1"/>
  </r>
  <r>
    <n v="206"/>
    <d v="2011-01-28T00:00:00"/>
    <x v="0"/>
    <n v="1"/>
    <x v="15"/>
    <b v="0"/>
    <x v="6"/>
    <n v="2"/>
    <n v="0.2"/>
    <n v="205"/>
    <n v="0.1212"/>
    <n v="0.46"/>
    <n v="0.25369999999999998"/>
    <n v="0"/>
    <n v="38"/>
    <n v="38"/>
    <x v="0"/>
    <x v="1"/>
    <x v="1"/>
  </r>
  <r>
    <n v="207"/>
    <d v="2011-01-28T00:00:00"/>
    <x v="0"/>
    <n v="1"/>
    <x v="15"/>
    <b v="0"/>
    <x v="6"/>
    <n v="2"/>
    <n v="0.2"/>
    <n v="206"/>
    <n v="0.1061"/>
    <n v="0.46"/>
    <n v="0.41789999999999999"/>
    <n v="1"/>
    <n v="19"/>
    <n v="20"/>
    <x v="0"/>
    <x v="1"/>
    <x v="1"/>
  </r>
  <r>
    <n v="208"/>
    <d v="2011-01-28T00:00:00"/>
    <x v="0"/>
    <n v="1"/>
    <x v="15"/>
    <b v="0"/>
    <x v="6"/>
    <n v="2"/>
    <n v="0.2"/>
    <n v="207"/>
    <n v="0.1212"/>
    <n v="0.46"/>
    <n v="0.29849999999999999"/>
    <n v="5"/>
    <n v="10"/>
    <n v="15"/>
    <x v="0"/>
    <x v="1"/>
    <x v="1"/>
  </r>
  <r>
    <n v="209"/>
    <d v="2011-01-28T00:00:00"/>
    <x v="0"/>
    <n v="1"/>
    <x v="15"/>
    <b v="0"/>
    <x v="6"/>
    <n v="2"/>
    <n v="0.2"/>
    <n v="208"/>
    <n v="0.13639999999999999"/>
    <n v="0.5"/>
    <n v="0.19400000000000001"/>
    <n v="0"/>
    <n v="6"/>
    <n v="6"/>
    <x v="0"/>
    <x v="1"/>
    <x v="1"/>
  </r>
  <r>
    <n v="210"/>
    <d v="2011-01-28T00:00:00"/>
    <x v="0"/>
    <n v="1"/>
    <x v="15"/>
    <b v="0"/>
    <x v="6"/>
    <n v="2"/>
    <n v="0.2"/>
    <n v="209"/>
    <n v="0.1212"/>
    <n v="0.5"/>
    <n v="0.28360000000000002"/>
    <n v="2"/>
    <n v="3"/>
    <n v="5"/>
    <x v="0"/>
    <x v="1"/>
    <x v="1"/>
  </r>
  <r>
    <n v="211"/>
    <d v="2011-01-28T00:00:00"/>
    <x v="0"/>
    <n v="1"/>
    <x v="15"/>
    <b v="0"/>
    <x v="6"/>
    <n v="2"/>
    <n v="0.2"/>
    <n v="210"/>
    <n v="0.1212"/>
    <n v="0.5"/>
    <n v="0.28360000000000002"/>
    <n v="1"/>
    <n v="0"/>
    <n v="1"/>
    <x v="0"/>
    <x v="1"/>
    <x v="1"/>
  </r>
  <r>
    <n v="212"/>
    <d v="2011-01-28T00:00:00"/>
    <x v="0"/>
    <n v="1"/>
    <x v="15"/>
    <b v="0"/>
    <x v="6"/>
    <n v="2"/>
    <n v="0.2"/>
    <n v="211"/>
    <n v="0.1212"/>
    <n v="0.5"/>
    <n v="0.22389999999999999"/>
    <n v="0"/>
    <n v="3"/>
    <n v="3"/>
    <x v="0"/>
    <x v="1"/>
    <x v="1"/>
  </r>
  <r>
    <n v="213"/>
    <d v="2011-01-28T00:00:00"/>
    <x v="0"/>
    <n v="1"/>
    <x v="15"/>
    <b v="0"/>
    <x v="6"/>
    <n v="2"/>
    <n v="0.2"/>
    <n v="212"/>
    <n v="0.1212"/>
    <n v="0.5"/>
    <n v="0.22389999999999999"/>
    <n v="0"/>
    <n v="1"/>
    <n v="1"/>
    <x v="0"/>
    <x v="1"/>
    <x v="1"/>
  </r>
  <r>
    <n v="214"/>
    <d v="2011-01-28T00:00:00"/>
    <x v="0"/>
    <n v="1"/>
    <x v="15"/>
    <b v="0"/>
    <x v="6"/>
    <n v="2"/>
    <n v="0.2"/>
    <n v="213"/>
    <n v="0.1212"/>
    <n v="0.54"/>
    <n v="0.1343"/>
    <n v="1"/>
    <n v="2"/>
    <n v="3"/>
    <x v="0"/>
    <x v="1"/>
    <x v="1"/>
  </r>
  <r>
    <n v="215"/>
    <d v="2011-01-28T00:00:00"/>
    <x v="0"/>
    <n v="1"/>
    <x v="15"/>
    <b v="0"/>
    <x v="6"/>
    <n v="2"/>
    <n v="0.2"/>
    <n v="214"/>
    <n v="0.1061"/>
    <n v="0.54"/>
    <n v="0.25369999999999998"/>
    <n v="0"/>
    <n v="3"/>
    <n v="3"/>
    <x v="0"/>
    <x v="1"/>
    <x v="1"/>
  </r>
  <r>
    <n v="216"/>
    <d v="2011-01-28T00:00:00"/>
    <x v="0"/>
    <n v="1"/>
    <x v="15"/>
    <b v="0"/>
    <x v="6"/>
    <n v="2"/>
    <n v="0.2"/>
    <n v="215"/>
    <n v="0.1212"/>
    <n v="0.5"/>
    <n v="0.28360000000000002"/>
    <n v="0"/>
    <n v="31"/>
    <n v="31"/>
    <x v="0"/>
    <x v="1"/>
    <x v="1"/>
  </r>
  <r>
    <n v="217"/>
    <d v="2011-01-28T00:00:00"/>
    <x v="0"/>
    <n v="1"/>
    <x v="15"/>
    <b v="0"/>
    <x v="6"/>
    <n v="2"/>
    <n v="0.2"/>
    <n v="216"/>
    <n v="0.1212"/>
    <n v="0.5"/>
    <n v="0.22389999999999999"/>
    <n v="2"/>
    <n v="75"/>
    <n v="77"/>
    <x v="0"/>
    <x v="1"/>
    <x v="1"/>
  </r>
  <r>
    <n v="218"/>
    <d v="2011-01-28T00:00:00"/>
    <x v="0"/>
    <n v="1"/>
    <x v="15"/>
    <b v="0"/>
    <x v="6"/>
    <n v="2"/>
    <n v="0.2"/>
    <n v="217"/>
    <n v="0.1212"/>
    <n v="0.5"/>
    <n v="0.28360000000000002"/>
    <n v="4"/>
    <n v="184"/>
    <n v="188"/>
    <x v="0"/>
    <x v="1"/>
    <x v="1"/>
  </r>
  <r>
    <n v="219"/>
    <d v="2011-01-28T00:00:00"/>
    <x v="0"/>
    <n v="1"/>
    <x v="15"/>
    <b v="0"/>
    <x v="6"/>
    <n v="2"/>
    <n v="0.2"/>
    <n v="218"/>
    <n v="0.1212"/>
    <n v="0.5"/>
    <n v="0.25369999999999998"/>
    <n v="2"/>
    <n v="92"/>
    <n v="94"/>
    <x v="0"/>
    <x v="1"/>
    <x v="1"/>
  </r>
  <r>
    <n v="220"/>
    <d v="2011-01-28T00:00:00"/>
    <x v="0"/>
    <n v="1"/>
    <x v="15"/>
    <b v="0"/>
    <x v="6"/>
    <n v="2"/>
    <n v="0.2"/>
    <n v="219"/>
    <n v="0.1212"/>
    <n v="0.5"/>
    <n v="0.29849999999999999"/>
    <n v="0"/>
    <n v="31"/>
    <n v="31"/>
    <x v="0"/>
    <x v="1"/>
    <x v="1"/>
  </r>
  <r>
    <n v="221"/>
    <d v="2011-01-28T00:00:00"/>
    <x v="0"/>
    <n v="1"/>
    <x v="15"/>
    <b v="0"/>
    <x v="6"/>
    <n v="2"/>
    <n v="0.2"/>
    <n v="220"/>
    <n v="0.13639999999999999"/>
    <n v="0.47"/>
    <n v="0.28360000000000002"/>
    <n v="2"/>
    <n v="28"/>
    <n v="30"/>
    <x v="0"/>
    <x v="1"/>
    <x v="1"/>
  </r>
  <r>
    <n v="222"/>
    <d v="2011-01-28T00:00:00"/>
    <x v="0"/>
    <n v="1"/>
    <x v="15"/>
    <b v="0"/>
    <x v="6"/>
    <n v="2"/>
    <n v="0.2"/>
    <n v="221"/>
    <n v="0.18179999999999999"/>
    <n v="0.4"/>
    <n v="0.28360000000000002"/>
    <n v="5"/>
    <n v="47"/>
    <n v="52"/>
    <x v="0"/>
    <x v="1"/>
    <x v="1"/>
  </r>
  <r>
    <n v="223"/>
    <d v="2011-01-28T00:00:00"/>
    <x v="0"/>
    <n v="1"/>
    <x v="15"/>
    <b v="0"/>
    <x v="6"/>
    <n v="2"/>
    <n v="0.2"/>
    <n v="222"/>
    <n v="0.18179999999999999"/>
    <n v="0.4"/>
    <n v="0.28360000000000002"/>
    <n v="4"/>
    <n v="50"/>
    <n v="54"/>
    <x v="0"/>
    <x v="1"/>
    <x v="1"/>
  </r>
  <r>
    <n v="224"/>
    <d v="2011-01-28T00:00:00"/>
    <x v="0"/>
    <n v="1"/>
    <x v="15"/>
    <b v="0"/>
    <x v="6"/>
    <n v="2"/>
    <n v="0.2"/>
    <n v="223"/>
    <n v="0.19700000000000001"/>
    <n v="0.4"/>
    <n v="0.22389999999999999"/>
    <n v="0"/>
    <n v="47"/>
    <n v="47"/>
    <x v="0"/>
    <x v="1"/>
    <x v="1"/>
  </r>
  <r>
    <n v="225"/>
    <d v="2011-01-28T00:00:00"/>
    <x v="0"/>
    <n v="1"/>
    <x v="15"/>
    <b v="0"/>
    <x v="6"/>
    <n v="2"/>
    <n v="0.2"/>
    <n v="224"/>
    <n v="0.19700000000000001"/>
    <n v="0.4"/>
    <n v="0.22389999999999999"/>
    <n v="2"/>
    <n v="43"/>
    <n v="45"/>
    <x v="0"/>
    <x v="1"/>
    <x v="1"/>
  </r>
  <r>
    <n v="226"/>
    <d v="2011-01-28T00:00:00"/>
    <x v="0"/>
    <n v="1"/>
    <x v="15"/>
    <b v="0"/>
    <x v="6"/>
    <n v="2"/>
    <n v="0.2"/>
    <n v="225"/>
    <n v="0.21210000000000001"/>
    <n v="0.4"/>
    <n v="0.1343"/>
    <n v="4"/>
    <n v="70"/>
    <n v="74"/>
    <x v="0"/>
    <x v="1"/>
    <x v="1"/>
  </r>
  <r>
    <n v="227"/>
    <d v="2011-01-28T00:00:00"/>
    <x v="0"/>
    <n v="1"/>
    <x v="15"/>
    <b v="0"/>
    <x v="6"/>
    <n v="2"/>
    <n v="0.2"/>
    <n v="226"/>
    <n v="0.2273"/>
    <n v="0.4"/>
    <n v="0.1045"/>
    <n v="4"/>
    <n v="174"/>
    <n v="178"/>
    <x v="0"/>
    <x v="1"/>
    <x v="1"/>
  </r>
  <r>
    <n v="228"/>
    <d v="2011-01-28T00:00:00"/>
    <x v="0"/>
    <n v="1"/>
    <x v="15"/>
    <b v="0"/>
    <x v="6"/>
    <n v="2"/>
    <n v="0.2"/>
    <n v="227"/>
    <n v="0.19700000000000001"/>
    <n v="0.4"/>
    <n v="0.22389999999999999"/>
    <n v="1"/>
    <n v="154"/>
    <n v="155"/>
    <x v="0"/>
    <x v="1"/>
    <x v="1"/>
  </r>
  <r>
    <n v="229"/>
    <d v="2011-01-28T00:00:00"/>
    <x v="0"/>
    <n v="1"/>
    <x v="15"/>
    <b v="0"/>
    <x v="6"/>
    <n v="2"/>
    <n v="0.2"/>
    <n v="228"/>
    <n v="0.16669999999999999"/>
    <n v="0.47"/>
    <n v="0.16420000000000001"/>
    <n v="3"/>
    <n v="92"/>
    <n v="95"/>
    <x v="0"/>
    <x v="1"/>
    <x v="1"/>
  </r>
  <r>
    <n v="230"/>
    <d v="2011-01-28T00:00:00"/>
    <x v="0"/>
    <n v="1"/>
    <x v="15"/>
    <b v="0"/>
    <x v="6"/>
    <n v="2"/>
    <n v="0.2"/>
    <n v="229"/>
    <n v="0.16669999999999999"/>
    <n v="0.5"/>
    <n v="0.16420000000000001"/>
    <n v="1"/>
    <n v="73"/>
    <n v="74"/>
    <x v="0"/>
    <x v="1"/>
    <x v="1"/>
  </r>
  <r>
    <n v="231"/>
    <d v="2011-01-28T00:00:00"/>
    <x v="0"/>
    <n v="1"/>
    <x v="15"/>
    <b v="0"/>
    <x v="6"/>
    <n v="2"/>
    <n v="0.2"/>
    <n v="230"/>
    <n v="0.13639999999999999"/>
    <n v="0.59"/>
    <n v="0.19400000000000001"/>
    <n v="1"/>
    <n v="37"/>
    <n v="38"/>
    <x v="0"/>
    <x v="1"/>
    <x v="1"/>
  </r>
  <r>
    <n v="232"/>
    <d v="2011-01-28T00:00:00"/>
    <x v="0"/>
    <n v="1"/>
    <x v="15"/>
    <b v="0"/>
    <x v="6"/>
    <n v="2"/>
    <n v="0.2"/>
    <n v="231"/>
    <n v="0.1515"/>
    <n v="0.59"/>
    <n v="0.16420000000000001"/>
    <n v="2"/>
    <n v="22"/>
    <n v="24"/>
    <x v="0"/>
    <x v="1"/>
    <x v="1"/>
  </r>
  <r>
    <n v="233"/>
    <d v="2011-01-28T00:00:00"/>
    <x v="0"/>
    <n v="1"/>
    <x v="15"/>
    <b v="0"/>
    <x v="6"/>
    <n v="2"/>
    <n v="0.2"/>
    <n v="232"/>
    <n v="0.1515"/>
    <n v="0.59"/>
    <n v="0.16420000000000001"/>
    <n v="0"/>
    <n v="18"/>
    <n v="18"/>
    <x v="0"/>
    <x v="1"/>
    <x v="1"/>
  </r>
  <r>
    <n v="234"/>
    <d v="2011-01-28T00:00:00"/>
    <x v="0"/>
    <n v="1"/>
    <x v="15"/>
    <b v="0"/>
    <x v="6"/>
    <n v="2"/>
    <n v="0.2"/>
    <n v="233"/>
    <n v="0.16669999999999999"/>
    <n v="0.59"/>
    <n v="0.1045"/>
    <n v="2"/>
    <n v="10"/>
    <n v="12"/>
    <x v="0"/>
    <x v="1"/>
    <x v="1"/>
  </r>
  <r>
    <n v="235"/>
    <d v="2011-01-28T00:00:00"/>
    <x v="0"/>
    <n v="1"/>
    <x v="15"/>
    <b v="0"/>
    <x v="6"/>
    <n v="2"/>
    <n v="0.2"/>
    <n v="234"/>
    <n v="0.1515"/>
    <n v="0.59"/>
    <n v="0.16420000000000001"/>
    <n v="0"/>
    <n v="3"/>
    <n v="3"/>
    <x v="0"/>
    <x v="1"/>
    <x v="1"/>
  </r>
  <r>
    <n v="236"/>
    <d v="2011-01-28T00:00:00"/>
    <x v="0"/>
    <n v="1"/>
    <x v="15"/>
    <b v="0"/>
    <x v="6"/>
    <n v="2"/>
    <n v="0.2"/>
    <n v="235"/>
    <n v="0.1515"/>
    <n v="0.55000000000000004"/>
    <n v="0.19400000000000001"/>
    <n v="0"/>
    <n v="3"/>
    <n v="3"/>
    <x v="0"/>
    <x v="1"/>
    <x v="1"/>
  </r>
  <r>
    <n v="237"/>
    <d v="2011-01-28T00:00:00"/>
    <x v="0"/>
    <n v="1"/>
    <x v="15"/>
    <b v="0"/>
    <x v="6"/>
    <n v="2"/>
    <n v="0.2"/>
    <n v="236"/>
    <n v="0.18179999999999999"/>
    <n v="0.55000000000000004"/>
    <n v="0.1343"/>
    <n v="0"/>
    <n v="6"/>
    <n v="6"/>
    <x v="0"/>
    <x v="1"/>
    <x v="1"/>
  </r>
  <r>
    <n v="238"/>
    <d v="2011-01-28T00:00:00"/>
    <x v="0"/>
    <n v="1"/>
    <x v="15"/>
    <b v="0"/>
    <x v="6"/>
    <n v="2"/>
    <n v="0.2"/>
    <n v="237"/>
    <n v="0.18179999999999999"/>
    <n v="0.55000000000000004"/>
    <n v="0.1343"/>
    <n v="0"/>
    <n v="27"/>
    <n v="27"/>
    <x v="0"/>
    <x v="1"/>
    <x v="1"/>
  </r>
  <r>
    <n v="239"/>
    <d v="2011-01-28T00:00:00"/>
    <x v="0"/>
    <n v="1"/>
    <x v="15"/>
    <b v="0"/>
    <x v="6"/>
    <n v="2"/>
    <n v="0.2"/>
    <n v="238"/>
    <n v="0.2273"/>
    <n v="0.55000000000000004"/>
    <n v="0"/>
    <n v="2"/>
    <n v="97"/>
    <n v="99"/>
    <x v="0"/>
    <x v="1"/>
    <x v="1"/>
  </r>
  <r>
    <n v="240"/>
    <d v="2011-01-28T00:00:00"/>
    <x v="0"/>
    <n v="1"/>
    <x v="15"/>
    <b v="0"/>
    <x v="6"/>
    <n v="2"/>
    <n v="0.2"/>
    <n v="239"/>
    <n v="0.21210000000000001"/>
    <n v="0.51"/>
    <n v="8.9599999999999999E-2"/>
    <n v="3"/>
    <n v="214"/>
    <n v="217"/>
    <x v="0"/>
    <x v="1"/>
    <x v="1"/>
  </r>
  <r>
    <n v="241"/>
    <d v="2011-01-28T00:00:00"/>
    <x v="0"/>
    <n v="1"/>
    <x v="15"/>
    <b v="0"/>
    <x v="6"/>
    <n v="2"/>
    <n v="0.2"/>
    <n v="240"/>
    <n v="0.19700000000000001"/>
    <n v="0.51"/>
    <n v="0.16420000000000001"/>
    <n v="3"/>
    <n v="127"/>
    <n v="130"/>
    <x v="0"/>
    <x v="1"/>
    <x v="1"/>
  </r>
  <r>
    <n v="242"/>
    <d v="2011-01-28T00:00:00"/>
    <x v="0"/>
    <n v="1"/>
    <x v="15"/>
    <b v="0"/>
    <x v="6"/>
    <n v="2"/>
    <n v="0.2"/>
    <n v="241"/>
    <n v="0.21210000000000001"/>
    <n v="0.51"/>
    <n v="0.16420000000000001"/>
    <n v="3"/>
    <n v="51"/>
    <n v="54"/>
    <x v="0"/>
    <x v="1"/>
    <x v="1"/>
  </r>
  <r>
    <n v="243"/>
    <d v="2011-01-28T00:00:00"/>
    <x v="0"/>
    <n v="1"/>
    <x v="15"/>
    <b v="0"/>
    <x v="6"/>
    <n v="2"/>
    <n v="0.2"/>
    <n v="242"/>
    <n v="0.21210000000000001"/>
    <n v="0.47"/>
    <n v="0.1343"/>
    <n v="4"/>
    <n v="31"/>
    <n v="35"/>
    <x v="0"/>
    <x v="1"/>
    <x v="1"/>
  </r>
  <r>
    <n v="244"/>
    <d v="2011-01-28T00:00:00"/>
    <x v="0"/>
    <n v="1"/>
    <x v="15"/>
    <b v="0"/>
    <x v="6"/>
    <n v="2"/>
    <n v="0.2"/>
    <n v="243"/>
    <n v="0.2273"/>
    <n v="0.51"/>
    <n v="0.1045"/>
    <n v="2"/>
    <n v="55"/>
    <n v="57"/>
    <x v="0"/>
    <x v="1"/>
    <x v="1"/>
  </r>
  <r>
    <n v="245"/>
    <d v="2011-01-28T00:00:00"/>
    <x v="0"/>
    <n v="1"/>
    <x v="15"/>
    <b v="0"/>
    <x v="6"/>
    <n v="2"/>
    <n v="0.2"/>
    <n v="244"/>
    <n v="0.2273"/>
    <n v="0.59"/>
    <n v="8.9599999999999999E-2"/>
    <n v="6"/>
    <n v="46"/>
    <n v="52"/>
    <x v="0"/>
    <x v="1"/>
    <x v="1"/>
  </r>
  <r>
    <n v="246"/>
    <d v="2011-01-28T00:00:00"/>
    <x v="0"/>
    <n v="1"/>
    <x v="15"/>
    <b v="0"/>
    <x v="6"/>
    <n v="2"/>
    <n v="0.2"/>
    <n v="245"/>
    <n v="0.2273"/>
    <n v="0.59"/>
    <n v="8.9599999999999999E-2"/>
    <n v="3"/>
    <n v="60"/>
    <n v="63"/>
    <x v="0"/>
    <x v="1"/>
    <x v="1"/>
  </r>
  <r>
    <n v="247"/>
    <d v="2011-01-28T00:00:00"/>
    <x v="0"/>
    <n v="1"/>
    <x v="15"/>
    <b v="0"/>
    <x v="6"/>
    <n v="2"/>
    <n v="0.2"/>
    <n v="246"/>
    <n v="0.19700000000000001"/>
    <n v="0.8"/>
    <n v="8.9599999999999999E-2"/>
    <n v="2"/>
    <n v="45"/>
    <n v="47"/>
    <x v="0"/>
    <x v="1"/>
    <x v="1"/>
  </r>
  <r>
    <n v="248"/>
    <d v="2011-01-28T00:00:00"/>
    <x v="0"/>
    <n v="1"/>
    <x v="15"/>
    <b v="0"/>
    <x v="6"/>
    <n v="2"/>
    <n v="0.2"/>
    <n v="247"/>
    <n v="0.1515"/>
    <n v="0.86"/>
    <n v="0.22389999999999999"/>
    <n v="4"/>
    <n v="72"/>
    <n v="76"/>
    <x v="0"/>
    <x v="1"/>
    <x v="1"/>
  </r>
  <r>
    <n v="249"/>
    <d v="2011-01-28T00:00:00"/>
    <x v="0"/>
    <n v="1"/>
    <x v="15"/>
    <b v="0"/>
    <x v="6"/>
    <n v="2"/>
    <n v="0.2"/>
    <n v="248"/>
    <n v="0.1515"/>
    <n v="0.86"/>
    <n v="0.22389999999999999"/>
    <n v="6"/>
    <n v="130"/>
    <n v="136"/>
    <x v="0"/>
    <x v="1"/>
    <x v="1"/>
  </r>
  <r>
    <n v="250"/>
    <d v="2011-01-28T00:00:00"/>
    <x v="0"/>
    <n v="1"/>
    <x v="15"/>
    <b v="0"/>
    <x v="6"/>
    <n v="2"/>
    <n v="0.2"/>
    <n v="249"/>
    <n v="0.18179999999999999"/>
    <n v="0.93"/>
    <n v="0.1045"/>
    <n v="1"/>
    <n v="94"/>
    <n v="95"/>
    <x v="0"/>
    <x v="1"/>
    <x v="1"/>
  </r>
  <r>
    <n v="251"/>
    <d v="2011-01-28T00:00:00"/>
    <x v="0"/>
    <n v="1"/>
    <x v="15"/>
    <b v="0"/>
    <x v="6"/>
    <n v="2"/>
    <n v="0.2"/>
    <n v="250"/>
    <n v="0.2273"/>
    <n v="0.93"/>
    <n v="0"/>
    <n v="0"/>
    <n v="51"/>
    <n v="51"/>
    <x v="0"/>
    <x v="1"/>
    <x v="1"/>
  </r>
  <r>
    <n v="252"/>
    <d v="2011-01-28T00:00:00"/>
    <x v="0"/>
    <n v="1"/>
    <x v="15"/>
    <b v="0"/>
    <x v="6"/>
    <n v="2"/>
    <n v="0.2"/>
    <n v="251"/>
    <n v="0.1515"/>
    <n v="0.93"/>
    <n v="0.19400000000000001"/>
    <n v="0"/>
    <n v="32"/>
    <n v="32"/>
    <x v="0"/>
    <x v="1"/>
    <x v="1"/>
  </r>
  <r>
    <n v="253"/>
    <d v="2011-01-28T00:00:00"/>
    <x v="0"/>
    <n v="1"/>
    <x v="15"/>
    <b v="0"/>
    <x v="6"/>
    <n v="2"/>
    <n v="0.2"/>
    <n v="252"/>
    <n v="0.19700000000000001"/>
    <n v="0.86"/>
    <n v="8.9599999999999999E-2"/>
    <n v="0"/>
    <n v="20"/>
    <n v="20"/>
    <x v="0"/>
    <x v="1"/>
    <x v="1"/>
  </r>
  <r>
    <n v="254"/>
    <d v="2011-01-28T00:00:00"/>
    <x v="0"/>
    <n v="1"/>
    <x v="15"/>
    <b v="0"/>
    <x v="6"/>
    <n v="2"/>
    <n v="0.2"/>
    <n v="253"/>
    <n v="0.18179999999999999"/>
    <n v="0.93"/>
    <n v="0.1045"/>
    <n v="1"/>
    <n v="28"/>
    <n v="29"/>
    <x v="0"/>
    <x v="1"/>
    <x v="1"/>
  </r>
  <r>
    <n v="255"/>
    <d v="2011-01-28T00:00:00"/>
    <x v="0"/>
    <n v="1"/>
    <x v="15"/>
    <b v="0"/>
    <x v="6"/>
    <n v="2"/>
    <n v="0.2"/>
    <n v="254"/>
    <n v="0.19700000000000001"/>
    <n v="0.93"/>
    <n v="8.9599999999999999E-2"/>
    <n v="1"/>
    <n v="18"/>
    <n v="19"/>
    <x v="0"/>
    <x v="1"/>
    <x v="1"/>
  </r>
  <r>
    <n v="256"/>
    <d v="2011-01-28T00:00:00"/>
    <x v="0"/>
    <n v="1"/>
    <x v="15"/>
    <b v="0"/>
    <x v="6"/>
    <n v="2"/>
    <n v="0.2"/>
    <n v="255"/>
    <n v="0.19700000000000001"/>
    <n v="0.86"/>
    <n v="8.9599999999999999E-2"/>
    <n v="0"/>
    <n v="7"/>
    <n v="7"/>
    <x v="0"/>
    <x v="1"/>
    <x v="1"/>
  </r>
  <r>
    <n v="257"/>
    <d v="2011-01-28T00:00:00"/>
    <x v="0"/>
    <n v="1"/>
    <x v="15"/>
    <b v="0"/>
    <x v="6"/>
    <n v="2"/>
    <n v="0.2"/>
    <n v="256"/>
    <n v="0.18179999999999999"/>
    <n v="0.86"/>
    <n v="0.1045"/>
    <n v="0"/>
    <n v="6"/>
    <n v="6"/>
    <x v="0"/>
    <x v="1"/>
    <x v="1"/>
  </r>
  <r>
    <n v="258"/>
    <d v="2011-01-28T00:00:00"/>
    <x v="0"/>
    <n v="1"/>
    <x v="15"/>
    <b v="0"/>
    <x v="6"/>
    <n v="2"/>
    <n v="0.2"/>
    <n v="257"/>
    <n v="0.1515"/>
    <n v="0.86"/>
    <n v="0.1343"/>
    <n v="0"/>
    <n v="1"/>
    <n v="1"/>
    <x v="0"/>
    <x v="1"/>
    <x v="1"/>
  </r>
  <r>
    <n v="259"/>
    <d v="2011-01-28T00:00:00"/>
    <x v="0"/>
    <n v="1"/>
    <x v="15"/>
    <b v="0"/>
    <x v="6"/>
    <n v="2"/>
    <n v="0.2"/>
    <n v="258"/>
    <n v="0.1515"/>
    <n v="0.86"/>
    <n v="0.16420000000000001"/>
    <n v="0"/>
    <n v="5"/>
    <n v="5"/>
    <x v="0"/>
    <x v="1"/>
    <x v="1"/>
  </r>
  <r>
    <n v="260"/>
    <d v="2011-01-28T00:00:00"/>
    <x v="0"/>
    <n v="1"/>
    <x v="15"/>
    <b v="0"/>
    <x v="6"/>
    <n v="2"/>
    <n v="0.2"/>
    <n v="259"/>
    <n v="0.1515"/>
    <n v="0.93"/>
    <n v="0.1343"/>
    <n v="0"/>
    <n v="16"/>
    <n v="16"/>
    <x v="0"/>
    <x v="1"/>
    <x v="1"/>
  </r>
  <r>
    <n v="261"/>
    <d v="2011-01-28T00:00:00"/>
    <x v="0"/>
    <n v="1"/>
    <x v="15"/>
    <b v="0"/>
    <x v="6"/>
    <n v="2"/>
    <n v="0.2"/>
    <n v="260"/>
    <n v="0.1515"/>
    <n v="0.69"/>
    <n v="0.1343"/>
    <n v="0"/>
    <n v="54"/>
    <n v="54"/>
    <x v="0"/>
    <x v="1"/>
    <x v="1"/>
  </r>
  <r>
    <n v="262"/>
    <d v="2011-01-28T00:00:00"/>
    <x v="0"/>
    <n v="1"/>
    <x v="15"/>
    <b v="0"/>
    <x v="6"/>
    <n v="2"/>
    <n v="0.2"/>
    <n v="261"/>
    <n v="0.16669999999999999"/>
    <n v="0.59"/>
    <n v="0.16420000000000001"/>
    <n v="3"/>
    <n v="125"/>
    <n v="128"/>
    <x v="0"/>
    <x v="1"/>
    <x v="1"/>
  </r>
  <r>
    <n v="263"/>
    <d v="2011-01-28T00:00:00"/>
    <x v="0"/>
    <n v="1"/>
    <x v="15"/>
    <b v="0"/>
    <x v="6"/>
    <n v="2"/>
    <n v="0.2"/>
    <n v="262"/>
    <n v="0.13639999999999999"/>
    <n v="0.59"/>
    <n v="0.32840000000000003"/>
    <n v="3"/>
    <n v="78"/>
    <n v="81"/>
    <x v="0"/>
    <x v="1"/>
    <x v="1"/>
  </r>
  <r>
    <n v="264"/>
    <d v="2011-01-28T00:00:00"/>
    <x v="0"/>
    <n v="1"/>
    <x v="15"/>
    <b v="0"/>
    <x v="6"/>
    <n v="2"/>
    <n v="0.2"/>
    <n v="263"/>
    <n v="0.18179999999999999"/>
    <n v="0.55000000000000004"/>
    <n v="0.22389999999999999"/>
    <n v="0"/>
    <n v="39"/>
    <n v="39"/>
    <x v="0"/>
    <x v="1"/>
    <x v="1"/>
  </r>
  <r>
    <n v="265"/>
    <d v="2011-01-28T00:00:00"/>
    <x v="0"/>
    <n v="1"/>
    <x v="15"/>
    <b v="0"/>
    <x v="6"/>
    <n v="2"/>
    <n v="0.2"/>
    <n v="264"/>
    <n v="0.18179999999999999"/>
    <n v="0.51"/>
    <n v="0.3881"/>
    <n v="3"/>
    <n v="32"/>
    <n v="35"/>
    <x v="0"/>
    <x v="1"/>
    <x v="1"/>
  </r>
  <r>
    <n v="266"/>
    <d v="2011-01-28T00:00:00"/>
    <x v="0"/>
    <n v="1"/>
    <x v="15"/>
    <b v="0"/>
    <x v="6"/>
    <n v="2"/>
    <n v="0.2"/>
    <n v="265"/>
    <n v="0.1515"/>
    <n v="0.47"/>
    <n v="0.58209999999999995"/>
    <n v="3"/>
    <n v="52"/>
    <n v="55"/>
    <x v="0"/>
    <x v="1"/>
    <x v="1"/>
  </r>
  <r>
    <n v="267"/>
    <d v="2011-01-28T00:00:00"/>
    <x v="0"/>
    <n v="1"/>
    <x v="15"/>
    <b v="0"/>
    <x v="6"/>
    <n v="2"/>
    <n v="0.2"/>
    <n v="266"/>
    <n v="0.19700000000000001"/>
    <n v="0.44"/>
    <n v="0.35820000000000002"/>
    <n v="0"/>
    <n v="49"/>
    <n v="49"/>
    <x v="0"/>
    <x v="1"/>
    <x v="1"/>
  </r>
  <r>
    <n v="268"/>
    <d v="2011-01-28T00:00:00"/>
    <x v="0"/>
    <n v="1"/>
    <x v="15"/>
    <b v="0"/>
    <x v="6"/>
    <n v="2"/>
    <n v="0.2"/>
    <n v="267"/>
    <n v="0.18179999999999999"/>
    <n v="0.47"/>
    <n v="0.32840000000000003"/>
    <n v="0"/>
    <n v="44"/>
    <n v="44"/>
    <x v="0"/>
    <x v="1"/>
    <x v="1"/>
  </r>
  <r>
    <n v="269"/>
    <d v="2011-01-28T00:00:00"/>
    <x v="0"/>
    <n v="1"/>
    <x v="15"/>
    <b v="0"/>
    <x v="6"/>
    <n v="2"/>
    <n v="0.2"/>
    <n v="268"/>
    <n v="0.16669999999999999"/>
    <n v="0.47"/>
    <n v="0.41789999999999999"/>
    <n v="1"/>
    <n v="48"/>
    <n v="49"/>
    <x v="0"/>
    <x v="1"/>
    <x v="1"/>
  </r>
  <r>
    <n v="270"/>
    <d v="2011-01-28T00:00:00"/>
    <x v="0"/>
    <n v="1"/>
    <x v="15"/>
    <b v="0"/>
    <x v="6"/>
    <n v="2"/>
    <n v="0.2"/>
    <n v="269"/>
    <n v="0.19700000000000001"/>
    <n v="0.44"/>
    <n v="0.32840000000000003"/>
    <n v="5"/>
    <n v="63"/>
    <n v="68"/>
    <x v="0"/>
    <x v="1"/>
    <x v="1"/>
  </r>
  <r>
    <n v="271"/>
    <d v="2011-01-28T00:00:00"/>
    <x v="0"/>
    <n v="1"/>
    <x v="15"/>
    <b v="0"/>
    <x v="6"/>
    <n v="2"/>
    <n v="0.2"/>
    <n v="270"/>
    <n v="0.18179999999999999"/>
    <n v="0.47"/>
    <n v="0.35820000000000002"/>
    <n v="0"/>
    <n v="139"/>
    <n v="139"/>
    <x v="0"/>
    <x v="1"/>
    <x v="1"/>
  </r>
  <r>
    <n v="272"/>
    <d v="2011-01-28T00:00:00"/>
    <x v="0"/>
    <n v="1"/>
    <x v="15"/>
    <b v="0"/>
    <x v="6"/>
    <n v="2"/>
    <n v="0.2"/>
    <n v="271"/>
    <n v="0.1515"/>
    <n v="0.47"/>
    <n v="0.52239999999999998"/>
    <n v="2"/>
    <n v="135"/>
    <n v="137"/>
    <x v="0"/>
    <x v="1"/>
    <x v="1"/>
  </r>
  <r>
    <n v="273"/>
    <d v="2011-01-28T00:00:00"/>
    <x v="0"/>
    <n v="1"/>
    <x v="15"/>
    <b v="0"/>
    <x v="6"/>
    <n v="2"/>
    <n v="0.2"/>
    <n v="272"/>
    <n v="0.1515"/>
    <n v="0.47"/>
    <n v="0.41789999999999999"/>
    <n v="1"/>
    <n v="82"/>
    <n v="83"/>
    <x v="0"/>
    <x v="1"/>
    <x v="1"/>
  </r>
  <r>
    <n v="274"/>
    <d v="2011-01-28T00:00:00"/>
    <x v="0"/>
    <n v="1"/>
    <x v="15"/>
    <b v="0"/>
    <x v="6"/>
    <n v="2"/>
    <n v="0.2"/>
    <n v="273"/>
    <n v="0.13639999999999999"/>
    <n v="0.5"/>
    <n v="0.32840000000000003"/>
    <n v="2"/>
    <n v="54"/>
    <n v="56"/>
    <x v="0"/>
    <x v="1"/>
    <x v="1"/>
  </r>
  <r>
    <n v="275"/>
    <d v="2011-01-28T00:00:00"/>
    <x v="0"/>
    <n v="1"/>
    <x v="15"/>
    <b v="0"/>
    <x v="6"/>
    <n v="2"/>
    <n v="0.2"/>
    <n v="274"/>
    <n v="0.13639999999999999"/>
    <n v="0.55000000000000004"/>
    <n v="0.32840000000000003"/>
    <n v="0"/>
    <n v="57"/>
    <n v="57"/>
    <x v="0"/>
    <x v="1"/>
    <x v="1"/>
  </r>
  <r>
    <n v="276"/>
    <d v="2011-01-28T00:00:00"/>
    <x v="0"/>
    <n v="1"/>
    <x v="15"/>
    <b v="0"/>
    <x v="6"/>
    <n v="2"/>
    <n v="0.2"/>
    <n v="275"/>
    <n v="0.1212"/>
    <n v="0.55000000000000004"/>
    <n v="0.44779999999999998"/>
    <n v="1"/>
    <n v="32"/>
    <n v="33"/>
    <x v="0"/>
    <x v="1"/>
    <x v="1"/>
  </r>
  <r>
    <n v="277"/>
    <d v="2011-01-28T00:00:00"/>
    <x v="0"/>
    <n v="1"/>
    <x v="15"/>
    <b v="0"/>
    <x v="6"/>
    <n v="2"/>
    <n v="0.2"/>
    <n v="276"/>
    <n v="0.1061"/>
    <n v="0.59"/>
    <n v="0.41789999999999999"/>
    <n v="1"/>
    <n v="19"/>
    <n v="20"/>
    <x v="0"/>
    <x v="1"/>
    <x v="1"/>
  </r>
  <r>
    <n v="278"/>
    <d v="2011-01-28T00:00:00"/>
    <x v="0"/>
    <n v="1"/>
    <x v="15"/>
    <b v="0"/>
    <x v="6"/>
    <n v="2"/>
    <n v="0.2"/>
    <n v="277"/>
    <n v="0.1212"/>
    <n v="0.59"/>
    <n v="0.28360000000000002"/>
    <n v="1"/>
    <n v="6"/>
    <n v="7"/>
    <x v="0"/>
    <x v="1"/>
    <x v="1"/>
  </r>
  <r>
    <n v="279"/>
    <d v="2011-01-28T00:00:00"/>
    <x v="0"/>
    <n v="1"/>
    <x v="15"/>
    <b v="0"/>
    <x v="6"/>
    <n v="2"/>
    <n v="0.2"/>
    <n v="278"/>
    <n v="0.1212"/>
    <n v="0.5"/>
    <n v="0.28360000000000002"/>
    <n v="0"/>
    <n v="2"/>
    <n v="2"/>
    <x v="0"/>
    <x v="1"/>
    <x v="1"/>
  </r>
  <r>
    <n v="280"/>
    <d v="2011-01-28T00:00:00"/>
    <x v="0"/>
    <n v="1"/>
    <x v="15"/>
    <b v="0"/>
    <x v="6"/>
    <n v="2"/>
    <n v="0.2"/>
    <n v="279"/>
    <n v="0.1212"/>
    <n v="0.5"/>
    <n v="0.35820000000000002"/>
    <n v="0"/>
    <n v="2"/>
    <n v="2"/>
    <x v="0"/>
    <x v="1"/>
    <x v="1"/>
  </r>
  <r>
    <n v="281"/>
    <d v="2011-01-28T00:00:00"/>
    <x v="0"/>
    <n v="1"/>
    <x v="15"/>
    <b v="0"/>
    <x v="6"/>
    <n v="2"/>
    <n v="0.2"/>
    <n v="280"/>
    <n v="0.1212"/>
    <n v="0.5"/>
    <n v="0.32840000000000003"/>
    <n v="0"/>
    <n v="3"/>
    <n v="3"/>
    <x v="0"/>
    <x v="1"/>
    <x v="1"/>
  </r>
  <r>
    <n v="282"/>
    <d v="2011-01-28T00:00:00"/>
    <x v="0"/>
    <n v="1"/>
    <x v="15"/>
    <b v="0"/>
    <x v="6"/>
    <n v="2"/>
    <n v="0.2"/>
    <n v="281"/>
    <n v="0.1212"/>
    <n v="0.5"/>
    <n v="0.25369999999999998"/>
    <n v="0"/>
    <n v="4"/>
    <n v="4"/>
    <x v="0"/>
    <x v="1"/>
    <x v="1"/>
  </r>
  <r>
    <n v="283"/>
    <d v="2011-01-28T00:00:00"/>
    <x v="0"/>
    <n v="1"/>
    <x v="15"/>
    <b v="0"/>
    <x v="6"/>
    <n v="2"/>
    <n v="0.2"/>
    <n v="282"/>
    <n v="0.1212"/>
    <n v="0.5"/>
    <n v="0.29849999999999999"/>
    <n v="0"/>
    <n v="3"/>
    <n v="3"/>
    <x v="0"/>
    <x v="1"/>
    <x v="1"/>
  </r>
  <r>
    <n v="284"/>
    <d v="2011-01-28T00:00:00"/>
    <x v="0"/>
    <n v="1"/>
    <x v="15"/>
    <b v="0"/>
    <x v="6"/>
    <n v="2"/>
    <n v="0.2"/>
    <n v="283"/>
    <n v="0.1515"/>
    <n v="0.54"/>
    <n v="0.1343"/>
    <n v="0"/>
    <n v="28"/>
    <n v="28"/>
    <x v="0"/>
    <x v="1"/>
    <x v="1"/>
  </r>
  <r>
    <n v="285"/>
    <d v="2011-01-28T00:00:00"/>
    <x v="0"/>
    <n v="1"/>
    <x v="15"/>
    <b v="0"/>
    <x v="6"/>
    <n v="2"/>
    <n v="0.2"/>
    <n v="284"/>
    <n v="0.1515"/>
    <n v="0.54"/>
    <n v="0.1343"/>
    <n v="0"/>
    <n v="72"/>
    <n v="72"/>
    <x v="0"/>
    <x v="1"/>
    <x v="1"/>
  </r>
  <r>
    <n v="286"/>
    <d v="2011-01-28T00:00:00"/>
    <x v="0"/>
    <n v="1"/>
    <x v="15"/>
    <b v="0"/>
    <x v="6"/>
    <n v="2"/>
    <n v="0.2"/>
    <n v="285"/>
    <n v="0.13639999999999999"/>
    <n v="0.5"/>
    <n v="0.19400000000000001"/>
    <n v="5"/>
    <n v="197"/>
    <n v="202"/>
    <x v="0"/>
    <x v="1"/>
    <x v="1"/>
  </r>
  <r>
    <n v="287"/>
    <d v="2011-01-28T00:00:00"/>
    <x v="0"/>
    <n v="1"/>
    <x v="15"/>
    <b v="0"/>
    <x v="6"/>
    <n v="2"/>
    <n v="0.2"/>
    <n v="286"/>
    <n v="0.1212"/>
    <n v="0.5"/>
    <n v="0.32840000000000003"/>
    <n v="2"/>
    <n v="137"/>
    <n v="139"/>
    <x v="0"/>
    <x v="1"/>
    <x v="1"/>
  </r>
  <r>
    <n v="288"/>
    <d v="2011-01-28T00:00:00"/>
    <x v="0"/>
    <n v="1"/>
    <x v="15"/>
    <b v="0"/>
    <x v="6"/>
    <n v="2"/>
    <n v="0.2"/>
    <n v="287"/>
    <n v="0.13639999999999999"/>
    <n v="0.5"/>
    <n v="0.35820000000000002"/>
    <n v="2"/>
    <n v="36"/>
    <n v="38"/>
    <x v="0"/>
    <x v="1"/>
    <x v="1"/>
  </r>
  <r>
    <n v="289"/>
    <d v="2011-01-28T00:00:00"/>
    <x v="0"/>
    <n v="1"/>
    <x v="15"/>
    <b v="0"/>
    <x v="6"/>
    <n v="2"/>
    <n v="0.2"/>
    <n v="288"/>
    <n v="0.16669999999999999"/>
    <n v="0.44"/>
    <n v="0.44779999999999998"/>
    <n v="4"/>
    <n v="33"/>
    <n v="37"/>
    <x v="0"/>
    <x v="1"/>
    <x v="1"/>
  </r>
  <r>
    <n v="290"/>
    <d v="2011-01-28T00:00:00"/>
    <x v="0"/>
    <n v="1"/>
    <x v="15"/>
    <b v="0"/>
    <x v="6"/>
    <n v="2"/>
    <n v="0.2"/>
    <n v="289"/>
    <n v="0.16669999999999999"/>
    <n v="0.44"/>
    <n v="0.41789999999999999"/>
    <n v="3"/>
    <n v="49"/>
    <n v="52"/>
    <x v="0"/>
    <x v="1"/>
    <x v="1"/>
  </r>
  <r>
    <n v="291"/>
    <d v="2011-01-28T00:00:00"/>
    <x v="0"/>
    <n v="1"/>
    <x v="15"/>
    <b v="0"/>
    <x v="6"/>
    <n v="2"/>
    <n v="0.2"/>
    <n v="290"/>
    <n v="0.19700000000000001"/>
    <n v="0.41"/>
    <n v="0.44779999999999998"/>
    <n v="2"/>
    <n v="81"/>
    <n v="83"/>
    <x v="0"/>
    <x v="1"/>
    <x v="1"/>
  </r>
  <r>
    <n v="292"/>
    <d v="2011-01-28T00:00:00"/>
    <x v="0"/>
    <n v="1"/>
    <x v="15"/>
    <b v="0"/>
    <x v="6"/>
    <n v="2"/>
    <n v="0.2"/>
    <n v="291"/>
    <n v="0.19700000000000001"/>
    <n v="0.41"/>
    <n v="0.3881"/>
    <n v="3"/>
    <n v="39"/>
    <n v="42"/>
    <x v="0"/>
    <x v="1"/>
    <x v="1"/>
  </r>
  <r>
    <n v="293"/>
    <d v="2011-01-28T00:00:00"/>
    <x v="0"/>
    <n v="1"/>
    <x v="15"/>
    <b v="0"/>
    <x v="6"/>
    <n v="2"/>
    <n v="0.2"/>
    <n v="292"/>
    <n v="0.21210000000000001"/>
    <n v="0.38"/>
    <n v="0.29849999999999999"/>
    <n v="5"/>
    <n v="55"/>
    <n v="60"/>
    <x v="0"/>
    <x v="1"/>
    <x v="1"/>
  </r>
  <r>
    <n v="294"/>
    <d v="2011-01-28T00:00:00"/>
    <x v="0"/>
    <n v="1"/>
    <x v="15"/>
    <b v="0"/>
    <x v="6"/>
    <n v="2"/>
    <n v="0.2"/>
    <n v="293"/>
    <n v="0.21210000000000001"/>
    <n v="0.38"/>
    <n v="0.35820000000000002"/>
    <n v="2"/>
    <n v="76"/>
    <n v="78"/>
    <x v="0"/>
    <x v="1"/>
    <x v="1"/>
  </r>
  <r>
    <n v="295"/>
    <d v="2011-01-28T00:00:00"/>
    <x v="0"/>
    <n v="1"/>
    <x v="15"/>
    <b v="0"/>
    <x v="6"/>
    <n v="2"/>
    <n v="0.2"/>
    <n v="294"/>
    <n v="0.18179999999999999"/>
    <n v="0.4"/>
    <n v="0.28360000000000002"/>
    <n v="4"/>
    <n v="158"/>
    <n v="162"/>
    <x v="0"/>
    <x v="1"/>
    <x v="1"/>
  </r>
  <r>
    <n v="296"/>
    <d v="2011-01-28T00:00:00"/>
    <x v="0"/>
    <n v="1"/>
    <x v="15"/>
    <b v="0"/>
    <x v="6"/>
    <n v="2"/>
    <n v="0.2"/>
    <n v="295"/>
    <n v="0.18179999999999999"/>
    <n v="0.4"/>
    <n v="0.32840000000000003"/>
    <n v="3"/>
    <n v="141"/>
    <n v="144"/>
    <x v="0"/>
    <x v="1"/>
    <x v="1"/>
  </r>
  <r>
    <n v="297"/>
    <d v="2011-01-28T00:00:00"/>
    <x v="0"/>
    <n v="1"/>
    <x v="15"/>
    <b v="0"/>
    <x v="6"/>
    <n v="2"/>
    <n v="0.2"/>
    <n v="296"/>
    <n v="0.1515"/>
    <n v="0.47"/>
    <n v="0.25369999999999998"/>
    <n v="1"/>
    <n v="98"/>
    <n v="99"/>
    <x v="0"/>
    <x v="1"/>
    <x v="1"/>
  </r>
  <r>
    <n v="298"/>
    <d v="2011-01-28T00:00:00"/>
    <x v="0"/>
    <n v="1"/>
    <x v="15"/>
    <b v="0"/>
    <x v="6"/>
    <n v="2"/>
    <n v="0.2"/>
    <n v="297"/>
    <n v="0.1515"/>
    <n v="0.47"/>
    <n v="0.22389999999999999"/>
    <n v="0"/>
    <n v="64"/>
    <n v="64"/>
    <x v="0"/>
    <x v="1"/>
    <x v="1"/>
  </r>
  <r>
    <n v="299"/>
    <d v="2011-01-28T00:00:00"/>
    <x v="0"/>
    <n v="1"/>
    <x v="15"/>
    <b v="0"/>
    <x v="6"/>
    <n v="2"/>
    <n v="0.2"/>
    <n v="298"/>
    <n v="0.1212"/>
    <n v="0.46"/>
    <n v="0.29849999999999999"/>
    <n v="0"/>
    <n v="40"/>
    <n v="40"/>
    <x v="0"/>
    <x v="1"/>
    <x v="1"/>
  </r>
  <r>
    <n v="300"/>
    <d v="2011-01-28T00:00:00"/>
    <x v="0"/>
    <n v="1"/>
    <x v="15"/>
    <b v="0"/>
    <x v="6"/>
    <n v="2"/>
    <n v="0.2"/>
    <n v="299"/>
    <n v="0.1212"/>
    <n v="0.46"/>
    <n v="0.32840000000000003"/>
    <n v="0"/>
    <n v="30"/>
    <n v="30"/>
    <x v="0"/>
    <x v="1"/>
    <x v="1"/>
  </r>
  <r>
    <n v="301"/>
    <d v="2011-01-28T00:00:00"/>
    <x v="0"/>
    <n v="1"/>
    <x v="15"/>
    <b v="0"/>
    <x v="6"/>
    <n v="2"/>
    <n v="0.2"/>
    <n v="300"/>
    <n v="0.13639999999999999"/>
    <n v="0.5"/>
    <n v="0.19400000000000001"/>
    <n v="1"/>
    <n v="14"/>
    <n v="15"/>
    <x v="0"/>
    <x v="1"/>
    <x v="1"/>
  </r>
  <r>
    <n v="302"/>
    <d v="2011-01-28T00:00:00"/>
    <x v="0"/>
    <n v="1"/>
    <x v="15"/>
    <b v="0"/>
    <x v="6"/>
    <n v="2"/>
    <n v="0.2"/>
    <n v="301"/>
    <n v="0.13639999999999999"/>
    <n v="0.5"/>
    <n v="0.19400000000000001"/>
    <n v="0"/>
    <n v="14"/>
    <n v="14"/>
    <x v="0"/>
    <x v="1"/>
    <x v="1"/>
  </r>
  <r>
    <n v="303"/>
    <d v="2011-01-28T00:00:00"/>
    <x v="0"/>
    <n v="1"/>
    <x v="15"/>
    <b v="0"/>
    <x v="6"/>
    <n v="2"/>
    <n v="0.2"/>
    <n v="302"/>
    <n v="0.1212"/>
    <n v="0.54"/>
    <n v="0.16420000000000001"/>
    <n v="0"/>
    <n v="5"/>
    <n v="5"/>
    <x v="0"/>
    <x v="1"/>
    <x v="1"/>
  </r>
  <r>
    <n v="304"/>
    <d v="2011-01-28T00:00:00"/>
    <x v="0"/>
    <n v="1"/>
    <x v="15"/>
    <b v="0"/>
    <x v="6"/>
    <n v="2"/>
    <n v="0.2"/>
    <n v="303"/>
    <n v="0.1212"/>
    <n v="0.54"/>
    <n v="0.1343"/>
    <n v="0"/>
    <n v="1"/>
    <n v="1"/>
    <x v="0"/>
    <x v="1"/>
    <x v="1"/>
  </r>
  <r>
    <n v="305"/>
    <d v="2011-01-28T00:00:00"/>
    <x v="0"/>
    <n v="1"/>
    <x v="15"/>
    <b v="0"/>
    <x v="6"/>
    <n v="2"/>
    <n v="0.2"/>
    <n v="304"/>
    <n v="0.13639999999999999"/>
    <n v="0.54"/>
    <n v="0.1045"/>
    <n v="0"/>
    <n v="1"/>
    <n v="1"/>
    <x v="0"/>
    <x v="1"/>
    <x v="1"/>
  </r>
  <r>
    <n v="306"/>
    <d v="2011-01-28T00:00:00"/>
    <x v="0"/>
    <n v="1"/>
    <x v="15"/>
    <b v="0"/>
    <x v="6"/>
    <n v="2"/>
    <n v="0.2"/>
    <n v="305"/>
    <n v="0.13639999999999999"/>
    <n v="0.54"/>
    <n v="8.9599999999999999E-2"/>
    <n v="0"/>
    <n v="8"/>
    <n v="8"/>
    <x v="0"/>
    <x v="1"/>
    <x v="1"/>
  </r>
  <r>
    <n v="307"/>
    <d v="2011-01-28T00:00:00"/>
    <x v="0"/>
    <n v="1"/>
    <x v="15"/>
    <b v="0"/>
    <x v="6"/>
    <n v="2"/>
    <n v="0.2"/>
    <n v="306"/>
    <n v="0.18179999999999999"/>
    <n v="0.54"/>
    <n v="0"/>
    <n v="0"/>
    <n v="17"/>
    <n v="17"/>
    <x v="0"/>
    <x v="1"/>
    <x v="1"/>
  </r>
  <r>
    <n v="308"/>
    <d v="2011-01-28T00:00:00"/>
    <x v="0"/>
    <n v="1"/>
    <x v="15"/>
    <b v="0"/>
    <x v="6"/>
    <n v="2"/>
    <n v="0.2"/>
    <n v="307"/>
    <n v="0.1212"/>
    <n v="0.74"/>
    <n v="0.16420000000000001"/>
    <n v="0"/>
    <n v="70"/>
    <n v="70"/>
    <x v="0"/>
    <x v="1"/>
    <x v="1"/>
  </r>
  <r>
    <n v="309"/>
    <d v="2011-01-28T00:00:00"/>
    <x v="0"/>
    <n v="1"/>
    <x v="15"/>
    <b v="0"/>
    <x v="6"/>
    <n v="2"/>
    <n v="0.2"/>
    <n v="308"/>
    <n v="0.16669999999999999"/>
    <n v="0.68"/>
    <n v="0"/>
    <n v="2"/>
    <n v="156"/>
    <n v="158"/>
    <x v="0"/>
    <x v="1"/>
    <x v="1"/>
  </r>
  <r>
    <n v="310"/>
    <d v="2011-01-28T00:00:00"/>
    <x v="0"/>
    <n v="1"/>
    <x v="15"/>
    <b v="0"/>
    <x v="6"/>
    <n v="2"/>
    <n v="0.2"/>
    <n v="309"/>
    <n v="0.1515"/>
    <n v="0.69"/>
    <n v="0.1343"/>
    <n v="0"/>
    <n v="117"/>
    <n v="117"/>
    <x v="0"/>
    <x v="1"/>
    <x v="1"/>
  </r>
  <r>
    <n v="311"/>
    <d v="2011-01-28T00:00:00"/>
    <x v="0"/>
    <n v="1"/>
    <x v="15"/>
    <b v="0"/>
    <x v="6"/>
    <n v="2"/>
    <n v="0.2"/>
    <n v="310"/>
    <n v="0.18179999999999999"/>
    <n v="0.55000000000000004"/>
    <n v="0.19400000000000001"/>
    <n v="4"/>
    <n v="40"/>
    <n v="44"/>
    <x v="0"/>
    <x v="1"/>
    <x v="1"/>
  </r>
  <r>
    <n v="312"/>
    <d v="2011-01-28T00:00:00"/>
    <x v="0"/>
    <n v="1"/>
    <x v="15"/>
    <b v="0"/>
    <x v="6"/>
    <n v="2"/>
    <n v="0.2"/>
    <n v="311"/>
    <n v="0.16669999999999999"/>
    <n v="0.51"/>
    <n v="0.28360000000000002"/>
    <n v="6"/>
    <n v="47"/>
    <n v="53"/>
    <x v="0"/>
    <x v="1"/>
    <x v="1"/>
  </r>
  <r>
    <n v="313"/>
    <d v="2011-01-28T00:00:00"/>
    <x v="0"/>
    <n v="1"/>
    <x v="15"/>
    <b v="0"/>
    <x v="6"/>
    <n v="2"/>
    <n v="0.2"/>
    <n v="312"/>
    <n v="0.19700000000000001"/>
    <n v="0.44"/>
    <n v="0.25369999999999998"/>
    <n v="2"/>
    <n v="59"/>
    <n v="61"/>
    <x v="0"/>
    <x v="1"/>
    <x v="1"/>
  </r>
  <r>
    <n v="314"/>
    <d v="2011-01-28T00:00:00"/>
    <x v="0"/>
    <n v="1"/>
    <x v="15"/>
    <b v="0"/>
    <x v="6"/>
    <n v="2"/>
    <n v="0.2"/>
    <n v="313"/>
    <n v="0.19700000000000001"/>
    <n v="0.37"/>
    <n v="0.3881"/>
    <n v="4"/>
    <n v="73"/>
    <n v="77"/>
    <x v="0"/>
    <x v="1"/>
    <x v="1"/>
  </r>
  <r>
    <n v="315"/>
    <d v="2011-01-28T00:00:00"/>
    <x v="0"/>
    <n v="1"/>
    <x v="15"/>
    <b v="0"/>
    <x v="6"/>
    <n v="2"/>
    <n v="0.2"/>
    <n v="314"/>
    <n v="0.21210000000000001"/>
    <n v="0.41"/>
    <n v="0.28360000000000002"/>
    <n v="5"/>
    <n v="59"/>
    <n v="64"/>
    <x v="0"/>
    <x v="1"/>
    <x v="1"/>
  </r>
  <r>
    <n v="316"/>
    <d v="2011-01-28T00:00:00"/>
    <x v="0"/>
    <n v="1"/>
    <x v="15"/>
    <b v="0"/>
    <x v="6"/>
    <n v="2"/>
    <n v="0.2"/>
    <n v="315"/>
    <n v="0.2424"/>
    <n v="0.38"/>
    <n v="0.16420000000000001"/>
    <n v="9"/>
    <n v="59"/>
    <n v="68"/>
    <x v="0"/>
    <x v="1"/>
    <x v="1"/>
  </r>
  <r>
    <n v="317"/>
    <d v="2011-01-28T00:00:00"/>
    <x v="0"/>
    <n v="1"/>
    <x v="15"/>
    <b v="0"/>
    <x v="6"/>
    <n v="2"/>
    <n v="0.2"/>
    <n v="316"/>
    <n v="0.2424"/>
    <n v="0.41"/>
    <n v="0.1045"/>
    <n v="3"/>
    <n v="87"/>
    <n v="90"/>
    <x v="0"/>
    <x v="1"/>
    <x v="1"/>
  </r>
  <r>
    <n v="318"/>
    <d v="2011-01-28T00:00:00"/>
    <x v="0"/>
    <n v="1"/>
    <x v="15"/>
    <b v="0"/>
    <x v="6"/>
    <n v="2"/>
    <n v="0.2"/>
    <n v="317"/>
    <n v="0.2273"/>
    <n v="0.41"/>
    <n v="0.16420000000000001"/>
    <n v="4"/>
    <n v="155"/>
    <n v="159"/>
    <x v="0"/>
    <x v="1"/>
    <x v="1"/>
  </r>
  <r>
    <n v="319"/>
    <d v="2011-01-28T00:00:00"/>
    <x v="0"/>
    <n v="1"/>
    <x v="15"/>
    <b v="0"/>
    <x v="6"/>
    <n v="2"/>
    <n v="0.2"/>
    <n v="318"/>
    <n v="0.2576"/>
    <n v="0.47"/>
    <n v="0"/>
    <n v="5"/>
    <n v="134"/>
    <n v="139"/>
    <x v="0"/>
    <x v="1"/>
    <x v="1"/>
  </r>
  <r>
    <n v="320"/>
    <d v="2011-01-28T00:00:00"/>
    <x v="0"/>
    <n v="1"/>
    <x v="15"/>
    <b v="0"/>
    <x v="6"/>
    <n v="2"/>
    <n v="0.2"/>
    <n v="319"/>
    <n v="0.19700000000000001"/>
    <n v="0.59"/>
    <n v="8.9599999999999999E-2"/>
    <n v="3"/>
    <n v="89"/>
    <n v="92"/>
    <x v="0"/>
    <x v="1"/>
    <x v="1"/>
  </r>
  <r>
    <n v="321"/>
    <d v="2011-01-28T00:00:00"/>
    <x v="0"/>
    <n v="1"/>
    <x v="15"/>
    <b v="0"/>
    <x v="6"/>
    <n v="2"/>
    <n v="0.2"/>
    <n v="320"/>
    <n v="0.2424"/>
    <n v="0.59"/>
    <n v="0"/>
    <n v="0"/>
    <n v="68"/>
    <n v="68"/>
    <x v="0"/>
    <x v="1"/>
    <x v="1"/>
  </r>
  <r>
    <n v="322"/>
    <d v="2011-01-28T00:00:00"/>
    <x v="0"/>
    <n v="1"/>
    <x v="15"/>
    <b v="0"/>
    <x v="6"/>
    <n v="2"/>
    <n v="0.2"/>
    <n v="321"/>
    <n v="0.2273"/>
    <n v="0.69"/>
    <n v="0"/>
    <n v="4"/>
    <n v="48"/>
    <n v="52"/>
    <x v="0"/>
    <x v="1"/>
    <x v="1"/>
  </r>
  <r>
    <n v="323"/>
    <d v="2011-01-28T00:00:00"/>
    <x v="0"/>
    <n v="1"/>
    <x v="15"/>
    <b v="0"/>
    <x v="6"/>
    <n v="2"/>
    <n v="0.2"/>
    <n v="322"/>
    <n v="0.2273"/>
    <n v="0.69"/>
    <n v="0"/>
    <n v="2"/>
    <n v="34"/>
    <n v="36"/>
    <x v="0"/>
    <x v="1"/>
    <x v="1"/>
  </r>
  <r>
    <n v="324"/>
    <d v="2011-01-28T00:00:00"/>
    <x v="0"/>
    <n v="1"/>
    <x v="15"/>
    <b v="0"/>
    <x v="6"/>
    <n v="2"/>
    <n v="0.2"/>
    <n v="323"/>
    <n v="0.2424"/>
    <n v="0.55000000000000004"/>
    <n v="0"/>
    <n v="1"/>
    <n v="26"/>
    <n v="27"/>
    <x v="0"/>
    <x v="1"/>
    <x v="1"/>
  </r>
  <r>
    <n v="325"/>
    <d v="2011-01-28T00:00:00"/>
    <x v="0"/>
    <n v="1"/>
    <x v="15"/>
    <b v="0"/>
    <x v="6"/>
    <n v="2"/>
    <n v="0.2"/>
    <n v="324"/>
    <n v="0.2424"/>
    <n v="0.55000000000000004"/>
    <n v="0"/>
    <n v="3"/>
    <n v="25"/>
    <n v="28"/>
    <x v="0"/>
    <x v="1"/>
    <x v="1"/>
  </r>
  <r>
    <n v="326"/>
    <d v="2011-01-28T00:00:00"/>
    <x v="0"/>
    <n v="1"/>
    <x v="15"/>
    <b v="0"/>
    <x v="6"/>
    <n v="2"/>
    <n v="0.2"/>
    <n v="325"/>
    <n v="0.19700000000000001"/>
    <n v="0.59"/>
    <n v="8.9599999999999999E-2"/>
    <n v="2"/>
    <n v="18"/>
    <n v="20"/>
    <x v="0"/>
    <x v="1"/>
    <x v="1"/>
  </r>
  <r>
    <n v="327"/>
    <d v="2011-01-28T00:00:00"/>
    <x v="0"/>
    <n v="1"/>
    <x v="15"/>
    <b v="0"/>
    <x v="6"/>
    <n v="2"/>
    <n v="0.2"/>
    <n v="326"/>
    <n v="0.19700000000000001"/>
    <n v="0.59"/>
    <n v="8.9599999999999999E-2"/>
    <n v="0"/>
    <n v="12"/>
    <n v="12"/>
    <x v="0"/>
    <x v="1"/>
    <x v="1"/>
  </r>
  <r>
    <n v="328"/>
    <d v="2011-01-28T00:00:00"/>
    <x v="0"/>
    <n v="1"/>
    <x v="15"/>
    <b v="0"/>
    <x v="6"/>
    <n v="2"/>
    <n v="0.2"/>
    <n v="327"/>
    <n v="0.2273"/>
    <n v="0.59"/>
    <n v="0"/>
    <n v="1"/>
    <n v="7"/>
    <n v="8"/>
    <x v="0"/>
    <x v="1"/>
    <x v="1"/>
  </r>
  <r>
    <n v="329"/>
    <d v="2011-01-28T00:00:00"/>
    <x v="0"/>
    <n v="1"/>
    <x v="15"/>
    <b v="0"/>
    <x v="6"/>
    <n v="2"/>
    <n v="0.2"/>
    <n v="328"/>
    <n v="0.2273"/>
    <n v="0.59"/>
    <n v="0"/>
    <n v="0"/>
    <n v="5"/>
    <n v="5"/>
    <x v="0"/>
    <x v="1"/>
    <x v="1"/>
  </r>
  <r>
    <n v="330"/>
    <d v="2011-01-28T00:00:00"/>
    <x v="0"/>
    <n v="1"/>
    <x v="15"/>
    <b v="0"/>
    <x v="6"/>
    <n v="2"/>
    <n v="0.2"/>
    <n v="329"/>
    <n v="0.2273"/>
    <n v="0.59"/>
    <n v="0"/>
    <n v="0"/>
    <n v="1"/>
    <n v="1"/>
    <x v="0"/>
    <x v="1"/>
    <x v="1"/>
  </r>
  <r>
    <n v="331"/>
    <d v="2011-01-28T00:00:00"/>
    <x v="0"/>
    <n v="1"/>
    <x v="15"/>
    <b v="0"/>
    <x v="6"/>
    <n v="2"/>
    <n v="0.2"/>
    <n v="330"/>
    <n v="0.16669999999999999"/>
    <n v="0.63"/>
    <n v="0.1045"/>
    <n v="1"/>
    <n v="2"/>
    <n v="3"/>
    <x v="0"/>
    <x v="1"/>
    <x v="1"/>
  </r>
  <r>
    <n v="332"/>
    <d v="2011-01-28T00:00:00"/>
    <x v="0"/>
    <n v="1"/>
    <x v="15"/>
    <b v="0"/>
    <x v="6"/>
    <n v="2"/>
    <n v="0.2"/>
    <n v="331"/>
    <n v="0.21210000000000001"/>
    <n v="0.63"/>
    <n v="0"/>
    <n v="1"/>
    <n v="9"/>
    <n v="10"/>
    <x v="0"/>
    <x v="1"/>
    <x v="1"/>
  </r>
  <r>
    <n v="333"/>
    <d v="2011-01-28T00:00:00"/>
    <x v="0"/>
    <n v="1"/>
    <x v="15"/>
    <b v="0"/>
    <x v="6"/>
    <n v="2"/>
    <n v="0.2"/>
    <n v="332"/>
    <n v="0.1515"/>
    <n v="0.63"/>
    <n v="0.1343"/>
    <n v="1"/>
    <n v="22"/>
    <n v="23"/>
    <x v="0"/>
    <x v="1"/>
    <x v="1"/>
  </r>
  <r>
    <n v="334"/>
    <d v="2011-01-28T00:00:00"/>
    <x v="0"/>
    <n v="1"/>
    <x v="15"/>
    <b v="0"/>
    <x v="6"/>
    <n v="2"/>
    <n v="0.2"/>
    <n v="333"/>
    <n v="0.18179999999999999"/>
    <n v="0.64"/>
    <n v="0.1343"/>
    <n v="2"/>
    <n v="31"/>
    <n v="33"/>
    <x v="0"/>
    <x v="1"/>
    <x v="1"/>
  </r>
  <r>
    <n v="335"/>
    <d v="2011-01-28T00:00:00"/>
    <x v="0"/>
    <n v="1"/>
    <x v="15"/>
    <b v="0"/>
    <x v="6"/>
    <n v="2"/>
    <n v="0.2"/>
    <n v="334"/>
    <n v="0.19700000000000001"/>
    <n v="0.59"/>
    <n v="0.16420000000000001"/>
    <n v="2"/>
    <n v="57"/>
    <n v="59"/>
    <x v="0"/>
    <x v="1"/>
    <x v="1"/>
  </r>
  <r>
    <n v="336"/>
    <d v="2011-01-28T00:00:00"/>
    <x v="0"/>
    <n v="1"/>
    <x v="15"/>
    <b v="0"/>
    <x v="6"/>
    <n v="2"/>
    <n v="0.2"/>
    <n v="335"/>
    <n v="0.19700000000000001"/>
    <n v="0.55000000000000004"/>
    <n v="0.22389999999999999"/>
    <n v="18"/>
    <n v="54"/>
    <n v="72"/>
    <x v="0"/>
    <x v="1"/>
    <x v="1"/>
  </r>
  <r>
    <n v="337"/>
    <d v="2011-01-28T00:00:00"/>
    <x v="0"/>
    <n v="1"/>
    <x v="15"/>
    <b v="0"/>
    <x v="6"/>
    <n v="2"/>
    <n v="0.2"/>
    <n v="336"/>
    <n v="0.2273"/>
    <n v="0.48"/>
    <n v="0.22389999999999999"/>
    <n v="15"/>
    <n v="74"/>
    <n v="89"/>
    <x v="0"/>
    <x v="1"/>
    <x v="1"/>
  </r>
  <r>
    <n v="338"/>
    <d v="2011-01-28T00:00:00"/>
    <x v="0"/>
    <n v="1"/>
    <x v="15"/>
    <b v="0"/>
    <x v="6"/>
    <n v="2"/>
    <n v="0.2"/>
    <n v="337"/>
    <n v="0.2576"/>
    <n v="0.38"/>
    <n v="0.29849999999999999"/>
    <n v="21"/>
    <n v="80"/>
    <n v="101"/>
    <x v="0"/>
    <x v="1"/>
    <x v="1"/>
  </r>
  <r>
    <n v="339"/>
    <d v="2011-01-28T00:00:00"/>
    <x v="0"/>
    <n v="1"/>
    <x v="15"/>
    <b v="0"/>
    <x v="6"/>
    <n v="2"/>
    <n v="0.2"/>
    <n v="338"/>
    <n v="0.28789999999999999"/>
    <n v="0.39"/>
    <n v="0.28360000000000002"/>
    <n v="26"/>
    <n v="92"/>
    <n v="118"/>
    <x v="0"/>
    <x v="1"/>
    <x v="1"/>
  </r>
  <r>
    <n v="340"/>
    <d v="2011-01-28T00:00:00"/>
    <x v="0"/>
    <n v="1"/>
    <x v="15"/>
    <b v="0"/>
    <x v="6"/>
    <n v="2"/>
    <n v="0.2"/>
    <n v="339"/>
    <n v="0.31819999999999998"/>
    <n v="0.36"/>
    <n v="0.19400000000000001"/>
    <n v="21"/>
    <n v="108"/>
    <n v="129"/>
    <x v="0"/>
    <x v="1"/>
    <x v="1"/>
  </r>
  <r>
    <n v="341"/>
    <d v="2011-01-28T00:00:00"/>
    <x v="0"/>
    <n v="1"/>
    <x v="15"/>
    <b v="0"/>
    <x v="6"/>
    <n v="2"/>
    <n v="0.2"/>
    <n v="340"/>
    <n v="0.33329999999999999"/>
    <n v="0.34"/>
    <n v="0.19400000000000001"/>
    <n v="33"/>
    <n v="95"/>
    <n v="128"/>
    <x v="0"/>
    <x v="1"/>
    <x v="1"/>
  </r>
  <r>
    <n v="342"/>
    <d v="2011-01-28T00:00:00"/>
    <x v="0"/>
    <n v="1"/>
    <x v="15"/>
    <b v="0"/>
    <x v="6"/>
    <n v="2"/>
    <n v="0.2"/>
    <n v="341"/>
    <n v="0.30299999999999999"/>
    <n v="0.36"/>
    <n v="0.28360000000000002"/>
    <n v="29"/>
    <n v="54"/>
    <n v="83"/>
    <x v="0"/>
    <x v="1"/>
    <x v="1"/>
  </r>
  <r>
    <n v="343"/>
    <d v="2011-01-28T00:00:00"/>
    <x v="0"/>
    <n v="1"/>
    <x v="15"/>
    <b v="0"/>
    <x v="6"/>
    <n v="2"/>
    <n v="0.2"/>
    <n v="342"/>
    <n v="0.28789999999999999"/>
    <n v="0.45"/>
    <n v="0.25369999999999998"/>
    <n v="15"/>
    <n v="69"/>
    <n v="84"/>
    <x v="0"/>
    <x v="1"/>
    <x v="1"/>
  </r>
  <r>
    <n v="344"/>
    <d v="2011-01-28T00:00:00"/>
    <x v="0"/>
    <n v="1"/>
    <x v="15"/>
    <b v="0"/>
    <x v="6"/>
    <n v="2"/>
    <n v="0.2"/>
    <n v="343"/>
    <n v="0.30299999999999999"/>
    <n v="0.39"/>
    <n v="0.25369999999999998"/>
    <n v="14"/>
    <n v="60"/>
    <n v="74"/>
    <x v="0"/>
    <x v="1"/>
    <x v="1"/>
  </r>
  <r>
    <n v="345"/>
    <d v="2011-01-28T00:00:00"/>
    <x v="0"/>
    <n v="1"/>
    <x v="15"/>
    <b v="0"/>
    <x v="6"/>
    <n v="2"/>
    <n v="0.2"/>
    <n v="344"/>
    <n v="0.30299999999999999"/>
    <n v="0.39"/>
    <n v="0.25369999999999998"/>
    <n v="6"/>
    <n v="35"/>
    <n v="41"/>
    <x v="0"/>
    <x v="1"/>
    <x v="1"/>
  </r>
  <r>
    <n v="346"/>
    <d v="2011-01-28T00:00:00"/>
    <x v="0"/>
    <n v="1"/>
    <x v="15"/>
    <b v="0"/>
    <x v="6"/>
    <n v="2"/>
    <n v="0.2"/>
    <n v="345"/>
    <n v="0.30299999999999999"/>
    <n v="0.39"/>
    <n v="0.22389999999999999"/>
    <n v="6"/>
    <n v="51"/>
    <n v="57"/>
    <x v="0"/>
    <x v="1"/>
    <x v="1"/>
  </r>
  <r>
    <n v="347"/>
    <d v="2011-01-28T00:00:00"/>
    <x v="0"/>
    <n v="1"/>
    <x v="15"/>
    <b v="0"/>
    <x v="6"/>
    <n v="2"/>
    <n v="0.2"/>
    <n v="346"/>
    <n v="0.31819999999999998"/>
    <n v="0.42"/>
    <n v="0.1045"/>
    <n v="0"/>
    <n v="26"/>
    <n v="26"/>
    <x v="0"/>
    <x v="1"/>
    <x v="1"/>
  </r>
  <r>
    <n v="348"/>
    <d v="2011-01-28T00:00:00"/>
    <x v="0"/>
    <n v="1"/>
    <x v="15"/>
    <b v="0"/>
    <x v="6"/>
    <n v="2"/>
    <n v="0.2"/>
    <n v="347"/>
    <n v="0.28789999999999999"/>
    <n v="0.45"/>
    <n v="0.28360000000000002"/>
    <n v="5"/>
    <n v="39"/>
    <n v="44"/>
    <x v="0"/>
    <x v="1"/>
    <x v="1"/>
  </r>
  <r>
    <n v="349"/>
    <d v="2011-01-28T00:00:00"/>
    <x v="0"/>
    <n v="1"/>
    <x v="15"/>
    <b v="0"/>
    <x v="6"/>
    <n v="2"/>
    <n v="0.2"/>
    <n v="348"/>
    <n v="0.30299999999999999"/>
    <n v="0.56000000000000005"/>
    <n v="0"/>
    <n v="6"/>
    <n v="33"/>
    <n v="39"/>
    <x v="0"/>
    <x v="1"/>
    <x v="1"/>
  </r>
  <r>
    <n v="350"/>
    <d v="2011-01-28T00:00:00"/>
    <x v="0"/>
    <n v="1"/>
    <x v="15"/>
    <b v="0"/>
    <x v="6"/>
    <n v="2"/>
    <n v="0.2"/>
    <n v="349"/>
    <n v="0.2727"/>
    <n v="0.56000000000000005"/>
    <n v="0.1343"/>
    <n v="4"/>
    <n v="19"/>
    <n v="23"/>
    <x v="0"/>
    <x v="1"/>
    <x v="1"/>
  </r>
  <r>
    <n v="351"/>
    <d v="2011-01-28T00:00:00"/>
    <x v="0"/>
    <n v="1"/>
    <x v="15"/>
    <b v="0"/>
    <x v="6"/>
    <n v="2"/>
    <n v="0.2"/>
    <n v="350"/>
    <n v="0.28789999999999999"/>
    <n v="0.56000000000000005"/>
    <n v="8.9599999999999999E-2"/>
    <n v="3"/>
    <n v="13"/>
    <n v="16"/>
    <x v="0"/>
    <x v="1"/>
    <x v="1"/>
  </r>
  <r>
    <n v="352"/>
    <d v="2011-01-28T00:00:00"/>
    <x v="0"/>
    <n v="1"/>
    <x v="15"/>
    <b v="0"/>
    <x v="6"/>
    <n v="2"/>
    <n v="0.2"/>
    <n v="351"/>
    <n v="0.2727"/>
    <n v="0.69"/>
    <n v="0"/>
    <n v="9"/>
    <n v="6"/>
    <n v="15"/>
    <x v="0"/>
    <x v="1"/>
    <x v="1"/>
  </r>
  <r>
    <n v="353"/>
    <d v="2011-01-28T00:00:00"/>
    <x v="0"/>
    <n v="1"/>
    <x v="15"/>
    <b v="0"/>
    <x v="6"/>
    <n v="2"/>
    <n v="0.2"/>
    <n v="352"/>
    <n v="0.2576"/>
    <n v="0.56000000000000005"/>
    <n v="0.16420000000000001"/>
    <n v="0"/>
    <n v="1"/>
    <n v="1"/>
    <x v="0"/>
    <x v="1"/>
    <x v="1"/>
  </r>
  <r>
    <n v="354"/>
    <d v="2011-01-28T00:00:00"/>
    <x v="0"/>
    <n v="1"/>
    <x v="15"/>
    <b v="0"/>
    <x v="6"/>
    <n v="2"/>
    <n v="0.2"/>
    <n v="353"/>
    <n v="0.2576"/>
    <n v="0.56000000000000005"/>
    <n v="0.16420000000000001"/>
    <n v="1"/>
    <n v="1"/>
    <n v="2"/>
    <x v="0"/>
    <x v="1"/>
    <x v="1"/>
  </r>
  <r>
    <n v="355"/>
    <d v="2011-01-28T00:00:00"/>
    <x v="0"/>
    <n v="1"/>
    <x v="15"/>
    <b v="0"/>
    <x v="6"/>
    <n v="2"/>
    <n v="0.2"/>
    <n v="354"/>
    <n v="0.2576"/>
    <n v="0.56000000000000005"/>
    <n v="0.16420000000000001"/>
    <n v="0"/>
    <n v="1"/>
    <n v="1"/>
    <x v="0"/>
    <x v="1"/>
    <x v="1"/>
  </r>
  <r>
    <n v="356"/>
    <d v="2011-01-28T00:00:00"/>
    <x v="0"/>
    <n v="1"/>
    <x v="15"/>
    <b v="0"/>
    <x v="6"/>
    <n v="2"/>
    <n v="0.2"/>
    <n v="355"/>
    <n v="0.21210000000000001"/>
    <n v="0.56000000000000005"/>
    <n v="0.29849999999999999"/>
    <n v="0"/>
    <n v="3"/>
    <n v="3"/>
    <x v="0"/>
    <x v="1"/>
    <x v="1"/>
  </r>
  <r>
    <n v="357"/>
    <d v="2011-01-28T00:00:00"/>
    <x v="0"/>
    <n v="1"/>
    <x v="15"/>
    <b v="0"/>
    <x v="6"/>
    <n v="2"/>
    <n v="0.2"/>
    <n v="356"/>
    <n v="0.21210000000000001"/>
    <n v="0.55000000000000004"/>
    <n v="0.28360000000000002"/>
    <n v="0"/>
    <n v="18"/>
    <n v="18"/>
    <x v="0"/>
    <x v="1"/>
    <x v="1"/>
  </r>
  <r>
    <n v="358"/>
    <d v="2011-01-28T00:00:00"/>
    <x v="0"/>
    <n v="1"/>
    <x v="15"/>
    <b v="0"/>
    <x v="6"/>
    <n v="2"/>
    <n v="0.2"/>
    <n v="357"/>
    <n v="0.21210000000000001"/>
    <n v="0.51"/>
    <n v="0.25369999999999998"/>
    <n v="3"/>
    <n v="29"/>
    <n v="32"/>
    <x v="0"/>
    <x v="1"/>
    <x v="1"/>
  </r>
  <r>
    <n v="359"/>
    <d v="2011-01-28T00:00:00"/>
    <x v="0"/>
    <n v="1"/>
    <x v="15"/>
    <b v="0"/>
    <x v="6"/>
    <n v="2"/>
    <n v="0.2"/>
    <n v="358"/>
    <n v="0.21210000000000001"/>
    <n v="0.51"/>
    <n v="0.28360000000000002"/>
    <n v="8"/>
    <n v="71"/>
    <n v="79"/>
    <x v="0"/>
    <x v="1"/>
    <x v="1"/>
  </r>
  <r>
    <n v="360"/>
    <d v="2011-01-28T00:00:00"/>
    <x v="0"/>
    <n v="1"/>
    <x v="15"/>
    <b v="0"/>
    <x v="6"/>
    <n v="2"/>
    <n v="0.2"/>
    <n v="359"/>
    <n v="0.2273"/>
    <n v="0.44"/>
    <n v="0.25369999999999998"/>
    <n v="23"/>
    <n v="70"/>
    <n v="93"/>
    <x v="0"/>
    <x v="1"/>
    <x v="1"/>
  </r>
  <r>
    <n v="361"/>
    <d v="2011-01-28T00:00:00"/>
    <x v="0"/>
    <n v="1"/>
    <x v="15"/>
    <b v="0"/>
    <x v="6"/>
    <n v="2"/>
    <n v="0.2"/>
    <n v="360"/>
    <n v="0.21210000000000001"/>
    <n v="0.41"/>
    <n v="0.28360000000000002"/>
    <n v="29"/>
    <n v="75"/>
    <n v="104"/>
    <x v="0"/>
    <x v="1"/>
    <x v="1"/>
  </r>
  <r>
    <n v="362"/>
    <d v="2011-01-28T00:00:00"/>
    <x v="0"/>
    <n v="1"/>
    <x v="15"/>
    <b v="0"/>
    <x v="6"/>
    <n v="2"/>
    <n v="0.2"/>
    <n v="361"/>
    <n v="0.2273"/>
    <n v="0.35"/>
    <n v="0.29849999999999999"/>
    <n v="23"/>
    <n v="95"/>
    <n v="118"/>
    <x v="0"/>
    <x v="1"/>
    <x v="1"/>
  </r>
  <r>
    <n v="363"/>
    <d v="2011-01-28T00:00:00"/>
    <x v="0"/>
    <n v="1"/>
    <x v="15"/>
    <b v="0"/>
    <x v="6"/>
    <n v="2"/>
    <n v="0.2"/>
    <n v="362"/>
    <n v="0.2727"/>
    <n v="0.36"/>
    <n v="0.25369999999999998"/>
    <n v="22"/>
    <n v="69"/>
    <n v="91"/>
    <x v="0"/>
    <x v="1"/>
    <x v="1"/>
  </r>
  <r>
    <n v="364"/>
    <d v="2011-01-28T00:00:00"/>
    <x v="0"/>
    <n v="1"/>
    <x v="15"/>
    <b v="0"/>
    <x v="6"/>
    <n v="2"/>
    <n v="0.2"/>
    <n v="363"/>
    <n v="0.2424"/>
    <n v="0.38"/>
    <n v="0.25369999999999998"/>
    <n v="35"/>
    <n v="78"/>
    <n v="113"/>
    <x v="0"/>
    <x v="1"/>
    <x v="1"/>
  </r>
  <r>
    <n v="365"/>
    <d v="2011-01-28T00:00:00"/>
    <x v="0"/>
    <n v="1"/>
    <x v="15"/>
    <b v="0"/>
    <x v="6"/>
    <n v="2"/>
    <n v="0.2"/>
    <n v="364"/>
    <n v="0.2273"/>
    <n v="0.38"/>
    <n v="0.22389999999999999"/>
    <n v="22"/>
    <n v="77"/>
    <n v="99"/>
    <x v="0"/>
    <x v="1"/>
    <x v="1"/>
  </r>
  <r>
    <n v="366"/>
    <d v="2011-01-28T00:00:00"/>
    <x v="0"/>
    <n v="1"/>
    <x v="15"/>
    <b v="0"/>
    <x v="6"/>
    <n v="2"/>
    <n v="0.2"/>
    <n v="365"/>
    <n v="0.21210000000000001"/>
    <n v="0.37"/>
    <n v="0.25369999999999998"/>
    <n v="23"/>
    <n v="82"/>
    <n v="105"/>
    <x v="0"/>
    <x v="1"/>
    <x v="1"/>
  </r>
  <r>
    <n v="367"/>
    <d v="2011-01-28T00:00:00"/>
    <x v="0"/>
    <n v="1"/>
    <x v="15"/>
    <b v="0"/>
    <x v="6"/>
    <n v="2"/>
    <n v="0.2"/>
    <n v="366"/>
    <n v="0.21210000000000001"/>
    <n v="0.4"/>
    <n v="0.16420000000000001"/>
    <n v="11"/>
    <n v="56"/>
    <n v="67"/>
    <x v="0"/>
    <x v="1"/>
    <x v="1"/>
  </r>
  <r>
    <n v="368"/>
    <d v="2011-01-28T00:00:00"/>
    <x v="0"/>
    <n v="1"/>
    <x v="15"/>
    <b v="0"/>
    <x v="6"/>
    <n v="2"/>
    <n v="0.2"/>
    <n v="367"/>
    <n v="0.19700000000000001"/>
    <n v="0.47"/>
    <n v="0.1343"/>
    <n v="14"/>
    <n v="47"/>
    <n v="61"/>
    <x v="0"/>
    <x v="1"/>
    <x v="1"/>
  </r>
  <r>
    <n v="369"/>
    <d v="2011-01-28T00:00:00"/>
    <x v="0"/>
    <n v="1"/>
    <x v="15"/>
    <b v="0"/>
    <x v="6"/>
    <n v="2"/>
    <n v="0.2"/>
    <n v="368"/>
    <n v="0.19700000000000001"/>
    <n v="0.47"/>
    <n v="0.16420000000000001"/>
    <n v="7"/>
    <n v="50"/>
    <n v="57"/>
    <x v="0"/>
    <x v="1"/>
    <x v="1"/>
  </r>
  <r>
    <n v="370"/>
    <d v="2011-01-28T00:00:00"/>
    <x v="0"/>
    <n v="1"/>
    <x v="15"/>
    <b v="0"/>
    <x v="6"/>
    <n v="2"/>
    <n v="0.2"/>
    <n v="369"/>
    <n v="0.19700000000000001"/>
    <n v="0.51"/>
    <n v="0.16420000000000001"/>
    <n v="6"/>
    <n v="22"/>
    <n v="28"/>
    <x v="0"/>
    <x v="1"/>
    <x v="1"/>
  </r>
  <r>
    <n v="371"/>
    <d v="2011-01-28T00:00:00"/>
    <x v="0"/>
    <n v="1"/>
    <x v="15"/>
    <b v="0"/>
    <x v="6"/>
    <n v="2"/>
    <n v="0.2"/>
    <n v="370"/>
    <n v="0.21210000000000001"/>
    <n v="0.49"/>
    <n v="0.1343"/>
    <n v="2"/>
    <n v="19"/>
    <n v="21"/>
    <x v="0"/>
    <x v="1"/>
    <x v="1"/>
  </r>
  <r>
    <n v="372"/>
    <d v="2011-01-28T00:00:00"/>
    <x v="0"/>
    <n v="1"/>
    <x v="15"/>
    <b v="0"/>
    <x v="6"/>
    <n v="2"/>
    <n v="0.2"/>
    <n v="371"/>
    <n v="0.2273"/>
    <n v="0.4"/>
    <n v="0.1045"/>
    <n v="0"/>
    <n v="18"/>
    <n v="18"/>
    <x v="0"/>
    <x v="1"/>
    <x v="1"/>
  </r>
  <r>
    <n v="373"/>
    <d v="2011-01-28T00:00:00"/>
    <x v="0"/>
    <n v="1"/>
    <x v="15"/>
    <b v="0"/>
    <x v="6"/>
    <n v="2"/>
    <n v="0.2"/>
    <n v="372"/>
    <n v="0.19700000000000001"/>
    <n v="0.47"/>
    <n v="0.22389999999999999"/>
    <n v="1"/>
    <n v="16"/>
    <n v="17"/>
    <x v="0"/>
    <x v="1"/>
    <x v="1"/>
  </r>
  <r>
    <n v="374"/>
    <d v="2011-01-28T00:00:00"/>
    <x v="0"/>
    <n v="1"/>
    <x v="15"/>
    <b v="0"/>
    <x v="6"/>
    <n v="2"/>
    <n v="0.2"/>
    <n v="373"/>
    <n v="0.19700000000000001"/>
    <n v="0.44"/>
    <n v="0.19400000000000001"/>
    <n v="1"/>
    <n v="15"/>
    <n v="16"/>
    <x v="0"/>
    <x v="1"/>
    <x v="1"/>
  </r>
  <r>
    <n v="375"/>
    <d v="2011-01-28T00:00:00"/>
    <x v="0"/>
    <n v="1"/>
    <x v="15"/>
    <b v="0"/>
    <x v="6"/>
    <n v="2"/>
    <n v="0.2"/>
    <n v="374"/>
    <n v="0.16669999999999999"/>
    <n v="0.43"/>
    <n v="0.25369999999999998"/>
    <n v="0"/>
    <n v="8"/>
    <n v="8"/>
    <x v="0"/>
    <x v="1"/>
    <x v="1"/>
  </r>
  <r>
    <n v="376"/>
    <d v="2011-01-28T00:00:00"/>
    <x v="0"/>
    <n v="1"/>
    <x v="15"/>
    <b v="0"/>
    <x v="6"/>
    <n v="2"/>
    <n v="0.2"/>
    <n v="375"/>
    <n v="0.18179999999999999"/>
    <n v="0.43"/>
    <n v="0.19400000000000001"/>
    <n v="0"/>
    <n v="2"/>
    <n v="2"/>
    <x v="0"/>
    <x v="1"/>
    <x v="1"/>
  </r>
  <r>
    <n v="377"/>
    <d v="2011-01-28T00:00:00"/>
    <x v="0"/>
    <n v="1"/>
    <x v="15"/>
    <b v="0"/>
    <x v="6"/>
    <n v="2"/>
    <n v="0.2"/>
    <n v="376"/>
    <n v="0.19700000000000001"/>
    <n v="0.43"/>
    <n v="0.1343"/>
    <n v="1"/>
    <n v="2"/>
    <n v="3"/>
    <x v="0"/>
    <x v="1"/>
    <x v="1"/>
  </r>
  <r>
    <n v="378"/>
    <d v="2011-01-28T00:00:00"/>
    <x v="0"/>
    <n v="1"/>
    <x v="15"/>
    <b v="0"/>
    <x v="6"/>
    <n v="2"/>
    <n v="0.2"/>
    <n v="377"/>
    <n v="0.19700000000000001"/>
    <n v="0.43"/>
    <n v="0.16420000000000001"/>
    <n v="0"/>
    <n v="1"/>
    <n v="1"/>
    <x v="0"/>
    <x v="1"/>
    <x v="1"/>
  </r>
  <r>
    <n v="379"/>
    <d v="2011-01-28T00:00:00"/>
    <x v="0"/>
    <n v="1"/>
    <x v="15"/>
    <b v="0"/>
    <x v="6"/>
    <n v="2"/>
    <n v="0.2"/>
    <n v="378"/>
    <n v="0.18179999999999999"/>
    <n v="0.43"/>
    <n v="0.19400000000000001"/>
    <n v="0"/>
    <n v="5"/>
    <n v="5"/>
    <x v="0"/>
    <x v="1"/>
    <x v="1"/>
  </r>
  <r>
    <n v="380"/>
    <d v="2011-01-28T00:00:00"/>
    <x v="0"/>
    <n v="1"/>
    <x v="15"/>
    <b v="0"/>
    <x v="6"/>
    <n v="2"/>
    <n v="0.2"/>
    <n v="379"/>
    <n v="0.18179999999999999"/>
    <n v="0.5"/>
    <n v="0.1343"/>
    <n v="4"/>
    <n v="9"/>
    <n v="13"/>
    <x v="0"/>
    <x v="1"/>
    <x v="1"/>
  </r>
  <r>
    <n v="381"/>
    <d v="2011-01-28T00:00:00"/>
    <x v="0"/>
    <n v="1"/>
    <x v="15"/>
    <b v="0"/>
    <x v="6"/>
    <n v="2"/>
    <n v="0.2"/>
    <n v="380"/>
    <n v="0.1515"/>
    <n v="0.47"/>
    <n v="0.22389999999999999"/>
    <n v="3"/>
    <n v="30"/>
    <n v="33"/>
    <x v="0"/>
    <x v="1"/>
    <x v="1"/>
  </r>
  <r>
    <n v="382"/>
    <d v="2011-01-28T00:00:00"/>
    <x v="0"/>
    <n v="1"/>
    <x v="15"/>
    <b v="0"/>
    <x v="6"/>
    <n v="2"/>
    <n v="0.2"/>
    <n v="381"/>
    <n v="0.1515"/>
    <n v="0.47"/>
    <n v="0.22389999999999999"/>
    <n v="8"/>
    <n v="39"/>
    <n v="47"/>
    <x v="0"/>
    <x v="1"/>
    <x v="1"/>
  </r>
  <r>
    <n v="383"/>
    <d v="2011-01-28T00:00:00"/>
    <x v="0"/>
    <n v="1"/>
    <x v="15"/>
    <b v="0"/>
    <x v="6"/>
    <n v="2"/>
    <n v="0.2"/>
    <n v="382"/>
    <n v="0.1515"/>
    <n v="0.5"/>
    <n v="0.25369999999999998"/>
    <n v="7"/>
    <n v="50"/>
    <n v="57"/>
    <x v="0"/>
    <x v="1"/>
    <x v="1"/>
  </r>
  <r>
    <n v="384"/>
    <d v="2011-01-28T00:00:00"/>
    <x v="0"/>
    <n v="1"/>
    <x v="15"/>
    <b v="0"/>
    <x v="6"/>
    <n v="2"/>
    <n v="0.2"/>
    <n v="383"/>
    <n v="0.1515"/>
    <n v="0.55000000000000004"/>
    <n v="0.19400000000000001"/>
    <n v="9"/>
    <n v="55"/>
    <n v="64"/>
    <x v="0"/>
    <x v="1"/>
    <x v="1"/>
  </r>
  <r>
    <n v="385"/>
    <d v="2011-01-28T00:00:00"/>
    <x v="0"/>
    <n v="1"/>
    <x v="15"/>
    <b v="0"/>
    <x v="6"/>
    <n v="2"/>
    <n v="0.2"/>
    <n v="384"/>
    <n v="0.19700000000000001"/>
    <n v="0.47"/>
    <n v="0.1343"/>
    <n v="10"/>
    <n v="70"/>
    <n v="80"/>
    <x v="0"/>
    <x v="1"/>
    <x v="1"/>
  </r>
  <r>
    <n v="386"/>
    <d v="2011-01-28T00:00:00"/>
    <x v="0"/>
    <n v="1"/>
    <x v="15"/>
    <b v="0"/>
    <x v="6"/>
    <n v="2"/>
    <n v="0.2"/>
    <n v="385"/>
    <n v="0.19700000000000001"/>
    <n v="0.47"/>
    <n v="0.1343"/>
    <n v="13"/>
    <n v="80"/>
    <n v="93"/>
    <x v="0"/>
    <x v="1"/>
    <x v="1"/>
  </r>
  <r>
    <n v="387"/>
    <d v="2011-01-28T00:00:00"/>
    <x v="0"/>
    <n v="1"/>
    <x v="15"/>
    <b v="0"/>
    <x v="6"/>
    <n v="2"/>
    <n v="0.2"/>
    <n v="386"/>
    <n v="0.21210000000000001"/>
    <n v="0.43"/>
    <n v="0.1045"/>
    <n v="12"/>
    <n v="74"/>
    <n v="86"/>
    <x v="0"/>
    <x v="1"/>
    <x v="1"/>
  </r>
  <r>
    <n v="388"/>
    <d v="2011-01-28T00:00:00"/>
    <x v="0"/>
    <n v="1"/>
    <x v="15"/>
    <b v="0"/>
    <x v="6"/>
    <n v="2"/>
    <n v="0.2"/>
    <n v="387"/>
    <n v="0.21210000000000001"/>
    <n v="0.47"/>
    <n v="0.16420000000000001"/>
    <n v="21"/>
    <n v="72"/>
    <n v="93"/>
    <x v="0"/>
    <x v="1"/>
    <x v="1"/>
  </r>
  <r>
    <n v="389"/>
    <d v="2011-01-28T00:00:00"/>
    <x v="0"/>
    <n v="1"/>
    <x v="15"/>
    <b v="0"/>
    <x v="6"/>
    <n v="2"/>
    <n v="0.2"/>
    <n v="388"/>
    <n v="0.21210000000000001"/>
    <n v="0.47"/>
    <n v="0.16420000000000001"/>
    <n v="6"/>
    <n v="76"/>
    <n v="82"/>
    <x v="0"/>
    <x v="1"/>
    <x v="1"/>
  </r>
  <r>
    <n v="390"/>
    <d v="2011-01-28T00:00:00"/>
    <x v="0"/>
    <n v="1"/>
    <x v="15"/>
    <b v="0"/>
    <x v="6"/>
    <n v="2"/>
    <n v="0.2"/>
    <n v="389"/>
    <n v="0.19700000000000001"/>
    <n v="0.51"/>
    <n v="0.19400000000000001"/>
    <n v="4"/>
    <n v="67"/>
    <n v="71"/>
    <x v="0"/>
    <x v="1"/>
    <x v="1"/>
  </r>
  <r>
    <n v="391"/>
    <d v="2011-01-28T00:00:00"/>
    <x v="0"/>
    <n v="1"/>
    <x v="15"/>
    <b v="0"/>
    <x v="6"/>
    <n v="2"/>
    <n v="0.2"/>
    <n v="390"/>
    <n v="0.16669999999999999"/>
    <n v="0.55000000000000004"/>
    <n v="0.25369999999999998"/>
    <n v="7"/>
    <n v="85"/>
    <n v="92"/>
    <x v="0"/>
    <x v="1"/>
    <x v="1"/>
  </r>
  <r>
    <n v="392"/>
    <d v="2011-01-28T00:00:00"/>
    <x v="0"/>
    <n v="1"/>
    <x v="15"/>
    <b v="0"/>
    <x v="6"/>
    <n v="2"/>
    <n v="0.2"/>
    <n v="391"/>
    <n v="0.18179999999999999"/>
    <n v="0.59"/>
    <n v="0.19400000000000001"/>
    <n v="2"/>
    <n v="58"/>
    <n v="60"/>
    <x v="0"/>
    <x v="1"/>
    <x v="1"/>
  </r>
  <r>
    <n v="393"/>
    <d v="2011-01-28T00:00:00"/>
    <x v="0"/>
    <n v="1"/>
    <x v="15"/>
    <b v="0"/>
    <x v="6"/>
    <n v="2"/>
    <n v="0.2"/>
    <n v="392"/>
    <n v="0.1515"/>
    <n v="0.8"/>
    <n v="0.19400000000000001"/>
    <n v="4"/>
    <n v="29"/>
    <n v="33"/>
    <x v="0"/>
    <x v="1"/>
    <x v="1"/>
  </r>
  <r>
    <n v="394"/>
    <d v="2011-01-28T00:00:00"/>
    <x v="0"/>
    <n v="1"/>
    <x v="15"/>
    <b v="0"/>
    <x v="6"/>
    <n v="2"/>
    <n v="0.2"/>
    <n v="393"/>
    <n v="0.1515"/>
    <n v="0.8"/>
    <n v="0.19400000000000001"/>
    <n v="3"/>
    <n v="24"/>
    <n v="27"/>
    <x v="0"/>
    <x v="1"/>
    <x v="1"/>
  </r>
  <r>
    <n v="395"/>
    <d v="2011-01-28T00:00:00"/>
    <x v="0"/>
    <n v="1"/>
    <x v="15"/>
    <b v="0"/>
    <x v="6"/>
    <n v="2"/>
    <n v="0.2"/>
    <n v="394"/>
    <n v="0.1212"/>
    <n v="0.93"/>
    <n v="0.25369999999999998"/>
    <n v="0"/>
    <n v="13"/>
    <n v="13"/>
    <x v="0"/>
    <x v="1"/>
    <x v="1"/>
  </r>
  <r>
    <n v="396"/>
    <d v="2011-01-28T00:00:00"/>
    <x v="0"/>
    <n v="1"/>
    <x v="15"/>
    <b v="0"/>
    <x v="6"/>
    <n v="2"/>
    <n v="0.2"/>
    <n v="395"/>
    <n v="0.13639999999999999"/>
    <n v="0.86"/>
    <n v="0.28360000000000002"/>
    <n v="1"/>
    <n v="3"/>
    <n v="4"/>
    <x v="0"/>
    <x v="1"/>
    <x v="1"/>
  </r>
  <r>
    <n v="397"/>
    <d v="2011-01-28T00:00:00"/>
    <x v="0"/>
    <n v="1"/>
    <x v="15"/>
    <b v="0"/>
    <x v="6"/>
    <n v="2"/>
    <n v="0.2"/>
    <n v="396"/>
    <n v="0.18179999999999999"/>
    <n v="0.86"/>
    <n v="0.32840000000000003"/>
    <n v="0"/>
    <n v="3"/>
    <n v="3"/>
    <x v="0"/>
    <x v="1"/>
    <x v="1"/>
  </r>
  <r>
    <n v="398"/>
    <d v="2011-01-28T00:00:00"/>
    <x v="0"/>
    <n v="1"/>
    <x v="15"/>
    <b v="0"/>
    <x v="6"/>
    <n v="2"/>
    <n v="0.2"/>
    <n v="397"/>
    <n v="0.19700000000000001"/>
    <n v="0.86"/>
    <n v="0.22389999999999999"/>
    <n v="0"/>
    <n v="22"/>
    <n v="22"/>
    <x v="0"/>
    <x v="1"/>
    <x v="1"/>
  </r>
  <r>
    <n v="399"/>
    <d v="2011-01-28T00:00:00"/>
    <x v="0"/>
    <n v="1"/>
    <x v="15"/>
    <b v="0"/>
    <x v="6"/>
    <n v="2"/>
    <n v="0.2"/>
    <n v="398"/>
    <n v="0.2273"/>
    <n v="0.8"/>
    <n v="0.16420000000000001"/>
    <n v="2"/>
    <n v="26"/>
    <n v="28"/>
    <x v="0"/>
    <x v="1"/>
    <x v="1"/>
  </r>
  <r>
    <n v="400"/>
    <d v="2011-01-28T00:00:00"/>
    <x v="0"/>
    <n v="1"/>
    <x v="15"/>
    <b v="0"/>
    <x v="6"/>
    <n v="2"/>
    <n v="0.2"/>
    <n v="399"/>
    <n v="0.2273"/>
    <n v="0.87"/>
    <n v="0.16420000000000001"/>
    <n v="3"/>
    <n v="32"/>
    <n v="35"/>
    <x v="0"/>
    <x v="1"/>
    <x v="1"/>
  </r>
  <r>
    <n v="401"/>
    <d v="2011-01-28T00:00:00"/>
    <x v="0"/>
    <n v="1"/>
    <x v="15"/>
    <b v="0"/>
    <x v="6"/>
    <n v="2"/>
    <n v="0.2"/>
    <n v="400"/>
    <n v="0.2273"/>
    <n v="0.87"/>
    <n v="0.19400000000000001"/>
    <n v="0"/>
    <n v="61"/>
    <n v="61"/>
    <x v="0"/>
    <x v="1"/>
    <x v="1"/>
  </r>
  <r>
    <n v="402"/>
    <d v="2011-01-28T00:00:00"/>
    <x v="0"/>
    <n v="1"/>
    <x v="15"/>
    <b v="0"/>
    <x v="6"/>
    <n v="2"/>
    <n v="0.2"/>
    <n v="401"/>
    <n v="0.2273"/>
    <n v="0.82"/>
    <n v="0.19400000000000001"/>
    <n v="1"/>
    <n v="124"/>
    <n v="125"/>
    <x v="0"/>
    <x v="1"/>
    <x v="1"/>
  </r>
  <r>
    <n v="403"/>
    <d v="2011-01-28T00:00:00"/>
    <x v="0"/>
    <n v="1"/>
    <x v="15"/>
    <b v="0"/>
    <x v="6"/>
    <n v="2"/>
    <n v="0.2"/>
    <n v="402"/>
    <n v="0.2273"/>
    <n v="0.8"/>
    <n v="0.16420000000000001"/>
    <n v="1"/>
    <n v="132"/>
    <n v="133"/>
    <x v="0"/>
    <x v="1"/>
    <x v="1"/>
  </r>
  <r>
    <n v="404"/>
    <d v="2011-01-28T00:00:00"/>
    <x v="0"/>
    <n v="1"/>
    <x v="15"/>
    <b v="0"/>
    <x v="6"/>
    <n v="2"/>
    <n v="0.2"/>
    <n v="403"/>
    <n v="0.2273"/>
    <n v="0.8"/>
    <n v="0.1343"/>
    <n v="1"/>
    <n v="98"/>
    <n v="99"/>
    <x v="0"/>
    <x v="1"/>
    <x v="1"/>
  </r>
  <r>
    <n v="405"/>
    <d v="2011-01-28T00:00:00"/>
    <x v="0"/>
    <n v="1"/>
    <x v="15"/>
    <b v="0"/>
    <x v="6"/>
    <n v="2"/>
    <n v="0.2"/>
    <n v="404"/>
    <n v="0.2727"/>
    <n v="0.87"/>
    <n v="0"/>
    <n v="0"/>
    <n v="83"/>
    <n v="83"/>
    <x v="0"/>
    <x v="1"/>
    <x v="1"/>
  </r>
  <r>
    <n v="406"/>
    <d v="2011-01-28T00:00:00"/>
    <x v="0"/>
    <n v="1"/>
    <x v="15"/>
    <b v="0"/>
    <x v="6"/>
    <n v="2"/>
    <n v="0.2"/>
    <n v="405"/>
    <n v="0.2424"/>
    <n v="0.93"/>
    <n v="0.1045"/>
    <n v="0"/>
    <n v="41"/>
    <n v="41"/>
    <x v="0"/>
    <x v="1"/>
    <x v="1"/>
  </r>
  <r>
    <n v="407"/>
    <d v="2011-01-28T00:00:00"/>
    <x v="0"/>
    <n v="1"/>
    <x v="15"/>
    <b v="0"/>
    <x v="6"/>
    <n v="2"/>
    <n v="0.2"/>
    <n v="406"/>
    <n v="0.2576"/>
    <n v="0.93"/>
    <n v="8.9599999999999999E-2"/>
    <n v="0"/>
    <n v="33"/>
    <n v="33"/>
    <x v="0"/>
    <x v="1"/>
    <x v="1"/>
  </r>
  <r>
    <n v="408"/>
    <d v="2011-01-28T00:00:00"/>
    <x v="0"/>
    <n v="1"/>
    <x v="15"/>
    <b v="0"/>
    <x v="6"/>
    <n v="2"/>
    <n v="0.2"/>
    <n v="407"/>
    <n v="0.2727"/>
    <n v="0.93"/>
    <n v="0"/>
    <n v="1"/>
    <n v="19"/>
    <n v="20"/>
    <x v="0"/>
    <x v="1"/>
    <x v="1"/>
  </r>
  <r>
    <n v="409"/>
    <d v="2011-01-28T00:00:00"/>
    <x v="0"/>
    <n v="1"/>
    <x v="15"/>
    <b v="0"/>
    <x v="6"/>
    <n v="2"/>
    <n v="0.2"/>
    <n v="408"/>
    <n v="0.2727"/>
    <n v="0.93"/>
    <n v="0"/>
    <n v="0"/>
    <n v="3"/>
    <n v="3"/>
    <x v="0"/>
    <x v="1"/>
    <x v="1"/>
  </r>
  <r>
    <n v="410"/>
    <d v="2011-01-28T00:00:00"/>
    <x v="0"/>
    <n v="1"/>
    <x v="15"/>
    <b v="0"/>
    <x v="6"/>
    <n v="2"/>
    <n v="0.2"/>
    <n v="409"/>
    <n v="0.2273"/>
    <n v="0.93"/>
    <n v="0.1343"/>
    <n v="1"/>
    <n v="6"/>
    <n v="7"/>
    <x v="0"/>
    <x v="1"/>
    <x v="1"/>
  </r>
  <r>
    <n v="411"/>
    <d v="2011-01-28T00:00:00"/>
    <x v="0"/>
    <n v="1"/>
    <x v="15"/>
    <b v="0"/>
    <x v="6"/>
    <n v="2"/>
    <n v="0.2"/>
    <n v="410"/>
    <n v="0.2273"/>
    <n v="0.93"/>
    <n v="0.1343"/>
    <n v="0"/>
    <n v="3"/>
    <n v="3"/>
    <x v="0"/>
    <x v="1"/>
    <x v="1"/>
  </r>
  <r>
    <n v="412"/>
    <d v="2011-01-28T00:00:00"/>
    <x v="0"/>
    <n v="1"/>
    <x v="15"/>
    <b v="0"/>
    <x v="6"/>
    <n v="2"/>
    <n v="0.2"/>
    <n v="411"/>
    <n v="0.2273"/>
    <n v="0.93"/>
    <n v="0.1343"/>
    <n v="1"/>
    <n v="1"/>
    <n v="2"/>
    <x v="0"/>
    <x v="1"/>
    <x v="1"/>
  </r>
  <r>
    <n v="413"/>
    <d v="2011-01-28T00:00:00"/>
    <x v="0"/>
    <n v="1"/>
    <x v="15"/>
    <b v="0"/>
    <x v="6"/>
    <n v="2"/>
    <n v="0.2"/>
    <n v="412"/>
    <n v="0.2576"/>
    <n v="0.93"/>
    <n v="8.9599999999999999E-2"/>
    <n v="0"/>
    <n v="7"/>
    <n v="7"/>
    <x v="0"/>
    <x v="1"/>
    <x v="1"/>
  </r>
  <r>
    <n v="414"/>
    <d v="2011-01-28T00:00:00"/>
    <x v="0"/>
    <n v="1"/>
    <x v="15"/>
    <b v="0"/>
    <x v="6"/>
    <n v="2"/>
    <n v="0.2"/>
    <n v="413"/>
    <n v="0.2576"/>
    <n v="0.93"/>
    <n v="8.9599999999999999E-2"/>
    <n v="0"/>
    <n v="32"/>
    <n v="32"/>
    <x v="0"/>
    <x v="1"/>
    <x v="1"/>
  </r>
  <r>
    <n v="415"/>
    <d v="2011-01-28T00:00:00"/>
    <x v="0"/>
    <n v="1"/>
    <x v="15"/>
    <b v="0"/>
    <x v="6"/>
    <n v="2"/>
    <n v="0.2"/>
    <n v="414"/>
    <n v="0.2576"/>
    <n v="0.92"/>
    <n v="0.1045"/>
    <n v="1"/>
    <n v="89"/>
    <n v="90"/>
    <x v="0"/>
    <x v="1"/>
    <x v="1"/>
  </r>
  <r>
    <n v="416"/>
    <d v="2011-01-28T00:00:00"/>
    <x v="0"/>
    <n v="1"/>
    <x v="15"/>
    <b v="0"/>
    <x v="6"/>
    <n v="2"/>
    <n v="0.2"/>
    <n v="415"/>
    <n v="0.2576"/>
    <n v="0.93"/>
    <n v="0.1045"/>
    <n v="1"/>
    <n v="196"/>
    <n v="197"/>
    <x v="0"/>
    <x v="1"/>
    <x v="1"/>
  </r>
  <r>
    <n v="417"/>
    <d v="2011-01-28T00:00:00"/>
    <x v="0"/>
    <n v="1"/>
    <x v="15"/>
    <b v="0"/>
    <x v="6"/>
    <n v="2"/>
    <n v="0.2"/>
    <n v="416"/>
    <n v="0.2576"/>
    <n v="0.93"/>
    <n v="0.1045"/>
    <n v="2"/>
    <n v="107"/>
    <n v="109"/>
    <x v="0"/>
    <x v="1"/>
    <x v="1"/>
  </r>
  <r>
    <n v="418"/>
    <d v="2011-01-28T00:00:00"/>
    <x v="0"/>
    <n v="1"/>
    <x v="15"/>
    <b v="0"/>
    <x v="6"/>
    <n v="2"/>
    <n v="0.2"/>
    <n v="417"/>
    <n v="0.2727"/>
    <n v="0.93"/>
    <n v="0.1343"/>
    <n v="1"/>
    <n v="46"/>
    <n v="47"/>
    <x v="0"/>
    <x v="1"/>
    <x v="1"/>
  </r>
  <r>
    <n v="419"/>
    <d v="2011-01-28T00:00:00"/>
    <x v="0"/>
    <n v="1"/>
    <x v="15"/>
    <b v="0"/>
    <x v="6"/>
    <n v="2"/>
    <n v="0.2"/>
    <n v="418"/>
    <n v="0.30299999999999999"/>
    <n v="0.87"/>
    <n v="8.9599999999999999E-2"/>
    <n v="5"/>
    <n v="47"/>
    <n v="52"/>
    <x v="0"/>
    <x v="1"/>
    <x v="1"/>
  </r>
  <r>
    <n v="420"/>
    <d v="2011-01-28T00:00:00"/>
    <x v="0"/>
    <n v="1"/>
    <x v="15"/>
    <b v="0"/>
    <x v="6"/>
    <n v="2"/>
    <n v="0.2"/>
    <n v="419"/>
    <n v="0.31819999999999998"/>
    <n v="0.81"/>
    <n v="8.9599999999999999E-2"/>
    <n v="5"/>
    <n v="65"/>
    <n v="70"/>
    <x v="0"/>
    <x v="1"/>
    <x v="1"/>
  </r>
  <r>
    <n v="421"/>
    <d v="2011-01-28T00:00:00"/>
    <x v="0"/>
    <n v="1"/>
    <x v="15"/>
    <b v="0"/>
    <x v="6"/>
    <n v="2"/>
    <n v="0.2"/>
    <n v="420"/>
    <n v="0.40910000000000002"/>
    <n v="0.62"/>
    <n v="0.28360000000000002"/>
    <n v="11"/>
    <n v="67"/>
    <n v="78"/>
    <x v="0"/>
    <x v="1"/>
    <x v="1"/>
  </r>
  <r>
    <n v="422"/>
    <d v="2011-01-28T00:00:00"/>
    <x v="0"/>
    <n v="1"/>
    <x v="15"/>
    <b v="0"/>
    <x v="6"/>
    <n v="2"/>
    <n v="0.2"/>
    <n v="421"/>
    <n v="0.40910000000000002"/>
    <n v="0.57999999999999996"/>
    <n v="0.25369999999999998"/>
    <n v="7"/>
    <n v="68"/>
    <n v="75"/>
    <x v="0"/>
    <x v="1"/>
    <x v="1"/>
  </r>
  <r>
    <n v="423"/>
    <d v="2011-01-28T00:00:00"/>
    <x v="0"/>
    <n v="1"/>
    <x v="15"/>
    <b v="0"/>
    <x v="6"/>
    <n v="2"/>
    <n v="0.2"/>
    <n v="422"/>
    <n v="0.40910000000000002"/>
    <n v="0.54"/>
    <n v="0.28360000000000002"/>
    <n v="4"/>
    <n v="78"/>
    <n v="82"/>
    <x v="0"/>
    <x v="1"/>
    <x v="1"/>
  </r>
  <r>
    <n v="424"/>
    <d v="2011-01-28T00:00:00"/>
    <x v="0"/>
    <n v="1"/>
    <x v="15"/>
    <b v="0"/>
    <x v="6"/>
    <n v="2"/>
    <n v="0.2"/>
    <n v="423"/>
    <n v="0.39389999999999997"/>
    <n v="0.57999999999999996"/>
    <n v="0.3881"/>
    <n v="10"/>
    <n v="94"/>
    <n v="104"/>
    <x v="0"/>
    <x v="1"/>
    <x v="1"/>
  </r>
  <r>
    <n v="425"/>
    <d v="2011-01-28T00:00:00"/>
    <x v="0"/>
    <n v="1"/>
    <x v="15"/>
    <b v="0"/>
    <x v="6"/>
    <n v="2"/>
    <n v="0.2"/>
    <n v="424"/>
    <n v="0.33329999999999999"/>
    <n v="0.56999999999999995"/>
    <n v="0.32840000000000003"/>
    <n v="7"/>
    <n v="190"/>
    <n v="197"/>
    <x v="0"/>
    <x v="1"/>
    <x v="1"/>
  </r>
  <r>
    <n v="426"/>
    <d v="2011-01-28T00:00:00"/>
    <x v="0"/>
    <n v="1"/>
    <x v="15"/>
    <b v="0"/>
    <x v="6"/>
    <n v="2"/>
    <n v="0.2"/>
    <n v="425"/>
    <n v="0.31819999999999998"/>
    <n v="0.61"/>
    <n v="0.28360000000000002"/>
    <n v="5"/>
    <n v="156"/>
    <n v="161"/>
    <x v="0"/>
    <x v="1"/>
    <x v="1"/>
  </r>
  <r>
    <n v="427"/>
    <d v="2011-01-28T00:00:00"/>
    <x v="0"/>
    <n v="1"/>
    <x v="15"/>
    <b v="0"/>
    <x v="6"/>
    <n v="2"/>
    <n v="0.2"/>
    <n v="426"/>
    <n v="0.28789999999999999"/>
    <n v="0.56999999999999995"/>
    <n v="0.41789999999999999"/>
    <n v="4"/>
    <n v="108"/>
    <n v="112"/>
    <x v="0"/>
    <x v="1"/>
    <x v="1"/>
  </r>
  <r>
    <n v="428"/>
    <d v="2011-01-28T00:00:00"/>
    <x v="0"/>
    <n v="1"/>
    <x v="15"/>
    <b v="0"/>
    <x v="6"/>
    <n v="2"/>
    <n v="0.2"/>
    <n v="427"/>
    <n v="0.30299999999999999"/>
    <n v="0.49"/>
    <n v="0.29849999999999999"/>
    <n v="2"/>
    <n v="74"/>
    <n v="76"/>
    <x v="0"/>
    <x v="1"/>
    <x v="1"/>
  </r>
  <r>
    <n v="429"/>
    <d v="2011-01-28T00:00:00"/>
    <x v="0"/>
    <n v="1"/>
    <x v="15"/>
    <b v="0"/>
    <x v="6"/>
    <n v="2"/>
    <n v="0.2"/>
    <n v="428"/>
    <n v="0.28789999999999999"/>
    <n v="0.49"/>
    <n v="0.41789999999999999"/>
    <n v="4"/>
    <n v="55"/>
    <n v="59"/>
    <x v="0"/>
    <x v="1"/>
    <x v="1"/>
  </r>
  <r>
    <n v="430"/>
    <d v="2011-01-28T00:00:00"/>
    <x v="0"/>
    <n v="1"/>
    <x v="15"/>
    <b v="0"/>
    <x v="6"/>
    <n v="2"/>
    <n v="0.2"/>
    <n v="429"/>
    <n v="0.30299999999999999"/>
    <n v="0.52"/>
    <n v="0.16420000000000001"/>
    <n v="6"/>
    <n v="53"/>
    <n v="59"/>
    <x v="0"/>
    <x v="1"/>
    <x v="1"/>
  </r>
  <r>
    <n v="431"/>
    <d v="2011-01-28T00:00:00"/>
    <x v="0"/>
    <n v="1"/>
    <x v="15"/>
    <b v="0"/>
    <x v="6"/>
    <n v="2"/>
    <n v="0.2"/>
    <n v="430"/>
    <n v="0.2727"/>
    <n v="0.52"/>
    <n v="0.4627"/>
    <n v="1"/>
    <n v="27"/>
    <n v="28"/>
    <x v="0"/>
    <x v="1"/>
    <x v="1"/>
  </r>
  <r>
    <n v="432"/>
    <d v="2011-01-28T00:00:00"/>
    <x v="0"/>
    <n v="1"/>
    <x v="15"/>
    <b v="0"/>
    <x v="6"/>
    <n v="2"/>
    <n v="0.2"/>
    <n v="431"/>
    <n v="0.2273"/>
    <n v="0.56000000000000005"/>
    <n v="0.3881"/>
    <n v="5"/>
    <n v="8"/>
    <n v="13"/>
    <x v="0"/>
    <x v="1"/>
    <x v="1"/>
  </r>
  <r>
    <n v="433"/>
    <d v="2011-01-28T00:00:00"/>
    <x v="0"/>
    <n v="1"/>
    <x v="15"/>
    <b v="0"/>
    <x v="6"/>
    <n v="2"/>
    <n v="0.2"/>
    <n v="432"/>
    <n v="0.2727"/>
    <n v="0.56000000000000005"/>
    <n v="0"/>
    <n v="2"/>
    <n v="3"/>
    <n v="5"/>
    <x v="0"/>
    <x v="1"/>
    <x v="1"/>
  </r>
  <r>
    <n v="434"/>
    <d v="2011-01-28T00:00:00"/>
    <x v="0"/>
    <n v="1"/>
    <x v="15"/>
    <b v="0"/>
    <x v="6"/>
    <n v="2"/>
    <n v="0.2"/>
    <n v="433"/>
    <n v="0.2727"/>
    <n v="0.56000000000000005"/>
    <n v="0"/>
    <n v="0"/>
    <n v="2"/>
    <n v="2"/>
    <x v="0"/>
    <x v="1"/>
    <x v="1"/>
  </r>
  <r>
    <n v="435"/>
    <d v="2011-01-28T00:00:00"/>
    <x v="0"/>
    <n v="1"/>
    <x v="15"/>
    <b v="0"/>
    <x v="6"/>
    <n v="2"/>
    <n v="0.2"/>
    <n v="434"/>
    <n v="0.2576"/>
    <n v="0.56000000000000005"/>
    <n v="0.16420000000000001"/>
    <n v="0"/>
    <n v="1"/>
    <n v="1"/>
    <x v="0"/>
    <x v="1"/>
    <x v="1"/>
  </r>
  <r>
    <n v="436"/>
    <d v="2011-01-28T00:00:00"/>
    <x v="0"/>
    <n v="1"/>
    <x v="15"/>
    <b v="0"/>
    <x v="6"/>
    <n v="2"/>
    <n v="0.2"/>
    <n v="435"/>
    <n v="0.2576"/>
    <n v="0.56000000000000005"/>
    <n v="0.16420000000000001"/>
    <n v="0"/>
    <n v="1"/>
    <n v="1"/>
    <x v="0"/>
    <x v="1"/>
    <x v="1"/>
  </r>
  <r>
    <n v="437"/>
    <d v="2011-01-28T00:00:00"/>
    <x v="0"/>
    <n v="1"/>
    <x v="15"/>
    <b v="0"/>
    <x v="6"/>
    <n v="2"/>
    <n v="0.2"/>
    <n v="436"/>
    <n v="0.2273"/>
    <n v="0.6"/>
    <n v="0.22389999999999999"/>
    <n v="0"/>
    <n v="6"/>
    <n v="6"/>
    <x v="0"/>
    <x v="1"/>
    <x v="1"/>
  </r>
  <r>
    <n v="438"/>
    <d v="2011-01-28T00:00:00"/>
    <x v="0"/>
    <n v="1"/>
    <x v="15"/>
    <b v="0"/>
    <x v="6"/>
    <n v="2"/>
    <n v="0.2"/>
    <n v="437"/>
    <n v="0.21210000000000001"/>
    <n v="0.6"/>
    <n v="0.22389999999999999"/>
    <n v="0"/>
    <n v="35"/>
    <n v="35"/>
    <x v="0"/>
    <x v="1"/>
    <x v="1"/>
  </r>
  <r>
    <n v="439"/>
    <d v="2011-01-28T00:00:00"/>
    <x v="0"/>
    <n v="1"/>
    <x v="15"/>
    <b v="0"/>
    <x v="6"/>
    <n v="2"/>
    <n v="0.2"/>
    <n v="438"/>
    <n v="0.21210000000000001"/>
    <n v="0.55000000000000004"/>
    <n v="0.22389999999999999"/>
    <n v="1"/>
    <n v="100"/>
    <n v="101"/>
    <x v="0"/>
    <x v="1"/>
    <x v="1"/>
  </r>
  <r>
    <n v="440"/>
    <d v="2011-01-28T00:00:00"/>
    <x v="0"/>
    <n v="1"/>
    <x v="15"/>
    <b v="0"/>
    <x v="6"/>
    <n v="2"/>
    <n v="0.2"/>
    <n v="439"/>
    <n v="0.21210000000000001"/>
    <n v="0.55000000000000004"/>
    <n v="0.28360000000000002"/>
    <n v="2"/>
    <n v="247"/>
    <n v="249"/>
    <x v="0"/>
    <x v="1"/>
    <x v="1"/>
  </r>
  <r>
    <n v="441"/>
    <d v="2011-01-28T00:00:00"/>
    <x v="0"/>
    <n v="1"/>
    <x v="15"/>
    <b v="0"/>
    <x v="6"/>
    <n v="2"/>
    <n v="0.2"/>
    <n v="440"/>
    <n v="0.2273"/>
    <n v="0.52"/>
    <n v="0.22389999999999999"/>
    <n v="3"/>
    <n v="140"/>
    <n v="143"/>
    <x v="0"/>
    <x v="1"/>
    <x v="1"/>
  </r>
  <r>
    <n v="442"/>
    <d v="2011-01-28T00:00:00"/>
    <x v="0"/>
    <n v="1"/>
    <x v="15"/>
    <b v="0"/>
    <x v="6"/>
    <n v="2"/>
    <n v="0.2"/>
    <n v="441"/>
    <n v="0.2273"/>
    <n v="0.48"/>
    <n v="0.29849999999999999"/>
    <n v="1"/>
    <n v="56"/>
    <n v="57"/>
    <x v="0"/>
    <x v="1"/>
    <x v="1"/>
  </r>
  <r>
    <n v="443"/>
    <d v="2011-01-28T00:00:00"/>
    <x v="0"/>
    <n v="1"/>
    <x v="15"/>
    <b v="0"/>
    <x v="6"/>
    <n v="2"/>
    <n v="0.2"/>
    <n v="442"/>
    <n v="0.2727"/>
    <n v="0.45"/>
    <n v="0.16420000000000001"/>
    <n v="5"/>
    <n v="63"/>
    <n v="68"/>
    <x v="0"/>
    <x v="1"/>
    <x v="1"/>
  </r>
  <r>
    <n v="444"/>
    <d v="2011-01-28T00:00:00"/>
    <x v="0"/>
    <n v="1"/>
    <x v="15"/>
    <b v="0"/>
    <x v="6"/>
    <n v="2"/>
    <n v="0.2"/>
    <n v="443"/>
    <n v="0.33329999999999999"/>
    <n v="0.42"/>
    <n v="0"/>
    <n v="7"/>
    <n v="77"/>
    <n v="84"/>
    <x v="0"/>
    <x v="1"/>
    <x v="1"/>
  </r>
  <r>
    <n v="445"/>
    <d v="2011-01-28T00:00:00"/>
    <x v="0"/>
    <n v="1"/>
    <x v="15"/>
    <b v="0"/>
    <x v="6"/>
    <n v="2"/>
    <n v="0.2"/>
    <n v="444"/>
    <n v="0.28789999999999999"/>
    <n v="0.45"/>
    <n v="0.1045"/>
    <n v="12"/>
    <n v="86"/>
    <n v="98"/>
    <x v="0"/>
    <x v="1"/>
    <x v="1"/>
  </r>
  <r>
    <n v="446"/>
    <d v="2011-01-28T00:00:00"/>
    <x v="0"/>
    <n v="1"/>
    <x v="15"/>
    <b v="0"/>
    <x v="6"/>
    <n v="2"/>
    <n v="0.2"/>
    <n v="445"/>
    <n v="0.30299999999999999"/>
    <n v="0.45"/>
    <n v="0.1343"/>
    <n v="6"/>
    <n v="75"/>
    <n v="81"/>
    <x v="0"/>
    <x v="1"/>
    <x v="1"/>
  </r>
  <r>
    <n v="447"/>
    <d v="2011-01-28T00:00:00"/>
    <x v="0"/>
    <n v="1"/>
    <x v="15"/>
    <b v="0"/>
    <x v="6"/>
    <n v="2"/>
    <n v="0.2"/>
    <n v="446"/>
    <n v="0.31819999999999998"/>
    <n v="0.45"/>
    <n v="0.19400000000000001"/>
    <n v="8"/>
    <n v="62"/>
    <n v="70"/>
    <x v="0"/>
    <x v="1"/>
    <x v="1"/>
  </r>
  <r>
    <n v="448"/>
    <d v="2011-01-28T00:00:00"/>
    <x v="0"/>
    <n v="1"/>
    <x v="15"/>
    <b v="0"/>
    <x v="6"/>
    <n v="2"/>
    <n v="0.2"/>
    <n v="447"/>
    <n v="0.30299999999999999"/>
    <n v="0.49"/>
    <n v="0.1343"/>
    <n v="8"/>
    <n v="83"/>
    <n v="91"/>
    <x v="0"/>
    <x v="1"/>
    <x v="1"/>
  </r>
  <r>
    <n v="449"/>
    <d v="2011-01-28T00:00:00"/>
    <x v="0"/>
    <n v="1"/>
    <x v="15"/>
    <b v="0"/>
    <x v="6"/>
    <n v="2"/>
    <n v="0.2"/>
    <n v="448"/>
    <n v="0.31819999999999998"/>
    <n v="0.49"/>
    <n v="0.1045"/>
    <n v="8"/>
    <n v="207"/>
    <n v="215"/>
    <x v="0"/>
    <x v="1"/>
    <x v="1"/>
  </r>
  <r>
    <n v="450"/>
    <d v="2011-01-28T00:00:00"/>
    <x v="0"/>
    <n v="1"/>
    <x v="15"/>
    <b v="0"/>
    <x v="6"/>
    <n v="2"/>
    <n v="0.2"/>
    <n v="449"/>
    <n v="0.2576"/>
    <n v="0.56000000000000005"/>
    <n v="0.19400000000000001"/>
    <n v="1"/>
    <n v="184"/>
    <n v="185"/>
    <x v="0"/>
    <x v="1"/>
    <x v="1"/>
  </r>
  <r>
    <n v="451"/>
    <d v="2011-01-28T00:00:00"/>
    <x v="0"/>
    <n v="1"/>
    <x v="15"/>
    <b v="0"/>
    <x v="6"/>
    <n v="2"/>
    <n v="0.2"/>
    <n v="450"/>
    <n v="0.2273"/>
    <n v="0.56000000000000005"/>
    <n v="0.32840000000000003"/>
    <n v="6"/>
    <n v="146"/>
    <n v="152"/>
    <x v="0"/>
    <x v="1"/>
    <x v="1"/>
  </r>
  <r>
    <n v="452"/>
    <d v="2011-01-28T00:00:00"/>
    <x v="0"/>
    <n v="1"/>
    <x v="15"/>
    <b v="0"/>
    <x v="6"/>
    <n v="2"/>
    <n v="0.2"/>
    <n v="451"/>
    <n v="0.2424"/>
    <n v="0.6"/>
    <n v="0.28360000000000002"/>
    <n v="2"/>
    <n v="124"/>
    <n v="126"/>
    <x v="0"/>
    <x v="1"/>
    <x v="1"/>
  </r>
  <r>
    <n v="453"/>
    <d v="2011-01-28T00:00:00"/>
    <x v="0"/>
    <n v="1"/>
    <x v="15"/>
    <b v="0"/>
    <x v="6"/>
    <n v="2"/>
    <n v="0.2"/>
    <n v="452"/>
    <n v="0.2273"/>
    <n v="0.6"/>
    <n v="0.25369999999999998"/>
    <n v="3"/>
    <n v="54"/>
    <n v="57"/>
    <x v="0"/>
    <x v="1"/>
    <x v="1"/>
  </r>
  <r>
    <n v="454"/>
    <d v="2011-01-28T00:00:00"/>
    <x v="0"/>
    <n v="1"/>
    <x v="15"/>
    <b v="0"/>
    <x v="6"/>
    <n v="2"/>
    <n v="0.2"/>
    <n v="453"/>
    <n v="0.21210000000000001"/>
    <n v="0.65"/>
    <n v="0.28360000000000002"/>
    <n v="0"/>
    <n v="56"/>
    <n v="56"/>
    <x v="0"/>
    <x v="1"/>
    <x v="1"/>
  </r>
  <r>
    <n v="455"/>
    <d v="2011-01-28T00:00:00"/>
    <x v="0"/>
    <n v="1"/>
    <x v="15"/>
    <b v="0"/>
    <x v="6"/>
    <n v="2"/>
    <n v="0.2"/>
    <n v="454"/>
    <n v="0.21210000000000001"/>
    <n v="0.65"/>
    <n v="0.32840000000000003"/>
    <n v="3"/>
    <n v="28"/>
    <n v="31"/>
    <x v="0"/>
    <x v="1"/>
    <x v="1"/>
  </r>
  <r>
    <n v="456"/>
    <d v="2011-01-28T00:00:00"/>
    <x v="0"/>
    <n v="1"/>
    <x v="15"/>
    <b v="0"/>
    <x v="6"/>
    <n v="2"/>
    <n v="0.2"/>
    <n v="455"/>
    <n v="0.2273"/>
    <n v="0.7"/>
    <n v="0.25369999999999998"/>
    <n v="1"/>
    <n v="20"/>
    <n v="21"/>
    <x v="0"/>
    <x v="1"/>
    <x v="1"/>
  </r>
  <r>
    <n v="457"/>
    <d v="2011-01-28T00:00:00"/>
    <x v="0"/>
    <n v="1"/>
    <x v="15"/>
    <b v="0"/>
    <x v="6"/>
    <n v="2"/>
    <n v="0.2"/>
    <n v="456"/>
    <n v="0.2273"/>
    <n v="0.7"/>
    <n v="0.25369999999999998"/>
    <n v="0"/>
    <n v="6"/>
    <n v="6"/>
    <x v="0"/>
    <x v="1"/>
    <x v="1"/>
  </r>
  <r>
    <n v="458"/>
    <d v="2011-01-28T00:00:00"/>
    <x v="0"/>
    <n v="1"/>
    <x v="15"/>
    <b v="0"/>
    <x v="6"/>
    <n v="2"/>
    <n v="0.2"/>
    <n v="457"/>
    <n v="0.2424"/>
    <n v="0.75"/>
    <n v="0.16420000000000001"/>
    <n v="0"/>
    <n v="2"/>
    <n v="2"/>
    <x v="0"/>
    <x v="1"/>
    <x v="1"/>
  </r>
  <r>
    <n v="459"/>
    <d v="2011-01-28T00:00:00"/>
    <x v="0"/>
    <n v="1"/>
    <x v="15"/>
    <b v="0"/>
    <x v="6"/>
    <n v="2"/>
    <n v="0.2"/>
    <n v="458"/>
    <n v="0.21210000000000001"/>
    <n v="0.8"/>
    <n v="0.29849999999999999"/>
    <n v="0"/>
    <n v="1"/>
    <n v="1"/>
    <x v="0"/>
    <x v="1"/>
    <x v="1"/>
  </r>
  <r>
    <n v="460"/>
    <d v="2011-01-28T00:00:00"/>
    <x v="0"/>
    <n v="1"/>
    <x v="15"/>
    <b v="0"/>
    <x v="6"/>
    <n v="2"/>
    <n v="0.2"/>
    <n v="459"/>
    <n v="0.2576"/>
    <n v="0.87"/>
    <n v="8.9599999999999999E-2"/>
    <n v="0"/>
    <n v="1"/>
    <n v="1"/>
    <x v="0"/>
    <x v="1"/>
    <x v="1"/>
  </r>
  <r>
    <n v="461"/>
    <d v="2011-01-28T00:00:00"/>
    <x v="0"/>
    <n v="1"/>
    <x v="15"/>
    <b v="0"/>
    <x v="6"/>
    <n v="2"/>
    <n v="0.2"/>
    <n v="460"/>
    <n v="0.19700000000000001"/>
    <n v="0.6"/>
    <n v="0.41789999999999999"/>
    <n v="1"/>
    <n v="4"/>
    <n v="5"/>
    <x v="0"/>
    <x v="1"/>
    <x v="1"/>
  </r>
  <r>
    <n v="462"/>
    <d v="2011-01-28T00:00:00"/>
    <x v="0"/>
    <n v="1"/>
    <x v="15"/>
    <b v="0"/>
    <x v="6"/>
    <n v="2"/>
    <n v="0.2"/>
    <n v="461"/>
    <n v="0.21210000000000001"/>
    <n v="0.55000000000000004"/>
    <n v="0.25369999999999998"/>
    <n v="0"/>
    <n v="27"/>
    <n v="27"/>
    <x v="0"/>
    <x v="1"/>
    <x v="1"/>
  </r>
  <r>
    <n v="463"/>
    <d v="2011-01-28T00:00:00"/>
    <x v="0"/>
    <n v="1"/>
    <x v="15"/>
    <b v="0"/>
    <x v="6"/>
    <n v="2"/>
    <n v="0.2"/>
    <n v="462"/>
    <n v="0.18179999999999999"/>
    <n v="0.51"/>
    <n v="0.28360000000000002"/>
    <n v="2"/>
    <n v="66"/>
    <n v="68"/>
    <x v="0"/>
    <x v="1"/>
    <x v="1"/>
  </r>
  <r>
    <n v="464"/>
    <d v="2011-01-28T00:00:00"/>
    <x v="0"/>
    <n v="1"/>
    <x v="15"/>
    <b v="0"/>
    <x v="6"/>
    <n v="2"/>
    <n v="0.2"/>
    <n v="463"/>
    <n v="0.18179999999999999"/>
    <n v="0.47"/>
    <n v="0.32840000000000003"/>
    <n v="7"/>
    <n v="210"/>
    <n v="217"/>
    <x v="0"/>
    <x v="1"/>
    <x v="1"/>
  </r>
  <r>
    <n v="465"/>
    <d v="2011-01-28T00:00:00"/>
    <x v="0"/>
    <n v="1"/>
    <x v="15"/>
    <b v="0"/>
    <x v="6"/>
    <n v="2"/>
    <n v="0.2"/>
    <n v="464"/>
    <n v="0.18179999999999999"/>
    <n v="0.51"/>
    <n v="0.35820000000000002"/>
    <n v="7"/>
    <n v="159"/>
    <n v="166"/>
    <x v="0"/>
    <x v="1"/>
    <x v="1"/>
  </r>
  <r>
    <n v="466"/>
    <d v="2011-01-28T00:00:00"/>
    <x v="0"/>
    <n v="1"/>
    <x v="15"/>
    <b v="0"/>
    <x v="6"/>
    <n v="2"/>
    <n v="0.2"/>
    <n v="465"/>
    <n v="0.16669999999999999"/>
    <n v="0.47"/>
    <n v="0.4627"/>
    <n v="6"/>
    <n v="57"/>
    <n v="63"/>
    <x v="0"/>
    <x v="1"/>
    <x v="1"/>
  </r>
  <r>
    <n v="467"/>
    <d v="2011-01-28T00:00:00"/>
    <x v="0"/>
    <n v="1"/>
    <x v="15"/>
    <b v="0"/>
    <x v="6"/>
    <n v="2"/>
    <n v="0.2"/>
    <n v="466"/>
    <n v="0.18179999999999999"/>
    <n v="0.41"/>
    <n v="0.4627"/>
    <n v="6"/>
    <n v="53"/>
    <n v="59"/>
    <x v="0"/>
    <x v="1"/>
    <x v="1"/>
  </r>
  <r>
    <n v="468"/>
    <d v="2011-01-28T00:00:00"/>
    <x v="0"/>
    <n v="1"/>
    <x v="15"/>
    <b v="0"/>
    <x v="6"/>
    <n v="2"/>
    <n v="0.2"/>
    <n v="467"/>
    <n v="0.18179999999999999"/>
    <n v="0.27"/>
    <n v="0.58209999999999995"/>
    <n v="11"/>
    <n v="67"/>
    <n v="78"/>
    <x v="0"/>
    <x v="1"/>
    <x v="1"/>
  </r>
  <r>
    <n v="469"/>
    <d v="2011-01-28T00:00:00"/>
    <x v="0"/>
    <n v="1"/>
    <x v="15"/>
    <b v="0"/>
    <x v="6"/>
    <n v="2"/>
    <n v="0.2"/>
    <n v="468"/>
    <n v="0.1515"/>
    <n v="0.21"/>
    <n v="0.58209999999999995"/>
    <n v="8"/>
    <n v="65"/>
    <n v="73"/>
    <x v="0"/>
    <x v="1"/>
    <x v="1"/>
  </r>
  <r>
    <n v="470"/>
    <d v="2011-01-28T00:00:00"/>
    <x v="0"/>
    <n v="1"/>
    <x v="15"/>
    <b v="0"/>
    <x v="6"/>
    <n v="2"/>
    <n v="0.2"/>
    <n v="469"/>
    <n v="0.1515"/>
    <n v="0.25"/>
    <n v="0.52239999999999998"/>
    <n v="6"/>
    <n v="56"/>
    <n v="62"/>
    <x v="0"/>
    <x v="1"/>
    <x v="1"/>
  </r>
  <r>
    <n v="471"/>
    <d v="2011-01-28T00:00:00"/>
    <x v="0"/>
    <n v="1"/>
    <x v="15"/>
    <b v="0"/>
    <x v="6"/>
    <n v="2"/>
    <n v="0.2"/>
    <n v="470"/>
    <n v="0.1212"/>
    <n v="0.26"/>
    <n v="0.44779999999999998"/>
    <n v="4"/>
    <n v="61"/>
    <n v="65"/>
    <x v="0"/>
    <x v="1"/>
    <x v="1"/>
  </r>
  <r>
    <n v="472"/>
    <d v="2011-01-28T00:00:00"/>
    <x v="0"/>
    <n v="1"/>
    <x v="15"/>
    <b v="0"/>
    <x v="6"/>
    <n v="2"/>
    <n v="0.2"/>
    <n v="471"/>
    <n v="0.13639999999999999"/>
    <n v="0.26"/>
    <n v="0.35820000000000002"/>
    <n v="0"/>
    <n v="97"/>
    <n v="97"/>
    <x v="0"/>
    <x v="1"/>
    <x v="1"/>
  </r>
  <r>
    <n v="473"/>
    <d v="2011-01-28T00:00:00"/>
    <x v="0"/>
    <n v="1"/>
    <x v="15"/>
    <b v="0"/>
    <x v="6"/>
    <n v="2"/>
    <n v="0.2"/>
    <n v="472"/>
    <n v="0.1212"/>
    <n v="0.28000000000000003"/>
    <n v="0.35820000000000002"/>
    <n v="10"/>
    <n v="151"/>
    <n v="161"/>
    <x v="0"/>
    <x v="1"/>
    <x v="1"/>
  </r>
  <r>
    <n v="474"/>
    <d v="2011-01-28T00:00:00"/>
    <x v="0"/>
    <n v="1"/>
    <x v="15"/>
    <b v="0"/>
    <x v="6"/>
    <n v="2"/>
    <n v="0.2"/>
    <n v="473"/>
    <n v="0.1212"/>
    <n v="0.3"/>
    <n v="0.25369999999999998"/>
    <n v="1"/>
    <n v="119"/>
    <n v="120"/>
    <x v="0"/>
    <x v="1"/>
    <x v="1"/>
  </r>
  <r>
    <n v="475"/>
    <d v="2011-01-28T00:00:00"/>
    <x v="0"/>
    <n v="1"/>
    <x v="15"/>
    <b v="0"/>
    <x v="6"/>
    <n v="2"/>
    <n v="0.2"/>
    <n v="474"/>
    <n v="0.1061"/>
    <n v="0.3"/>
    <n v="0.32840000000000003"/>
    <n v="3"/>
    <n v="93"/>
    <n v="96"/>
    <x v="0"/>
    <x v="1"/>
    <x v="1"/>
  </r>
  <r>
    <n v="476"/>
    <d v="2011-01-28T00:00:00"/>
    <x v="0"/>
    <n v="1"/>
    <x v="15"/>
    <b v="0"/>
    <x v="6"/>
    <n v="2"/>
    <n v="0.2"/>
    <n v="475"/>
    <n v="7.5800000000000006E-2"/>
    <n v="0.33"/>
    <n v="0.41789999999999999"/>
    <n v="1"/>
    <n v="52"/>
    <n v="53"/>
    <x v="0"/>
    <x v="1"/>
    <x v="1"/>
  </r>
  <r>
    <n v="477"/>
    <d v="2011-01-28T00:00:00"/>
    <x v="0"/>
    <n v="1"/>
    <x v="15"/>
    <b v="0"/>
    <x v="6"/>
    <n v="2"/>
    <n v="0.2"/>
    <n v="476"/>
    <n v="7.5800000000000006E-2"/>
    <n v="0.38"/>
    <n v="0.28360000000000002"/>
    <n v="0"/>
    <n v="41"/>
    <n v="41"/>
    <x v="0"/>
    <x v="1"/>
    <x v="1"/>
  </r>
  <r>
    <n v="478"/>
    <d v="2011-01-28T00:00:00"/>
    <x v="0"/>
    <n v="1"/>
    <x v="15"/>
    <b v="0"/>
    <x v="6"/>
    <n v="2"/>
    <n v="0.2"/>
    <n v="477"/>
    <n v="3.0300000000000001E-2"/>
    <n v="0.41"/>
    <n v="0.3881"/>
    <n v="1"/>
    <n v="33"/>
    <n v="34"/>
    <x v="0"/>
    <x v="1"/>
    <x v="1"/>
  </r>
  <r>
    <n v="479"/>
    <d v="2011-01-28T00:00:00"/>
    <x v="0"/>
    <n v="1"/>
    <x v="15"/>
    <b v="0"/>
    <x v="6"/>
    <n v="2"/>
    <n v="0.2"/>
    <n v="478"/>
    <n v="4.5499999999999999E-2"/>
    <n v="0.38"/>
    <n v="0.32840000000000003"/>
    <n v="0"/>
    <n v="27"/>
    <n v="27"/>
    <x v="0"/>
    <x v="1"/>
    <x v="1"/>
  </r>
  <r>
    <n v="480"/>
    <d v="2011-01-28T00:00:00"/>
    <x v="0"/>
    <n v="1"/>
    <x v="15"/>
    <b v="0"/>
    <x v="6"/>
    <n v="2"/>
    <n v="0.2"/>
    <n v="479"/>
    <n v="3.0300000000000001E-2"/>
    <n v="0.45"/>
    <n v="0.25369999999999998"/>
    <n v="0"/>
    <n v="13"/>
    <n v="13"/>
    <x v="0"/>
    <x v="1"/>
    <x v="1"/>
  </r>
  <r>
    <n v="481"/>
    <d v="2011-01-28T00:00:00"/>
    <x v="0"/>
    <n v="1"/>
    <x v="15"/>
    <b v="0"/>
    <x v="6"/>
    <n v="2"/>
    <n v="0.2"/>
    <n v="480"/>
    <n v="0"/>
    <n v="0.41"/>
    <n v="0.3881"/>
    <n v="3"/>
    <n v="9"/>
    <n v="12"/>
    <x v="0"/>
    <x v="1"/>
    <x v="1"/>
  </r>
  <r>
    <n v="482"/>
    <d v="2011-01-28T00:00:00"/>
    <x v="0"/>
    <n v="1"/>
    <x v="15"/>
    <b v="0"/>
    <x v="6"/>
    <n v="2"/>
    <n v="0.2"/>
    <n v="481"/>
    <n v="3.0300000000000001E-2"/>
    <n v="0.41"/>
    <n v="0.25369999999999998"/>
    <n v="0"/>
    <n v="11"/>
    <n v="11"/>
    <x v="0"/>
    <x v="1"/>
    <x v="1"/>
  </r>
  <r>
    <n v="483"/>
    <d v="2011-01-28T00:00:00"/>
    <x v="0"/>
    <n v="1"/>
    <x v="15"/>
    <b v="0"/>
    <x v="6"/>
    <n v="2"/>
    <n v="0.2"/>
    <n v="482"/>
    <n v="3.0300000000000001E-2"/>
    <n v="0.41"/>
    <n v="0.28360000000000002"/>
    <n v="1"/>
    <n v="6"/>
    <n v="7"/>
    <x v="0"/>
    <x v="1"/>
    <x v="1"/>
  </r>
  <r>
    <n v="484"/>
    <d v="2011-01-28T00:00:00"/>
    <x v="0"/>
    <n v="1"/>
    <x v="15"/>
    <b v="0"/>
    <x v="6"/>
    <n v="2"/>
    <n v="0.2"/>
    <n v="483"/>
    <n v="1.52E-2"/>
    <n v="0.48"/>
    <n v="0.29849999999999999"/>
    <n v="0"/>
    <n v="3"/>
    <n v="3"/>
    <x v="0"/>
    <x v="1"/>
    <x v="1"/>
  </r>
  <r>
    <n v="485"/>
    <d v="2011-01-28T00:00:00"/>
    <x v="0"/>
    <n v="1"/>
    <x v="15"/>
    <b v="0"/>
    <x v="6"/>
    <n v="2"/>
    <n v="0.2"/>
    <n v="484"/>
    <n v="3.0300000000000001E-2"/>
    <n v="0.44"/>
    <n v="0.22389999999999999"/>
    <n v="0"/>
    <n v="2"/>
    <n v="2"/>
    <x v="0"/>
    <x v="1"/>
    <x v="1"/>
  </r>
  <r>
    <n v="486"/>
    <d v="2011-01-28T00:00:00"/>
    <x v="0"/>
    <n v="1"/>
    <x v="15"/>
    <b v="0"/>
    <x v="6"/>
    <n v="2"/>
    <n v="0.2"/>
    <n v="485"/>
    <n v="1.52E-2"/>
    <n v="0.44"/>
    <n v="0.28360000000000002"/>
    <n v="0"/>
    <n v="8"/>
    <n v="8"/>
    <x v="0"/>
    <x v="1"/>
    <x v="1"/>
  </r>
  <r>
    <n v="487"/>
    <d v="2011-01-28T00:00:00"/>
    <x v="0"/>
    <n v="1"/>
    <x v="15"/>
    <b v="0"/>
    <x v="6"/>
    <n v="2"/>
    <n v="0.2"/>
    <n v="486"/>
    <n v="0"/>
    <n v="0.44"/>
    <n v="0.32840000000000003"/>
    <n v="1"/>
    <n v="26"/>
    <n v="27"/>
    <x v="0"/>
    <x v="1"/>
    <x v="1"/>
  </r>
  <r>
    <n v="488"/>
    <d v="2011-01-28T00:00:00"/>
    <x v="0"/>
    <n v="1"/>
    <x v="15"/>
    <b v="0"/>
    <x v="6"/>
    <n v="2"/>
    <n v="0.2"/>
    <n v="487"/>
    <n v="3.0300000000000001E-2"/>
    <n v="0.41"/>
    <n v="0.25369999999999998"/>
    <n v="3"/>
    <n v="37"/>
    <n v="40"/>
    <x v="0"/>
    <x v="1"/>
    <x v="1"/>
  </r>
  <r>
    <n v="489"/>
    <d v="2011-01-28T00:00:00"/>
    <x v="0"/>
    <n v="1"/>
    <x v="15"/>
    <b v="0"/>
    <x v="6"/>
    <n v="2"/>
    <n v="0.2"/>
    <n v="488"/>
    <n v="6.0600000000000001E-2"/>
    <n v="0.41"/>
    <n v="0.16420000000000001"/>
    <n v="3"/>
    <n v="50"/>
    <n v="53"/>
    <x v="0"/>
    <x v="1"/>
    <x v="1"/>
  </r>
  <r>
    <n v="490"/>
    <d v="2011-01-28T00:00:00"/>
    <x v="0"/>
    <n v="1"/>
    <x v="15"/>
    <b v="0"/>
    <x v="6"/>
    <n v="2"/>
    <n v="0.2"/>
    <n v="489"/>
    <n v="7.5800000000000006E-2"/>
    <n v="0.38"/>
    <n v="0.1343"/>
    <n v="4"/>
    <n v="59"/>
    <n v="63"/>
    <x v="0"/>
    <x v="1"/>
    <x v="1"/>
  </r>
  <r>
    <n v="491"/>
    <d v="2011-01-28T00:00:00"/>
    <x v="0"/>
    <n v="1"/>
    <x v="15"/>
    <b v="0"/>
    <x v="6"/>
    <n v="2"/>
    <n v="0.2"/>
    <n v="490"/>
    <n v="0.1061"/>
    <n v="0.38"/>
    <n v="0.1045"/>
    <n v="10"/>
    <n v="60"/>
    <n v="70"/>
    <x v="0"/>
    <x v="1"/>
    <x v="1"/>
  </r>
  <r>
    <n v="492"/>
    <d v="2011-01-28T00:00:00"/>
    <x v="0"/>
    <n v="1"/>
    <x v="15"/>
    <b v="0"/>
    <x v="6"/>
    <n v="2"/>
    <n v="0.2"/>
    <n v="491"/>
    <n v="0.16669999999999999"/>
    <n v="0.35"/>
    <n v="0"/>
    <n v="12"/>
    <n v="72"/>
    <n v="84"/>
    <x v="0"/>
    <x v="1"/>
    <x v="1"/>
  </r>
  <r>
    <n v="493"/>
    <d v="2011-01-28T00:00:00"/>
    <x v="0"/>
    <n v="1"/>
    <x v="15"/>
    <b v="0"/>
    <x v="6"/>
    <n v="2"/>
    <n v="0.2"/>
    <n v="492"/>
    <n v="0.13639999999999999"/>
    <n v="0.33"/>
    <n v="0.1045"/>
    <n v="11"/>
    <n v="64"/>
    <n v="75"/>
    <x v="0"/>
    <x v="1"/>
    <x v="1"/>
  </r>
  <r>
    <n v="494"/>
    <d v="2011-01-28T00:00:00"/>
    <x v="0"/>
    <n v="1"/>
    <x v="15"/>
    <b v="0"/>
    <x v="6"/>
    <n v="2"/>
    <n v="0.2"/>
    <n v="493"/>
    <n v="0.1515"/>
    <n v="0.28000000000000003"/>
    <n v="0"/>
    <n v="10"/>
    <n v="93"/>
    <n v="103"/>
    <x v="0"/>
    <x v="1"/>
    <x v="1"/>
  </r>
  <r>
    <n v="495"/>
    <d v="2011-01-28T00:00:00"/>
    <x v="0"/>
    <n v="1"/>
    <x v="15"/>
    <b v="0"/>
    <x v="6"/>
    <n v="2"/>
    <n v="0.2"/>
    <n v="494"/>
    <n v="0.13639999999999999"/>
    <n v="0.28000000000000003"/>
    <n v="0.19400000000000001"/>
    <n v="11"/>
    <n v="72"/>
    <n v="83"/>
    <x v="0"/>
    <x v="1"/>
    <x v="1"/>
  </r>
  <r>
    <n v="496"/>
    <d v="2011-01-28T00:00:00"/>
    <x v="0"/>
    <n v="1"/>
    <x v="15"/>
    <b v="0"/>
    <x v="6"/>
    <n v="2"/>
    <n v="0.2"/>
    <n v="495"/>
    <n v="0.19700000000000001"/>
    <n v="0.28000000000000003"/>
    <n v="0"/>
    <n v="8"/>
    <n v="59"/>
    <n v="67"/>
    <x v="0"/>
    <x v="1"/>
    <x v="1"/>
  </r>
  <r>
    <n v="497"/>
    <d v="2011-01-28T00:00:00"/>
    <x v="0"/>
    <n v="1"/>
    <x v="15"/>
    <b v="0"/>
    <x v="6"/>
    <n v="2"/>
    <n v="0.2"/>
    <n v="496"/>
    <n v="9.0899999999999995E-2"/>
    <n v="0.35"/>
    <n v="0.19400000000000001"/>
    <n v="0"/>
    <n v="54"/>
    <n v="54"/>
    <x v="0"/>
    <x v="1"/>
    <x v="1"/>
  </r>
  <r>
    <n v="498"/>
    <d v="2011-01-28T00:00:00"/>
    <x v="0"/>
    <n v="1"/>
    <x v="15"/>
    <b v="0"/>
    <x v="6"/>
    <n v="2"/>
    <n v="0.2"/>
    <n v="497"/>
    <n v="0.1061"/>
    <n v="0.35"/>
    <n v="0.1343"/>
    <n v="6"/>
    <n v="53"/>
    <n v="59"/>
    <x v="0"/>
    <x v="1"/>
    <x v="1"/>
  </r>
  <r>
    <n v="499"/>
    <d v="2011-01-28T00:00:00"/>
    <x v="0"/>
    <n v="1"/>
    <x v="15"/>
    <b v="0"/>
    <x v="6"/>
    <n v="2"/>
    <n v="0.2"/>
    <n v="498"/>
    <n v="7.5800000000000006E-2"/>
    <n v="0.45"/>
    <n v="0.16420000000000001"/>
    <n v="1"/>
    <n v="44"/>
    <n v="45"/>
    <x v="0"/>
    <x v="1"/>
    <x v="1"/>
  </r>
  <r>
    <n v="500"/>
    <d v="2011-01-28T00:00:00"/>
    <x v="0"/>
    <n v="1"/>
    <x v="15"/>
    <b v="0"/>
    <x v="6"/>
    <n v="2"/>
    <n v="0.2"/>
    <n v="499"/>
    <n v="0.1061"/>
    <n v="0.41"/>
    <n v="8.9599999999999999E-2"/>
    <n v="0"/>
    <n v="39"/>
    <n v="39"/>
    <x v="0"/>
    <x v="1"/>
    <x v="1"/>
  </r>
  <r>
    <n v="501"/>
    <d v="2011-01-28T00:00:00"/>
    <x v="0"/>
    <n v="1"/>
    <x v="15"/>
    <b v="0"/>
    <x v="6"/>
    <n v="2"/>
    <n v="0.2"/>
    <n v="500"/>
    <n v="0.1515"/>
    <n v="0.49"/>
    <n v="0"/>
    <n v="7"/>
    <n v="23"/>
    <n v="30"/>
    <x v="0"/>
    <x v="1"/>
    <x v="1"/>
  </r>
  <r>
    <n v="502"/>
    <d v="2011-01-28T00:00:00"/>
    <x v="0"/>
    <n v="1"/>
    <x v="15"/>
    <b v="0"/>
    <x v="6"/>
    <n v="2"/>
    <n v="0.2"/>
    <n v="501"/>
    <n v="7.5800000000000006E-2"/>
    <n v="0.56999999999999995"/>
    <n v="0.1045"/>
    <n v="2"/>
    <n v="31"/>
    <n v="33"/>
    <x v="0"/>
    <x v="1"/>
    <x v="1"/>
  </r>
  <r>
    <n v="503"/>
    <d v="2011-01-28T00:00:00"/>
    <x v="0"/>
    <n v="1"/>
    <x v="15"/>
    <b v="0"/>
    <x v="6"/>
    <n v="2"/>
    <n v="0.2"/>
    <n v="502"/>
    <n v="7.5800000000000006E-2"/>
    <n v="0.56999999999999995"/>
    <n v="0.1045"/>
    <n v="2"/>
    <n v="20"/>
    <n v="22"/>
    <x v="0"/>
    <x v="1"/>
    <x v="1"/>
  </r>
  <r>
    <n v="504"/>
    <d v="2011-01-28T00:00:00"/>
    <x v="0"/>
    <n v="1"/>
    <x v="15"/>
    <b v="0"/>
    <x v="6"/>
    <n v="2"/>
    <n v="0.2"/>
    <n v="503"/>
    <n v="7.5800000000000006E-2"/>
    <n v="0.56999999999999995"/>
    <n v="0.1045"/>
    <n v="1"/>
    <n v="12"/>
    <n v="13"/>
    <x v="0"/>
    <x v="1"/>
    <x v="1"/>
  </r>
  <r>
    <n v="505"/>
    <d v="2011-01-28T00:00:00"/>
    <x v="0"/>
    <n v="1"/>
    <x v="15"/>
    <b v="0"/>
    <x v="6"/>
    <n v="2"/>
    <n v="0.2"/>
    <n v="504"/>
    <n v="6.0600000000000001E-2"/>
    <n v="0.62"/>
    <n v="0.1343"/>
    <n v="3"/>
    <n v="15"/>
    <n v="18"/>
    <x v="0"/>
    <x v="1"/>
    <x v="1"/>
  </r>
  <r>
    <n v="506"/>
    <d v="2011-01-28T00:00:00"/>
    <x v="0"/>
    <n v="1"/>
    <x v="15"/>
    <b v="0"/>
    <x v="6"/>
    <n v="2"/>
    <n v="0.2"/>
    <n v="505"/>
    <n v="6.0600000000000001E-2"/>
    <n v="0.62"/>
    <n v="0.1343"/>
    <n v="1"/>
    <n v="4"/>
    <n v="5"/>
    <x v="0"/>
    <x v="1"/>
    <x v="1"/>
  </r>
  <r>
    <n v="507"/>
    <d v="2011-01-28T00:00:00"/>
    <x v="0"/>
    <n v="1"/>
    <x v="15"/>
    <b v="0"/>
    <x v="6"/>
    <n v="2"/>
    <n v="0.2"/>
    <n v="506"/>
    <n v="7.5800000000000006E-2"/>
    <n v="0.56999999999999995"/>
    <n v="0.1045"/>
    <n v="0"/>
    <n v="3"/>
    <n v="3"/>
    <x v="0"/>
    <x v="1"/>
    <x v="1"/>
  </r>
  <r>
    <n v="508"/>
    <d v="2011-01-28T00:00:00"/>
    <x v="0"/>
    <n v="1"/>
    <x v="15"/>
    <b v="0"/>
    <x v="6"/>
    <n v="2"/>
    <n v="0.2"/>
    <n v="507"/>
    <n v="7.5800000000000006E-2"/>
    <n v="0.56999999999999995"/>
    <n v="0.1045"/>
    <n v="0"/>
    <n v="1"/>
    <n v="1"/>
    <x v="0"/>
    <x v="1"/>
    <x v="1"/>
  </r>
  <r>
    <n v="509"/>
    <d v="2011-01-28T00:00:00"/>
    <x v="0"/>
    <n v="1"/>
    <x v="15"/>
    <b v="0"/>
    <x v="6"/>
    <n v="2"/>
    <n v="0.2"/>
    <n v="508"/>
    <n v="0.1061"/>
    <n v="0.57999999999999996"/>
    <n v="0.16420000000000001"/>
    <n v="1"/>
    <n v="1"/>
    <n v="2"/>
    <x v="0"/>
    <x v="1"/>
    <x v="1"/>
  </r>
  <r>
    <n v="510"/>
    <d v="2011-01-28T00:00:00"/>
    <x v="0"/>
    <n v="1"/>
    <x v="15"/>
    <b v="0"/>
    <x v="6"/>
    <n v="2"/>
    <n v="0.2"/>
    <n v="509"/>
    <n v="7.5800000000000006E-2"/>
    <n v="0.62"/>
    <n v="0.16420000000000001"/>
    <n v="2"/>
    <n v="17"/>
    <n v="19"/>
    <x v="0"/>
    <x v="1"/>
    <x v="1"/>
  </r>
  <r>
    <n v="511"/>
    <d v="2011-01-28T00:00:00"/>
    <x v="0"/>
    <n v="1"/>
    <x v="15"/>
    <b v="0"/>
    <x v="6"/>
    <n v="2"/>
    <n v="0.2"/>
    <n v="510"/>
    <n v="7.5800000000000006E-2"/>
    <n v="0.54"/>
    <n v="0.35820000000000002"/>
    <n v="3"/>
    <n v="25"/>
    <n v="28"/>
    <x v="0"/>
    <x v="1"/>
    <x v="1"/>
  </r>
  <r>
    <n v="512"/>
    <d v="2011-01-28T00:00:00"/>
    <x v="0"/>
    <n v="1"/>
    <x v="15"/>
    <b v="0"/>
    <x v="6"/>
    <n v="2"/>
    <n v="0.2"/>
    <n v="511"/>
    <n v="0.1061"/>
    <n v="0.46"/>
    <n v="0.3881"/>
    <n v="7"/>
    <n v="51"/>
    <n v="58"/>
    <x v="0"/>
    <x v="1"/>
    <x v="1"/>
  </r>
  <r>
    <n v="513"/>
    <d v="2011-01-28T00:00:00"/>
    <x v="0"/>
    <n v="1"/>
    <x v="15"/>
    <b v="0"/>
    <x v="6"/>
    <n v="2"/>
    <n v="0.2"/>
    <n v="512"/>
    <n v="0.13639999999999999"/>
    <n v="0.43"/>
    <n v="0.22389999999999999"/>
    <n v="22"/>
    <n v="77"/>
    <n v="99"/>
    <x v="0"/>
    <x v="1"/>
    <x v="1"/>
  </r>
  <r>
    <n v="514"/>
    <d v="2011-01-28T00:00:00"/>
    <x v="0"/>
    <n v="1"/>
    <x v="15"/>
    <b v="0"/>
    <x v="6"/>
    <n v="2"/>
    <n v="0.2"/>
    <n v="513"/>
    <n v="0.1212"/>
    <n v="0.37"/>
    <n v="0.4627"/>
    <n v="24"/>
    <n v="92"/>
    <n v="116"/>
    <x v="0"/>
    <x v="1"/>
    <x v="1"/>
  </r>
  <r>
    <n v="515"/>
    <d v="2011-01-28T00:00:00"/>
    <x v="0"/>
    <n v="1"/>
    <x v="15"/>
    <b v="0"/>
    <x v="6"/>
    <n v="2"/>
    <n v="0.2"/>
    <n v="514"/>
    <n v="0.1061"/>
    <n v="0.33"/>
    <n v="0.3881"/>
    <n v="12"/>
    <n v="75"/>
    <n v="87"/>
    <x v="0"/>
    <x v="1"/>
    <x v="1"/>
  </r>
  <r>
    <n v="516"/>
    <d v="2011-01-28T00:00:00"/>
    <x v="0"/>
    <n v="1"/>
    <x v="15"/>
    <b v="0"/>
    <x v="6"/>
    <n v="2"/>
    <n v="0.2"/>
    <n v="515"/>
    <n v="0.13639999999999999"/>
    <n v="0.28000000000000003"/>
    <n v="0.35820000000000002"/>
    <n v="17"/>
    <n v="93"/>
    <n v="110"/>
    <x v="0"/>
    <x v="1"/>
    <x v="1"/>
  </r>
  <r>
    <n v="517"/>
    <d v="2011-01-28T00:00:00"/>
    <x v="0"/>
    <n v="1"/>
    <x v="15"/>
    <b v="0"/>
    <x v="6"/>
    <n v="2"/>
    <n v="0.2"/>
    <n v="516"/>
    <n v="0.13639999999999999"/>
    <n v="0.28000000000000003"/>
    <n v="0.35820000000000002"/>
    <n v="13"/>
    <n v="64"/>
    <n v="77"/>
    <x v="0"/>
    <x v="1"/>
    <x v="1"/>
  </r>
  <r>
    <n v="518"/>
    <d v="2011-01-28T00:00:00"/>
    <x v="0"/>
    <n v="1"/>
    <x v="15"/>
    <b v="0"/>
    <x v="6"/>
    <n v="2"/>
    <n v="0.2"/>
    <n v="517"/>
    <n v="0.13639999999999999"/>
    <n v="0.26"/>
    <n v="0.32840000000000003"/>
    <n v="9"/>
    <n v="56"/>
    <n v="65"/>
    <x v="0"/>
    <x v="1"/>
    <x v="1"/>
  </r>
  <r>
    <n v="519"/>
    <d v="2011-01-28T00:00:00"/>
    <x v="0"/>
    <n v="1"/>
    <x v="15"/>
    <b v="0"/>
    <x v="6"/>
    <n v="2"/>
    <n v="0.2"/>
    <n v="518"/>
    <n v="0.1061"/>
    <n v="0.26"/>
    <n v="0.3881"/>
    <n v="5"/>
    <n v="50"/>
    <n v="55"/>
    <x v="0"/>
    <x v="1"/>
    <x v="1"/>
  </r>
  <r>
    <n v="520"/>
    <d v="2011-01-28T00:00:00"/>
    <x v="0"/>
    <n v="1"/>
    <x v="15"/>
    <b v="0"/>
    <x v="6"/>
    <n v="2"/>
    <n v="0.2"/>
    <n v="519"/>
    <n v="0.1212"/>
    <n v="0.3"/>
    <n v="0.25369999999999998"/>
    <n v="5"/>
    <n v="44"/>
    <n v="49"/>
    <x v="0"/>
    <x v="1"/>
    <x v="1"/>
  </r>
  <r>
    <n v="521"/>
    <d v="2011-01-28T00:00:00"/>
    <x v="0"/>
    <n v="1"/>
    <x v="15"/>
    <b v="0"/>
    <x v="6"/>
    <n v="2"/>
    <n v="0.2"/>
    <n v="520"/>
    <n v="0.1212"/>
    <n v="0.3"/>
    <n v="0.28360000000000002"/>
    <n v="5"/>
    <n v="45"/>
    <n v="50"/>
    <x v="0"/>
    <x v="1"/>
    <x v="1"/>
  </r>
  <r>
    <n v="522"/>
    <d v="2011-01-28T00:00:00"/>
    <x v="0"/>
    <n v="1"/>
    <x v="15"/>
    <b v="0"/>
    <x v="6"/>
    <n v="2"/>
    <n v="0.2"/>
    <n v="521"/>
    <n v="0.1061"/>
    <n v="0.36"/>
    <n v="0.25369999999999998"/>
    <n v="4"/>
    <n v="31"/>
    <n v="35"/>
    <x v="0"/>
    <x v="1"/>
    <x v="1"/>
  </r>
  <r>
    <n v="523"/>
    <d v="2011-01-28T00:00:00"/>
    <x v="0"/>
    <n v="1"/>
    <x v="15"/>
    <b v="0"/>
    <x v="6"/>
    <n v="2"/>
    <n v="0.2"/>
    <n v="522"/>
    <n v="0.1061"/>
    <n v="0.36"/>
    <n v="0.19400000000000001"/>
    <n v="5"/>
    <n v="20"/>
    <n v="25"/>
    <x v="0"/>
    <x v="1"/>
    <x v="1"/>
  </r>
  <r>
    <n v="524"/>
    <d v="2011-01-28T00:00:00"/>
    <x v="0"/>
    <n v="1"/>
    <x v="15"/>
    <b v="0"/>
    <x v="6"/>
    <n v="2"/>
    <n v="0.2"/>
    <n v="523"/>
    <n v="9.0899999999999995E-2"/>
    <n v="0.38"/>
    <n v="0.19400000000000001"/>
    <n v="5"/>
    <n v="23"/>
    <n v="28"/>
    <x v="0"/>
    <x v="1"/>
    <x v="1"/>
  </r>
  <r>
    <n v="525"/>
    <d v="2011-01-28T00:00:00"/>
    <x v="0"/>
    <n v="1"/>
    <x v="15"/>
    <b v="0"/>
    <x v="6"/>
    <n v="2"/>
    <n v="0.2"/>
    <n v="524"/>
    <n v="6.0600000000000001E-2"/>
    <n v="0.41"/>
    <n v="0.22389999999999999"/>
    <n v="4"/>
    <n v="17"/>
    <n v="21"/>
    <x v="0"/>
    <x v="1"/>
    <x v="1"/>
  </r>
  <r>
    <n v="526"/>
    <d v="2011-01-28T00:00:00"/>
    <x v="0"/>
    <n v="1"/>
    <x v="15"/>
    <b v="0"/>
    <x v="6"/>
    <n v="2"/>
    <n v="0.2"/>
    <n v="525"/>
    <n v="6.0600000000000001E-2"/>
    <n v="0.41"/>
    <n v="0.19400000000000001"/>
    <n v="0"/>
    <n v="7"/>
    <n v="7"/>
    <x v="0"/>
    <x v="1"/>
    <x v="1"/>
  </r>
  <r>
    <n v="527"/>
    <d v="2011-01-28T00:00:00"/>
    <x v="0"/>
    <n v="1"/>
    <x v="15"/>
    <b v="0"/>
    <x v="6"/>
    <n v="2"/>
    <n v="0.2"/>
    <n v="526"/>
    <n v="4.5499999999999999E-2"/>
    <n v="0.45"/>
    <n v="0.19400000000000001"/>
    <n v="0"/>
    <n v="1"/>
    <n v="1"/>
    <x v="0"/>
    <x v="1"/>
    <x v="1"/>
  </r>
  <r>
    <n v="528"/>
    <d v="2011-01-28T00:00:00"/>
    <x v="0"/>
    <n v="1"/>
    <x v="15"/>
    <b v="0"/>
    <x v="6"/>
    <n v="2"/>
    <n v="0.2"/>
    <n v="527"/>
    <n v="3.0300000000000001E-2"/>
    <n v="0.45"/>
    <n v="0.25369999999999998"/>
    <n v="0"/>
    <n v="1"/>
    <n v="1"/>
    <x v="0"/>
    <x v="1"/>
    <x v="1"/>
  </r>
  <r>
    <n v="529"/>
    <d v="2011-01-28T00:00:00"/>
    <x v="0"/>
    <n v="1"/>
    <x v="15"/>
    <b v="0"/>
    <x v="6"/>
    <n v="2"/>
    <n v="0.2"/>
    <n v="528"/>
    <n v="6.0600000000000001E-2"/>
    <n v="0.48"/>
    <n v="0.1343"/>
    <n v="0"/>
    <n v="1"/>
    <n v="1"/>
    <x v="0"/>
    <x v="1"/>
    <x v="1"/>
  </r>
  <r>
    <n v="530"/>
    <d v="2011-01-28T00:00:00"/>
    <x v="0"/>
    <n v="1"/>
    <x v="15"/>
    <b v="0"/>
    <x v="6"/>
    <n v="2"/>
    <n v="0.2"/>
    <n v="529"/>
    <n v="6.0600000000000001E-2"/>
    <n v="0.48"/>
    <n v="0.1343"/>
    <n v="0"/>
    <n v="5"/>
    <n v="5"/>
    <x v="0"/>
    <x v="1"/>
    <x v="1"/>
  </r>
  <r>
    <n v="531"/>
    <d v="2011-01-28T00:00:00"/>
    <x v="0"/>
    <n v="1"/>
    <x v="15"/>
    <b v="0"/>
    <x v="6"/>
    <n v="2"/>
    <n v="0.2"/>
    <n v="530"/>
    <n v="7.5800000000000006E-2"/>
    <n v="0.48"/>
    <n v="8.9599999999999999E-2"/>
    <n v="0"/>
    <n v="15"/>
    <n v="15"/>
    <x v="0"/>
    <x v="1"/>
    <x v="1"/>
  </r>
  <r>
    <n v="532"/>
    <d v="2011-01-28T00:00:00"/>
    <x v="0"/>
    <n v="1"/>
    <x v="15"/>
    <b v="0"/>
    <x v="6"/>
    <n v="2"/>
    <n v="0.2"/>
    <n v="531"/>
    <n v="0.1212"/>
    <n v="0.48"/>
    <n v="0"/>
    <n v="5"/>
    <n v="79"/>
    <n v="84"/>
    <x v="0"/>
    <x v="1"/>
    <x v="1"/>
  </r>
  <r>
    <n v="533"/>
    <d v="2011-01-28T00:00:00"/>
    <x v="0"/>
    <n v="1"/>
    <x v="15"/>
    <b v="0"/>
    <x v="6"/>
    <n v="2"/>
    <n v="0.2"/>
    <n v="532"/>
    <n v="0.13639999999999999"/>
    <n v="0.49"/>
    <n v="0"/>
    <n v="6"/>
    <n v="171"/>
    <n v="177"/>
    <x v="0"/>
    <x v="1"/>
    <x v="1"/>
  </r>
  <r>
    <n v="534"/>
    <d v="2011-01-28T00:00:00"/>
    <x v="0"/>
    <n v="1"/>
    <x v="15"/>
    <b v="0"/>
    <x v="6"/>
    <n v="2"/>
    <n v="0.2"/>
    <n v="533"/>
    <n v="0.1515"/>
    <n v="0.41"/>
    <n v="0"/>
    <n v="4"/>
    <n v="98"/>
    <n v="102"/>
    <x v="0"/>
    <x v="1"/>
    <x v="1"/>
  </r>
  <r>
    <n v="535"/>
    <d v="2011-01-28T00:00:00"/>
    <x v="0"/>
    <n v="1"/>
    <x v="15"/>
    <b v="0"/>
    <x v="6"/>
    <n v="2"/>
    <n v="0.2"/>
    <n v="534"/>
    <n v="0.13639999999999999"/>
    <n v="0.42"/>
    <n v="0"/>
    <n v="6"/>
    <n v="34"/>
    <n v="40"/>
    <x v="0"/>
    <x v="1"/>
    <x v="1"/>
  </r>
  <r>
    <n v="536"/>
    <d v="2011-01-28T00:00:00"/>
    <x v="0"/>
    <n v="1"/>
    <x v="15"/>
    <b v="0"/>
    <x v="6"/>
    <n v="2"/>
    <n v="0.2"/>
    <n v="535"/>
    <n v="0.1212"/>
    <n v="0.46"/>
    <n v="0.1343"/>
    <n v="3"/>
    <n v="43"/>
    <n v="46"/>
    <x v="0"/>
    <x v="1"/>
    <x v="1"/>
  </r>
  <r>
    <n v="537"/>
    <d v="2011-01-28T00:00:00"/>
    <x v="0"/>
    <n v="1"/>
    <x v="15"/>
    <b v="0"/>
    <x v="6"/>
    <n v="2"/>
    <n v="0.2"/>
    <n v="536"/>
    <n v="0.13639999999999999"/>
    <n v="0.42"/>
    <n v="0.19400000000000001"/>
    <n v="11"/>
    <n v="52"/>
    <n v="63"/>
    <x v="0"/>
    <x v="1"/>
    <x v="1"/>
  </r>
  <r>
    <n v="538"/>
    <d v="2011-01-28T00:00:00"/>
    <x v="0"/>
    <n v="1"/>
    <x v="15"/>
    <b v="0"/>
    <x v="6"/>
    <n v="2"/>
    <n v="0.2"/>
    <n v="537"/>
    <n v="0.13639999999999999"/>
    <n v="0.43"/>
    <n v="0.22389999999999999"/>
    <n v="6"/>
    <n v="54"/>
    <n v="60"/>
    <x v="0"/>
    <x v="1"/>
    <x v="1"/>
  </r>
  <r>
    <n v="539"/>
    <d v="2011-01-28T00:00:00"/>
    <x v="0"/>
    <n v="1"/>
    <x v="15"/>
    <b v="0"/>
    <x v="6"/>
    <n v="2"/>
    <n v="0.2"/>
    <n v="538"/>
    <n v="0.13639999999999999"/>
    <n v="0.46"/>
    <n v="0.22389999999999999"/>
    <n v="2"/>
    <n v="43"/>
    <n v="45"/>
    <x v="0"/>
    <x v="1"/>
    <x v="1"/>
  </r>
  <r>
    <n v="540"/>
    <d v="2011-01-28T00:00:00"/>
    <x v="0"/>
    <n v="1"/>
    <x v="15"/>
    <b v="0"/>
    <x v="6"/>
    <n v="2"/>
    <n v="0.2"/>
    <n v="539"/>
    <n v="0.16669999999999999"/>
    <n v="0.4"/>
    <n v="0.16420000000000001"/>
    <n v="7"/>
    <n v="50"/>
    <n v="57"/>
    <x v="0"/>
    <x v="1"/>
    <x v="1"/>
  </r>
  <r>
    <n v="541"/>
    <d v="2011-01-28T00:00:00"/>
    <x v="0"/>
    <n v="1"/>
    <x v="15"/>
    <b v="0"/>
    <x v="6"/>
    <n v="2"/>
    <n v="0.2"/>
    <n v="540"/>
    <n v="0.1515"/>
    <n v="0.47"/>
    <n v="0.25369999999999998"/>
    <n v="4"/>
    <n v="66"/>
    <n v="70"/>
    <x v="0"/>
    <x v="1"/>
    <x v="1"/>
  </r>
  <r>
    <n v="542"/>
    <d v="2011-01-28T00:00:00"/>
    <x v="0"/>
    <n v="1"/>
    <x v="15"/>
    <b v="0"/>
    <x v="6"/>
    <n v="2"/>
    <n v="0.2"/>
    <n v="541"/>
    <n v="0.1212"/>
    <n v="0.5"/>
    <n v="0.25369999999999998"/>
    <n v="6"/>
    <n v="178"/>
    <n v="184"/>
    <x v="0"/>
    <x v="1"/>
    <x v="1"/>
  </r>
  <r>
    <n v="543"/>
    <d v="2011-01-28T00:00:00"/>
    <x v="0"/>
    <n v="1"/>
    <x v="15"/>
    <b v="0"/>
    <x v="6"/>
    <n v="2"/>
    <n v="0.2"/>
    <n v="542"/>
    <n v="0.13639999999999999"/>
    <n v="0.59"/>
    <n v="0.19400000000000001"/>
    <n v="8"/>
    <n v="145"/>
    <n v="153"/>
    <x v="0"/>
    <x v="1"/>
    <x v="1"/>
  </r>
  <r>
    <n v="544"/>
    <d v="2011-01-28T00:00:00"/>
    <x v="0"/>
    <n v="1"/>
    <x v="15"/>
    <b v="0"/>
    <x v="6"/>
    <n v="2"/>
    <n v="0.2"/>
    <n v="543"/>
    <n v="0.1515"/>
    <n v="0.54"/>
    <n v="0.16420000000000001"/>
    <n v="5"/>
    <n v="101"/>
    <n v="106"/>
    <x v="0"/>
    <x v="1"/>
    <x v="1"/>
  </r>
  <r>
    <n v="545"/>
    <d v="2011-01-28T00:00:00"/>
    <x v="0"/>
    <n v="1"/>
    <x v="15"/>
    <b v="0"/>
    <x v="6"/>
    <n v="2"/>
    <n v="0.2"/>
    <n v="544"/>
    <n v="0.13639999999999999"/>
    <n v="0.59"/>
    <n v="0.19400000000000001"/>
    <n v="1"/>
    <n v="80"/>
    <n v="81"/>
    <x v="0"/>
    <x v="1"/>
    <x v="1"/>
  </r>
  <r>
    <n v="546"/>
    <d v="2011-01-28T00:00:00"/>
    <x v="0"/>
    <n v="1"/>
    <x v="15"/>
    <b v="0"/>
    <x v="6"/>
    <n v="2"/>
    <n v="0.2"/>
    <n v="545"/>
    <n v="0.1515"/>
    <n v="0.63"/>
    <n v="0.16420000000000001"/>
    <n v="6"/>
    <n v="53"/>
    <n v="59"/>
    <x v="0"/>
    <x v="1"/>
    <x v="1"/>
  </r>
  <r>
    <n v="547"/>
    <d v="2011-01-28T00:00:00"/>
    <x v="0"/>
    <n v="1"/>
    <x v="15"/>
    <b v="0"/>
    <x v="6"/>
    <n v="2"/>
    <n v="0.2"/>
    <n v="546"/>
    <n v="0.13639999999999999"/>
    <n v="0.63"/>
    <n v="0.22389999999999999"/>
    <n v="3"/>
    <n v="32"/>
    <n v="35"/>
    <x v="0"/>
    <x v="1"/>
    <x v="1"/>
  </r>
  <r>
    <n v="548"/>
    <d v="2011-01-28T00:00:00"/>
    <x v="0"/>
    <n v="1"/>
    <x v="15"/>
    <b v="0"/>
    <x v="6"/>
    <n v="2"/>
    <n v="0.2"/>
    <n v="547"/>
    <n v="0.1515"/>
    <n v="0.64"/>
    <n v="0.25369999999999998"/>
    <n v="3"/>
    <n v="21"/>
    <n v="24"/>
    <x v="0"/>
    <x v="1"/>
    <x v="1"/>
  </r>
  <r>
    <n v="549"/>
    <d v="2011-01-28T00:00:00"/>
    <x v="0"/>
    <n v="1"/>
    <x v="15"/>
    <b v="0"/>
    <x v="6"/>
    <n v="2"/>
    <n v="0.2"/>
    <n v="548"/>
    <n v="0.13639999999999999"/>
    <n v="0.69"/>
    <n v="0.28360000000000002"/>
    <n v="3"/>
    <n v="6"/>
    <n v="9"/>
    <x v="0"/>
    <x v="1"/>
    <x v="1"/>
  </r>
  <r>
    <n v="550"/>
    <d v="2011-01-28T00:00:00"/>
    <x v="0"/>
    <n v="1"/>
    <x v="15"/>
    <b v="0"/>
    <x v="6"/>
    <n v="2"/>
    <n v="0.2"/>
    <n v="549"/>
    <n v="0.16669999999999999"/>
    <n v="0.69"/>
    <n v="0.16420000000000001"/>
    <n v="0"/>
    <n v="5"/>
    <n v="5"/>
    <x v="0"/>
    <x v="1"/>
    <x v="1"/>
  </r>
  <r>
    <n v="551"/>
    <d v="2011-01-28T00:00:00"/>
    <x v="0"/>
    <n v="1"/>
    <x v="15"/>
    <b v="0"/>
    <x v="6"/>
    <n v="2"/>
    <n v="0.2"/>
    <n v="550"/>
    <n v="0.1515"/>
    <n v="0.69"/>
    <n v="0.22389999999999999"/>
    <n v="0"/>
    <n v="2"/>
    <n v="2"/>
    <x v="0"/>
    <x v="1"/>
    <x v="1"/>
  </r>
  <r>
    <n v="552"/>
    <d v="2011-01-28T00:00:00"/>
    <x v="0"/>
    <n v="1"/>
    <x v="15"/>
    <b v="0"/>
    <x v="6"/>
    <n v="2"/>
    <n v="0.2"/>
    <n v="551"/>
    <n v="0.16669999999999999"/>
    <n v="0.74"/>
    <n v="0.1045"/>
    <n v="0"/>
    <n v="1"/>
    <n v="1"/>
    <x v="0"/>
    <x v="1"/>
    <x v="1"/>
  </r>
  <r>
    <n v="553"/>
    <d v="2011-01-28T00:00:00"/>
    <x v="0"/>
    <n v="1"/>
    <x v="15"/>
    <b v="0"/>
    <x v="6"/>
    <n v="2"/>
    <n v="0.2"/>
    <n v="552"/>
    <n v="0.13639999999999999"/>
    <n v="0.74"/>
    <n v="0.22389999999999999"/>
    <n v="0"/>
    <n v="9"/>
    <n v="9"/>
    <x v="0"/>
    <x v="1"/>
    <x v="1"/>
  </r>
  <r>
    <n v="554"/>
    <d v="2011-01-28T00:00:00"/>
    <x v="0"/>
    <n v="1"/>
    <x v="15"/>
    <b v="0"/>
    <x v="6"/>
    <n v="2"/>
    <n v="0.2"/>
    <n v="553"/>
    <n v="0.18179999999999999"/>
    <n v="0.74"/>
    <n v="0.1045"/>
    <n v="1"/>
    <n v="35"/>
    <n v="36"/>
    <x v="0"/>
    <x v="1"/>
    <x v="1"/>
  </r>
  <r>
    <n v="555"/>
    <d v="2011-01-28T00:00:00"/>
    <x v="0"/>
    <n v="1"/>
    <x v="15"/>
    <b v="0"/>
    <x v="6"/>
    <n v="2"/>
    <n v="0.2"/>
    <n v="554"/>
    <n v="0.1515"/>
    <n v="0.74"/>
    <n v="0.22389999999999999"/>
    <n v="5"/>
    <n v="103"/>
    <n v="108"/>
    <x v="0"/>
    <x v="1"/>
    <x v="1"/>
  </r>
  <r>
    <n v="556"/>
    <d v="2011-01-28T00:00:00"/>
    <x v="0"/>
    <n v="1"/>
    <x v="15"/>
    <b v="0"/>
    <x v="6"/>
    <n v="2"/>
    <n v="0.2"/>
    <n v="555"/>
    <n v="0.18179999999999999"/>
    <n v="0.74"/>
    <n v="0.1343"/>
    <n v="5"/>
    <n v="233"/>
    <n v="238"/>
    <x v="0"/>
    <x v="1"/>
    <x v="1"/>
  </r>
  <r>
    <n v="557"/>
    <d v="2011-01-28T00:00:00"/>
    <x v="0"/>
    <n v="1"/>
    <x v="15"/>
    <b v="0"/>
    <x v="6"/>
    <n v="2"/>
    <n v="0.2"/>
    <n v="556"/>
    <n v="0.2273"/>
    <n v="0.64"/>
    <n v="8.9599999999999999E-2"/>
    <n v="10"/>
    <n v="134"/>
    <n v="144"/>
    <x v="0"/>
    <x v="1"/>
    <x v="1"/>
  </r>
  <r>
    <n v="558"/>
    <d v="2011-01-28T00:00:00"/>
    <x v="0"/>
    <n v="1"/>
    <x v="15"/>
    <b v="0"/>
    <x v="6"/>
    <n v="2"/>
    <n v="0.2"/>
    <n v="557"/>
    <n v="0.2424"/>
    <n v="0.6"/>
    <n v="0.1045"/>
    <n v="6"/>
    <n v="49"/>
    <n v="55"/>
    <x v="0"/>
    <x v="1"/>
    <x v="1"/>
  </r>
  <r>
    <n v="559"/>
    <d v="2011-01-28T00:00:00"/>
    <x v="0"/>
    <n v="1"/>
    <x v="15"/>
    <b v="0"/>
    <x v="6"/>
    <n v="2"/>
    <n v="0.2"/>
    <n v="558"/>
    <n v="0.2424"/>
    <n v="0.6"/>
    <n v="0.1343"/>
    <n v="6"/>
    <n v="55"/>
    <n v="61"/>
    <x v="0"/>
    <x v="1"/>
    <x v="1"/>
  </r>
  <r>
    <n v="560"/>
    <d v="2011-01-28T00:00:00"/>
    <x v="0"/>
    <n v="1"/>
    <x v="15"/>
    <b v="0"/>
    <x v="6"/>
    <n v="2"/>
    <n v="0.2"/>
    <n v="559"/>
    <n v="0.28789999999999999"/>
    <n v="0.56000000000000005"/>
    <n v="8.9599999999999999E-2"/>
    <n v="21"/>
    <n v="85"/>
    <n v="106"/>
    <x v="0"/>
    <x v="1"/>
    <x v="1"/>
  </r>
  <r>
    <n v="561"/>
    <d v="2011-01-28T00:00:00"/>
    <x v="0"/>
    <n v="1"/>
    <x v="15"/>
    <b v="0"/>
    <x v="6"/>
    <n v="2"/>
    <n v="0.2"/>
    <n v="560"/>
    <n v="0.2727"/>
    <n v="0.56000000000000005"/>
    <n v="0.1343"/>
    <n v="21"/>
    <n v="72"/>
    <n v="93"/>
    <x v="0"/>
    <x v="1"/>
    <x v="1"/>
  </r>
  <r>
    <n v="562"/>
    <d v="2011-01-28T00:00:00"/>
    <x v="0"/>
    <n v="1"/>
    <x v="15"/>
    <b v="0"/>
    <x v="6"/>
    <n v="2"/>
    <n v="0.2"/>
    <n v="561"/>
    <n v="0.33329999999999999"/>
    <n v="0.45"/>
    <n v="0"/>
    <n v="11"/>
    <n v="57"/>
    <n v="68"/>
    <x v="0"/>
    <x v="1"/>
    <x v="1"/>
  </r>
  <r>
    <n v="563"/>
    <d v="2011-01-28T00:00:00"/>
    <x v="0"/>
    <n v="1"/>
    <x v="15"/>
    <b v="0"/>
    <x v="6"/>
    <n v="2"/>
    <n v="0.2"/>
    <n v="562"/>
    <n v="0.34849999999999998"/>
    <n v="0.42"/>
    <n v="0"/>
    <n v="21"/>
    <n v="63"/>
    <n v="84"/>
    <x v="0"/>
    <x v="1"/>
    <x v="1"/>
  </r>
  <r>
    <n v="564"/>
    <d v="2011-01-28T00:00:00"/>
    <x v="0"/>
    <n v="1"/>
    <x v="15"/>
    <b v="0"/>
    <x v="6"/>
    <n v="2"/>
    <n v="0.2"/>
    <n v="563"/>
    <n v="0.34849999999999998"/>
    <n v="0.42"/>
    <n v="0"/>
    <n v="14"/>
    <n v="102"/>
    <n v="116"/>
    <x v="0"/>
    <x v="1"/>
    <x v="1"/>
  </r>
  <r>
    <n v="565"/>
    <d v="2011-01-28T00:00:00"/>
    <x v="0"/>
    <n v="1"/>
    <x v="15"/>
    <b v="0"/>
    <x v="6"/>
    <n v="2"/>
    <n v="0.2"/>
    <n v="564"/>
    <n v="0.33329999999999999"/>
    <n v="0.45"/>
    <n v="0"/>
    <n v="14"/>
    <n v="208"/>
    <n v="222"/>
    <x v="0"/>
    <x v="1"/>
    <x v="1"/>
  </r>
  <r>
    <n v="566"/>
    <d v="2011-01-28T00:00:00"/>
    <x v="0"/>
    <n v="1"/>
    <x v="15"/>
    <b v="0"/>
    <x v="6"/>
    <n v="2"/>
    <n v="0.2"/>
    <n v="565"/>
    <n v="0.31819999999999998"/>
    <n v="0.49"/>
    <n v="8.9599999999999999E-2"/>
    <n v="7"/>
    <n v="218"/>
    <n v="225"/>
    <x v="0"/>
    <x v="1"/>
    <x v="1"/>
  </r>
  <r>
    <n v="567"/>
    <d v="2011-01-28T00:00:00"/>
    <x v="0"/>
    <n v="1"/>
    <x v="15"/>
    <b v="0"/>
    <x v="6"/>
    <n v="2"/>
    <n v="0.2"/>
    <n v="566"/>
    <n v="0.2576"/>
    <n v="0.65"/>
    <n v="0.16420000000000001"/>
    <n v="13"/>
    <n v="133"/>
    <n v="146"/>
    <x v="0"/>
    <x v="1"/>
    <x v="1"/>
  </r>
  <r>
    <n v="568"/>
    <d v="2011-01-28T00:00:00"/>
    <x v="0"/>
    <n v="1"/>
    <x v="15"/>
    <b v="0"/>
    <x v="6"/>
    <n v="2"/>
    <n v="0.2"/>
    <n v="567"/>
    <n v="0.2273"/>
    <n v="0.65"/>
    <n v="0.19400000000000001"/>
    <n v="16"/>
    <n v="103"/>
    <n v="119"/>
    <x v="0"/>
    <x v="1"/>
    <x v="1"/>
  </r>
  <r>
    <n v="569"/>
    <d v="2011-01-28T00:00:00"/>
    <x v="0"/>
    <n v="1"/>
    <x v="15"/>
    <b v="0"/>
    <x v="6"/>
    <n v="2"/>
    <n v="0.2"/>
    <n v="568"/>
    <n v="0.2273"/>
    <n v="0.65"/>
    <n v="0.19400000000000001"/>
    <n v="5"/>
    <n v="40"/>
    <n v="45"/>
    <x v="0"/>
    <x v="1"/>
    <x v="1"/>
  </r>
  <r>
    <n v="570"/>
    <d v="2011-01-28T00:00:00"/>
    <x v="0"/>
    <n v="1"/>
    <x v="15"/>
    <b v="0"/>
    <x v="6"/>
    <n v="2"/>
    <n v="0.2"/>
    <n v="569"/>
    <n v="0.2273"/>
    <n v="0.64"/>
    <n v="0.16420000000000001"/>
    <n v="4"/>
    <n v="49"/>
    <n v="53"/>
    <x v="0"/>
    <x v="1"/>
    <x v="1"/>
  </r>
  <r>
    <n v="571"/>
    <d v="2011-01-28T00:00:00"/>
    <x v="0"/>
    <n v="1"/>
    <x v="15"/>
    <b v="0"/>
    <x v="6"/>
    <n v="2"/>
    <n v="0.2"/>
    <n v="570"/>
    <n v="0.2273"/>
    <n v="0.64"/>
    <n v="0.16420000000000001"/>
    <n v="3"/>
    <n v="37"/>
    <n v="40"/>
    <x v="0"/>
    <x v="1"/>
    <x v="1"/>
  </r>
  <r>
    <n v="572"/>
    <d v="2011-01-28T00:00:00"/>
    <x v="0"/>
    <n v="1"/>
    <x v="15"/>
    <b v="0"/>
    <x v="6"/>
    <n v="2"/>
    <n v="0.2"/>
    <n v="571"/>
    <n v="0.2273"/>
    <n v="0.69"/>
    <n v="0.1343"/>
    <n v="3"/>
    <n v="14"/>
    <n v="17"/>
    <x v="0"/>
    <x v="1"/>
    <x v="1"/>
  </r>
  <r>
    <n v="573"/>
    <d v="2011-01-28T00:00:00"/>
    <x v="0"/>
    <n v="1"/>
    <x v="15"/>
    <b v="0"/>
    <x v="6"/>
    <n v="2"/>
    <n v="0.2"/>
    <n v="572"/>
    <n v="0.2424"/>
    <n v="0.65"/>
    <n v="0.1343"/>
    <n v="0"/>
    <n v="5"/>
    <n v="5"/>
    <x v="0"/>
    <x v="1"/>
    <x v="1"/>
  </r>
  <r>
    <n v="574"/>
    <d v="2011-01-28T00:00:00"/>
    <x v="0"/>
    <n v="1"/>
    <x v="15"/>
    <b v="0"/>
    <x v="6"/>
    <n v="2"/>
    <n v="0.2"/>
    <n v="573"/>
    <n v="0.2273"/>
    <n v="0.69"/>
    <n v="0.19400000000000001"/>
    <n v="3"/>
    <n v="7"/>
    <n v="10"/>
    <x v="0"/>
    <x v="1"/>
    <x v="1"/>
  </r>
  <r>
    <n v="575"/>
    <d v="2011-01-28T00:00:00"/>
    <x v="0"/>
    <n v="1"/>
    <x v="15"/>
    <b v="0"/>
    <x v="6"/>
    <n v="2"/>
    <n v="0.2"/>
    <n v="574"/>
    <n v="0.18179999999999999"/>
    <n v="0.86"/>
    <n v="0.28360000000000002"/>
    <n v="0"/>
    <n v="1"/>
    <n v="1"/>
    <x v="0"/>
    <x v="1"/>
    <x v="1"/>
  </r>
  <r>
    <n v="576"/>
    <d v="2011-01-28T00:00:00"/>
    <x v="0"/>
    <n v="1"/>
    <x v="15"/>
    <b v="0"/>
    <x v="6"/>
    <n v="2"/>
    <n v="0.2"/>
    <n v="575"/>
    <n v="0.18179999999999999"/>
    <n v="0.86"/>
    <n v="0.28360000000000002"/>
    <n v="0"/>
    <n v="8"/>
    <n v="8"/>
    <x v="0"/>
    <x v="1"/>
    <x v="1"/>
  </r>
  <r>
    <n v="577"/>
    <d v="2011-01-28T00:00:00"/>
    <x v="0"/>
    <n v="1"/>
    <x v="15"/>
    <b v="0"/>
    <x v="6"/>
    <n v="2"/>
    <n v="0.2"/>
    <n v="576"/>
    <n v="0.21210000000000001"/>
    <n v="0.87"/>
    <n v="0.29849999999999999"/>
    <n v="1"/>
    <n v="29"/>
    <n v="30"/>
    <x v="0"/>
    <x v="1"/>
    <x v="1"/>
  </r>
  <r>
    <n v="578"/>
    <d v="2011-01-28T00:00:00"/>
    <x v="0"/>
    <n v="1"/>
    <x v="15"/>
    <b v="0"/>
    <x v="6"/>
    <n v="2"/>
    <n v="0.2"/>
    <n v="577"/>
    <n v="0.21210000000000001"/>
    <n v="0.87"/>
    <n v="0.29849999999999999"/>
    <n v="3"/>
    <n v="69"/>
    <n v="72"/>
    <x v="0"/>
    <x v="1"/>
    <x v="1"/>
  </r>
  <r>
    <n v="579"/>
    <d v="2011-01-28T00:00:00"/>
    <x v="0"/>
    <n v="1"/>
    <x v="15"/>
    <b v="0"/>
    <x v="6"/>
    <n v="2"/>
    <n v="0.2"/>
    <n v="578"/>
    <n v="0.21210000000000001"/>
    <n v="0.87"/>
    <n v="0.29849999999999999"/>
    <n v="3"/>
    <n v="55"/>
    <n v="58"/>
    <x v="0"/>
    <x v="1"/>
    <x v="1"/>
  </r>
  <r>
    <n v="580"/>
    <d v="2011-01-28T00:00:00"/>
    <x v="0"/>
    <n v="1"/>
    <x v="15"/>
    <b v="0"/>
    <x v="6"/>
    <n v="2"/>
    <n v="0.2"/>
    <n v="579"/>
    <n v="0.21210000000000001"/>
    <n v="0.93"/>
    <n v="0.28360000000000002"/>
    <n v="2"/>
    <n v="26"/>
    <n v="28"/>
    <x v="0"/>
    <x v="1"/>
    <x v="1"/>
  </r>
  <r>
    <n v="581"/>
    <d v="2011-01-28T00:00:00"/>
    <x v="0"/>
    <n v="1"/>
    <x v="15"/>
    <b v="0"/>
    <x v="6"/>
    <n v="2"/>
    <n v="0.2"/>
    <n v="580"/>
    <n v="0.19700000000000001"/>
    <n v="0.93"/>
    <n v="0.32840000000000003"/>
    <n v="6"/>
    <n v="35"/>
    <n v="41"/>
    <x v="0"/>
    <x v="1"/>
    <x v="1"/>
  </r>
  <r>
    <n v="582"/>
    <d v="2011-01-28T00:00:00"/>
    <x v="0"/>
    <n v="1"/>
    <x v="15"/>
    <b v="0"/>
    <x v="6"/>
    <n v="2"/>
    <n v="0.2"/>
    <n v="581"/>
    <n v="0.19700000000000001"/>
    <n v="0.93"/>
    <n v="0.32840000000000003"/>
    <n v="7"/>
    <n v="41"/>
    <n v="48"/>
    <x v="0"/>
    <x v="1"/>
    <x v="1"/>
  </r>
  <r>
    <n v="583"/>
    <d v="2011-01-28T00:00:00"/>
    <x v="0"/>
    <n v="1"/>
    <x v="15"/>
    <b v="0"/>
    <x v="6"/>
    <n v="2"/>
    <n v="0.2"/>
    <n v="582"/>
    <n v="0.19700000000000001"/>
    <n v="0.93"/>
    <n v="0.32840000000000003"/>
    <n v="4"/>
    <n v="43"/>
    <n v="47"/>
    <x v="0"/>
    <x v="1"/>
    <x v="1"/>
  </r>
  <r>
    <n v="584"/>
    <d v="2011-01-28T00:00:00"/>
    <x v="0"/>
    <n v="1"/>
    <x v="15"/>
    <b v="0"/>
    <x v="6"/>
    <n v="2"/>
    <n v="0.2"/>
    <n v="583"/>
    <n v="0.19700000000000001"/>
    <n v="0.93"/>
    <n v="0.35820000000000002"/>
    <n v="0"/>
    <n v="36"/>
    <n v="36"/>
    <x v="0"/>
    <x v="1"/>
    <x v="1"/>
  </r>
  <r>
    <n v="585"/>
    <d v="2011-01-28T00:00:00"/>
    <x v="0"/>
    <n v="1"/>
    <x v="15"/>
    <b v="0"/>
    <x v="6"/>
    <n v="2"/>
    <n v="0.2"/>
    <n v="584"/>
    <n v="0.18179999999999999"/>
    <n v="0.93"/>
    <n v="0.4627"/>
    <n v="1"/>
    <n v="42"/>
    <n v="43"/>
    <x v="0"/>
    <x v="1"/>
    <x v="1"/>
  </r>
  <r>
    <n v="586"/>
    <d v="2011-01-28T00:00:00"/>
    <x v="0"/>
    <n v="1"/>
    <x v="15"/>
    <b v="0"/>
    <x v="6"/>
    <n v="2"/>
    <n v="0.2"/>
    <n v="585"/>
    <n v="0.19700000000000001"/>
    <n v="0.93"/>
    <n v="0.32840000000000003"/>
    <n v="1"/>
    <n v="35"/>
    <n v="36"/>
    <x v="0"/>
    <x v="1"/>
    <x v="1"/>
  </r>
  <r>
    <n v="587"/>
    <d v="2011-01-28T00:00:00"/>
    <x v="0"/>
    <n v="1"/>
    <x v="15"/>
    <b v="0"/>
    <x v="6"/>
    <n v="2"/>
    <n v="0.2"/>
    <n v="586"/>
    <n v="0.18179999999999999"/>
    <n v="0.93"/>
    <n v="0.35820000000000002"/>
    <n v="0"/>
    <n v="26"/>
    <n v="26"/>
    <x v="0"/>
    <x v="1"/>
    <x v="1"/>
  </r>
  <r>
    <n v="588"/>
    <d v="2011-01-28T00:00:00"/>
    <x v="0"/>
    <n v="1"/>
    <x v="15"/>
    <b v="0"/>
    <x v="6"/>
    <n v="2"/>
    <n v="0.2"/>
    <n v="587"/>
    <n v="0.2273"/>
    <n v="0.55000000000000004"/>
    <n v="0.19400000000000001"/>
    <n v="1"/>
    <n v="23"/>
    <n v="24"/>
    <x v="0"/>
    <x v="1"/>
    <x v="1"/>
  </r>
  <r>
    <n v="589"/>
    <d v="2011-01-28T00:00:00"/>
    <x v="0"/>
    <n v="1"/>
    <x v="15"/>
    <b v="0"/>
    <x v="6"/>
    <n v="2"/>
    <n v="0.2"/>
    <n v="588"/>
    <n v="0.2424"/>
    <n v="0.55000000000000004"/>
    <n v="0.1045"/>
    <n v="2"/>
    <n v="82"/>
    <n v="84"/>
    <x v="0"/>
    <x v="1"/>
    <x v="1"/>
  </r>
  <r>
    <n v="590"/>
    <d v="2011-01-28T00:00:00"/>
    <x v="0"/>
    <n v="1"/>
    <x v="15"/>
    <b v="0"/>
    <x v="6"/>
    <n v="2"/>
    <n v="0.2"/>
    <n v="589"/>
    <n v="0.2273"/>
    <n v="0.69"/>
    <n v="8.9599999999999999E-2"/>
    <n v="3"/>
    <n v="101"/>
    <n v="104"/>
    <x v="0"/>
    <x v="1"/>
    <x v="1"/>
  </r>
  <r>
    <n v="591"/>
    <d v="2011-01-28T00:00:00"/>
    <x v="0"/>
    <n v="1"/>
    <x v="15"/>
    <b v="0"/>
    <x v="6"/>
    <n v="2"/>
    <n v="0.2"/>
    <n v="590"/>
    <n v="0.2273"/>
    <n v="0.69"/>
    <n v="8.9599999999999999E-2"/>
    <n v="3"/>
    <n v="76"/>
    <n v="79"/>
    <x v="0"/>
    <x v="1"/>
    <x v="1"/>
  </r>
  <r>
    <n v="592"/>
    <d v="2011-01-28T00:00:00"/>
    <x v="0"/>
    <n v="1"/>
    <x v="15"/>
    <b v="0"/>
    <x v="6"/>
    <n v="2"/>
    <n v="0.2"/>
    <n v="591"/>
    <n v="0.21210000000000001"/>
    <n v="0.74"/>
    <n v="8.9599999999999999E-2"/>
    <n v="4"/>
    <n v="55"/>
    <n v="59"/>
    <x v="0"/>
    <x v="1"/>
    <x v="1"/>
  </r>
  <r>
    <n v="593"/>
    <d v="2011-01-28T00:00:00"/>
    <x v="0"/>
    <n v="1"/>
    <x v="15"/>
    <b v="0"/>
    <x v="6"/>
    <n v="2"/>
    <n v="0.2"/>
    <n v="592"/>
    <n v="0.21210000000000001"/>
    <n v="0.74"/>
    <n v="8.9599999999999999E-2"/>
    <n v="2"/>
    <n v="36"/>
    <n v="38"/>
    <x v="0"/>
    <x v="1"/>
    <x v="1"/>
  </r>
  <r>
    <n v="594"/>
    <d v="2011-01-28T00:00:00"/>
    <x v="0"/>
    <n v="1"/>
    <x v="15"/>
    <b v="0"/>
    <x v="6"/>
    <n v="2"/>
    <n v="0.2"/>
    <n v="593"/>
    <n v="0.21210000000000001"/>
    <n v="0.74"/>
    <n v="8.9599999999999999E-2"/>
    <n v="0"/>
    <n v="27"/>
    <n v="27"/>
    <x v="0"/>
    <x v="1"/>
    <x v="1"/>
  </r>
  <r>
    <n v="595"/>
    <d v="2011-01-28T00:00:00"/>
    <x v="0"/>
    <n v="1"/>
    <x v="15"/>
    <b v="0"/>
    <x v="6"/>
    <n v="2"/>
    <n v="0.2"/>
    <n v="594"/>
    <n v="0.19700000000000001"/>
    <n v="0.8"/>
    <n v="0.16420000000000001"/>
    <n v="0"/>
    <n v="16"/>
    <n v="16"/>
    <x v="0"/>
    <x v="1"/>
    <x v="1"/>
  </r>
  <r>
    <n v="596"/>
    <d v="2011-01-28T00:00:00"/>
    <x v="0"/>
    <n v="1"/>
    <x v="15"/>
    <b v="0"/>
    <x v="6"/>
    <n v="2"/>
    <n v="0.2"/>
    <n v="595"/>
    <n v="0.21210000000000001"/>
    <n v="0.75"/>
    <n v="0.1343"/>
    <n v="0"/>
    <n v="9"/>
    <n v="9"/>
    <x v="0"/>
    <x v="1"/>
    <x v="1"/>
  </r>
  <r>
    <n v="597"/>
    <d v="2011-01-28T00:00:00"/>
    <x v="0"/>
    <n v="1"/>
    <x v="15"/>
    <b v="0"/>
    <x v="6"/>
    <n v="2"/>
    <n v="0.2"/>
    <n v="596"/>
    <n v="0.21210000000000001"/>
    <n v="0.75"/>
    <n v="0.1343"/>
    <n v="1"/>
    <n v="2"/>
    <n v="3"/>
    <x v="0"/>
    <x v="1"/>
    <x v="1"/>
  </r>
  <r>
    <n v="598"/>
    <d v="2011-01-28T00:00:00"/>
    <x v="0"/>
    <n v="1"/>
    <x v="15"/>
    <b v="0"/>
    <x v="6"/>
    <n v="2"/>
    <n v="0.2"/>
    <n v="597"/>
    <n v="0.21210000000000001"/>
    <n v="0.75"/>
    <n v="0.16420000000000001"/>
    <n v="0"/>
    <n v="2"/>
    <n v="2"/>
    <x v="0"/>
    <x v="1"/>
    <x v="1"/>
  </r>
  <r>
    <n v="599"/>
    <d v="2011-01-28T00:00:00"/>
    <x v="0"/>
    <n v="1"/>
    <x v="15"/>
    <b v="0"/>
    <x v="6"/>
    <n v="2"/>
    <n v="0.2"/>
    <n v="598"/>
    <n v="0.2273"/>
    <n v="0.75"/>
    <n v="0.1045"/>
    <n v="1"/>
    <n v="0"/>
    <n v="1"/>
    <x v="0"/>
    <x v="1"/>
    <x v="1"/>
  </r>
  <r>
    <n v="600"/>
    <d v="2011-01-28T00:00:00"/>
    <x v="0"/>
    <n v="1"/>
    <x v="15"/>
    <b v="0"/>
    <x v="6"/>
    <n v="2"/>
    <n v="0.2"/>
    <n v="599"/>
    <n v="0.21210000000000001"/>
    <n v="0.8"/>
    <n v="0.1045"/>
    <n v="0"/>
    <n v="4"/>
    <n v="4"/>
    <x v="0"/>
    <x v="1"/>
    <x v="1"/>
  </r>
  <r>
    <n v="601"/>
    <d v="2011-01-28T00:00:00"/>
    <x v="0"/>
    <n v="1"/>
    <x v="15"/>
    <b v="0"/>
    <x v="6"/>
    <n v="2"/>
    <n v="0.2"/>
    <n v="600"/>
    <n v="0.19700000000000001"/>
    <n v="0.8"/>
    <n v="0.1343"/>
    <n v="0"/>
    <n v="16"/>
    <n v="16"/>
    <x v="0"/>
    <x v="1"/>
    <x v="1"/>
  </r>
  <r>
    <n v="602"/>
    <d v="2011-01-28T00:00:00"/>
    <x v="0"/>
    <n v="1"/>
    <x v="15"/>
    <b v="0"/>
    <x v="6"/>
    <n v="2"/>
    <n v="0.2"/>
    <n v="601"/>
    <n v="0.19700000000000001"/>
    <n v="0.86"/>
    <n v="8.9599999999999999E-2"/>
    <n v="2"/>
    <n v="58"/>
    <n v="60"/>
    <x v="0"/>
    <x v="1"/>
    <x v="1"/>
  </r>
  <r>
    <n v="603"/>
    <d v="2011-01-28T00:00:00"/>
    <x v="0"/>
    <n v="1"/>
    <x v="15"/>
    <b v="0"/>
    <x v="6"/>
    <n v="2"/>
    <n v="0.2"/>
    <n v="602"/>
    <n v="0.19700000000000001"/>
    <n v="0.86"/>
    <n v="8.9599999999999999E-2"/>
    <n v="2"/>
    <n v="155"/>
    <n v="157"/>
    <x v="0"/>
    <x v="1"/>
    <x v="1"/>
  </r>
  <r>
    <n v="604"/>
    <d v="2011-01-28T00:00:00"/>
    <x v="0"/>
    <n v="1"/>
    <x v="15"/>
    <b v="0"/>
    <x v="6"/>
    <n v="2"/>
    <n v="0.2"/>
    <n v="603"/>
    <n v="0.21210000000000001"/>
    <n v="0.86"/>
    <n v="8.9599999999999999E-2"/>
    <n v="6"/>
    <n v="95"/>
    <n v="101"/>
    <x v="0"/>
    <x v="1"/>
    <x v="1"/>
  </r>
  <r>
    <n v="605"/>
    <d v="2011-01-28T00:00:00"/>
    <x v="0"/>
    <n v="1"/>
    <x v="15"/>
    <b v="0"/>
    <x v="6"/>
    <n v="2"/>
    <n v="0.2"/>
    <n v="604"/>
    <n v="0.21210000000000001"/>
    <n v="0.86"/>
    <n v="0.1045"/>
    <n v="0"/>
    <n v="49"/>
    <n v="49"/>
    <x v="0"/>
    <x v="1"/>
    <x v="1"/>
  </r>
  <r>
    <n v="606"/>
    <d v="2011-01-28T00:00:00"/>
    <x v="0"/>
    <n v="1"/>
    <x v="15"/>
    <b v="0"/>
    <x v="6"/>
    <n v="2"/>
    <n v="0.2"/>
    <n v="605"/>
    <n v="0.21210000000000001"/>
    <n v="0.93"/>
    <n v="0.1045"/>
    <n v="0"/>
    <n v="30"/>
    <n v="30"/>
    <x v="0"/>
    <x v="1"/>
    <x v="1"/>
  </r>
  <r>
    <n v="607"/>
    <d v="2011-01-28T00:00:00"/>
    <x v="0"/>
    <n v="1"/>
    <x v="15"/>
    <b v="0"/>
    <x v="6"/>
    <n v="2"/>
    <n v="0.2"/>
    <n v="606"/>
    <n v="0.21210000000000001"/>
    <n v="0.93"/>
    <n v="0.1045"/>
    <n v="1"/>
    <n v="28"/>
    <n v="29"/>
    <x v="0"/>
    <x v="1"/>
    <x v="1"/>
  </r>
  <r>
    <n v="608"/>
    <d v="2011-01-28T00:00:00"/>
    <x v="0"/>
    <n v="1"/>
    <x v="15"/>
    <b v="0"/>
    <x v="6"/>
    <n v="2"/>
    <n v="0.2"/>
    <n v="607"/>
    <n v="0.21210000000000001"/>
    <n v="0.93"/>
    <n v="0.1045"/>
    <n v="0"/>
    <n v="31"/>
    <n v="31"/>
    <x v="0"/>
    <x v="1"/>
    <x v="1"/>
  </r>
  <r>
    <n v="609"/>
    <d v="2011-01-28T00:00:00"/>
    <x v="0"/>
    <n v="1"/>
    <x v="15"/>
    <b v="0"/>
    <x v="6"/>
    <n v="2"/>
    <n v="0.2"/>
    <n v="608"/>
    <n v="0.2727"/>
    <n v="0.8"/>
    <n v="0"/>
    <n v="2"/>
    <n v="36"/>
    <n v="38"/>
    <x v="0"/>
    <x v="1"/>
    <x v="1"/>
  </r>
  <r>
    <n v="610"/>
    <d v="2011-01-28T00:00:00"/>
    <x v="0"/>
    <n v="1"/>
    <x v="15"/>
    <b v="0"/>
    <x v="6"/>
    <n v="2"/>
    <n v="0.2"/>
    <n v="609"/>
    <n v="0.2576"/>
    <n v="0.86"/>
    <n v="0"/>
    <n v="1"/>
    <n v="40"/>
    <n v="41"/>
    <x v="0"/>
    <x v="1"/>
    <x v="1"/>
  </r>
  <r>
    <n v="611"/>
    <d v="2011-01-28T00:00:00"/>
    <x v="0"/>
    <n v="1"/>
    <x v="15"/>
    <b v="0"/>
    <x v="6"/>
    <n v="2"/>
    <n v="0.2"/>
    <n v="0"/>
    <n v="0"/>
    <n v="0"/>
    <n v="0"/>
    <n v="0"/>
    <n v="0"/>
    <n v="0"/>
    <x v="0"/>
    <x v="1"/>
    <x v="1"/>
  </r>
  <r>
    <n v="620"/>
    <d v="2011-01-29T00:00:00"/>
    <x v="0"/>
    <n v="1"/>
    <x v="1"/>
    <b v="0"/>
    <x v="0"/>
    <n v="1"/>
    <n v="0.22"/>
    <m/>
    <n v="0.2273"/>
    <n v="0.64"/>
    <n v="0.19400000000000001"/>
    <n v="0"/>
    <n v="20"/>
    <n v="20"/>
    <x v="0"/>
    <x v="0"/>
    <x v="0"/>
  </r>
  <r>
    <n v="621"/>
    <d v="2011-01-29T00:00:00"/>
    <x v="0"/>
    <n v="1"/>
    <x v="2"/>
    <b v="0"/>
    <x v="0"/>
    <n v="1"/>
    <n v="0.22"/>
    <m/>
    <n v="0.2273"/>
    <n v="0.64"/>
    <n v="0.16420000000000001"/>
    <n v="0"/>
    <n v="15"/>
    <n v="15"/>
    <x v="0"/>
    <x v="0"/>
    <x v="0"/>
  </r>
  <r>
    <n v="622"/>
    <d v="2011-01-29T00:00:00"/>
    <x v="0"/>
    <n v="1"/>
    <x v="3"/>
    <b v="0"/>
    <x v="0"/>
    <n v="1"/>
    <n v="0.2"/>
    <m/>
    <n v="0.21210000000000001"/>
    <n v="0.64"/>
    <n v="0.1343"/>
    <n v="3"/>
    <n v="5"/>
    <n v="8"/>
    <x v="0"/>
    <x v="0"/>
    <x v="0"/>
  </r>
  <r>
    <n v="623"/>
    <d v="2011-01-29T00:00:00"/>
    <x v="0"/>
    <n v="1"/>
    <x v="4"/>
    <b v="0"/>
    <x v="0"/>
    <n v="1"/>
    <n v="0.16"/>
    <m/>
    <n v="0.18179999999999999"/>
    <n v="0.69"/>
    <n v="0.1045"/>
    <n v="1"/>
    <n v="2"/>
    <n v="3"/>
    <x v="0"/>
    <x v="0"/>
    <x v="0"/>
  </r>
  <r>
    <n v="624"/>
    <d v="2011-01-29T00:00:00"/>
    <x v="0"/>
    <n v="1"/>
    <x v="6"/>
    <b v="0"/>
    <x v="0"/>
    <n v="1"/>
    <n v="0.16"/>
    <m/>
    <n v="0.18179999999999999"/>
    <n v="0.64"/>
    <n v="0.1343"/>
    <n v="0"/>
    <n v="2"/>
    <n v="2"/>
    <x v="0"/>
    <x v="0"/>
    <x v="0"/>
  </r>
  <r>
    <n v="625"/>
    <d v="2011-01-29T00:00:00"/>
    <x v="0"/>
    <n v="1"/>
    <x v="7"/>
    <b v="0"/>
    <x v="0"/>
    <n v="1"/>
    <n v="0.16"/>
    <m/>
    <n v="0.18179999999999999"/>
    <n v="0.59"/>
    <n v="0.1045"/>
    <n v="1"/>
    <n v="4"/>
    <n v="5"/>
    <x v="0"/>
    <x v="0"/>
    <x v="0"/>
  </r>
  <r>
    <n v="626"/>
    <d v="2011-01-29T00:00:00"/>
    <x v="0"/>
    <n v="1"/>
    <x v="8"/>
    <b v="0"/>
    <x v="0"/>
    <n v="1"/>
    <n v="0.18"/>
    <m/>
    <n v="0.19700000000000001"/>
    <n v="0.55000000000000004"/>
    <n v="0.16420000000000001"/>
    <n v="3"/>
    <n v="31"/>
    <n v="34"/>
    <x v="0"/>
    <x v="0"/>
    <x v="0"/>
  </r>
  <r>
    <n v="627"/>
    <d v="2011-01-29T00:00:00"/>
    <x v="0"/>
    <n v="1"/>
    <x v="9"/>
    <b v="0"/>
    <x v="0"/>
    <n v="1"/>
    <n v="0.18"/>
    <m/>
    <n v="0.21210000000000001"/>
    <n v="0.59"/>
    <n v="8.9599999999999999E-2"/>
    <n v="0"/>
    <n v="34"/>
    <n v="34"/>
    <x v="0"/>
    <x v="0"/>
    <x v="0"/>
  </r>
  <r>
    <n v="628"/>
    <d v="2011-01-29T00:00:00"/>
    <x v="0"/>
    <n v="1"/>
    <x v="10"/>
    <b v="0"/>
    <x v="0"/>
    <n v="2"/>
    <n v="0.18"/>
    <m/>
    <n v="0.21210000000000001"/>
    <n v="0.64"/>
    <n v="0.1045"/>
    <n v="4"/>
    <n v="51"/>
    <n v="55"/>
    <x v="0"/>
    <x v="0"/>
    <x v="1"/>
  </r>
  <r>
    <n v="629"/>
    <d v="2011-01-29T00:00:00"/>
    <x v="0"/>
    <n v="1"/>
    <x v="11"/>
    <b v="0"/>
    <x v="0"/>
    <n v="2"/>
    <n v="0.18"/>
    <m/>
    <n v="0.19700000000000001"/>
    <n v="0.64"/>
    <n v="0.1343"/>
    <n v="4"/>
    <n v="60"/>
    <n v="64"/>
    <x v="0"/>
    <x v="0"/>
    <x v="1"/>
  </r>
  <r>
    <n v="630"/>
    <d v="2011-01-29T00:00:00"/>
    <x v="0"/>
    <n v="1"/>
    <x v="12"/>
    <b v="0"/>
    <x v="0"/>
    <n v="2"/>
    <n v="0.2"/>
    <m/>
    <n v="0.19700000000000001"/>
    <n v="0.59"/>
    <n v="0.19400000000000001"/>
    <n v="12"/>
    <n v="66"/>
    <n v="78"/>
    <x v="0"/>
    <x v="1"/>
    <x v="1"/>
  </r>
  <r>
    <n v="631"/>
    <d v="2011-01-29T00:00:00"/>
    <x v="0"/>
    <n v="1"/>
    <x v="13"/>
    <b v="0"/>
    <x v="0"/>
    <n v="2"/>
    <n v="0.22"/>
    <m/>
    <n v="0.2273"/>
    <n v="0.55000000000000004"/>
    <n v="0.16420000000000001"/>
    <n v="9"/>
    <n v="56"/>
    <n v="65"/>
    <x v="0"/>
    <x v="1"/>
    <x v="1"/>
  </r>
  <r>
    <n v="632"/>
    <d v="2011-01-29T00:00:00"/>
    <x v="0"/>
    <n v="1"/>
    <x v="14"/>
    <b v="0"/>
    <x v="0"/>
    <n v="2"/>
    <n v="0.22"/>
    <m/>
    <n v="0.2273"/>
    <n v="0.6"/>
    <n v="0.1343"/>
    <n v="10"/>
    <n v="89"/>
    <n v="99"/>
    <x v="0"/>
    <x v="1"/>
    <x v="1"/>
  </r>
  <r>
    <n v="633"/>
    <d v="2011-01-29T00:00:00"/>
    <x v="0"/>
    <n v="1"/>
    <x v="15"/>
    <b v="0"/>
    <x v="0"/>
    <n v="1"/>
    <n v="0.22"/>
    <m/>
    <n v="0.21210000000000001"/>
    <n v="0.69"/>
    <n v="0.25369999999999998"/>
    <n v="22"/>
    <n v="98"/>
    <n v="120"/>
    <x v="0"/>
    <x v="1"/>
    <x v="0"/>
  </r>
  <r>
    <n v="634"/>
    <d v="2011-01-29T00:00:00"/>
    <x v="0"/>
    <n v="1"/>
    <x v="16"/>
    <b v="0"/>
    <x v="0"/>
    <n v="1"/>
    <n v="0.24"/>
    <m/>
    <n v="0.2424"/>
    <n v="0.6"/>
    <n v="0.16420000000000001"/>
    <n v="19"/>
    <n v="88"/>
    <n v="107"/>
    <x v="0"/>
    <x v="2"/>
    <x v="0"/>
  </r>
  <r>
    <n v="635"/>
    <d v="2011-01-29T00:00:00"/>
    <x v="0"/>
    <n v="1"/>
    <x v="17"/>
    <b v="0"/>
    <x v="0"/>
    <n v="1"/>
    <n v="0.24"/>
    <m/>
    <n v="0.28789999999999999"/>
    <n v="0.6"/>
    <n v="0"/>
    <n v="9"/>
    <n v="82"/>
    <n v="91"/>
    <x v="0"/>
    <x v="2"/>
    <x v="0"/>
  </r>
  <r>
    <n v="636"/>
    <d v="2011-01-29T00:00:00"/>
    <x v="0"/>
    <n v="1"/>
    <x v="18"/>
    <b v="0"/>
    <x v="0"/>
    <n v="1"/>
    <n v="0.22"/>
    <m/>
    <n v="0.2273"/>
    <n v="0.69"/>
    <n v="0.1343"/>
    <n v="9"/>
    <n v="59"/>
    <n v="68"/>
    <x v="0"/>
    <x v="2"/>
    <x v="0"/>
  </r>
  <r>
    <n v="637"/>
    <d v="2011-01-29T00:00:00"/>
    <x v="0"/>
    <n v="1"/>
    <x v="19"/>
    <b v="0"/>
    <x v="0"/>
    <n v="2"/>
    <n v="0.22"/>
    <m/>
    <n v="0.21210000000000001"/>
    <n v="0.69"/>
    <n v="0.25369999999999998"/>
    <n v="6"/>
    <n v="52"/>
    <n v="58"/>
    <x v="0"/>
    <x v="2"/>
    <x v="1"/>
  </r>
  <r>
    <n v="638"/>
    <d v="2011-01-29T00:00:00"/>
    <x v="0"/>
    <n v="1"/>
    <x v="20"/>
    <b v="0"/>
    <x v="0"/>
    <n v="1"/>
    <n v="0.18"/>
    <m/>
    <n v="0.21210000000000001"/>
    <n v="0.74"/>
    <n v="8.9599999999999999E-2"/>
    <n v="1"/>
    <n v="42"/>
    <n v="43"/>
    <x v="0"/>
    <x v="2"/>
    <x v="0"/>
  </r>
  <r>
    <n v="639"/>
    <d v="2011-01-29T00:00:00"/>
    <x v="0"/>
    <n v="1"/>
    <x v="21"/>
    <b v="0"/>
    <x v="0"/>
    <n v="1"/>
    <n v="0.18"/>
    <m/>
    <n v="0.21210000000000001"/>
    <n v="0.74"/>
    <n v="8.9599999999999999E-2"/>
    <n v="1"/>
    <n v="35"/>
    <n v="36"/>
    <x v="0"/>
    <x v="3"/>
    <x v="0"/>
  </r>
  <r>
    <n v="640"/>
    <d v="2011-01-29T00:00:00"/>
    <x v="0"/>
    <n v="1"/>
    <x v="22"/>
    <b v="0"/>
    <x v="0"/>
    <n v="1"/>
    <n v="0.16"/>
    <m/>
    <n v="0.19700000000000001"/>
    <n v="0.8"/>
    <n v="8.9599999999999999E-2"/>
    <n v="4"/>
    <n v="28"/>
    <n v="32"/>
    <x v="0"/>
    <x v="3"/>
    <x v="0"/>
  </r>
  <r>
    <n v="641"/>
    <d v="2011-01-29T00:00:00"/>
    <x v="0"/>
    <n v="1"/>
    <x v="23"/>
    <b v="0"/>
    <x v="0"/>
    <n v="1"/>
    <n v="0.16"/>
    <m/>
    <n v="0.19700000000000001"/>
    <n v="0.8"/>
    <n v="8.9599999999999999E-2"/>
    <n v="3"/>
    <n v="30"/>
    <n v="33"/>
    <x v="0"/>
    <x v="3"/>
    <x v="0"/>
  </r>
  <r>
    <n v="642"/>
    <d v="2011-01-30T00:00:00"/>
    <x v="0"/>
    <n v="1"/>
    <x v="0"/>
    <b v="0"/>
    <x v="1"/>
    <n v="1"/>
    <n v="0.16"/>
    <m/>
    <n v="0.18179999999999999"/>
    <n v="0.8"/>
    <n v="0.1045"/>
    <n v="0"/>
    <n v="33"/>
    <n v="33"/>
    <x v="1"/>
    <x v="0"/>
    <x v="0"/>
  </r>
  <r>
    <n v="643"/>
    <d v="2011-01-30T00:00:00"/>
    <x v="0"/>
    <n v="1"/>
    <x v="1"/>
    <b v="0"/>
    <x v="1"/>
    <n v="1"/>
    <n v="0.14000000000000001"/>
    <m/>
    <n v="0.21210000000000001"/>
    <n v="0.8"/>
    <n v="0"/>
    <n v="7"/>
    <n v="22"/>
    <n v="29"/>
    <x v="1"/>
    <x v="0"/>
    <x v="0"/>
  </r>
  <r>
    <n v="644"/>
    <d v="2011-01-30T00:00:00"/>
    <x v="0"/>
    <n v="1"/>
    <x v="2"/>
    <b v="0"/>
    <x v="1"/>
    <n v="1"/>
    <n v="0.16"/>
    <m/>
    <n v="0.2273"/>
    <n v="0.8"/>
    <n v="0"/>
    <n v="1"/>
    <n v="10"/>
    <n v="11"/>
    <x v="1"/>
    <x v="0"/>
    <x v="0"/>
  </r>
  <r>
    <n v="645"/>
    <d v="2011-01-30T00:00:00"/>
    <x v="0"/>
    <n v="1"/>
    <x v="3"/>
    <b v="0"/>
    <x v="1"/>
    <n v="1"/>
    <n v="0.14000000000000001"/>
    <m/>
    <n v="0.21210000000000001"/>
    <n v="0.93"/>
    <n v="0"/>
    <n v="1"/>
    <n v="7"/>
    <n v="8"/>
    <x v="1"/>
    <x v="0"/>
    <x v="0"/>
  </r>
  <r>
    <n v="646"/>
    <d v="2011-01-30T00:00:00"/>
    <x v="0"/>
    <n v="1"/>
    <x v="4"/>
    <b v="0"/>
    <x v="1"/>
    <n v="1"/>
    <n v="0.14000000000000001"/>
    <m/>
    <n v="0.21210000000000001"/>
    <n v="0.93"/>
    <n v="0"/>
    <n v="0"/>
    <n v="1"/>
    <n v="1"/>
    <x v="1"/>
    <x v="0"/>
    <x v="0"/>
  </r>
  <r>
    <n v="647"/>
    <d v="2011-01-30T00:00:00"/>
    <x v="0"/>
    <n v="1"/>
    <x v="5"/>
    <b v="0"/>
    <x v="1"/>
    <n v="1"/>
    <n v="0.14000000000000001"/>
    <m/>
    <n v="0.21210000000000001"/>
    <n v="0.86"/>
    <n v="0"/>
    <n v="0"/>
    <n v="3"/>
    <n v="3"/>
    <x v="1"/>
    <x v="0"/>
    <x v="0"/>
  </r>
  <r>
    <n v="648"/>
    <d v="2011-01-30T00:00:00"/>
    <x v="0"/>
    <n v="1"/>
    <x v="7"/>
    <b v="0"/>
    <x v="1"/>
    <n v="1"/>
    <n v="0.14000000000000001"/>
    <m/>
    <n v="0.21210000000000001"/>
    <n v="0.86"/>
    <n v="0"/>
    <n v="0"/>
    <n v="3"/>
    <n v="3"/>
    <x v="1"/>
    <x v="0"/>
    <x v="0"/>
  </r>
  <r>
    <n v="649"/>
    <d v="2011-01-30T00:00:00"/>
    <x v="0"/>
    <n v="1"/>
    <x v="8"/>
    <b v="0"/>
    <x v="1"/>
    <n v="2"/>
    <n v="0.14000000000000001"/>
    <m/>
    <n v="0.21210000000000001"/>
    <n v="0.86"/>
    <n v="0"/>
    <n v="1"/>
    <n v="11"/>
    <n v="12"/>
    <x v="1"/>
    <x v="0"/>
    <x v="1"/>
  </r>
  <r>
    <n v="650"/>
    <d v="2011-01-30T00:00:00"/>
    <x v="0"/>
    <n v="1"/>
    <x v="9"/>
    <b v="0"/>
    <x v="1"/>
    <n v="2"/>
    <n v="0.16"/>
    <m/>
    <n v="0.2273"/>
    <n v="0.8"/>
    <n v="0"/>
    <n v="4"/>
    <n v="34"/>
    <n v="38"/>
    <x v="1"/>
    <x v="0"/>
    <x v="1"/>
  </r>
  <r>
    <n v="651"/>
    <d v="2011-01-30T00:00:00"/>
    <x v="0"/>
    <n v="1"/>
    <x v="10"/>
    <b v="0"/>
    <x v="1"/>
    <n v="2"/>
    <n v="0.18"/>
    <m/>
    <n v="0.2424"/>
    <n v="0.8"/>
    <n v="0"/>
    <n v="7"/>
    <n v="57"/>
    <n v="64"/>
    <x v="1"/>
    <x v="0"/>
    <x v="1"/>
  </r>
  <r>
    <n v="652"/>
    <d v="2011-01-30T00:00:00"/>
    <x v="0"/>
    <n v="1"/>
    <x v="11"/>
    <b v="0"/>
    <x v="1"/>
    <n v="1"/>
    <n v="0.22"/>
    <m/>
    <n v="0.2727"/>
    <n v="0.75"/>
    <n v="0"/>
    <n v="9"/>
    <n v="50"/>
    <n v="59"/>
    <x v="1"/>
    <x v="0"/>
    <x v="0"/>
  </r>
  <r>
    <n v="653"/>
    <d v="2011-01-30T00:00:00"/>
    <x v="0"/>
    <n v="1"/>
    <x v="12"/>
    <b v="0"/>
    <x v="1"/>
    <n v="1"/>
    <n v="0.3"/>
    <m/>
    <n v="0.31819999999999998"/>
    <n v="0.52"/>
    <n v="0.1045"/>
    <n v="10"/>
    <n v="87"/>
    <n v="97"/>
    <x v="1"/>
    <x v="1"/>
    <x v="0"/>
  </r>
  <r>
    <n v="654"/>
    <d v="2011-01-30T00:00:00"/>
    <x v="0"/>
    <n v="1"/>
    <x v="13"/>
    <b v="0"/>
    <x v="1"/>
    <n v="1"/>
    <n v="0.28000000000000003"/>
    <m/>
    <n v="0.28789999999999999"/>
    <n v="0.61"/>
    <n v="0.1045"/>
    <n v="13"/>
    <n v="71"/>
    <n v="84"/>
    <x v="1"/>
    <x v="1"/>
    <x v="0"/>
  </r>
  <r>
    <n v="655"/>
    <d v="2011-01-30T00:00:00"/>
    <x v="0"/>
    <n v="1"/>
    <x v="14"/>
    <b v="0"/>
    <x v="1"/>
    <n v="1"/>
    <n v="0.28000000000000003"/>
    <m/>
    <n v="0.30299999999999999"/>
    <n v="0.61"/>
    <n v="8.9599999999999999E-2"/>
    <n v="18"/>
    <n v="104"/>
    <n v="122"/>
    <x v="1"/>
    <x v="1"/>
    <x v="0"/>
  </r>
  <r>
    <n v="656"/>
    <d v="2011-01-30T00:00:00"/>
    <x v="0"/>
    <n v="1"/>
    <x v="15"/>
    <b v="0"/>
    <x v="1"/>
    <n v="1"/>
    <n v="0.3"/>
    <m/>
    <n v="0.33329999999999999"/>
    <n v="0.56000000000000005"/>
    <n v="0"/>
    <n v="14"/>
    <n v="95"/>
    <n v="109"/>
    <x v="1"/>
    <x v="1"/>
    <x v="0"/>
  </r>
  <r>
    <n v="657"/>
    <d v="2011-01-30T00:00:00"/>
    <x v="0"/>
    <n v="1"/>
    <x v="16"/>
    <b v="0"/>
    <x v="1"/>
    <n v="1"/>
    <n v="0.3"/>
    <m/>
    <n v="0.33329999999999999"/>
    <n v="0.56000000000000005"/>
    <n v="0"/>
    <n v="19"/>
    <n v="104"/>
    <n v="123"/>
    <x v="1"/>
    <x v="2"/>
    <x v="0"/>
  </r>
  <r>
    <n v="658"/>
    <d v="2011-01-30T00:00:00"/>
    <x v="0"/>
    <n v="1"/>
    <x v="17"/>
    <b v="0"/>
    <x v="1"/>
    <n v="1"/>
    <n v="0.3"/>
    <m/>
    <n v="0.28789999999999999"/>
    <n v="0.56000000000000005"/>
    <n v="0.19400000000000001"/>
    <n v="6"/>
    <n v="71"/>
    <n v="77"/>
    <x v="1"/>
    <x v="2"/>
    <x v="0"/>
  </r>
  <r>
    <n v="659"/>
    <d v="2011-01-30T00:00:00"/>
    <x v="0"/>
    <n v="1"/>
    <x v="18"/>
    <b v="0"/>
    <x v="1"/>
    <n v="1"/>
    <n v="0.26"/>
    <m/>
    <n v="0.2576"/>
    <n v="0.65"/>
    <n v="0.16420000000000001"/>
    <n v="8"/>
    <n v="57"/>
    <n v="65"/>
    <x v="1"/>
    <x v="2"/>
    <x v="0"/>
  </r>
  <r>
    <n v="660"/>
    <d v="2011-01-30T00:00:00"/>
    <x v="0"/>
    <n v="1"/>
    <x v="19"/>
    <b v="0"/>
    <x v="1"/>
    <n v="1"/>
    <n v="0.26"/>
    <m/>
    <n v="0.2576"/>
    <n v="0.65"/>
    <n v="0.19400000000000001"/>
    <n v="9"/>
    <n v="46"/>
    <n v="55"/>
    <x v="1"/>
    <x v="2"/>
    <x v="0"/>
  </r>
  <r>
    <n v="661"/>
    <d v="2011-01-30T00:00:00"/>
    <x v="0"/>
    <n v="1"/>
    <x v="20"/>
    <b v="0"/>
    <x v="1"/>
    <n v="2"/>
    <n v="0.26"/>
    <m/>
    <n v="0.2727"/>
    <n v="0.65"/>
    <n v="0.1045"/>
    <n v="3"/>
    <n v="30"/>
    <n v="33"/>
    <x v="1"/>
    <x v="2"/>
    <x v="1"/>
  </r>
  <r>
    <n v="662"/>
    <d v="2011-01-30T00:00:00"/>
    <x v="0"/>
    <n v="1"/>
    <x v="21"/>
    <b v="0"/>
    <x v="1"/>
    <n v="2"/>
    <n v="0.24"/>
    <m/>
    <n v="0.2424"/>
    <n v="0.7"/>
    <n v="0.16420000000000001"/>
    <n v="3"/>
    <n v="25"/>
    <n v="28"/>
    <x v="1"/>
    <x v="3"/>
    <x v="1"/>
  </r>
  <r>
    <n v="663"/>
    <d v="2011-01-30T00:00:00"/>
    <x v="0"/>
    <n v="1"/>
    <x v="22"/>
    <b v="0"/>
    <x v="1"/>
    <n v="2"/>
    <n v="0.24"/>
    <m/>
    <n v="0.2273"/>
    <n v="0.7"/>
    <n v="0.19400000000000001"/>
    <n v="2"/>
    <n v="19"/>
    <n v="21"/>
    <x v="1"/>
    <x v="3"/>
    <x v="1"/>
  </r>
  <r>
    <n v="664"/>
    <d v="2011-01-30T00:00:00"/>
    <x v="0"/>
    <n v="1"/>
    <x v="23"/>
    <b v="0"/>
    <x v="1"/>
    <n v="2"/>
    <n v="0.24"/>
    <m/>
    <n v="0.21210000000000001"/>
    <n v="0.65"/>
    <n v="0.28360000000000002"/>
    <n v="5"/>
    <n v="16"/>
    <n v="21"/>
    <x v="1"/>
    <x v="3"/>
    <x v="1"/>
  </r>
  <r>
    <n v="665"/>
    <d v="2011-01-31T00:00:00"/>
    <x v="0"/>
    <n v="1"/>
    <x v="0"/>
    <b v="0"/>
    <x v="2"/>
    <n v="2"/>
    <n v="0.24"/>
    <m/>
    <n v="0.2273"/>
    <n v="0.65"/>
    <n v="0.22389999999999999"/>
    <n v="1"/>
    <n v="6"/>
    <n v="7"/>
    <x v="1"/>
    <x v="0"/>
    <x v="1"/>
  </r>
  <r>
    <n v="666"/>
    <d v="2011-01-31T00:00:00"/>
    <x v="0"/>
    <n v="1"/>
    <x v="1"/>
    <b v="0"/>
    <x v="2"/>
    <n v="1"/>
    <n v="0.22"/>
    <m/>
    <n v="0.21210000000000001"/>
    <n v="0.64"/>
    <n v="0.25369999999999998"/>
    <n v="2"/>
    <n v="5"/>
    <n v="7"/>
    <x v="1"/>
    <x v="0"/>
    <x v="0"/>
  </r>
  <r>
    <n v="667"/>
    <d v="2011-01-31T00:00:00"/>
    <x v="0"/>
    <n v="1"/>
    <x v="2"/>
    <b v="0"/>
    <x v="2"/>
    <n v="1"/>
    <n v="0.22"/>
    <m/>
    <n v="0.2273"/>
    <n v="0.64"/>
    <n v="0.19400000000000001"/>
    <n v="0"/>
    <n v="1"/>
    <n v="1"/>
    <x v="1"/>
    <x v="0"/>
    <x v="0"/>
  </r>
  <r>
    <n v="668"/>
    <d v="2011-01-31T00:00:00"/>
    <x v="0"/>
    <n v="1"/>
    <x v="3"/>
    <b v="0"/>
    <x v="2"/>
    <n v="1"/>
    <n v="0.22"/>
    <m/>
    <n v="0.2273"/>
    <n v="0.64"/>
    <n v="0.19400000000000001"/>
    <n v="0"/>
    <n v="2"/>
    <n v="2"/>
    <x v="1"/>
    <x v="0"/>
    <x v="0"/>
  </r>
  <r>
    <n v="669"/>
    <d v="2011-01-31T00:00:00"/>
    <x v="0"/>
    <n v="1"/>
    <x v="4"/>
    <b v="0"/>
    <x v="2"/>
    <n v="1"/>
    <n v="0.2"/>
    <m/>
    <n v="0.19700000000000001"/>
    <n v="0.59"/>
    <n v="0.22389999999999999"/>
    <n v="0"/>
    <n v="2"/>
    <n v="2"/>
    <x v="1"/>
    <x v="0"/>
    <x v="0"/>
  </r>
  <r>
    <n v="670"/>
    <d v="2011-01-31T00:00:00"/>
    <x v="0"/>
    <n v="1"/>
    <x v="5"/>
    <b v="0"/>
    <x v="2"/>
    <n v="1"/>
    <n v="0.18"/>
    <m/>
    <n v="0.16669999999999999"/>
    <n v="0.64"/>
    <n v="0.28360000000000002"/>
    <n v="0"/>
    <n v="8"/>
    <n v="8"/>
    <x v="1"/>
    <x v="0"/>
    <x v="0"/>
  </r>
  <r>
    <n v="671"/>
    <d v="2011-01-31T00:00:00"/>
    <x v="0"/>
    <n v="1"/>
    <x v="6"/>
    <b v="0"/>
    <x v="2"/>
    <n v="1"/>
    <n v="0.16"/>
    <m/>
    <n v="0.13639999999999999"/>
    <n v="0.69"/>
    <n v="0.32840000000000003"/>
    <n v="0"/>
    <n v="37"/>
    <n v="37"/>
    <x v="1"/>
    <x v="0"/>
    <x v="0"/>
  </r>
  <r>
    <n v="672"/>
    <d v="2011-01-31T00:00:00"/>
    <x v="0"/>
    <n v="1"/>
    <x v="7"/>
    <b v="0"/>
    <x v="2"/>
    <n v="2"/>
    <n v="0.16"/>
    <m/>
    <n v="0.13639999999999999"/>
    <n v="0.64"/>
    <n v="0.28360000000000002"/>
    <n v="1"/>
    <n v="71"/>
    <n v="72"/>
    <x v="1"/>
    <x v="0"/>
    <x v="1"/>
  </r>
  <r>
    <n v="673"/>
    <d v="2011-01-31T00:00:00"/>
    <x v="0"/>
    <n v="1"/>
    <x v="8"/>
    <b v="0"/>
    <x v="2"/>
    <n v="2"/>
    <n v="0.16"/>
    <m/>
    <n v="0.13639999999999999"/>
    <n v="0.59"/>
    <n v="0.28360000000000002"/>
    <n v="3"/>
    <n v="182"/>
    <n v="185"/>
    <x v="1"/>
    <x v="0"/>
    <x v="1"/>
  </r>
  <r>
    <n v="674"/>
    <d v="2011-01-31T00:00:00"/>
    <x v="0"/>
    <n v="1"/>
    <x v="9"/>
    <b v="0"/>
    <x v="2"/>
    <n v="2"/>
    <n v="0.16"/>
    <m/>
    <n v="0.13639999999999999"/>
    <n v="0.59"/>
    <n v="0.29849999999999999"/>
    <n v="0"/>
    <n v="112"/>
    <n v="112"/>
    <x v="1"/>
    <x v="0"/>
    <x v="1"/>
  </r>
  <r>
    <n v="675"/>
    <d v="2011-01-31T00:00:00"/>
    <x v="0"/>
    <n v="1"/>
    <x v="10"/>
    <b v="0"/>
    <x v="2"/>
    <n v="2"/>
    <n v="0.16"/>
    <m/>
    <n v="0.1515"/>
    <n v="0.59"/>
    <n v="0.19400000000000001"/>
    <n v="1"/>
    <n v="68"/>
    <n v="69"/>
    <x v="1"/>
    <x v="0"/>
    <x v="1"/>
  </r>
  <r>
    <n v="676"/>
    <d v="2011-01-31T00:00:00"/>
    <x v="0"/>
    <n v="1"/>
    <x v="11"/>
    <b v="0"/>
    <x v="2"/>
    <n v="2"/>
    <n v="0.16"/>
    <m/>
    <n v="0.1515"/>
    <n v="0.59"/>
    <n v="0.19400000000000001"/>
    <n v="2"/>
    <n v="46"/>
    <n v="48"/>
    <x v="1"/>
    <x v="0"/>
    <x v="1"/>
  </r>
  <r>
    <n v="677"/>
    <d v="2011-01-31T00:00:00"/>
    <x v="0"/>
    <n v="1"/>
    <x v="12"/>
    <b v="0"/>
    <x v="2"/>
    <n v="2"/>
    <n v="0.18"/>
    <m/>
    <n v="0.21210000000000001"/>
    <n v="0.55000000000000004"/>
    <n v="0.1045"/>
    <n v="6"/>
    <n v="62"/>
    <n v="68"/>
    <x v="1"/>
    <x v="1"/>
    <x v="1"/>
  </r>
  <r>
    <n v="678"/>
    <d v="2011-01-31T00:00:00"/>
    <x v="0"/>
    <n v="1"/>
    <x v="13"/>
    <b v="0"/>
    <x v="2"/>
    <n v="2"/>
    <n v="0.16"/>
    <m/>
    <n v="0.2273"/>
    <n v="0.59"/>
    <n v="0"/>
    <n v="2"/>
    <n v="52"/>
    <n v="54"/>
    <x v="1"/>
    <x v="1"/>
    <x v="1"/>
  </r>
  <r>
    <n v="679"/>
    <d v="2011-01-31T00:00:00"/>
    <x v="0"/>
    <n v="1"/>
    <x v="14"/>
    <b v="0"/>
    <x v="2"/>
    <n v="2"/>
    <n v="0.18"/>
    <m/>
    <n v="0.19700000000000001"/>
    <n v="0.55000000000000004"/>
    <n v="0.1343"/>
    <n v="1"/>
    <n v="85"/>
    <n v="86"/>
    <x v="1"/>
    <x v="1"/>
    <x v="1"/>
  </r>
  <r>
    <n v="680"/>
    <d v="2011-01-31T00:00:00"/>
    <x v="0"/>
    <n v="1"/>
    <x v="15"/>
    <b v="0"/>
    <x v="2"/>
    <n v="2"/>
    <n v="0.16"/>
    <m/>
    <n v="0.18179999999999999"/>
    <n v="0.59"/>
    <n v="0.1343"/>
    <n v="3"/>
    <n v="41"/>
    <n v="44"/>
    <x v="1"/>
    <x v="1"/>
    <x v="1"/>
  </r>
  <r>
    <n v="681"/>
    <d v="2011-01-31T00:00:00"/>
    <x v="0"/>
    <n v="1"/>
    <x v="16"/>
    <b v="0"/>
    <x v="2"/>
    <n v="2"/>
    <n v="0.16"/>
    <m/>
    <n v="0.18179999999999999"/>
    <n v="0.56000000000000005"/>
    <n v="0.19400000000000001"/>
    <n v="3"/>
    <n v="83"/>
    <n v="86"/>
    <x v="1"/>
    <x v="2"/>
    <x v="1"/>
  </r>
  <r>
    <n v="682"/>
    <d v="2011-01-31T00:00:00"/>
    <x v="0"/>
    <n v="1"/>
    <x v="17"/>
    <b v="0"/>
    <x v="2"/>
    <n v="2"/>
    <n v="0.16"/>
    <m/>
    <n v="0.1515"/>
    <n v="0.59"/>
    <n v="0.19400000000000001"/>
    <n v="6"/>
    <n v="155"/>
    <n v="161"/>
    <x v="1"/>
    <x v="2"/>
    <x v="1"/>
  </r>
  <r>
    <n v="683"/>
    <d v="2011-01-31T00:00:00"/>
    <x v="0"/>
    <n v="1"/>
    <x v="18"/>
    <b v="0"/>
    <x v="2"/>
    <n v="2"/>
    <n v="0.16"/>
    <m/>
    <n v="0.1515"/>
    <n v="0.55000000000000004"/>
    <n v="0.22389999999999999"/>
    <n v="3"/>
    <n v="153"/>
    <n v="156"/>
    <x v="1"/>
    <x v="2"/>
    <x v="1"/>
  </r>
  <r>
    <n v="684"/>
    <d v="2011-01-31T00:00:00"/>
    <x v="0"/>
    <n v="1"/>
    <x v="19"/>
    <b v="0"/>
    <x v="2"/>
    <n v="1"/>
    <n v="0.3"/>
    <m/>
    <n v="0.31819999999999998"/>
    <n v="0.61"/>
    <n v="0.1045"/>
    <n v="3"/>
    <n v="108"/>
    <n v="111"/>
    <x v="1"/>
    <x v="2"/>
    <x v="0"/>
  </r>
  <r>
    <n v="685"/>
    <d v="2011-01-31T00:00:00"/>
    <x v="0"/>
    <n v="1"/>
    <x v="20"/>
    <b v="0"/>
    <x v="2"/>
    <n v="3"/>
    <n v="0.16"/>
    <m/>
    <n v="0.16669999999999999"/>
    <n v="0.59"/>
    <n v="0.16420000000000001"/>
    <n v="0"/>
    <n v="78"/>
    <n v="78"/>
    <x v="1"/>
    <x v="2"/>
    <x v="2"/>
  </r>
  <r>
    <n v="686"/>
    <d v="2011-01-31T00:00:00"/>
    <x v="0"/>
    <n v="1"/>
    <x v="21"/>
    <b v="0"/>
    <x v="2"/>
    <n v="3"/>
    <n v="0.16"/>
    <m/>
    <n v="0.19700000000000001"/>
    <n v="0.59"/>
    <n v="8.9599999999999999E-2"/>
    <n v="3"/>
    <n v="53"/>
    <n v="56"/>
    <x v="1"/>
    <x v="3"/>
    <x v="2"/>
  </r>
  <r>
    <n v="687"/>
    <d v="2011-01-31T00:00:00"/>
    <x v="0"/>
    <n v="1"/>
    <x v="22"/>
    <b v="0"/>
    <x v="2"/>
    <n v="2"/>
    <n v="0.16"/>
    <m/>
    <n v="0.18179999999999999"/>
    <n v="0.59"/>
    <n v="0.1045"/>
    <n v="0"/>
    <n v="34"/>
    <n v="34"/>
    <x v="1"/>
    <x v="3"/>
    <x v="1"/>
  </r>
  <r>
    <n v="688"/>
    <d v="2011-01-31T00:00:00"/>
    <x v="0"/>
    <n v="1"/>
    <x v="23"/>
    <b v="0"/>
    <x v="2"/>
    <n v="2"/>
    <n v="0.16"/>
    <m/>
    <n v="0.19700000000000001"/>
    <n v="0.64"/>
    <n v="8.9599999999999999E-2"/>
    <n v="2"/>
    <n v="15"/>
    <n v="17"/>
    <x v="1"/>
    <x v="3"/>
    <x v="1"/>
  </r>
  <r>
    <n v="689"/>
    <d v="2011-02-01T00:00:00"/>
    <x v="0"/>
    <n v="2"/>
    <x v="0"/>
    <b v="0"/>
    <x v="3"/>
    <n v="2"/>
    <n v="0.16"/>
    <m/>
    <n v="0.18179999999999999"/>
    <n v="0.64"/>
    <n v="0.1045"/>
    <n v="2"/>
    <n v="6"/>
    <n v="8"/>
    <x v="1"/>
    <x v="0"/>
    <x v="1"/>
  </r>
  <r>
    <n v="690"/>
    <d v="2011-02-01T00:00:00"/>
    <x v="0"/>
    <n v="2"/>
    <x v="1"/>
    <b v="0"/>
    <x v="3"/>
    <n v="2"/>
    <n v="0.16"/>
    <m/>
    <n v="0.18179999999999999"/>
    <n v="0.69"/>
    <n v="0.1045"/>
    <n v="0"/>
    <n v="3"/>
    <n v="3"/>
    <x v="1"/>
    <x v="0"/>
    <x v="1"/>
  </r>
  <r>
    <n v="691"/>
    <d v="2011-02-01T00:00:00"/>
    <x v="0"/>
    <n v="2"/>
    <x v="2"/>
    <b v="0"/>
    <x v="3"/>
    <n v="2"/>
    <n v="0.16"/>
    <m/>
    <n v="0.2273"/>
    <n v="0.69"/>
    <n v="0"/>
    <n v="0"/>
    <n v="2"/>
    <n v="2"/>
    <x v="1"/>
    <x v="0"/>
    <x v="1"/>
  </r>
  <r>
    <n v="692"/>
    <d v="2011-02-01T00:00:00"/>
    <x v="0"/>
    <n v="2"/>
    <x v="3"/>
    <b v="0"/>
    <x v="3"/>
    <n v="2"/>
    <n v="0.16"/>
    <m/>
    <n v="0.2273"/>
    <n v="0.69"/>
    <n v="0"/>
    <n v="0"/>
    <n v="2"/>
    <n v="2"/>
    <x v="1"/>
    <x v="0"/>
    <x v="1"/>
  </r>
  <r>
    <n v="693"/>
    <d v="2011-02-01T00:00:00"/>
    <x v="0"/>
    <n v="2"/>
    <x v="5"/>
    <b v="0"/>
    <x v="3"/>
    <n v="3"/>
    <n v="0.14000000000000001"/>
    <m/>
    <n v="0.21210000000000001"/>
    <n v="0.93"/>
    <n v="0"/>
    <n v="0"/>
    <n v="3"/>
    <n v="3"/>
    <x v="1"/>
    <x v="0"/>
    <x v="2"/>
  </r>
  <r>
    <n v="694"/>
    <d v="2011-02-01T00:00:00"/>
    <x v="0"/>
    <n v="2"/>
    <x v="6"/>
    <b v="0"/>
    <x v="3"/>
    <n v="3"/>
    <n v="0.14000000000000001"/>
    <m/>
    <n v="0.21210000000000001"/>
    <n v="0.93"/>
    <n v="0"/>
    <n v="0"/>
    <n v="22"/>
    <n v="22"/>
    <x v="1"/>
    <x v="0"/>
    <x v="2"/>
  </r>
  <r>
    <n v="695"/>
    <d v="2011-02-01T00:00:00"/>
    <x v="0"/>
    <n v="2"/>
    <x v="7"/>
    <b v="0"/>
    <x v="3"/>
    <n v="3"/>
    <n v="0.16"/>
    <m/>
    <n v="0.2273"/>
    <n v="0.93"/>
    <n v="0"/>
    <n v="0"/>
    <n v="52"/>
    <n v="52"/>
    <x v="1"/>
    <x v="0"/>
    <x v="2"/>
  </r>
  <r>
    <n v="696"/>
    <d v="2011-02-01T00:00:00"/>
    <x v="0"/>
    <n v="2"/>
    <x v="8"/>
    <b v="0"/>
    <x v="3"/>
    <n v="3"/>
    <n v="0.16"/>
    <m/>
    <n v="0.2273"/>
    <n v="0.93"/>
    <n v="0"/>
    <n v="3"/>
    <n v="132"/>
    <n v="135"/>
    <x v="1"/>
    <x v="0"/>
    <x v="2"/>
  </r>
  <r>
    <n v="697"/>
    <d v="2011-02-01T00:00:00"/>
    <x v="0"/>
    <n v="2"/>
    <x v="9"/>
    <b v="0"/>
    <x v="3"/>
    <n v="2"/>
    <n v="0.16"/>
    <m/>
    <n v="0.2273"/>
    <n v="0.93"/>
    <n v="0"/>
    <n v="2"/>
    <n v="114"/>
    <n v="116"/>
    <x v="1"/>
    <x v="0"/>
    <x v="1"/>
  </r>
  <r>
    <n v="698"/>
    <d v="2011-02-01T00:00:00"/>
    <x v="0"/>
    <n v="2"/>
    <x v="10"/>
    <b v="0"/>
    <x v="3"/>
    <n v="2"/>
    <n v="0.16"/>
    <m/>
    <n v="0.2273"/>
    <n v="0.93"/>
    <n v="0"/>
    <n v="0"/>
    <n v="47"/>
    <n v="47"/>
    <x v="1"/>
    <x v="0"/>
    <x v="1"/>
  </r>
  <r>
    <n v="699"/>
    <d v="2011-02-01T00:00:00"/>
    <x v="0"/>
    <n v="2"/>
    <x v="11"/>
    <b v="0"/>
    <x v="3"/>
    <n v="2"/>
    <n v="0.18"/>
    <m/>
    <n v="0.2424"/>
    <n v="0.86"/>
    <n v="0"/>
    <n v="2"/>
    <n v="49"/>
    <n v="51"/>
    <x v="1"/>
    <x v="0"/>
    <x v="1"/>
  </r>
  <r>
    <n v="700"/>
    <d v="2011-02-01T00:00:00"/>
    <x v="0"/>
    <n v="2"/>
    <x v="12"/>
    <b v="0"/>
    <x v="3"/>
    <n v="2"/>
    <n v="0.2"/>
    <m/>
    <n v="0.2576"/>
    <n v="0.86"/>
    <n v="0"/>
    <n v="2"/>
    <n v="53"/>
    <n v="55"/>
    <x v="1"/>
    <x v="1"/>
    <x v="1"/>
  </r>
  <r>
    <n v="701"/>
    <d v="2011-02-01T00:00:00"/>
    <x v="0"/>
    <n v="2"/>
    <x v="13"/>
    <b v="0"/>
    <x v="3"/>
    <n v="2"/>
    <n v="0.2"/>
    <m/>
    <n v="0.2576"/>
    <n v="0.86"/>
    <n v="0"/>
    <n v="3"/>
    <n v="49"/>
    <n v="52"/>
    <x v="1"/>
    <x v="1"/>
    <x v="1"/>
  </r>
  <r>
    <n v="702"/>
    <d v="2011-02-01T00:00:00"/>
    <x v="0"/>
    <n v="2"/>
    <x v="14"/>
    <b v="0"/>
    <x v="3"/>
    <n v="2"/>
    <n v="0.22"/>
    <m/>
    <n v="0.2576"/>
    <n v="0.8"/>
    <n v="8.9599999999999999E-2"/>
    <n v="5"/>
    <n v="49"/>
    <n v="54"/>
    <x v="1"/>
    <x v="1"/>
    <x v="1"/>
  </r>
  <r>
    <n v="703"/>
    <d v="2011-02-01T00:00:00"/>
    <x v="0"/>
    <n v="2"/>
    <x v="15"/>
    <b v="0"/>
    <x v="3"/>
    <n v="2"/>
    <n v="0.24"/>
    <m/>
    <n v="0.28789999999999999"/>
    <n v="0.75"/>
    <n v="0"/>
    <n v="7"/>
    <n v="45"/>
    <n v="52"/>
    <x v="1"/>
    <x v="1"/>
    <x v="1"/>
  </r>
  <r>
    <n v="704"/>
    <d v="2011-02-01T00:00:00"/>
    <x v="0"/>
    <n v="2"/>
    <x v="16"/>
    <b v="0"/>
    <x v="3"/>
    <n v="2"/>
    <n v="0.24"/>
    <m/>
    <n v="0.2424"/>
    <n v="0.75"/>
    <n v="0.1343"/>
    <n v="3"/>
    <n v="61"/>
    <n v="64"/>
    <x v="1"/>
    <x v="2"/>
    <x v="1"/>
  </r>
  <r>
    <n v="705"/>
    <d v="2011-02-01T00:00:00"/>
    <x v="0"/>
    <n v="2"/>
    <x v="17"/>
    <b v="0"/>
    <x v="3"/>
    <n v="2"/>
    <n v="0.24"/>
    <m/>
    <n v="0.28789999999999999"/>
    <n v="0.75"/>
    <n v="0"/>
    <n v="4"/>
    <n v="172"/>
    <n v="176"/>
    <x v="1"/>
    <x v="2"/>
    <x v="1"/>
  </r>
  <r>
    <n v="706"/>
    <d v="2011-02-01T00:00:00"/>
    <x v="0"/>
    <n v="2"/>
    <x v="18"/>
    <b v="0"/>
    <x v="3"/>
    <n v="2"/>
    <n v="0.24"/>
    <m/>
    <n v="0.2576"/>
    <n v="0.81"/>
    <n v="0.1045"/>
    <n v="3"/>
    <n v="165"/>
    <n v="168"/>
    <x v="1"/>
    <x v="2"/>
    <x v="1"/>
  </r>
  <r>
    <n v="707"/>
    <d v="2011-02-01T00:00:00"/>
    <x v="0"/>
    <n v="2"/>
    <x v="19"/>
    <b v="0"/>
    <x v="3"/>
    <n v="2"/>
    <n v="0.24"/>
    <m/>
    <n v="0.2424"/>
    <n v="0.81"/>
    <n v="0.1343"/>
    <n v="3"/>
    <n v="105"/>
    <n v="108"/>
    <x v="1"/>
    <x v="2"/>
    <x v="1"/>
  </r>
  <r>
    <n v="708"/>
    <d v="2011-02-01T00:00:00"/>
    <x v="0"/>
    <n v="2"/>
    <x v="20"/>
    <b v="0"/>
    <x v="3"/>
    <n v="2"/>
    <n v="0.22"/>
    <m/>
    <n v="0.2273"/>
    <n v="0.87"/>
    <n v="0.1343"/>
    <n v="5"/>
    <n v="69"/>
    <n v="74"/>
    <x v="1"/>
    <x v="2"/>
    <x v="1"/>
  </r>
  <r>
    <n v="709"/>
    <d v="2011-02-01T00:00:00"/>
    <x v="0"/>
    <n v="2"/>
    <x v="21"/>
    <b v="0"/>
    <x v="3"/>
    <n v="2"/>
    <n v="0.22"/>
    <m/>
    <n v="0.2273"/>
    <n v="0.87"/>
    <n v="0.1343"/>
    <n v="0"/>
    <n v="64"/>
    <n v="64"/>
    <x v="1"/>
    <x v="3"/>
    <x v="1"/>
  </r>
  <r>
    <n v="710"/>
    <d v="2011-02-01T00:00:00"/>
    <x v="0"/>
    <n v="2"/>
    <x v="22"/>
    <b v="0"/>
    <x v="3"/>
    <n v="2"/>
    <n v="0.22"/>
    <m/>
    <n v="0.2576"/>
    <n v="0.87"/>
    <n v="8.9599999999999999E-2"/>
    <n v="2"/>
    <n v="34"/>
    <n v="36"/>
    <x v="1"/>
    <x v="3"/>
    <x v="1"/>
  </r>
  <r>
    <n v="711"/>
    <d v="2011-02-01T00:00:00"/>
    <x v="0"/>
    <n v="2"/>
    <x v="23"/>
    <b v="0"/>
    <x v="3"/>
    <n v="3"/>
    <n v="0.2"/>
    <m/>
    <n v="0.19700000000000001"/>
    <n v="0.93"/>
    <n v="0.19400000000000001"/>
    <n v="1"/>
    <n v="15"/>
    <n v="16"/>
    <x v="1"/>
    <x v="3"/>
    <x v="2"/>
  </r>
  <r>
    <n v="712"/>
    <d v="2011-02-02T00:00:00"/>
    <x v="0"/>
    <n v="2"/>
    <x v="0"/>
    <b v="0"/>
    <x v="4"/>
    <n v="3"/>
    <n v="0.22"/>
    <m/>
    <n v="0.2424"/>
    <n v="0.93"/>
    <n v="0.1045"/>
    <n v="0"/>
    <n v="2"/>
    <n v="2"/>
    <x v="1"/>
    <x v="0"/>
    <x v="2"/>
  </r>
  <r>
    <n v="713"/>
    <d v="2011-02-02T00:00:00"/>
    <x v="0"/>
    <n v="2"/>
    <x v="1"/>
    <b v="0"/>
    <x v="4"/>
    <n v="3"/>
    <n v="0.22"/>
    <m/>
    <n v="0.2273"/>
    <n v="0.93"/>
    <n v="0.19400000000000001"/>
    <n v="0"/>
    <n v="3"/>
    <n v="3"/>
    <x v="1"/>
    <x v="0"/>
    <x v="2"/>
  </r>
  <r>
    <n v="714"/>
    <d v="2011-02-02T00:00:00"/>
    <x v="0"/>
    <n v="2"/>
    <x v="2"/>
    <b v="0"/>
    <x v="4"/>
    <n v="3"/>
    <n v="0.22"/>
    <m/>
    <n v="0.2273"/>
    <n v="0.93"/>
    <n v="0.1343"/>
    <n v="4"/>
    <n v="0"/>
    <n v="4"/>
    <x v="1"/>
    <x v="0"/>
    <x v="2"/>
  </r>
  <r>
    <n v="715"/>
    <d v="2011-02-02T00:00:00"/>
    <x v="0"/>
    <n v="2"/>
    <x v="3"/>
    <b v="0"/>
    <x v="4"/>
    <n v="3"/>
    <n v="0.22"/>
    <m/>
    <n v="0.2273"/>
    <n v="0.93"/>
    <n v="0.1343"/>
    <n v="0"/>
    <n v="1"/>
    <n v="1"/>
    <x v="1"/>
    <x v="0"/>
    <x v="2"/>
  </r>
  <r>
    <n v="716"/>
    <d v="2011-02-02T00:00:00"/>
    <x v="0"/>
    <n v="2"/>
    <x v="4"/>
    <b v="0"/>
    <x v="4"/>
    <n v="3"/>
    <n v="0.22"/>
    <m/>
    <n v="0.21210000000000001"/>
    <n v="0.93"/>
    <n v="0.28360000000000002"/>
    <n v="0"/>
    <n v="1"/>
    <n v="1"/>
    <x v="1"/>
    <x v="0"/>
    <x v="2"/>
  </r>
  <r>
    <n v="717"/>
    <d v="2011-02-02T00:00:00"/>
    <x v="0"/>
    <n v="2"/>
    <x v="5"/>
    <b v="0"/>
    <x v="4"/>
    <n v="3"/>
    <n v="0.22"/>
    <m/>
    <n v="0.2424"/>
    <n v="0.93"/>
    <n v="0.1045"/>
    <n v="0"/>
    <n v="3"/>
    <n v="3"/>
    <x v="1"/>
    <x v="0"/>
    <x v="2"/>
  </r>
  <r>
    <n v="718"/>
    <d v="2011-02-02T00:00:00"/>
    <x v="0"/>
    <n v="2"/>
    <x v="6"/>
    <b v="0"/>
    <x v="4"/>
    <n v="3"/>
    <n v="0.22"/>
    <m/>
    <n v="0.2424"/>
    <n v="0.93"/>
    <n v="0.1045"/>
    <n v="1"/>
    <n v="17"/>
    <n v="18"/>
    <x v="1"/>
    <x v="0"/>
    <x v="2"/>
  </r>
  <r>
    <n v="719"/>
    <d v="2011-02-02T00:00:00"/>
    <x v="0"/>
    <n v="2"/>
    <x v="7"/>
    <b v="0"/>
    <x v="4"/>
    <n v="3"/>
    <n v="0.22"/>
    <m/>
    <n v="0.21210000000000001"/>
    <n v="0.93"/>
    <n v="0.22389999999999999"/>
    <n v="1"/>
    <n v="48"/>
    <n v="49"/>
    <x v="1"/>
    <x v="0"/>
    <x v="2"/>
  </r>
  <r>
    <n v="720"/>
    <d v="2011-02-02T00:00:00"/>
    <x v="0"/>
    <n v="2"/>
    <x v="8"/>
    <b v="0"/>
    <x v="4"/>
    <n v="3"/>
    <n v="0.22"/>
    <m/>
    <n v="0.21210000000000001"/>
    <n v="0.93"/>
    <n v="0.22389999999999999"/>
    <n v="1"/>
    <n v="154"/>
    <n v="155"/>
    <x v="1"/>
    <x v="0"/>
    <x v="2"/>
  </r>
  <r>
    <n v="721"/>
    <d v="2011-02-02T00:00:00"/>
    <x v="0"/>
    <n v="2"/>
    <x v="9"/>
    <b v="0"/>
    <x v="4"/>
    <n v="2"/>
    <n v="0.24"/>
    <m/>
    <n v="0.2576"/>
    <n v="0.93"/>
    <n v="8.9599999999999999E-2"/>
    <n v="4"/>
    <n v="119"/>
    <n v="123"/>
    <x v="1"/>
    <x v="0"/>
    <x v="1"/>
  </r>
  <r>
    <n v="722"/>
    <d v="2011-02-02T00:00:00"/>
    <x v="0"/>
    <n v="2"/>
    <x v="10"/>
    <b v="0"/>
    <x v="4"/>
    <n v="2"/>
    <n v="0.22"/>
    <m/>
    <n v="0.2727"/>
    <n v="1"/>
    <n v="0"/>
    <n v="2"/>
    <n v="59"/>
    <n v="61"/>
    <x v="1"/>
    <x v="0"/>
    <x v="1"/>
  </r>
  <r>
    <n v="723"/>
    <d v="2011-02-02T00:00:00"/>
    <x v="0"/>
    <n v="2"/>
    <x v="11"/>
    <b v="0"/>
    <x v="4"/>
    <n v="2"/>
    <n v="0.24"/>
    <m/>
    <n v="0.2273"/>
    <n v="0.93"/>
    <n v="0.19400000000000001"/>
    <n v="5"/>
    <n v="47"/>
    <n v="52"/>
    <x v="1"/>
    <x v="0"/>
    <x v="1"/>
  </r>
  <r>
    <n v="724"/>
    <d v="2011-02-02T00:00:00"/>
    <x v="0"/>
    <n v="2"/>
    <x v="12"/>
    <b v="0"/>
    <x v="4"/>
    <n v="2"/>
    <n v="0.24"/>
    <m/>
    <n v="0.2273"/>
    <n v="0.93"/>
    <n v="0.22389999999999999"/>
    <n v="3"/>
    <n v="61"/>
    <n v="64"/>
    <x v="1"/>
    <x v="1"/>
    <x v="1"/>
  </r>
  <r>
    <n v="725"/>
    <d v="2011-02-02T00:00:00"/>
    <x v="0"/>
    <n v="2"/>
    <x v="13"/>
    <b v="0"/>
    <x v="4"/>
    <n v="1"/>
    <n v="0.34"/>
    <m/>
    <n v="0.33329999999999999"/>
    <n v="0.93"/>
    <n v="0.16420000000000001"/>
    <n v="1"/>
    <n v="74"/>
    <n v="75"/>
    <x v="1"/>
    <x v="1"/>
    <x v="0"/>
  </r>
  <r>
    <n v="726"/>
    <d v="2011-02-02T00:00:00"/>
    <x v="0"/>
    <n v="2"/>
    <x v="14"/>
    <b v="0"/>
    <x v="4"/>
    <n v="1"/>
    <n v="0.38"/>
    <m/>
    <n v="0.39389999999999997"/>
    <n v="0.82"/>
    <n v="0.3881"/>
    <n v="2"/>
    <n v="61"/>
    <n v="63"/>
    <x v="1"/>
    <x v="1"/>
    <x v="0"/>
  </r>
  <r>
    <n v="727"/>
    <d v="2011-02-02T00:00:00"/>
    <x v="0"/>
    <n v="2"/>
    <x v="15"/>
    <b v="0"/>
    <x v="4"/>
    <n v="1"/>
    <n v="0.38"/>
    <m/>
    <n v="0.39389999999999997"/>
    <n v="0.76"/>
    <n v="0.32840000000000003"/>
    <n v="10"/>
    <n v="66"/>
    <n v="76"/>
    <x v="1"/>
    <x v="1"/>
    <x v="0"/>
  </r>
  <r>
    <n v="728"/>
    <d v="2011-02-02T00:00:00"/>
    <x v="0"/>
    <n v="2"/>
    <x v="16"/>
    <b v="0"/>
    <x v="4"/>
    <n v="1"/>
    <n v="0.36"/>
    <m/>
    <n v="0.33329999999999999"/>
    <n v="0.71"/>
    <n v="0.29849999999999999"/>
    <n v="8"/>
    <n v="95"/>
    <n v="103"/>
    <x v="1"/>
    <x v="2"/>
    <x v="0"/>
  </r>
  <r>
    <n v="729"/>
    <d v="2011-02-02T00:00:00"/>
    <x v="0"/>
    <n v="2"/>
    <x v="17"/>
    <b v="0"/>
    <x v="4"/>
    <n v="1"/>
    <n v="0.36"/>
    <m/>
    <n v="0.31819999999999998"/>
    <n v="0.53"/>
    <n v="0.52239999999999998"/>
    <n v="7"/>
    <n v="183"/>
    <n v="190"/>
    <x v="1"/>
    <x v="2"/>
    <x v="0"/>
  </r>
  <r>
    <n v="730"/>
    <d v="2011-02-02T00:00:00"/>
    <x v="0"/>
    <n v="2"/>
    <x v="18"/>
    <b v="0"/>
    <x v="4"/>
    <n v="1"/>
    <n v="0.34"/>
    <m/>
    <n v="0.28789999999999999"/>
    <n v="0.42"/>
    <n v="0.55220000000000002"/>
    <n v="7"/>
    <n v="175"/>
    <n v="182"/>
    <x v="1"/>
    <x v="2"/>
    <x v="0"/>
  </r>
  <r>
    <n v="731"/>
    <d v="2011-02-02T00:00:00"/>
    <x v="0"/>
    <n v="2"/>
    <x v="19"/>
    <b v="0"/>
    <x v="4"/>
    <n v="1"/>
    <n v="0.28000000000000003"/>
    <m/>
    <n v="0.2424"/>
    <n v="0.45"/>
    <n v="0.49249999999999999"/>
    <n v="3"/>
    <n v="88"/>
    <n v="91"/>
    <x v="1"/>
    <x v="2"/>
    <x v="0"/>
  </r>
  <r>
    <n v="732"/>
    <d v="2011-02-02T00:00:00"/>
    <x v="0"/>
    <n v="2"/>
    <x v="20"/>
    <b v="0"/>
    <x v="4"/>
    <n v="1"/>
    <n v="0.24"/>
    <m/>
    <n v="0.19700000000000001"/>
    <n v="0.48"/>
    <n v="0.55220000000000002"/>
    <n v="4"/>
    <n v="71"/>
    <n v="75"/>
    <x v="1"/>
    <x v="2"/>
    <x v="0"/>
  </r>
  <r>
    <n v="733"/>
    <d v="2011-02-02T00:00:00"/>
    <x v="0"/>
    <n v="2"/>
    <x v="21"/>
    <b v="0"/>
    <x v="4"/>
    <n v="1"/>
    <n v="0.22"/>
    <m/>
    <n v="0.19700000000000001"/>
    <n v="0.47"/>
    <n v="0.32840000000000003"/>
    <n v="1"/>
    <n v="62"/>
    <n v="63"/>
    <x v="1"/>
    <x v="3"/>
    <x v="0"/>
  </r>
  <r>
    <n v="734"/>
    <d v="2011-02-02T00:00:00"/>
    <x v="0"/>
    <n v="2"/>
    <x v="22"/>
    <b v="0"/>
    <x v="4"/>
    <n v="1"/>
    <n v="0.22"/>
    <m/>
    <n v="0.21210000000000001"/>
    <n v="0.44"/>
    <n v="0.25369999999999998"/>
    <n v="5"/>
    <n v="35"/>
    <n v="40"/>
    <x v="1"/>
    <x v="3"/>
    <x v="0"/>
  </r>
  <r>
    <n v="735"/>
    <d v="2011-02-02T00:00:00"/>
    <x v="0"/>
    <n v="2"/>
    <x v="23"/>
    <b v="0"/>
    <x v="4"/>
    <n v="1"/>
    <n v="0.2"/>
    <m/>
    <n v="0.16669999999999999"/>
    <n v="0.44"/>
    <n v="0.44779999999999998"/>
    <n v="3"/>
    <n v="29"/>
    <n v="32"/>
    <x v="1"/>
    <x v="3"/>
    <x v="0"/>
  </r>
  <r>
    <n v="736"/>
    <d v="2011-02-03T00:00:00"/>
    <x v="0"/>
    <n v="2"/>
    <x v="0"/>
    <b v="0"/>
    <x v="5"/>
    <n v="1"/>
    <n v="0.2"/>
    <m/>
    <n v="0.16669999999999999"/>
    <n v="0.4"/>
    <n v="0.44779999999999998"/>
    <n v="1"/>
    <n v="11"/>
    <n v="12"/>
    <x v="1"/>
    <x v="0"/>
    <x v="0"/>
  </r>
  <r>
    <n v="737"/>
    <d v="2011-02-03T00:00:00"/>
    <x v="0"/>
    <n v="2"/>
    <x v="1"/>
    <b v="0"/>
    <x v="5"/>
    <n v="1"/>
    <n v="0.2"/>
    <m/>
    <n v="0.1515"/>
    <n v="0.44"/>
    <n v="0.52239999999999998"/>
    <n v="0"/>
    <n v="5"/>
    <n v="5"/>
    <x v="1"/>
    <x v="0"/>
    <x v="0"/>
  </r>
  <r>
    <n v="738"/>
    <d v="2011-02-03T00:00:00"/>
    <x v="0"/>
    <n v="2"/>
    <x v="2"/>
    <b v="0"/>
    <x v="5"/>
    <n v="1"/>
    <n v="0.18"/>
    <m/>
    <n v="0.16669999999999999"/>
    <n v="0.43"/>
    <n v="0.25369999999999998"/>
    <n v="0"/>
    <n v="2"/>
    <n v="2"/>
    <x v="1"/>
    <x v="0"/>
    <x v="0"/>
  </r>
  <r>
    <n v="739"/>
    <d v="2011-02-03T00:00:00"/>
    <x v="0"/>
    <n v="2"/>
    <x v="3"/>
    <b v="0"/>
    <x v="5"/>
    <n v="1"/>
    <n v="0.18"/>
    <m/>
    <n v="0.16669999999999999"/>
    <n v="0.43"/>
    <n v="0.25369999999999998"/>
    <n v="0"/>
    <n v="1"/>
    <n v="1"/>
    <x v="1"/>
    <x v="0"/>
    <x v="0"/>
  </r>
  <r>
    <n v="740"/>
    <d v="2011-02-03T00:00:00"/>
    <x v="0"/>
    <n v="2"/>
    <x v="5"/>
    <b v="0"/>
    <x v="5"/>
    <n v="1"/>
    <n v="0.16"/>
    <m/>
    <n v="0.13639999999999999"/>
    <n v="0.5"/>
    <n v="0.29849999999999999"/>
    <n v="0"/>
    <n v="2"/>
    <n v="2"/>
    <x v="1"/>
    <x v="0"/>
    <x v="0"/>
  </r>
  <r>
    <n v="741"/>
    <d v="2011-02-03T00:00:00"/>
    <x v="0"/>
    <n v="2"/>
    <x v="6"/>
    <b v="0"/>
    <x v="5"/>
    <n v="1"/>
    <n v="0.16"/>
    <m/>
    <n v="0.13639999999999999"/>
    <n v="0.43"/>
    <n v="0.35820000000000002"/>
    <n v="0"/>
    <n v="39"/>
    <n v="39"/>
    <x v="1"/>
    <x v="0"/>
    <x v="0"/>
  </r>
  <r>
    <n v="742"/>
    <d v="2011-02-03T00:00:00"/>
    <x v="0"/>
    <n v="2"/>
    <x v="7"/>
    <b v="0"/>
    <x v="5"/>
    <n v="1"/>
    <n v="0.14000000000000001"/>
    <m/>
    <n v="0.1212"/>
    <n v="0.5"/>
    <n v="0.32840000000000003"/>
    <n v="1"/>
    <n v="86"/>
    <n v="87"/>
    <x v="1"/>
    <x v="0"/>
    <x v="0"/>
  </r>
  <r>
    <n v="743"/>
    <d v="2011-02-03T00:00:00"/>
    <x v="0"/>
    <n v="2"/>
    <x v="8"/>
    <b v="0"/>
    <x v="5"/>
    <n v="1"/>
    <n v="0.14000000000000001"/>
    <m/>
    <n v="0.1212"/>
    <n v="0.5"/>
    <n v="0.35820000000000002"/>
    <n v="4"/>
    <n v="184"/>
    <n v="188"/>
    <x v="1"/>
    <x v="0"/>
    <x v="0"/>
  </r>
  <r>
    <n v="744"/>
    <d v="2011-02-03T00:00:00"/>
    <x v="0"/>
    <n v="2"/>
    <x v="9"/>
    <b v="0"/>
    <x v="5"/>
    <n v="1"/>
    <n v="0.16"/>
    <m/>
    <n v="0.13639999999999999"/>
    <n v="0.47"/>
    <n v="0.29849999999999999"/>
    <n v="6"/>
    <n v="127"/>
    <n v="133"/>
    <x v="1"/>
    <x v="0"/>
    <x v="0"/>
  </r>
  <r>
    <n v="745"/>
    <d v="2011-02-03T00:00:00"/>
    <x v="0"/>
    <n v="2"/>
    <x v="10"/>
    <b v="0"/>
    <x v="5"/>
    <n v="1"/>
    <n v="0.18"/>
    <m/>
    <n v="0.1515"/>
    <n v="0.43"/>
    <n v="0.32840000000000003"/>
    <n v="2"/>
    <n v="50"/>
    <n v="52"/>
    <x v="1"/>
    <x v="0"/>
    <x v="0"/>
  </r>
  <r>
    <n v="746"/>
    <d v="2011-02-03T00:00:00"/>
    <x v="0"/>
    <n v="2"/>
    <x v="11"/>
    <b v="0"/>
    <x v="5"/>
    <n v="1"/>
    <n v="0.18"/>
    <m/>
    <n v="0.13639999999999999"/>
    <n v="0.43"/>
    <n v="0.44779999999999998"/>
    <n v="9"/>
    <n v="55"/>
    <n v="64"/>
    <x v="1"/>
    <x v="0"/>
    <x v="0"/>
  </r>
  <r>
    <n v="747"/>
    <d v="2011-02-03T00:00:00"/>
    <x v="0"/>
    <n v="2"/>
    <x v="12"/>
    <b v="0"/>
    <x v="5"/>
    <n v="1"/>
    <n v="0.2"/>
    <m/>
    <n v="0.18179999999999999"/>
    <n v="0.4"/>
    <n v="0.35820000000000002"/>
    <n v="2"/>
    <n v="67"/>
    <n v="69"/>
    <x v="1"/>
    <x v="1"/>
    <x v="0"/>
  </r>
  <r>
    <n v="748"/>
    <d v="2011-02-03T00:00:00"/>
    <x v="0"/>
    <n v="2"/>
    <x v="13"/>
    <b v="0"/>
    <x v="5"/>
    <n v="1"/>
    <n v="0.2"/>
    <m/>
    <n v="0.16669999999999999"/>
    <n v="0.4"/>
    <n v="0.41789999999999999"/>
    <n v="4"/>
    <n v="47"/>
    <n v="51"/>
    <x v="1"/>
    <x v="1"/>
    <x v="0"/>
  </r>
  <r>
    <n v="749"/>
    <d v="2011-02-03T00:00:00"/>
    <x v="0"/>
    <n v="2"/>
    <x v="14"/>
    <b v="0"/>
    <x v="5"/>
    <n v="1"/>
    <n v="0.22"/>
    <m/>
    <n v="0.19700000000000001"/>
    <n v="0.37"/>
    <n v="0.3881"/>
    <n v="4"/>
    <n v="43"/>
    <n v="47"/>
    <x v="1"/>
    <x v="1"/>
    <x v="0"/>
  </r>
  <r>
    <n v="750"/>
    <d v="2011-02-03T00:00:00"/>
    <x v="0"/>
    <n v="2"/>
    <x v="15"/>
    <b v="0"/>
    <x v="5"/>
    <n v="1"/>
    <n v="0.22"/>
    <m/>
    <n v="0.19700000000000001"/>
    <n v="0.37"/>
    <n v="0.32840000000000003"/>
    <n v="4"/>
    <n v="56"/>
    <n v="60"/>
    <x v="1"/>
    <x v="1"/>
    <x v="0"/>
  </r>
  <r>
    <n v="751"/>
    <d v="2011-02-03T00:00:00"/>
    <x v="0"/>
    <n v="2"/>
    <x v="16"/>
    <b v="0"/>
    <x v="5"/>
    <n v="1"/>
    <n v="0.22"/>
    <m/>
    <n v="0.21210000000000001"/>
    <n v="0.37"/>
    <n v="0.25369999999999998"/>
    <n v="5"/>
    <n v="73"/>
    <n v="78"/>
    <x v="1"/>
    <x v="2"/>
    <x v="0"/>
  </r>
  <r>
    <n v="752"/>
    <d v="2011-02-03T00:00:00"/>
    <x v="0"/>
    <n v="2"/>
    <x v="17"/>
    <b v="0"/>
    <x v="5"/>
    <n v="1"/>
    <n v="0.2"/>
    <m/>
    <n v="0.19700000000000001"/>
    <n v="0.4"/>
    <n v="0.19400000000000001"/>
    <n v="5"/>
    <n v="170"/>
    <n v="175"/>
    <x v="1"/>
    <x v="2"/>
    <x v="0"/>
  </r>
  <r>
    <n v="753"/>
    <d v="2011-02-03T00:00:00"/>
    <x v="0"/>
    <n v="2"/>
    <x v="18"/>
    <b v="0"/>
    <x v="5"/>
    <n v="1"/>
    <n v="0.2"/>
    <m/>
    <n v="0.21210000000000001"/>
    <n v="0.4"/>
    <n v="0.16420000000000001"/>
    <n v="2"/>
    <n v="145"/>
    <n v="147"/>
    <x v="1"/>
    <x v="2"/>
    <x v="0"/>
  </r>
  <r>
    <n v="754"/>
    <d v="2011-02-03T00:00:00"/>
    <x v="0"/>
    <n v="2"/>
    <x v="19"/>
    <b v="0"/>
    <x v="5"/>
    <n v="1"/>
    <n v="0.2"/>
    <m/>
    <n v="0.2576"/>
    <n v="0.4"/>
    <n v="0"/>
    <n v="4"/>
    <n v="92"/>
    <n v="96"/>
    <x v="1"/>
    <x v="2"/>
    <x v="0"/>
  </r>
  <r>
    <n v="755"/>
    <d v="2011-02-03T00:00:00"/>
    <x v="0"/>
    <n v="2"/>
    <x v="20"/>
    <b v="0"/>
    <x v="5"/>
    <n v="1"/>
    <n v="0.2"/>
    <m/>
    <n v="0.2273"/>
    <n v="0.47"/>
    <n v="8.9599999999999999E-2"/>
    <n v="1"/>
    <n v="108"/>
    <n v="109"/>
    <x v="1"/>
    <x v="2"/>
    <x v="0"/>
  </r>
  <r>
    <n v="756"/>
    <d v="2011-02-03T00:00:00"/>
    <x v="0"/>
    <n v="2"/>
    <x v="21"/>
    <b v="0"/>
    <x v="5"/>
    <n v="1"/>
    <n v="0.18"/>
    <m/>
    <n v="0.21210000000000001"/>
    <n v="0.55000000000000004"/>
    <n v="0.1045"/>
    <n v="1"/>
    <n v="53"/>
    <n v="54"/>
    <x v="1"/>
    <x v="3"/>
    <x v="0"/>
  </r>
  <r>
    <n v="757"/>
    <d v="2011-02-03T00:00:00"/>
    <x v="0"/>
    <n v="2"/>
    <x v="22"/>
    <b v="0"/>
    <x v="5"/>
    <n v="1"/>
    <n v="0.18"/>
    <m/>
    <n v="0.21210000000000001"/>
    <n v="0.51"/>
    <n v="8.9599999999999999E-2"/>
    <n v="2"/>
    <n v="39"/>
    <n v="41"/>
    <x v="1"/>
    <x v="3"/>
    <x v="0"/>
  </r>
  <r>
    <n v="758"/>
    <d v="2011-02-03T00:00:00"/>
    <x v="0"/>
    <n v="2"/>
    <x v="23"/>
    <b v="0"/>
    <x v="5"/>
    <n v="1"/>
    <n v="0.2"/>
    <m/>
    <n v="0.2273"/>
    <n v="0.47"/>
    <n v="0.1045"/>
    <n v="4"/>
    <n v="34"/>
    <n v="38"/>
    <x v="1"/>
    <x v="3"/>
    <x v="0"/>
  </r>
  <r>
    <n v="759"/>
    <d v="2011-02-04T00:00:00"/>
    <x v="0"/>
    <n v="2"/>
    <x v="0"/>
    <b v="0"/>
    <x v="6"/>
    <n v="2"/>
    <n v="0.2"/>
    <m/>
    <n v="0.2576"/>
    <n v="0.44"/>
    <n v="0"/>
    <n v="3"/>
    <n v="10"/>
    <n v="13"/>
    <x v="0"/>
    <x v="0"/>
    <x v="1"/>
  </r>
  <r>
    <n v="760"/>
    <d v="2011-02-04T00:00:00"/>
    <x v="0"/>
    <n v="2"/>
    <x v="1"/>
    <b v="0"/>
    <x v="6"/>
    <n v="2"/>
    <n v="0.16"/>
    <m/>
    <n v="0.2273"/>
    <n v="0.59"/>
    <n v="0"/>
    <n v="0"/>
    <n v="7"/>
    <n v="7"/>
    <x v="0"/>
    <x v="0"/>
    <x v="1"/>
  </r>
  <r>
    <n v="761"/>
    <d v="2011-02-04T00:00:00"/>
    <x v="0"/>
    <n v="2"/>
    <x v="2"/>
    <b v="0"/>
    <x v="6"/>
    <n v="2"/>
    <n v="0.14000000000000001"/>
    <m/>
    <n v="0.16669999999999999"/>
    <n v="0.63"/>
    <n v="0.1045"/>
    <n v="0"/>
    <n v="1"/>
    <n v="1"/>
    <x v="0"/>
    <x v="0"/>
    <x v="1"/>
  </r>
  <r>
    <n v="762"/>
    <d v="2011-02-04T00:00:00"/>
    <x v="0"/>
    <n v="2"/>
    <x v="3"/>
    <b v="0"/>
    <x v="6"/>
    <n v="2"/>
    <n v="0.14000000000000001"/>
    <m/>
    <n v="0.16669999999999999"/>
    <n v="0.63"/>
    <n v="0.1045"/>
    <n v="0"/>
    <n v="1"/>
    <n v="1"/>
    <x v="0"/>
    <x v="0"/>
    <x v="1"/>
  </r>
  <r>
    <n v="763"/>
    <d v="2011-02-04T00:00:00"/>
    <x v="0"/>
    <n v="2"/>
    <x v="5"/>
    <b v="0"/>
    <x v="6"/>
    <n v="2"/>
    <n v="0.14000000000000001"/>
    <m/>
    <n v="0.1515"/>
    <n v="0.63"/>
    <n v="0.1343"/>
    <n v="0"/>
    <n v="7"/>
    <n v="7"/>
    <x v="0"/>
    <x v="0"/>
    <x v="1"/>
  </r>
  <r>
    <n v="764"/>
    <d v="2011-02-04T00:00:00"/>
    <x v="0"/>
    <n v="2"/>
    <x v="6"/>
    <b v="0"/>
    <x v="6"/>
    <n v="2"/>
    <n v="0.16"/>
    <m/>
    <n v="0.2273"/>
    <n v="0.55000000000000004"/>
    <n v="0"/>
    <n v="2"/>
    <n v="26"/>
    <n v="28"/>
    <x v="0"/>
    <x v="0"/>
    <x v="1"/>
  </r>
  <r>
    <n v="765"/>
    <d v="2011-02-04T00:00:00"/>
    <x v="0"/>
    <n v="2"/>
    <x v="7"/>
    <b v="0"/>
    <x v="6"/>
    <n v="1"/>
    <n v="0.14000000000000001"/>
    <m/>
    <n v="0.21210000000000001"/>
    <n v="0.59"/>
    <n v="0"/>
    <n v="0"/>
    <n v="87"/>
    <n v="87"/>
    <x v="0"/>
    <x v="0"/>
    <x v="0"/>
  </r>
  <r>
    <n v="766"/>
    <d v="2011-02-04T00:00:00"/>
    <x v="0"/>
    <n v="2"/>
    <x v="8"/>
    <b v="0"/>
    <x v="6"/>
    <n v="1"/>
    <n v="0.14000000000000001"/>
    <m/>
    <n v="0.1515"/>
    <n v="0.74"/>
    <n v="0.1343"/>
    <n v="3"/>
    <n v="217"/>
    <n v="220"/>
    <x v="0"/>
    <x v="0"/>
    <x v="0"/>
  </r>
  <r>
    <n v="767"/>
    <d v="2011-02-04T00:00:00"/>
    <x v="0"/>
    <n v="2"/>
    <x v="9"/>
    <b v="0"/>
    <x v="6"/>
    <n v="2"/>
    <n v="0.16"/>
    <m/>
    <n v="0.18179999999999999"/>
    <n v="0.8"/>
    <n v="0.1343"/>
    <n v="3"/>
    <n v="124"/>
    <n v="127"/>
    <x v="0"/>
    <x v="0"/>
    <x v="1"/>
  </r>
  <r>
    <n v="768"/>
    <d v="2011-02-04T00:00:00"/>
    <x v="0"/>
    <n v="2"/>
    <x v="10"/>
    <b v="0"/>
    <x v="6"/>
    <n v="2"/>
    <n v="0.2"/>
    <m/>
    <n v="0.21210000000000001"/>
    <n v="0.51"/>
    <n v="0.1343"/>
    <n v="5"/>
    <n v="46"/>
    <n v="51"/>
    <x v="0"/>
    <x v="0"/>
    <x v="1"/>
  </r>
  <r>
    <n v="769"/>
    <d v="2011-02-04T00:00:00"/>
    <x v="0"/>
    <n v="2"/>
    <x v="11"/>
    <b v="0"/>
    <x v="6"/>
    <n v="1"/>
    <n v="0.22"/>
    <m/>
    <n v="0.2273"/>
    <n v="0.51"/>
    <n v="0.16420000000000001"/>
    <n v="3"/>
    <n v="61"/>
    <n v="64"/>
    <x v="0"/>
    <x v="0"/>
    <x v="0"/>
  </r>
  <r>
    <n v="770"/>
    <d v="2011-02-04T00:00:00"/>
    <x v="0"/>
    <n v="2"/>
    <x v="12"/>
    <b v="0"/>
    <x v="6"/>
    <n v="2"/>
    <n v="0.24"/>
    <m/>
    <n v="0.2424"/>
    <n v="0.48"/>
    <n v="0.16420000000000001"/>
    <n v="8"/>
    <n v="78"/>
    <n v="86"/>
    <x v="0"/>
    <x v="1"/>
    <x v="1"/>
  </r>
  <r>
    <n v="771"/>
    <d v="2011-02-04T00:00:00"/>
    <x v="0"/>
    <n v="2"/>
    <x v="13"/>
    <b v="0"/>
    <x v="6"/>
    <n v="2"/>
    <n v="0.26"/>
    <m/>
    <n v="0.2576"/>
    <n v="0.5"/>
    <n v="0.22389999999999999"/>
    <n v="9"/>
    <n v="73"/>
    <n v="82"/>
    <x v="0"/>
    <x v="1"/>
    <x v="1"/>
  </r>
  <r>
    <n v="772"/>
    <d v="2011-02-04T00:00:00"/>
    <x v="0"/>
    <n v="2"/>
    <x v="14"/>
    <b v="0"/>
    <x v="6"/>
    <n v="2"/>
    <n v="0.28000000000000003"/>
    <m/>
    <n v="0.2727"/>
    <n v="0.45"/>
    <n v="0.16420000000000001"/>
    <n v="15"/>
    <n v="76"/>
    <n v="91"/>
    <x v="0"/>
    <x v="1"/>
    <x v="1"/>
  </r>
  <r>
    <n v="773"/>
    <d v="2011-02-04T00:00:00"/>
    <x v="0"/>
    <n v="2"/>
    <x v="15"/>
    <b v="0"/>
    <x v="6"/>
    <n v="2"/>
    <n v="0.28000000000000003"/>
    <m/>
    <n v="0.2727"/>
    <n v="0.48"/>
    <n v="0.25369999999999998"/>
    <n v="9"/>
    <n v="81"/>
    <n v="90"/>
    <x v="0"/>
    <x v="1"/>
    <x v="1"/>
  </r>
  <r>
    <n v="774"/>
    <d v="2011-02-04T00:00:00"/>
    <x v="0"/>
    <n v="2"/>
    <x v="16"/>
    <b v="0"/>
    <x v="6"/>
    <n v="2"/>
    <n v="0.3"/>
    <m/>
    <n v="0.28789999999999999"/>
    <n v="0.42"/>
    <n v="0.22389999999999999"/>
    <n v="8"/>
    <n v="91"/>
    <n v="99"/>
    <x v="0"/>
    <x v="2"/>
    <x v="1"/>
  </r>
  <r>
    <n v="775"/>
    <d v="2011-02-04T00:00:00"/>
    <x v="0"/>
    <n v="2"/>
    <x v="17"/>
    <b v="0"/>
    <x v="6"/>
    <n v="2"/>
    <n v="0.26"/>
    <m/>
    <n v="0.2727"/>
    <n v="0.56000000000000005"/>
    <n v="0.1343"/>
    <n v="10"/>
    <n v="195"/>
    <n v="205"/>
    <x v="0"/>
    <x v="2"/>
    <x v="1"/>
  </r>
  <r>
    <n v="776"/>
    <d v="2011-02-04T00:00:00"/>
    <x v="0"/>
    <n v="2"/>
    <x v="18"/>
    <b v="0"/>
    <x v="6"/>
    <n v="2"/>
    <n v="0.24"/>
    <m/>
    <n v="0.2576"/>
    <n v="0.6"/>
    <n v="0.1045"/>
    <n v="3"/>
    <n v="152"/>
    <n v="155"/>
    <x v="0"/>
    <x v="2"/>
    <x v="1"/>
  </r>
  <r>
    <n v="777"/>
    <d v="2011-02-04T00:00:00"/>
    <x v="0"/>
    <n v="2"/>
    <x v="19"/>
    <b v="0"/>
    <x v="6"/>
    <n v="2"/>
    <n v="0.24"/>
    <m/>
    <n v="0.2424"/>
    <n v="0.65"/>
    <n v="0.1343"/>
    <n v="1"/>
    <n v="102"/>
    <n v="103"/>
    <x v="0"/>
    <x v="2"/>
    <x v="1"/>
  </r>
  <r>
    <n v="778"/>
    <d v="2011-02-04T00:00:00"/>
    <x v="0"/>
    <n v="2"/>
    <x v="20"/>
    <b v="0"/>
    <x v="6"/>
    <n v="2"/>
    <n v="0.24"/>
    <m/>
    <n v="0.2424"/>
    <n v="0.65"/>
    <n v="0.16420000000000001"/>
    <n v="2"/>
    <n v="69"/>
    <n v="71"/>
    <x v="0"/>
    <x v="2"/>
    <x v="1"/>
  </r>
  <r>
    <n v="779"/>
    <d v="2011-02-04T00:00:00"/>
    <x v="0"/>
    <n v="2"/>
    <x v="21"/>
    <b v="0"/>
    <x v="6"/>
    <n v="2"/>
    <n v="0.24"/>
    <m/>
    <n v="0.2424"/>
    <n v="0.7"/>
    <n v="0.16420000000000001"/>
    <n v="2"/>
    <n v="41"/>
    <n v="43"/>
    <x v="0"/>
    <x v="3"/>
    <x v="1"/>
  </r>
  <r>
    <n v="780"/>
    <d v="2011-02-04T00:00:00"/>
    <x v="0"/>
    <n v="2"/>
    <x v="22"/>
    <b v="0"/>
    <x v="6"/>
    <n v="2"/>
    <n v="0.24"/>
    <m/>
    <n v="0.2424"/>
    <n v="0.65"/>
    <n v="0.16420000000000001"/>
    <n v="1"/>
    <n v="45"/>
    <n v="46"/>
    <x v="0"/>
    <x v="3"/>
    <x v="1"/>
  </r>
  <r>
    <n v="781"/>
    <d v="2011-02-04T00:00:00"/>
    <x v="0"/>
    <n v="2"/>
    <x v="23"/>
    <b v="0"/>
    <x v="6"/>
    <n v="2"/>
    <n v="0.24"/>
    <m/>
    <n v="0.2424"/>
    <n v="0.7"/>
    <n v="0.1343"/>
    <n v="1"/>
    <n v="30"/>
    <n v="31"/>
    <x v="0"/>
    <x v="3"/>
    <x v="1"/>
  </r>
  <r>
    <n v="782"/>
    <d v="2011-02-05T00:00:00"/>
    <x v="0"/>
    <n v="2"/>
    <x v="0"/>
    <b v="0"/>
    <x v="0"/>
    <n v="2"/>
    <n v="0.24"/>
    <m/>
    <n v="0.2424"/>
    <n v="0.7"/>
    <n v="0.16420000000000001"/>
    <n v="3"/>
    <n v="36"/>
    <n v="39"/>
    <x v="0"/>
    <x v="0"/>
    <x v="1"/>
  </r>
  <r>
    <n v="783"/>
    <d v="2011-02-05T00:00:00"/>
    <x v="0"/>
    <n v="2"/>
    <x v="1"/>
    <b v="0"/>
    <x v="0"/>
    <n v="2"/>
    <n v="0.24"/>
    <m/>
    <n v="0.2424"/>
    <n v="0.65"/>
    <n v="0.16420000000000001"/>
    <n v="1"/>
    <n v="17"/>
    <n v="18"/>
    <x v="0"/>
    <x v="0"/>
    <x v="1"/>
  </r>
  <r>
    <n v="784"/>
    <d v="2011-02-05T00:00:00"/>
    <x v="0"/>
    <n v="2"/>
    <x v="2"/>
    <b v="0"/>
    <x v="0"/>
    <n v="2"/>
    <n v="0.24"/>
    <m/>
    <n v="0.2424"/>
    <n v="0.75"/>
    <n v="0.16420000000000001"/>
    <n v="5"/>
    <n v="12"/>
    <n v="17"/>
    <x v="0"/>
    <x v="0"/>
    <x v="1"/>
  </r>
  <r>
    <n v="785"/>
    <d v="2011-02-05T00:00:00"/>
    <x v="0"/>
    <n v="2"/>
    <x v="3"/>
    <b v="0"/>
    <x v="0"/>
    <n v="2"/>
    <n v="0.24"/>
    <m/>
    <n v="0.2424"/>
    <n v="0.75"/>
    <n v="0.16420000000000001"/>
    <n v="1"/>
    <n v="10"/>
    <n v="11"/>
    <x v="0"/>
    <x v="0"/>
    <x v="1"/>
  </r>
  <r>
    <n v="786"/>
    <d v="2011-02-05T00:00:00"/>
    <x v="0"/>
    <n v="2"/>
    <x v="4"/>
    <b v="0"/>
    <x v="0"/>
    <n v="3"/>
    <n v="0.22"/>
    <m/>
    <n v="0.2273"/>
    <n v="0.93"/>
    <n v="0.1343"/>
    <n v="0"/>
    <n v="8"/>
    <n v="8"/>
    <x v="0"/>
    <x v="0"/>
    <x v="2"/>
  </r>
  <r>
    <n v="787"/>
    <d v="2011-02-05T00:00:00"/>
    <x v="0"/>
    <n v="2"/>
    <x v="5"/>
    <b v="0"/>
    <x v="0"/>
    <n v="3"/>
    <n v="0.2"/>
    <m/>
    <n v="0.2273"/>
    <n v="1"/>
    <n v="8.9599999999999999E-2"/>
    <n v="0"/>
    <n v="9"/>
    <n v="9"/>
    <x v="0"/>
    <x v="0"/>
    <x v="2"/>
  </r>
  <r>
    <n v="788"/>
    <d v="2011-02-05T00:00:00"/>
    <x v="0"/>
    <n v="2"/>
    <x v="6"/>
    <b v="0"/>
    <x v="0"/>
    <n v="3"/>
    <n v="0.2"/>
    <m/>
    <n v="0.2576"/>
    <n v="1"/>
    <n v="0"/>
    <n v="0"/>
    <n v="4"/>
    <n v="4"/>
    <x v="0"/>
    <x v="0"/>
    <x v="2"/>
  </r>
  <r>
    <n v="789"/>
    <d v="2011-02-05T00:00:00"/>
    <x v="0"/>
    <n v="2"/>
    <x v="7"/>
    <b v="0"/>
    <x v="0"/>
    <n v="3"/>
    <n v="0.22"/>
    <m/>
    <n v="0.2576"/>
    <n v="0.93"/>
    <n v="8.9599999999999999E-2"/>
    <n v="0"/>
    <n v="4"/>
    <n v="4"/>
    <x v="0"/>
    <x v="0"/>
    <x v="2"/>
  </r>
  <r>
    <n v="790"/>
    <d v="2011-02-05T00:00:00"/>
    <x v="0"/>
    <n v="2"/>
    <x v="8"/>
    <b v="0"/>
    <x v="0"/>
    <n v="3"/>
    <n v="0.2"/>
    <m/>
    <n v="0.2273"/>
    <n v="1"/>
    <n v="8.9599999999999999E-2"/>
    <n v="0"/>
    <n v="10"/>
    <n v="10"/>
    <x v="0"/>
    <x v="0"/>
    <x v="2"/>
  </r>
  <r>
    <n v="791"/>
    <d v="2011-02-05T00:00:00"/>
    <x v="0"/>
    <n v="2"/>
    <x v="9"/>
    <b v="0"/>
    <x v="0"/>
    <n v="3"/>
    <n v="0.2"/>
    <m/>
    <n v="0.2273"/>
    <n v="1"/>
    <n v="8.9599999999999999E-2"/>
    <n v="3"/>
    <n v="17"/>
    <n v="20"/>
    <x v="0"/>
    <x v="0"/>
    <x v="2"/>
  </r>
  <r>
    <n v="792"/>
    <d v="2011-02-05T00:00:00"/>
    <x v="0"/>
    <n v="2"/>
    <x v="10"/>
    <b v="0"/>
    <x v="0"/>
    <n v="3"/>
    <n v="0.2"/>
    <m/>
    <n v="0.21210000000000001"/>
    <n v="1"/>
    <n v="0.1343"/>
    <n v="3"/>
    <n v="31"/>
    <n v="34"/>
    <x v="0"/>
    <x v="0"/>
    <x v="2"/>
  </r>
  <r>
    <n v="793"/>
    <d v="2011-02-05T00:00:00"/>
    <x v="0"/>
    <n v="2"/>
    <x v="11"/>
    <b v="0"/>
    <x v="0"/>
    <n v="3"/>
    <n v="0.22"/>
    <m/>
    <n v="0.2273"/>
    <n v="1"/>
    <n v="0.1343"/>
    <n v="1"/>
    <n v="46"/>
    <n v="47"/>
    <x v="0"/>
    <x v="0"/>
    <x v="2"/>
  </r>
  <r>
    <n v="794"/>
    <d v="2011-02-05T00:00:00"/>
    <x v="0"/>
    <n v="2"/>
    <x v="12"/>
    <b v="0"/>
    <x v="0"/>
    <n v="3"/>
    <n v="0.22"/>
    <m/>
    <n v="0.2273"/>
    <n v="1"/>
    <n v="0.16420000000000001"/>
    <n v="10"/>
    <n v="42"/>
    <n v="52"/>
    <x v="0"/>
    <x v="1"/>
    <x v="2"/>
  </r>
  <r>
    <n v="795"/>
    <d v="2011-02-05T00:00:00"/>
    <x v="0"/>
    <n v="2"/>
    <x v="13"/>
    <b v="0"/>
    <x v="0"/>
    <n v="3"/>
    <n v="0.22"/>
    <m/>
    <n v="0.2273"/>
    <n v="1"/>
    <n v="0.16420000000000001"/>
    <n v="10"/>
    <n v="62"/>
    <n v="72"/>
    <x v="0"/>
    <x v="1"/>
    <x v="2"/>
  </r>
  <r>
    <n v="796"/>
    <d v="2011-02-05T00:00:00"/>
    <x v="0"/>
    <n v="2"/>
    <x v="14"/>
    <b v="0"/>
    <x v="0"/>
    <n v="3"/>
    <n v="0.22"/>
    <m/>
    <n v="0.2727"/>
    <n v="1"/>
    <n v="0"/>
    <n v="5"/>
    <n v="50"/>
    <n v="55"/>
    <x v="0"/>
    <x v="1"/>
    <x v="2"/>
  </r>
  <r>
    <n v="797"/>
    <d v="2011-02-05T00:00:00"/>
    <x v="0"/>
    <n v="2"/>
    <x v="15"/>
    <b v="0"/>
    <x v="0"/>
    <n v="3"/>
    <n v="0.22"/>
    <m/>
    <n v="0.2727"/>
    <n v="1"/>
    <n v="0"/>
    <n v="11"/>
    <n v="49"/>
    <n v="60"/>
    <x v="0"/>
    <x v="1"/>
    <x v="2"/>
  </r>
  <r>
    <n v="798"/>
    <d v="2011-02-05T00:00:00"/>
    <x v="0"/>
    <n v="2"/>
    <x v="16"/>
    <b v="0"/>
    <x v="0"/>
    <n v="3"/>
    <n v="0.22"/>
    <m/>
    <n v="0.2273"/>
    <n v="1"/>
    <n v="0.1343"/>
    <n v="8"/>
    <n v="63"/>
    <n v="71"/>
    <x v="0"/>
    <x v="2"/>
    <x v="2"/>
  </r>
  <r>
    <n v="799"/>
    <d v="2011-02-05T00:00:00"/>
    <x v="0"/>
    <n v="2"/>
    <x v="17"/>
    <b v="0"/>
    <x v="0"/>
    <n v="2"/>
    <n v="0.24"/>
    <m/>
    <n v="0.21210000000000001"/>
    <n v="1"/>
    <n v="0.28360000000000002"/>
    <n v="14"/>
    <n v="64"/>
    <n v="78"/>
    <x v="0"/>
    <x v="2"/>
    <x v="1"/>
  </r>
  <r>
    <n v="800"/>
    <d v="2011-02-05T00:00:00"/>
    <x v="0"/>
    <n v="2"/>
    <x v="18"/>
    <b v="0"/>
    <x v="0"/>
    <n v="2"/>
    <n v="0.28000000000000003"/>
    <m/>
    <n v="0.2424"/>
    <n v="0.93"/>
    <n v="0.44779999999999998"/>
    <n v="2"/>
    <n v="81"/>
    <n v="83"/>
    <x v="0"/>
    <x v="2"/>
    <x v="1"/>
  </r>
  <r>
    <n v="801"/>
    <d v="2011-02-05T00:00:00"/>
    <x v="0"/>
    <n v="2"/>
    <x v="19"/>
    <b v="0"/>
    <x v="0"/>
    <n v="2"/>
    <n v="0.28000000000000003"/>
    <m/>
    <n v="0.2424"/>
    <n v="0.93"/>
    <n v="0.44779999999999998"/>
    <n v="6"/>
    <n v="78"/>
    <n v="84"/>
    <x v="0"/>
    <x v="2"/>
    <x v="1"/>
  </r>
  <r>
    <n v="802"/>
    <d v="2011-02-05T00:00:00"/>
    <x v="0"/>
    <n v="2"/>
    <x v="20"/>
    <b v="0"/>
    <x v="0"/>
    <n v="1"/>
    <n v="0.3"/>
    <m/>
    <n v="0.28789999999999999"/>
    <n v="0.87"/>
    <n v="0.25369999999999998"/>
    <n v="5"/>
    <n v="64"/>
    <n v="69"/>
    <x v="0"/>
    <x v="2"/>
    <x v="0"/>
  </r>
  <r>
    <n v="803"/>
    <d v="2011-02-05T00:00:00"/>
    <x v="0"/>
    <n v="2"/>
    <x v="21"/>
    <b v="0"/>
    <x v="0"/>
    <n v="1"/>
    <n v="0.26"/>
    <m/>
    <n v="0.2576"/>
    <n v="1"/>
    <n v="0.19400000000000001"/>
    <n v="3"/>
    <n v="53"/>
    <n v="56"/>
    <x v="0"/>
    <x v="3"/>
    <x v="0"/>
  </r>
  <r>
    <n v="804"/>
    <d v="2011-02-05T00:00:00"/>
    <x v="0"/>
    <n v="2"/>
    <x v="22"/>
    <b v="0"/>
    <x v="0"/>
    <n v="1"/>
    <n v="0.26"/>
    <m/>
    <n v="0.2727"/>
    <n v="0.93"/>
    <n v="0.1343"/>
    <n v="2"/>
    <n v="43"/>
    <n v="45"/>
    <x v="0"/>
    <x v="3"/>
    <x v="0"/>
  </r>
  <r>
    <n v="805"/>
    <d v="2011-02-05T00:00:00"/>
    <x v="0"/>
    <n v="2"/>
    <x v="23"/>
    <b v="0"/>
    <x v="0"/>
    <n v="1"/>
    <n v="0.26"/>
    <m/>
    <n v="0.2576"/>
    <n v="0.93"/>
    <n v="0.22389999999999999"/>
    <n v="7"/>
    <n v="52"/>
    <n v="59"/>
    <x v="0"/>
    <x v="3"/>
    <x v="0"/>
  </r>
  <r>
    <n v="806"/>
    <d v="2011-02-06T00:00:00"/>
    <x v="0"/>
    <n v="2"/>
    <x v="0"/>
    <b v="0"/>
    <x v="1"/>
    <n v="1"/>
    <n v="0.26"/>
    <m/>
    <n v="0.2576"/>
    <n v="0.7"/>
    <n v="0.19400000000000001"/>
    <n v="2"/>
    <n v="37"/>
    <n v="39"/>
    <x v="1"/>
    <x v="0"/>
    <x v="0"/>
  </r>
  <r>
    <n v="807"/>
    <d v="2011-02-06T00:00:00"/>
    <x v="0"/>
    <n v="2"/>
    <x v="1"/>
    <b v="0"/>
    <x v="1"/>
    <n v="1"/>
    <n v="0.26"/>
    <m/>
    <n v="0.2273"/>
    <n v="0.65"/>
    <n v="0.41789999999999999"/>
    <n v="4"/>
    <n v="40"/>
    <n v="44"/>
    <x v="1"/>
    <x v="0"/>
    <x v="0"/>
  </r>
  <r>
    <n v="808"/>
    <d v="2011-02-06T00:00:00"/>
    <x v="0"/>
    <n v="2"/>
    <x v="2"/>
    <b v="0"/>
    <x v="1"/>
    <n v="1"/>
    <n v="0.26"/>
    <m/>
    <n v="0.2273"/>
    <n v="0.6"/>
    <n v="0.32840000000000003"/>
    <n v="0"/>
    <n v="20"/>
    <n v="20"/>
    <x v="1"/>
    <x v="0"/>
    <x v="0"/>
  </r>
  <r>
    <n v="809"/>
    <d v="2011-02-06T00:00:00"/>
    <x v="0"/>
    <n v="2"/>
    <x v="3"/>
    <b v="0"/>
    <x v="1"/>
    <n v="1"/>
    <n v="0.26"/>
    <m/>
    <n v="0.28789999999999999"/>
    <n v="0.6"/>
    <n v="8.9599999999999999E-2"/>
    <n v="3"/>
    <n v="10"/>
    <n v="13"/>
    <x v="1"/>
    <x v="0"/>
    <x v="0"/>
  </r>
  <r>
    <n v="810"/>
    <d v="2011-02-06T00:00:00"/>
    <x v="0"/>
    <n v="2"/>
    <x v="4"/>
    <b v="0"/>
    <x v="1"/>
    <n v="1"/>
    <n v="0.26"/>
    <m/>
    <n v="0.2273"/>
    <n v="0.6"/>
    <n v="0.35820000000000002"/>
    <n v="0"/>
    <n v="2"/>
    <n v="2"/>
    <x v="1"/>
    <x v="0"/>
    <x v="0"/>
  </r>
  <r>
    <n v="811"/>
    <d v="2011-02-06T00:00:00"/>
    <x v="0"/>
    <n v="2"/>
    <x v="5"/>
    <b v="0"/>
    <x v="1"/>
    <n v="1"/>
    <n v="0.26"/>
    <m/>
    <n v="0.2576"/>
    <n v="0.6"/>
    <n v="0.22389999999999999"/>
    <n v="0"/>
    <n v="1"/>
    <n v="1"/>
    <x v="1"/>
    <x v="0"/>
    <x v="0"/>
  </r>
  <r>
    <n v="812"/>
    <d v="2011-02-06T00:00:00"/>
    <x v="0"/>
    <n v="2"/>
    <x v="6"/>
    <b v="0"/>
    <x v="1"/>
    <n v="1"/>
    <n v="0.26"/>
    <m/>
    <n v="0.2576"/>
    <n v="0.6"/>
    <n v="0.22389999999999999"/>
    <n v="0"/>
    <n v="1"/>
    <n v="1"/>
    <x v="1"/>
    <x v="0"/>
    <x v="0"/>
  </r>
  <r>
    <n v="813"/>
    <d v="2011-02-06T00:00:00"/>
    <x v="0"/>
    <n v="2"/>
    <x v="7"/>
    <b v="0"/>
    <x v="1"/>
    <n v="1"/>
    <n v="0.24"/>
    <m/>
    <n v="0.2424"/>
    <n v="0.65"/>
    <n v="0.16420000000000001"/>
    <n v="0"/>
    <n v="8"/>
    <n v="8"/>
    <x v="1"/>
    <x v="0"/>
    <x v="0"/>
  </r>
  <r>
    <n v="814"/>
    <d v="2011-02-06T00:00:00"/>
    <x v="0"/>
    <n v="2"/>
    <x v="8"/>
    <b v="0"/>
    <x v="1"/>
    <n v="1"/>
    <n v="0.24"/>
    <m/>
    <n v="0.2576"/>
    <n v="0.65"/>
    <n v="0.1045"/>
    <n v="2"/>
    <n v="21"/>
    <n v="23"/>
    <x v="1"/>
    <x v="0"/>
    <x v="0"/>
  </r>
  <r>
    <n v="815"/>
    <d v="2011-02-06T00:00:00"/>
    <x v="0"/>
    <n v="2"/>
    <x v="9"/>
    <b v="0"/>
    <x v="1"/>
    <n v="1"/>
    <n v="0.28000000000000003"/>
    <m/>
    <n v="0.28789999999999999"/>
    <n v="0.56000000000000005"/>
    <n v="0.1045"/>
    <n v="7"/>
    <n v="38"/>
    <n v="45"/>
    <x v="1"/>
    <x v="0"/>
    <x v="0"/>
  </r>
  <r>
    <n v="816"/>
    <d v="2011-02-06T00:00:00"/>
    <x v="0"/>
    <n v="2"/>
    <x v="10"/>
    <b v="0"/>
    <x v="1"/>
    <n v="1"/>
    <n v="0.3"/>
    <m/>
    <n v="0.28789999999999999"/>
    <n v="0.52"/>
    <n v="0.25369999999999998"/>
    <n v="15"/>
    <n v="74"/>
    <n v="89"/>
    <x v="1"/>
    <x v="0"/>
    <x v="0"/>
  </r>
  <r>
    <n v="817"/>
    <d v="2011-02-06T00:00:00"/>
    <x v="0"/>
    <n v="2"/>
    <x v="11"/>
    <b v="0"/>
    <x v="1"/>
    <n v="1"/>
    <n v="0.32"/>
    <m/>
    <n v="0.30299999999999999"/>
    <n v="0.49"/>
    <n v="0.25369999999999998"/>
    <n v="28"/>
    <n v="89"/>
    <n v="117"/>
    <x v="1"/>
    <x v="0"/>
    <x v="0"/>
  </r>
  <r>
    <n v="818"/>
    <d v="2011-02-06T00:00:00"/>
    <x v="0"/>
    <n v="2"/>
    <x v="12"/>
    <b v="0"/>
    <x v="1"/>
    <n v="1"/>
    <n v="0.34"/>
    <m/>
    <n v="0.33329999999999999"/>
    <n v="0.46"/>
    <n v="0"/>
    <n v="48"/>
    <n v="126"/>
    <n v="174"/>
    <x v="1"/>
    <x v="1"/>
    <x v="0"/>
  </r>
  <r>
    <n v="819"/>
    <d v="2011-02-06T00:00:00"/>
    <x v="0"/>
    <n v="2"/>
    <x v="13"/>
    <b v="0"/>
    <x v="1"/>
    <n v="1"/>
    <n v="0.34"/>
    <m/>
    <n v="0.36359999999999998"/>
    <n v="0.46"/>
    <n v="0"/>
    <n v="47"/>
    <n v="135"/>
    <n v="182"/>
    <x v="1"/>
    <x v="1"/>
    <x v="0"/>
  </r>
  <r>
    <n v="820"/>
    <d v="2011-02-06T00:00:00"/>
    <x v="0"/>
    <n v="2"/>
    <x v="14"/>
    <b v="0"/>
    <x v="1"/>
    <n v="1"/>
    <n v="0.34"/>
    <m/>
    <n v="0.34849999999999998"/>
    <n v="0.46"/>
    <n v="8.9599999999999999E-2"/>
    <n v="47"/>
    <n v="114"/>
    <n v="161"/>
    <x v="1"/>
    <x v="1"/>
    <x v="0"/>
  </r>
  <r>
    <n v="821"/>
    <d v="2011-02-06T00:00:00"/>
    <x v="0"/>
    <n v="2"/>
    <x v="15"/>
    <b v="0"/>
    <x v="1"/>
    <n v="1"/>
    <n v="0.34"/>
    <m/>
    <n v="0.34849999999999998"/>
    <n v="0.46"/>
    <n v="8.9599999999999999E-2"/>
    <n v="52"/>
    <n v="130"/>
    <n v="182"/>
    <x v="1"/>
    <x v="1"/>
    <x v="0"/>
  </r>
  <r>
    <n v="822"/>
    <d v="2011-02-06T00:00:00"/>
    <x v="0"/>
    <n v="2"/>
    <x v="16"/>
    <b v="0"/>
    <x v="1"/>
    <n v="1"/>
    <n v="0.34"/>
    <m/>
    <n v="0.34849999999999998"/>
    <n v="0.49"/>
    <n v="0.1045"/>
    <n v="42"/>
    <n v="115"/>
    <n v="157"/>
    <x v="1"/>
    <x v="2"/>
    <x v="0"/>
  </r>
  <r>
    <n v="823"/>
    <d v="2011-02-06T00:00:00"/>
    <x v="0"/>
    <n v="2"/>
    <x v="17"/>
    <b v="0"/>
    <x v="1"/>
    <n v="1"/>
    <n v="0.34"/>
    <m/>
    <n v="0.36359999999999998"/>
    <n v="0.46"/>
    <n v="0"/>
    <n v="24"/>
    <n v="97"/>
    <n v="121"/>
    <x v="1"/>
    <x v="2"/>
    <x v="0"/>
  </r>
  <r>
    <n v="824"/>
    <d v="2011-02-06T00:00:00"/>
    <x v="0"/>
    <n v="2"/>
    <x v="18"/>
    <b v="0"/>
    <x v="1"/>
    <n v="1"/>
    <n v="0.3"/>
    <m/>
    <n v="0.30299999999999999"/>
    <n v="0.56000000000000005"/>
    <n v="0.16420000000000001"/>
    <n v="13"/>
    <n v="65"/>
    <n v="78"/>
    <x v="1"/>
    <x v="2"/>
    <x v="0"/>
  </r>
  <r>
    <n v="825"/>
    <d v="2011-02-06T00:00:00"/>
    <x v="0"/>
    <n v="2"/>
    <x v="19"/>
    <b v="0"/>
    <x v="1"/>
    <n v="1"/>
    <n v="0.28000000000000003"/>
    <m/>
    <n v="0.28789999999999999"/>
    <n v="0.61"/>
    <n v="0.1343"/>
    <n v="1"/>
    <n v="20"/>
    <n v="21"/>
    <x v="1"/>
    <x v="2"/>
    <x v="0"/>
  </r>
  <r>
    <n v="826"/>
    <d v="2011-02-06T00:00:00"/>
    <x v="0"/>
    <n v="2"/>
    <x v="20"/>
    <b v="0"/>
    <x v="1"/>
    <n v="1"/>
    <n v="0.28000000000000003"/>
    <m/>
    <n v="0.28789999999999999"/>
    <n v="0.61"/>
    <n v="0.1045"/>
    <n v="5"/>
    <n v="21"/>
    <n v="26"/>
    <x v="1"/>
    <x v="2"/>
    <x v="0"/>
  </r>
  <r>
    <n v="827"/>
    <d v="2011-02-06T00:00:00"/>
    <x v="0"/>
    <n v="2"/>
    <x v="21"/>
    <b v="0"/>
    <x v="1"/>
    <n v="1"/>
    <n v="0.26"/>
    <m/>
    <n v="0.30299999999999999"/>
    <n v="0.6"/>
    <n v="0"/>
    <n v="5"/>
    <n v="22"/>
    <n v="27"/>
    <x v="1"/>
    <x v="3"/>
    <x v="0"/>
  </r>
  <r>
    <n v="828"/>
    <d v="2011-02-06T00:00:00"/>
    <x v="0"/>
    <n v="2"/>
    <x v="22"/>
    <b v="0"/>
    <x v="1"/>
    <n v="1"/>
    <n v="0.26"/>
    <m/>
    <n v="0.30299999999999999"/>
    <n v="0.6"/>
    <n v="0"/>
    <n v="5"/>
    <n v="57"/>
    <n v="62"/>
    <x v="1"/>
    <x v="3"/>
    <x v="0"/>
  </r>
  <r>
    <n v="829"/>
    <d v="2011-02-06T00:00:00"/>
    <x v="0"/>
    <n v="2"/>
    <x v="23"/>
    <b v="0"/>
    <x v="1"/>
    <n v="1"/>
    <n v="0.24"/>
    <m/>
    <n v="0.28789999999999999"/>
    <n v="0.65"/>
    <n v="0"/>
    <n v="4"/>
    <n v="26"/>
    <n v="30"/>
    <x v="1"/>
    <x v="3"/>
    <x v="0"/>
  </r>
  <r>
    <n v="830"/>
    <d v="2011-02-07T00:00:00"/>
    <x v="0"/>
    <n v="2"/>
    <x v="0"/>
    <b v="0"/>
    <x v="2"/>
    <n v="1"/>
    <n v="0.24"/>
    <m/>
    <n v="0.28789999999999999"/>
    <n v="0.65"/>
    <n v="0"/>
    <n v="1"/>
    <n v="14"/>
    <n v="15"/>
    <x v="1"/>
    <x v="0"/>
    <x v="0"/>
  </r>
  <r>
    <n v="831"/>
    <d v="2011-02-07T00:00:00"/>
    <x v="0"/>
    <n v="2"/>
    <x v="1"/>
    <b v="0"/>
    <x v="2"/>
    <n v="1"/>
    <n v="0.22"/>
    <m/>
    <n v="0.2727"/>
    <n v="0.75"/>
    <n v="0"/>
    <n v="1"/>
    <n v="4"/>
    <n v="5"/>
    <x v="1"/>
    <x v="0"/>
    <x v="0"/>
  </r>
  <r>
    <n v="832"/>
    <d v="2011-02-07T00:00:00"/>
    <x v="0"/>
    <n v="2"/>
    <x v="2"/>
    <b v="0"/>
    <x v="2"/>
    <n v="1"/>
    <n v="0.2"/>
    <m/>
    <n v="0.2576"/>
    <n v="0.8"/>
    <n v="0"/>
    <n v="0"/>
    <n v="3"/>
    <n v="3"/>
    <x v="1"/>
    <x v="0"/>
    <x v="0"/>
  </r>
  <r>
    <n v="833"/>
    <d v="2011-02-07T00:00:00"/>
    <x v="0"/>
    <n v="2"/>
    <x v="3"/>
    <b v="0"/>
    <x v="2"/>
    <n v="1"/>
    <n v="0.2"/>
    <m/>
    <n v="0.2576"/>
    <n v="0.86"/>
    <n v="0"/>
    <n v="0"/>
    <n v="1"/>
    <n v="1"/>
    <x v="1"/>
    <x v="0"/>
    <x v="0"/>
  </r>
  <r>
    <n v="834"/>
    <d v="2011-02-07T00:00:00"/>
    <x v="0"/>
    <n v="2"/>
    <x v="4"/>
    <b v="0"/>
    <x v="2"/>
    <n v="1"/>
    <n v="0.2"/>
    <m/>
    <n v="0.2576"/>
    <n v="0.86"/>
    <n v="0"/>
    <n v="1"/>
    <n v="1"/>
    <n v="2"/>
    <x v="1"/>
    <x v="0"/>
    <x v="0"/>
  </r>
  <r>
    <n v="835"/>
    <d v="2011-02-07T00:00:00"/>
    <x v="0"/>
    <n v="2"/>
    <x v="5"/>
    <b v="0"/>
    <x v="2"/>
    <n v="1"/>
    <n v="0.2"/>
    <m/>
    <n v="0.2576"/>
    <n v="0.86"/>
    <n v="0"/>
    <n v="1"/>
    <n v="9"/>
    <n v="10"/>
    <x v="1"/>
    <x v="0"/>
    <x v="0"/>
  </r>
  <r>
    <n v="836"/>
    <d v="2011-02-07T00:00:00"/>
    <x v="0"/>
    <n v="2"/>
    <x v="6"/>
    <b v="0"/>
    <x v="2"/>
    <n v="1"/>
    <n v="0.18"/>
    <m/>
    <n v="0.2424"/>
    <n v="0.93"/>
    <n v="0"/>
    <n v="1"/>
    <n v="29"/>
    <n v="30"/>
    <x v="1"/>
    <x v="0"/>
    <x v="0"/>
  </r>
  <r>
    <n v="837"/>
    <d v="2011-02-07T00:00:00"/>
    <x v="0"/>
    <n v="2"/>
    <x v="7"/>
    <b v="0"/>
    <x v="2"/>
    <n v="1"/>
    <n v="0.18"/>
    <m/>
    <n v="0.2424"/>
    <n v="0.86"/>
    <n v="0"/>
    <n v="6"/>
    <n v="89"/>
    <n v="95"/>
    <x v="1"/>
    <x v="0"/>
    <x v="0"/>
  </r>
  <r>
    <n v="838"/>
    <d v="2011-02-07T00:00:00"/>
    <x v="0"/>
    <n v="2"/>
    <x v="8"/>
    <b v="0"/>
    <x v="2"/>
    <n v="2"/>
    <n v="0.16"/>
    <m/>
    <n v="0.2273"/>
    <n v="1"/>
    <n v="0"/>
    <n v="7"/>
    <n v="223"/>
    <n v="230"/>
    <x v="1"/>
    <x v="0"/>
    <x v="1"/>
  </r>
  <r>
    <n v="839"/>
    <d v="2011-02-07T00:00:00"/>
    <x v="0"/>
    <n v="2"/>
    <x v="9"/>
    <b v="0"/>
    <x v="2"/>
    <n v="1"/>
    <n v="0.22"/>
    <m/>
    <n v="0.2727"/>
    <n v="0.8"/>
    <n v="0"/>
    <n v="3"/>
    <n v="115"/>
    <n v="118"/>
    <x v="1"/>
    <x v="0"/>
    <x v="0"/>
  </r>
  <r>
    <n v="840"/>
    <d v="2011-02-07T00:00:00"/>
    <x v="0"/>
    <n v="2"/>
    <x v="10"/>
    <b v="0"/>
    <x v="2"/>
    <n v="1"/>
    <n v="0.24"/>
    <m/>
    <n v="0.2576"/>
    <n v="0.75"/>
    <n v="0.1045"/>
    <n v="6"/>
    <n v="49"/>
    <n v="55"/>
    <x v="1"/>
    <x v="0"/>
    <x v="0"/>
  </r>
  <r>
    <n v="841"/>
    <d v="2011-02-07T00:00:00"/>
    <x v="0"/>
    <n v="2"/>
    <x v="11"/>
    <b v="0"/>
    <x v="2"/>
    <n v="1"/>
    <n v="0.3"/>
    <m/>
    <n v="0.31819999999999998"/>
    <n v="0.65"/>
    <n v="8.9599999999999999E-2"/>
    <n v="11"/>
    <n v="36"/>
    <n v="47"/>
    <x v="1"/>
    <x v="0"/>
    <x v="0"/>
  </r>
  <r>
    <n v="842"/>
    <d v="2011-02-07T00:00:00"/>
    <x v="0"/>
    <n v="2"/>
    <x v="12"/>
    <b v="0"/>
    <x v="2"/>
    <n v="2"/>
    <n v="0.32"/>
    <m/>
    <n v="0.34849999999999998"/>
    <n v="0.62"/>
    <n v="0"/>
    <n v="7"/>
    <n v="59"/>
    <n v="66"/>
    <x v="1"/>
    <x v="1"/>
    <x v="1"/>
  </r>
  <r>
    <n v="843"/>
    <d v="2011-02-07T00:00:00"/>
    <x v="0"/>
    <n v="2"/>
    <x v="13"/>
    <b v="0"/>
    <x v="2"/>
    <n v="2"/>
    <n v="0.36"/>
    <m/>
    <n v="0.36359999999999998"/>
    <n v="0.56999999999999995"/>
    <n v="8.9599999999999999E-2"/>
    <n v="10"/>
    <n v="54"/>
    <n v="64"/>
    <x v="1"/>
    <x v="1"/>
    <x v="1"/>
  </r>
  <r>
    <n v="844"/>
    <d v="2011-02-07T00:00:00"/>
    <x v="0"/>
    <n v="2"/>
    <x v="14"/>
    <b v="0"/>
    <x v="2"/>
    <n v="2"/>
    <n v="0.36"/>
    <m/>
    <n v="0.36359999999999998"/>
    <n v="0.56999999999999995"/>
    <n v="8.9599999999999999E-2"/>
    <n v="8"/>
    <n v="52"/>
    <n v="60"/>
    <x v="1"/>
    <x v="1"/>
    <x v="1"/>
  </r>
  <r>
    <n v="845"/>
    <d v="2011-02-07T00:00:00"/>
    <x v="0"/>
    <n v="2"/>
    <x v="15"/>
    <b v="0"/>
    <x v="2"/>
    <n v="2"/>
    <n v="0.38"/>
    <m/>
    <n v="0.39389999999999997"/>
    <n v="0.54"/>
    <n v="8.9599999999999999E-2"/>
    <n v="4"/>
    <n v="46"/>
    <n v="50"/>
    <x v="1"/>
    <x v="1"/>
    <x v="1"/>
  </r>
  <r>
    <n v="846"/>
    <d v="2011-02-07T00:00:00"/>
    <x v="0"/>
    <n v="2"/>
    <x v="16"/>
    <b v="0"/>
    <x v="2"/>
    <n v="2"/>
    <n v="0.36"/>
    <m/>
    <n v="0.34849999999999998"/>
    <n v="0.56999999999999995"/>
    <n v="0.1343"/>
    <n v="16"/>
    <n v="98"/>
    <n v="114"/>
    <x v="1"/>
    <x v="2"/>
    <x v="1"/>
  </r>
  <r>
    <n v="847"/>
    <d v="2011-02-07T00:00:00"/>
    <x v="0"/>
    <n v="2"/>
    <x v="17"/>
    <b v="0"/>
    <x v="2"/>
    <n v="2"/>
    <n v="0.32"/>
    <m/>
    <n v="0.31819999999999998"/>
    <n v="0.7"/>
    <n v="0.16420000000000001"/>
    <n v="9"/>
    <n v="207"/>
    <n v="216"/>
    <x v="1"/>
    <x v="2"/>
    <x v="1"/>
  </r>
  <r>
    <n v="848"/>
    <d v="2011-02-07T00:00:00"/>
    <x v="0"/>
    <n v="2"/>
    <x v="18"/>
    <b v="0"/>
    <x v="2"/>
    <n v="2"/>
    <n v="0.34"/>
    <m/>
    <n v="0.33329999999999999"/>
    <n v="0.66"/>
    <n v="0.1343"/>
    <n v="5"/>
    <n v="170"/>
    <n v="175"/>
    <x v="1"/>
    <x v="2"/>
    <x v="1"/>
  </r>
  <r>
    <n v="849"/>
    <d v="2011-02-07T00:00:00"/>
    <x v="0"/>
    <n v="2"/>
    <x v="19"/>
    <b v="0"/>
    <x v="2"/>
    <n v="2"/>
    <n v="0.32"/>
    <m/>
    <n v="0.34849999999999998"/>
    <n v="0.7"/>
    <n v="0"/>
    <n v="5"/>
    <n v="123"/>
    <n v="128"/>
    <x v="1"/>
    <x v="2"/>
    <x v="1"/>
  </r>
  <r>
    <n v="850"/>
    <d v="2011-02-07T00:00:00"/>
    <x v="0"/>
    <n v="2"/>
    <x v="20"/>
    <b v="0"/>
    <x v="2"/>
    <n v="2"/>
    <n v="0.32"/>
    <m/>
    <n v="0.33329999999999999"/>
    <n v="0.7"/>
    <n v="0.1045"/>
    <n v="6"/>
    <n v="82"/>
    <n v="88"/>
    <x v="1"/>
    <x v="2"/>
    <x v="1"/>
  </r>
  <r>
    <n v="851"/>
    <d v="2011-02-07T00:00:00"/>
    <x v="0"/>
    <n v="2"/>
    <x v="21"/>
    <b v="0"/>
    <x v="2"/>
    <n v="1"/>
    <n v="0.32"/>
    <m/>
    <n v="0.34849999999999998"/>
    <n v="0.7"/>
    <n v="0"/>
    <n v="3"/>
    <n v="75"/>
    <n v="78"/>
    <x v="1"/>
    <x v="3"/>
    <x v="0"/>
  </r>
  <r>
    <n v="852"/>
    <d v="2011-02-07T00:00:00"/>
    <x v="0"/>
    <n v="2"/>
    <x v="22"/>
    <b v="0"/>
    <x v="2"/>
    <n v="1"/>
    <n v="0.28000000000000003"/>
    <m/>
    <n v="0.30299999999999999"/>
    <n v="0.81"/>
    <n v="8.9599999999999999E-2"/>
    <n v="3"/>
    <n v="34"/>
    <n v="37"/>
    <x v="1"/>
    <x v="3"/>
    <x v="0"/>
  </r>
  <r>
    <n v="853"/>
    <d v="2011-02-07T00:00:00"/>
    <x v="0"/>
    <n v="2"/>
    <x v="23"/>
    <b v="0"/>
    <x v="2"/>
    <n v="2"/>
    <n v="0.3"/>
    <m/>
    <n v="0.33329999999999999"/>
    <n v="0.81"/>
    <n v="0"/>
    <n v="6"/>
    <n v="19"/>
    <n v="25"/>
    <x v="1"/>
    <x v="3"/>
    <x v="1"/>
  </r>
  <r>
    <n v="854"/>
    <d v="2011-02-08T00:00:00"/>
    <x v="0"/>
    <n v="2"/>
    <x v="0"/>
    <b v="0"/>
    <x v="3"/>
    <n v="2"/>
    <n v="0.28000000000000003"/>
    <m/>
    <n v="0.31819999999999998"/>
    <n v="0.87"/>
    <n v="0"/>
    <n v="4"/>
    <n v="6"/>
    <n v="10"/>
    <x v="1"/>
    <x v="0"/>
    <x v="1"/>
  </r>
  <r>
    <n v="855"/>
    <d v="2011-02-08T00:00:00"/>
    <x v="0"/>
    <n v="2"/>
    <x v="1"/>
    <b v="0"/>
    <x v="3"/>
    <n v="2"/>
    <n v="0.28000000000000003"/>
    <m/>
    <n v="0.31819999999999998"/>
    <n v="0.87"/>
    <n v="0"/>
    <n v="0"/>
    <n v="4"/>
    <n v="4"/>
    <x v="1"/>
    <x v="0"/>
    <x v="1"/>
  </r>
  <r>
    <n v="856"/>
    <d v="2011-02-08T00:00:00"/>
    <x v="0"/>
    <n v="2"/>
    <x v="2"/>
    <b v="0"/>
    <x v="3"/>
    <n v="2"/>
    <n v="0.26"/>
    <m/>
    <n v="0.2727"/>
    <n v="0.93"/>
    <n v="0.1045"/>
    <n v="1"/>
    <n v="1"/>
    <n v="2"/>
    <x v="1"/>
    <x v="0"/>
    <x v="1"/>
  </r>
  <r>
    <n v="857"/>
    <d v="2011-02-08T00:00:00"/>
    <x v="0"/>
    <n v="2"/>
    <x v="3"/>
    <b v="0"/>
    <x v="3"/>
    <n v="3"/>
    <n v="0.28000000000000003"/>
    <m/>
    <n v="0.2727"/>
    <n v="0.93"/>
    <n v="0.16420000000000001"/>
    <n v="0"/>
    <n v="1"/>
    <n v="1"/>
    <x v="1"/>
    <x v="0"/>
    <x v="2"/>
  </r>
  <r>
    <n v="858"/>
    <d v="2011-02-08T00:00:00"/>
    <x v="0"/>
    <n v="2"/>
    <x v="4"/>
    <b v="0"/>
    <x v="3"/>
    <n v="1"/>
    <n v="0.26"/>
    <m/>
    <n v="0.2576"/>
    <n v="0.93"/>
    <n v="0.16420000000000001"/>
    <n v="0"/>
    <n v="3"/>
    <n v="3"/>
    <x v="1"/>
    <x v="0"/>
    <x v="0"/>
  </r>
  <r>
    <n v="859"/>
    <d v="2011-02-08T00:00:00"/>
    <x v="0"/>
    <n v="2"/>
    <x v="5"/>
    <b v="0"/>
    <x v="3"/>
    <n v="1"/>
    <n v="0.26"/>
    <m/>
    <n v="0.2273"/>
    <n v="0.81"/>
    <n v="0.32840000000000003"/>
    <n v="0"/>
    <n v="2"/>
    <n v="2"/>
    <x v="1"/>
    <x v="0"/>
    <x v="0"/>
  </r>
  <r>
    <n v="860"/>
    <d v="2011-02-08T00:00:00"/>
    <x v="0"/>
    <n v="2"/>
    <x v="6"/>
    <b v="0"/>
    <x v="3"/>
    <n v="1"/>
    <n v="0.26"/>
    <m/>
    <n v="0.2273"/>
    <n v="0.7"/>
    <n v="0.32840000000000003"/>
    <n v="0"/>
    <n v="39"/>
    <n v="39"/>
    <x v="1"/>
    <x v="0"/>
    <x v="0"/>
  </r>
  <r>
    <n v="861"/>
    <d v="2011-02-08T00:00:00"/>
    <x v="0"/>
    <n v="2"/>
    <x v="7"/>
    <b v="0"/>
    <x v="3"/>
    <n v="1"/>
    <n v="0.24"/>
    <m/>
    <n v="0.19700000000000001"/>
    <n v="0.65"/>
    <n v="0.41789999999999999"/>
    <n v="3"/>
    <n v="97"/>
    <n v="100"/>
    <x v="1"/>
    <x v="0"/>
    <x v="0"/>
  </r>
  <r>
    <n v="862"/>
    <d v="2011-02-08T00:00:00"/>
    <x v="0"/>
    <n v="2"/>
    <x v="8"/>
    <b v="0"/>
    <x v="3"/>
    <n v="1"/>
    <n v="0.24"/>
    <m/>
    <n v="0.19700000000000001"/>
    <n v="0.56000000000000005"/>
    <n v="0.49249999999999999"/>
    <n v="7"/>
    <n v="236"/>
    <n v="243"/>
    <x v="1"/>
    <x v="0"/>
    <x v="0"/>
  </r>
  <r>
    <n v="863"/>
    <d v="2011-02-08T00:00:00"/>
    <x v="0"/>
    <n v="2"/>
    <x v="9"/>
    <b v="0"/>
    <x v="3"/>
    <n v="1"/>
    <n v="0.24"/>
    <m/>
    <n v="0.19700000000000001"/>
    <n v="0.52"/>
    <n v="0.49249999999999999"/>
    <n v="7"/>
    <n v="128"/>
    <n v="135"/>
    <x v="1"/>
    <x v="0"/>
    <x v="0"/>
  </r>
  <r>
    <n v="864"/>
    <d v="2011-02-08T00:00:00"/>
    <x v="0"/>
    <n v="2"/>
    <x v="10"/>
    <b v="0"/>
    <x v="3"/>
    <n v="1"/>
    <n v="0.22"/>
    <m/>
    <n v="0.18179999999999999"/>
    <n v="0.47"/>
    <n v="0.55220000000000002"/>
    <n v="4"/>
    <n v="44"/>
    <n v="48"/>
    <x v="1"/>
    <x v="0"/>
    <x v="0"/>
  </r>
  <r>
    <n v="865"/>
    <d v="2011-02-08T00:00:00"/>
    <x v="0"/>
    <n v="2"/>
    <x v="11"/>
    <b v="0"/>
    <x v="3"/>
    <n v="1"/>
    <n v="0.22"/>
    <m/>
    <n v="0.18179999999999999"/>
    <n v="0.47"/>
    <n v="0.4627"/>
    <n v="1"/>
    <n v="49"/>
    <n v="50"/>
    <x v="1"/>
    <x v="0"/>
    <x v="0"/>
  </r>
  <r>
    <n v="866"/>
    <d v="2011-02-08T00:00:00"/>
    <x v="0"/>
    <n v="2"/>
    <x v="12"/>
    <b v="0"/>
    <x v="3"/>
    <n v="1"/>
    <n v="0.24"/>
    <m/>
    <n v="0.19700000000000001"/>
    <n v="0.38"/>
    <n v="0.49249999999999999"/>
    <n v="2"/>
    <n v="63"/>
    <n v="65"/>
    <x v="1"/>
    <x v="1"/>
    <x v="0"/>
  </r>
  <r>
    <n v="867"/>
    <d v="2011-02-08T00:00:00"/>
    <x v="0"/>
    <n v="2"/>
    <x v="13"/>
    <b v="0"/>
    <x v="3"/>
    <n v="2"/>
    <n v="0.24"/>
    <m/>
    <n v="0.19700000000000001"/>
    <n v="0.32"/>
    <n v="0.44779999999999998"/>
    <n v="2"/>
    <n v="48"/>
    <n v="50"/>
    <x v="1"/>
    <x v="1"/>
    <x v="1"/>
  </r>
  <r>
    <n v="868"/>
    <d v="2011-02-08T00:00:00"/>
    <x v="0"/>
    <n v="2"/>
    <x v="14"/>
    <b v="0"/>
    <x v="3"/>
    <n v="1"/>
    <n v="0.22"/>
    <m/>
    <n v="0.19700000000000001"/>
    <n v="0.37"/>
    <n v="0.41789999999999999"/>
    <n v="3"/>
    <n v="61"/>
    <n v="64"/>
    <x v="1"/>
    <x v="1"/>
    <x v="0"/>
  </r>
  <r>
    <n v="869"/>
    <d v="2011-02-08T00:00:00"/>
    <x v="0"/>
    <n v="2"/>
    <x v="15"/>
    <b v="0"/>
    <x v="3"/>
    <n v="1"/>
    <n v="0.22"/>
    <m/>
    <n v="0.19700000000000001"/>
    <n v="0.35"/>
    <n v="0.3881"/>
    <n v="6"/>
    <n v="45"/>
    <n v="51"/>
    <x v="1"/>
    <x v="1"/>
    <x v="0"/>
  </r>
  <r>
    <n v="870"/>
    <d v="2011-02-08T00:00:00"/>
    <x v="0"/>
    <n v="2"/>
    <x v="16"/>
    <b v="0"/>
    <x v="3"/>
    <n v="1"/>
    <n v="0.22"/>
    <m/>
    <n v="0.18179999999999999"/>
    <n v="0.35"/>
    <n v="0.52239999999999998"/>
    <n v="4"/>
    <n v="79"/>
    <n v="83"/>
    <x v="1"/>
    <x v="2"/>
    <x v="0"/>
  </r>
  <r>
    <n v="871"/>
    <d v="2011-02-08T00:00:00"/>
    <x v="0"/>
    <n v="2"/>
    <x v="17"/>
    <b v="0"/>
    <x v="3"/>
    <n v="1"/>
    <n v="0.22"/>
    <m/>
    <n v="0.18179999999999999"/>
    <n v="0.32"/>
    <n v="0.58209999999999995"/>
    <n v="4"/>
    <n v="172"/>
    <n v="176"/>
    <x v="1"/>
    <x v="2"/>
    <x v="0"/>
  </r>
  <r>
    <n v="872"/>
    <d v="2011-02-08T00:00:00"/>
    <x v="0"/>
    <n v="2"/>
    <x v="18"/>
    <b v="0"/>
    <x v="3"/>
    <n v="1"/>
    <n v="0.2"/>
    <m/>
    <n v="0.18179999999999999"/>
    <n v="0.32"/>
    <n v="0.3881"/>
    <n v="1"/>
    <n v="151"/>
    <n v="152"/>
    <x v="1"/>
    <x v="2"/>
    <x v="0"/>
  </r>
  <r>
    <n v="873"/>
    <d v="2011-02-08T00:00:00"/>
    <x v="0"/>
    <n v="2"/>
    <x v="19"/>
    <b v="0"/>
    <x v="3"/>
    <n v="1"/>
    <n v="0.16"/>
    <m/>
    <n v="0.1212"/>
    <n v="0.4"/>
    <n v="0.4627"/>
    <n v="1"/>
    <n v="100"/>
    <n v="101"/>
    <x v="1"/>
    <x v="2"/>
    <x v="0"/>
  </r>
  <r>
    <n v="874"/>
    <d v="2011-02-08T00:00:00"/>
    <x v="0"/>
    <n v="2"/>
    <x v="20"/>
    <b v="0"/>
    <x v="3"/>
    <n v="1"/>
    <n v="0.16"/>
    <m/>
    <n v="0.13639999999999999"/>
    <n v="0.4"/>
    <n v="0.32840000000000003"/>
    <n v="3"/>
    <n v="53"/>
    <n v="56"/>
    <x v="1"/>
    <x v="2"/>
    <x v="0"/>
  </r>
  <r>
    <n v="875"/>
    <d v="2011-02-08T00:00:00"/>
    <x v="0"/>
    <n v="2"/>
    <x v="21"/>
    <b v="0"/>
    <x v="3"/>
    <n v="1"/>
    <n v="0.14000000000000001"/>
    <m/>
    <n v="0.1061"/>
    <n v="0.33"/>
    <n v="0.4627"/>
    <n v="8"/>
    <n v="46"/>
    <n v="54"/>
    <x v="1"/>
    <x v="3"/>
    <x v="0"/>
  </r>
  <r>
    <n v="876"/>
    <d v="2011-02-08T00:00:00"/>
    <x v="0"/>
    <n v="2"/>
    <x v="22"/>
    <b v="0"/>
    <x v="3"/>
    <n v="1"/>
    <n v="0.12"/>
    <m/>
    <n v="0.1061"/>
    <n v="0.33"/>
    <n v="0.35820000000000002"/>
    <n v="0"/>
    <n v="29"/>
    <n v="29"/>
    <x v="1"/>
    <x v="3"/>
    <x v="0"/>
  </r>
  <r>
    <n v="877"/>
    <d v="2011-02-08T00:00:00"/>
    <x v="0"/>
    <n v="2"/>
    <x v="23"/>
    <b v="0"/>
    <x v="3"/>
    <n v="1"/>
    <n v="0.12"/>
    <m/>
    <n v="0.1061"/>
    <n v="0.33"/>
    <n v="0.32840000000000003"/>
    <n v="3"/>
    <n v="9"/>
    <n v="12"/>
    <x v="1"/>
    <x v="3"/>
    <x v="0"/>
  </r>
  <r>
    <n v="878"/>
    <d v="2011-02-09T00:00:00"/>
    <x v="0"/>
    <n v="2"/>
    <x v="0"/>
    <b v="0"/>
    <x v="4"/>
    <n v="1"/>
    <n v="0.1"/>
    <m/>
    <n v="7.5800000000000006E-2"/>
    <n v="0.36"/>
    <n v="0.35820000000000002"/>
    <n v="0"/>
    <n v="17"/>
    <n v="17"/>
    <x v="1"/>
    <x v="0"/>
    <x v="0"/>
  </r>
  <r>
    <n v="879"/>
    <d v="2011-02-09T00:00:00"/>
    <x v="0"/>
    <n v="2"/>
    <x v="1"/>
    <b v="0"/>
    <x v="4"/>
    <n v="1"/>
    <n v="0.1"/>
    <m/>
    <n v="0.1061"/>
    <n v="0.36"/>
    <n v="0.22389999999999999"/>
    <n v="0"/>
    <n v="7"/>
    <n v="7"/>
    <x v="1"/>
    <x v="0"/>
    <x v="0"/>
  </r>
  <r>
    <n v="880"/>
    <d v="2011-02-09T00:00:00"/>
    <x v="0"/>
    <n v="2"/>
    <x v="2"/>
    <b v="0"/>
    <x v="4"/>
    <n v="1"/>
    <n v="0.08"/>
    <m/>
    <n v="7.5800000000000006E-2"/>
    <n v="0.38"/>
    <n v="0.28360000000000002"/>
    <n v="1"/>
    <n v="2"/>
    <n v="3"/>
    <x v="1"/>
    <x v="0"/>
    <x v="0"/>
  </r>
  <r>
    <n v="881"/>
    <d v="2011-02-09T00:00:00"/>
    <x v="0"/>
    <n v="2"/>
    <x v="3"/>
    <b v="0"/>
    <x v="4"/>
    <n v="1"/>
    <n v="0.06"/>
    <m/>
    <n v="7.5800000000000006E-2"/>
    <n v="0.45"/>
    <n v="0.1343"/>
    <n v="0"/>
    <n v="2"/>
    <n v="2"/>
    <x v="1"/>
    <x v="0"/>
    <x v="0"/>
  </r>
  <r>
    <n v="882"/>
    <d v="2011-02-09T00:00:00"/>
    <x v="0"/>
    <n v="2"/>
    <x v="5"/>
    <b v="0"/>
    <x v="4"/>
    <n v="1"/>
    <n v="0.06"/>
    <m/>
    <n v="0.1061"/>
    <n v="0.45"/>
    <n v="0.1045"/>
    <n v="0"/>
    <n v="7"/>
    <n v="7"/>
    <x v="1"/>
    <x v="0"/>
    <x v="0"/>
  </r>
  <r>
    <n v="883"/>
    <d v="2011-02-09T00:00:00"/>
    <x v="0"/>
    <n v="2"/>
    <x v="6"/>
    <b v="0"/>
    <x v="4"/>
    <n v="1"/>
    <n v="0.06"/>
    <m/>
    <n v="0.1515"/>
    <n v="0.45"/>
    <n v="0"/>
    <n v="0"/>
    <n v="43"/>
    <n v="43"/>
    <x v="1"/>
    <x v="0"/>
    <x v="0"/>
  </r>
  <r>
    <n v="884"/>
    <d v="2011-02-09T00:00:00"/>
    <x v="0"/>
    <n v="2"/>
    <x v="7"/>
    <b v="0"/>
    <x v="4"/>
    <n v="1"/>
    <n v="0.06"/>
    <m/>
    <n v="0.1061"/>
    <n v="0.49"/>
    <n v="0.1045"/>
    <n v="4"/>
    <n v="95"/>
    <n v="99"/>
    <x v="1"/>
    <x v="0"/>
    <x v="0"/>
  </r>
  <r>
    <n v="885"/>
    <d v="2011-02-09T00:00:00"/>
    <x v="0"/>
    <n v="2"/>
    <x v="8"/>
    <b v="0"/>
    <x v="4"/>
    <n v="1"/>
    <n v="0.1"/>
    <m/>
    <n v="0.13639999999999999"/>
    <n v="0.42"/>
    <n v="0"/>
    <n v="1"/>
    <n v="198"/>
    <n v="199"/>
    <x v="1"/>
    <x v="0"/>
    <x v="0"/>
  </r>
  <r>
    <n v="886"/>
    <d v="2011-02-09T00:00:00"/>
    <x v="0"/>
    <n v="2"/>
    <x v="9"/>
    <b v="0"/>
    <x v="4"/>
    <n v="1"/>
    <n v="0.12"/>
    <m/>
    <n v="0.13639999999999999"/>
    <n v="0.39"/>
    <n v="0.16420000000000001"/>
    <n v="4"/>
    <n v="119"/>
    <n v="123"/>
    <x v="1"/>
    <x v="0"/>
    <x v="0"/>
  </r>
  <r>
    <n v="887"/>
    <d v="2011-02-09T00:00:00"/>
    <x v="0"/>
    <n v="2"/>
    <x v="10"/>
    <b v="0"/>
    <x v="4"/>
    <n v="1"/>
    <n v="0.14000000000000001"/>
    <m/>
    <n v="0.18179999999999999"/>
    <n v="0.36"/>
    <n v="0"/>
    <n v="8"/>
    <n v="51"/>
    <n v="59"/>
    <x v="1"/>
    <x v="0"/>
    <x v="0"/>
  </r>
  <r>
    <n v="888"/>
    <d v="2011-02-09T00:00:00"/>
    <x v="0"/>
    <n v="2"/>
    <x v="11"/>
    <b v="0"/>
    <x v="4"/>
    <n v="2"/>
    <n v="0.14000000000000001"/>
    <m/>
    <n v="0.1515"/>
    <n v="0.43"/>
    <n v="0.16420000000000001"/>
    <n v="1"/>
    <n v="40"/>
    <n v="41"/>
    <x v="1"/>
    <x v="0"/>
    <x v="1"/>
  </r>
  <r>
    <n v="889"/>
    <d v="2011-02-09T00:00:00"/>
    <x v="0"/>
    <n v="2"/>
    <x v="12"/>
    <b v="0"/>
    <x v="4"/>
    <n v="2"/>
    <n v="0.18"/>
    <m/>
    <n v="0.18179999999999999"/>
    <n v="0.4"/>
    <n v="0.22389999999999999"/>
    <n v="4"/>
    <n v="57"/>
    <n v="61"/>
    <x v="1"/>
    <x v="1"/>
    <x v="1"/>
  </r>
  <r>
    <n v="890"/>
    <d v="2011-02-09T00:00:00"/>
    <x v="0"/>
    <n v="2"/>
    <x v="13"/>
    <b v="0"/>
    <x v="4"/>
    <n v="1"/>
    <n v="0.18"/>
    <m/>
    <n v="0.16669999999999999"/>
    <n v="0.4"/>
    <n v="0.25369999999999998"/>
    <n v="2"/>
    <n v="67"/>
    <n v="69"/>
    <x v="1"/>
    <x v="1"/>
    <x v="0"/>
  </r>
  <r>
    <n v="891"/>
    <d v="2011-02-09T00:00:00"/>
    <x v="0"/>
    <n v="2"/>
    <x v="14"/>
    <b v="0"/>
    <x v="4"/>
    <n v="1"/>
    <n v="0.2"/>
    <m/>
    <n v="0.18179999999999999"/>
    <n v="0.34"/>
    <n v="0.29849999999999999"/>
    <n v="2"/>
    <n v="56"/>
    <n v="58"/>
    <x v="1"/>
    <x v="1"/>
    <x v="0"/>
  </r>
  <r>
    <n v="892"/>
    <d v="2011-02-09T00:00:00"/>
    <x v="0"/>
    <n v="2"/>
    <x v="15"/>
    <b v="0"/>
    <x v="4"/>
    <n v="2"/>
    <n v="0.2"/>
    <m/>
    <n v="0.18179999999999999"/>
    <n v="0.34"/>
    <n v="0.28360000000000002"/>
    <n v="3"/>
    <n v="61"/>
    <n v="64"/>
    <x v="1"/>
    <x v="1"/>
    <x v="1"/>
  </r>
  <r>
    <n v="893"/>
    <d v="2011-02-09T00:00:00"/>
    <x v="0"/>
    <n v="2"/>
    <x v="16"/>
    <b v="0"/>
    <x v="4"/>
    <n v="2"/>
    <n v="0.2"/>
    <m/>
    <n v="0.19700000000000001"/>
    <n v="0.37"/>
    <n v="0.25369999999999998"/>
    <n v="7"/>
    <n v="72"/>
    <n v="79"/>
    <x v="1"/>
    <x v="2"/>
    <x v="1"/>
  </r>
  <r>
    <n v="894"/>
    <d v="2011-02-09T00:00:00"/>
    <x v="0"/>
    <n v="2"/>
    <x v="17"/>
    <b v="0"/>
    <x v="4"/>
    <n v="2"/>
    <n v="0.2"/>
    <m/>
    <n v="0.19700000000000001"/>
    <n v="0.34"/>
    <n v="0.25369999999999998"/>
    <n v="9"/>
    <n v="157"/>
    <n v="166"/>
    <x v="1"/>
    <x v="2"/>
    <x v="1"/>
  </r>
  <r>
    <n v="895"/>
    <d v="2011-02-09T00:00:00"/>
    <x v="0"/>
    <n v="2"/>
    <x v="18"/>
    <b v="0"/>
    <x v="4"/>
    <n v="2"/>
    <n v="0.18"/>
    <m/>
    <n v="0.16669999999999999"/>
    <n v="0.47"/>
    <n v="0.29849999999999999"/>
    <n v="2"/>
    <n v="168"/>
    <n v="170"/>
    <x v="1"/>
    <x v="2"/>
    <x v="1"/>
  </r>
  <r>
    <n v="896"/>
    <d v="2011-02-09T00:00:00"/>
    <x v="0"/>
    <n v="2"/>
    <x v="19"/>
    <b v="0"/>
    <x v="4"/>
    <n v="3"/>
    <n v="0.14000000000000001"/>
    <m/>
    <n v="0.1212"/>
    <n v="0.86"/>
    <n v="0.25369999999999998"/>
    <n v="1"/>
    <n v="87"/>
    <n v="88"/>
    <x v="1"/>
    <x v="2"/>
    <x v="2"/>
  </r>
  <r>
    <n v="897"/>
    <d v="2011-02-09T00:00:00"/>
    <x v="0"/>
    <n v="2"/>
    <x v="20"/>
    <b v="0"/>
    <x v="4"/>
    <n v="3"/>
    <n v="0.14000000000000001"/>
    <m/>
    <n v="0.1515"/>
    <n v="0.86"/>
    <n v="0.16420000000000001"/>
    <n v="0"/>
    <n v="84"/>
    <n v="84"/>
    <x v="1"/>
    <x v="2"/>
    <x v="2"/>
  </r>
  <r>
    <n v="898"/>
    <d v="2011-02-09T00:00:00"/>
    <x v="0"/>
    <n v="2"/>
    <x v="21"/>
    <b v="0"/>
    <x v="4"/>
    <n v="2"/>
    <n v="0.14000000000000001"/>
    <m/>
    <n v="0.1515"/>
    <n v="0.86"/>
    <n v="0.16420000000000001"/>
    <n v="0"/>
    <n v="83"/>
    <n v="83"/>
    <x v="1"/>
    <x v="3"/>
    <x v="1"/>
  </r>
  <r>
    <n v="899"/>
    <d v="2011-02-09T00:00:00"/>
    <x v="0"/>
    <n v="2"/>
    <x v="22"/>
    <b v="0"/>
    <x v="4"/>
    <n v="3"/>
    <n v="0.16"/>
    <m/>
    <n v="0.16669999999999999"/>
    <n v="0.8"/>
    <n v="0.16420000000000001"/>
    <n v="4"/>
    <n v="42"/>
    <n v="46"/>
    <x v="1"/>
    <x v="3"/>
    <x v="2"/>
  </r>
  <r>
    <n v="900"/>
    <d v="2011-02-09T00:00:00"/>
    <x v="0"/>
    <n v="2"/>
    <x v="23"/>
    <b v="0"/>
    <x v="4"/>
    <n v="3"/>
    <n v="0.16"/>
    <m/>
    <n v="0.1515"/>
    <n v="0.8"/>
    <n v="0.19400000000000001"/>
    <n v="0"/>
    <n v="37"/>
    <n v="37"/>
    <x v="1"/>
    <x v="3"/>
    <x v="2"/>
  </r>
  <r>
    <n v="901"/>
    <d v="2011-02-10T00:00:00"/>
    <x v="0"/>
    <n v="2"/>
    <x v="0"/>
    <b v="0"/>
    <x v="5"/>
    <n v="3"/>
    <n v="0.14000000000000001"/>
    <m/>
    <n v="0.13639999999999999"/>
    <n v="0.86"/>
    <n v="0.19400000000000001"/>
    <n v="0"/>
    <n v="16"/>
    <n v="16"/>
    <x v="1"/>
    <x v="0"/>
    <x v="2"/>
  </r>
  <r>
    <n v="902"/>
    <d v="2011-02-10T00:00:00"/>
    <x v="0"/>
    <n v="2"/>
    <x v="1"/>
    <b v="0"/>
    <x v="5"/>
    <n v="3"/>
    <n v="0.14000000000000001"/>
    <m/>
    <n v="0.1515"/>
    <n v="0.8"/>
    <n v="0.1343"/>
    <n v="0"/>
    <n v="7"/>
    <n v="7"/>
    <x v="1"/>
    <x v="0"/>
    <x v="2"/>
  </r>
  <r>
    <n v="903"/>
    <d v="2011-02-10T00:00:00"/>
    <x v="0"/>
    <n v="2"/>
    <x v="2"/>
    <b v="0"/>
    <x v="5"/>
    <n v="3"/>
    <n v="0.14000000000000001"/>
    <m/>
    <n v="0.1515"/>
    <n v="0.8"/>
    <n v="0.1343"/>
    <n v="0"/>
    <n v="3"/>
    <n v="3"/>
    <x v="1"/>
    <x v="0"/>
    <x v="2"/>
  </r>
  <r>
    <n v="904"/>
    <d v="2011-02-10T00:00:00"/>
    <x v="0"/>
    <n v="2"/>
    <x v="4"/>
    <b v="0"/>
    <x v="5"/>
    <n v="2"/>
    <n v="0.14000000000000001"/>
    <m/>
    <n v="0.13639999999999999"/>
    <n v="0.59"/>
    <n v="0.22389999999999999"/>
    <n v="0"/>
    <n v="1"/>
    <n v="1"/>
    <x v="1"/>
    <x v="0"/>
    <x v="1"/>
  </r>
  <r>
    <n v="905"/>
    <d v="2011-02-10T00:00:00"/>
    <x v="0"/>
    <n v="2"/>
    <x v="5"/>
    <b v="0"/>
    <x v="5"/>
    <n v="2"/>
    <n v="0.12"/>
    <m/>
    <n v="0.1212"/>
    <n v="0.5"/>
    <n v="0.22389999999999999"/>
    <n v="0"/>
    <n v="6"/>
    <n v="6"/>
    <x v="1"/>
    <x v="0"/>
    <x v="1"/>
  </r>
  <r>
    <n v="906"/>
    <d v="2011-02-10T00:00:00"/>
    <x v="0"/>
    <n v="2"/>
    <x v="6"/>
    <b v="0"/>
    <x v="5"/>
    <n v="2"/>
    <n v="0.12"/>
    <m/>
    <n v="0.1212"/>
    <n v="0.54"/>
    <n v="0.28360000000000002"/>
    <n v="0"/>
    <n v="26"/>
    <n v="26"/>
    <x v="1"/>
    <x v="0"/>
    <x v="1"/>
  </r>
  <r>
    <n v="907"/>
    <d v="2011-02-10T00:00:00"/>
    <x v="0"/>
    <n v="2"/>
    <x v="7"/>
    <b v="0"/>
    <x v="5"/>
    <n v="1"/>
    <n v="0.1"/>
    <m/>
    <n v="7.5800000000000006E-2"/>
    <n v="0.5"/>
    <n v="0.41789999999999999"/>
    <n v="0"/>
    <n v="99"/>
    <n v="99"/>
    <x v="1"/>
    <x v="0"/>
    <x v="0"/>
  </r>
  <r>
    <n v="908"/>
    <d v="2011-02-10T00:00:00"/>
    <x v="0"/>
    <n v="2"/>
    <x v="8"/>
    <b v="0"/>
    <x v="5"/>
    <n v="1"/>
    <n v="0.1"/>
    <m/>
    <n v="7.5800000000000006E-2"/>
    <n v="0.49"/>
    <n v="0.32840000000000003"/>
    <n v="5"/>
    <n v="173"/>
    <n v="178"/>
    <x v="1"/>
    <x v="0"/>
    <x v="0"/>
  </r>
  <r>
    <n v="909"/>
    <d v="2011-02-10T00:00:00"/>
    <x v="0"/>
    <n v="2"/>
    <x v="9"/>
    <b v="0"/>
    <x v="5"/>
    <n v="1"/>
    <n v="0.12"/>
    <m/>
    <n v="0.1061"/>
    <n v="0.42"/>
    <n v="0.35820000000000002"/>
    <n v="1"/>
    <n v="121"/>
    <n v="122"/>
    <x v="1"/>
    <x v="0"/>
    <x v="0"/>
  </r>
  <r>
    <n v="910"/>
    <d v="2011-02-10T00:00:00"/>
    <x v="0"/>
    <n v="2"/>
    <x v="10"/>
    <b v="0"/>
    <x v="5"/>
    <n v="1"/>
    <n v="0.12"/>
    <m/>
    <n v="0.1061"/>
    <n v="0.42"/>
    <n v="0.29849999999999999"/>
    <n v="1"/>
    <n v="34"/>
    <n v="35"/>
    <x v="1"/>
    <x v="0"/>
    <x v="0"/>
  </r>
  <r>
    <n v="911"/>
    <d v="2011-02-10T00:00:00"/>
    <x v="0"/>
    <n v="2"/>
    <x v="11"/>
    <b v="0"/>
    <x v="5"/>
    <n v="1"/>
    <n v="0.14000000000000001"/>
    <m/>
    <n v="0.1212"/>
    <n v="0.39"/>
    <n v="0.35820000000000002"/>
    <n v="1"/>
    <n v="44"/>
    <n v="45"/>
    <x v="1"/>
    <x v="0"/>
    <x v="0"/>
  </r>
  <r>
    <n v="912"/>
    <d v="2011-02-10T00:00:00"/>
    <x v="0"/>
    <n v="2"/>
    <x v="12"/>
    <b v="0"/>
    <x v="5"/>
    <n v="1"/>
    <n v="0.16"/>
    <m/>
    <n v="0.13639999999999999"/>
    <n v="0.34"/>
    <n v="0.3881"/>
    <n v="4"/>
    <n v="65"/>
    <n v="69"/>
    <x v="1"/>
    <x v="1"/>
    <x v="0"/>
  </r>
  <r>
    <n v="913"/>
    <d v="2011-02-10T00:00:00"/>
    <x v="0"/>
    <n v="2"/>
    <x v="13"/>
    <b v="0"/>
    <x v="5"/>
    <n v="1"/>
    <n v="0.18"/>
    <m/>
    <n v="0.16669999999999999"/>
    <n v="0.28999999999999998"/>
    <n v="0.29849999999999999"/>
    <n v="3"/>
    <n v="59"/>
    <n v="62"/>
    <x v="1"/>
    <x v="1"/>
    <x v="0"/>
  </r>
  <r>
    <n v="914"/>
    <d v="2011-02-10T00:00:00"/>
    <x v="0"/>
    <n v="2"/>
    <x v="14"/>
    <b v="0"/>
    <x v="5"/>
    <n v="1"/>
    <n v="0.2"/>
    <m/>
    <n v="0.18179999999999999"/>
    <n v="0.27"/>
    <n v="0.28360000000000002"/>
    <n v="6"/>
    <n v="42"/>
    <n v="48"/>
    <x v="1"/>
    <x v="1"/>
    <x v="0"/>
  </r>
  <r>
    <n v="915"/>
    <d v="2011-02-10T00:00:00"/>
    <x v="0"/>
    <n v="2"/>
    <x v="15"/>
    <b v="0"/>
    <x v="5"/>
    <n v="1"/>
    <n v="0.2"/>
    <m/>
    <n v="0.19700000000000001"/>
    <n v="0.25"/>
    <n v="0.25369999999999998"/>
    <n v="0"/>
    <n v="50"/>
    <n v="50"/>
    <x v="1"/>
    <x v="1"/>
    <x v="0"/>
  </r>
  <r>
    <n v="916"/>
    <d v="2011-02-10T00:00:00"/>
    <x v="0"/>
    <n v="2"/>
    <x v="16"/>
    <b v="0"/>
    <x v="5"/>
    <n v="1"/>
    <n v="0.2"/>
    <m/>
    <n v="0.18179999999999999"/>
    <n v="0.27"/>
    <n v="0.29849999999999999"/>
    <n v="4"/>
    <n v="76"/>
    <n v="80"/>
    <x v="1"/>
    <x v="2"/>
    <x v="0"/>
  </r>
  <r>
    <n v="917"/>
    <d v="2011-02-10T00:00:00"/>
    <x v="0"/>
    <n v="2"/>
    <x v="17"/>
    <b v="0"/>
    <x v="5"/>
    <n v="1"/>
    <n v="0.18"/>
    <m/>
    <n v="0.18179999999999999"/>
    <n v="0.26"/>
    <n v="0.19400000000000001"/>
    <n v="6"/>
    <n v="159"/>
    <n v="165"/>
    <x v="1"/>
    <x v="2"/>
    <x v="0"/>
  </r>
  <r>
    <n v="918"/>
    <d v="2011-02-10T00:00:00"/>
    <x v="0"/>
    <n v="2"/>
    <x v="18"/>
    <b v="0"/>
    <x v="5"/>
    <n v="1"/>
    <n v="0.16"/>
    <m/>
    <n v="0.18179999999999999"/>
    <n v="0.28000000000000003"/>
    <n v="0.1343"/>
    <n v="3"/>
    <n v="157"/>
    <n v="160"/>
    <x v="1"/>
    <x v="2"/>
    <x v="0"/>
  </r>
  <r>
    <n v="919"/>
    <d v="2011-02-10T00:00:00"/>
    <x v="0"/>
    <n v="2"/>
    <x v="19"/>
    <b v="0"/>
    <x v="5"/>
    <n v="1"/>
    <n v="0.14000000000000001"/>
    <m/>
    <n v="0.16669999999999999"/>
    <n v="0.28000000000000003"/>
    <n v="0.1045"/>
    <n v="2"/>
    <n v="110"/>
    <n v="112"/>
    <x v="1"/>
    <x v="2"/>
    <x v="0"/>
  </r>
  <r>
    <n v="920"/>
    <d v="2011-02-10T00:00:00"/>
    <x v="0"/>
    <n v="2"/>
    <x v="20"/>
    <b v="0"/>
    <x v="5"/>
    <n v="1"/>
    <n v="0.14000000000000001"/>
    <m/>
    <n v="0.18179999999999999"/>
    <n v="0.31"/>
    <n v="8.9599999999999999E-2"/>
    <n v="4"/>
    <n v="93"/>
    <n v="97"/>
    <x v="1"/>
    <x v="2"/>
    <x v="0"/>
  </r>
  <r>
    <n v="921"/>
    <d v="2011-02-10T00:00:00"/>
    <x v="0"/>
    <n v="2"/>
    <x v="21"/>
    <b v="0"/>
    <x v="5"/>
    <n v="1"/>
    <n v="0.14000000000000001"/>
    <m/>
    <n v="0.21210000000000001"/>
    <n v="0.39"/>
    <n v="0"/>
    <n v="2"/>
    <n v="70"/>
    <n v="72"/>
    <x v="1"/>
    <x v="3"/>
    <x v="0"/>
  </r>
  <r>
    <n v="922"/>
    <d v="2011-02-10T00:00:00"/>
    <x v="0"/>
    <n v="2"/>
    <x v="22"/>
    <b v="0"/>
    <x v="5"/>
    <n v="1"/>
    <n v="0.12"/>
    <m/>
    <n v="0.19700000000000001"/>
    <n v="0.39"/>
    <n v="0"/>
    <n v="4"/>
    <n v="47"/>
    <n v="51"/>
    <x v="1"/>
    <x v="3"/>
    <x v="0"/>
  </r>
  <r>
    <n v="923"/>
    <d v="2011-02-10T00:00:00"/>
    <x v="0"/>
    <n v="2"/>
    <x v="23"/>
    <b v="0"/>
    <x v="5"/>
    <n v="1"/>
    <n v="0.12"/>
    <m/>
    <n v="0.1515"/>
    <n v="0.42"/>
    <n v="0.1045"/>
    <n v="1"/>
    <n v="33"/>
    <n v="34"/>
    <x v="1"/>
    <x v="3"/>
    <x v="0"/>
  </r>
  <r>
    <n v="924"/>
    <d v="2011-02-11T00:00:00"/>
    <x v="0"/>
    <n v="2"/>
    <x v="0"/>
    <b v="0"/>
    <x v="6"/>
    <n v="1"/>
    <n v="0.1"/>
    <m/>
    <n v="0.13639999999999999"/>
    <n v="0.49"/>
    <n v="0.1045"/>
    <n v="2"/>
    <n v="12"/>
    <n v="14"/>
    <x v="0"/>
    <x v="0"/>
    <x v="0"/>
  </r>
  <r>
    <n v="925"/>
    <d v="2011-02-11T00:00:00"/>
    <x v="0"/>
    <n v="2"/>
    <x v="1"/>
    <b v="0"/>
    <x v="6"/>
    <n v="1"/>
    <n v="0.1"/>
    <m/>
    <n v="0.13639999999999999"/>
    <n v="0.54"/>
    <n v="8.9599999999999999E-2"/>
    <n v="1"/>
    <n v="6"/>
    <n v="7"/>
    <x v="0"/>
    <x v="0"/>
    <x v="0"/>
  </r>
  <r>
    <n v="926"/>
    <d v="2011-02-11T00:00:00"/>
    <x v="0"/>
    <n v="2"/>
    <x v="2"/>
    <b v="0"/>
    <x v="6"/>
    <n v="1"/>
    <n v="0.1"/>
    <m/>
    <n v="0.13639999999999999"/>
    <n v="0.54"/>
    <n v="8.9599999999999999E-2"/>
    <n v="0"/>
    <n v="3"/>
    <n v="3"/>
    <x v="0"/>
    <x v="0"/>
    <x v="0"/>
  </r>
  <r>
    <n v="927"/>
    <d v="2011-02-11T00:00:00"/>
    <x v="0"/>
    <n v="2"/>
    <x v="5"/>
    <b v="0"/>
    <x v="6"/>
    <n v="1"/>
    <n v="0.08"/>
    <m/>
    <n v="0.1212"/>
    <n v="0.63"/>
    <n v="8.9599999999999999E-2"/>
    <n v="0"/>
    <n v="4"/>
    <n v="4"/>
    <x v="0"/>
    <x v="0"/>
    <x v="0"/>
  </r>
  <r>
    <n v="928"/>
    <d v="2011-02-11T00:00:00"/>
    <x v="0"/>
    <n v="2"/>
    <x v="6"/>
    <b v="0"/>
    <x v="6"/>
    <n v="1"/>
    <n v="0.1"/>
    <m/>
    <n v="0.18179999999999999"/>
    <n v="0.68"/>
    <n v="0"/>
    <n v="1"/>
    <n v="23"/>
    <n v="24"/>
    <x v="0"/>
    <x v="0"/>
    <x v="0"/>
  </r>
  <r>
    <n v="929"/>
    <d v="2011-02-11T00:00:00"/>
    <x v="0"/>
    <n v="2"/>
    <x v="7"/>
    <b v="0"/>
    <x v="6"/>
    <n v="1"/>
    <n v="0.08"/>
    <m/>
    <n v="0.16669999999999999"/>
    <n v="0.73"/>
    <n v="0"/>
    <n v="1"/>
    <n v="73"/>
    <n v="74"/>
    <x v="0"/>
    <x v="0"/>
    <x v="0"/>
  </r>
  <r>
    <n v="930"/>
    <d v="2011-02-11T00:00:00"/>
    <x v="0"/>
    <n v="2"/>
    <x v="8"/>
    <b v="0"/>
    <x v="6"/>
    <n v="1"/>
    <n v="0.1"/>
    <m/>
    <n v="0.1212"/>
    <n v="0.74"/>
    <n v="0.16420000000000001"/>
    <n v="4"/>
    <n v="212"/>
    <n v="216"/>
    <x v="0"/>
    <x v="0"/>
    <x v="0"/>
  </r>
  <r>
    <n v="931"/>
    <d v="2011-02-11T00:00:00"/>
    <x v="0"/>
    <n v="2"/>
    <x v="9"/>
    <b v="0"/>
    <x v="6"/>
    <n v="1"/>
    <n v="0.12"/>
    <m/>
    <n v="0.1212"/>
    <n v="0.74"/>
    <n v="0.22389999999999999"/>
    <n v="8"/>
    <n v="132"/>
    <n v="140"/>
    <x v="0"/>
    <x v="0"/>
    <x v="0"/>
  </r>
  <r>
    <n v="932"/>
    <d v="2011-02-11T00:00:00"/>
    <x v="0"/>
    <n v="2"/>
    <x v="10"/>
    <b v="0"/>
    <x v="6"/>
    <n v="1"/>
    <n v="0.14000000000000001"/>
    <m/>
    <n v="0.13639999999999999"/>
    <n v="0.69"/>
    <n v="0.19400000000000001"/>
    <n v="5"/>
    <n v="39"/>
    <n v="44"/>
    <x v="0"/>
    <x v="0"/>
    <x v="0"/>
  </r>
  <r>
    <n v="933"/>
    <d v="2011-02-11T00:00:00"/>
    <x v="0"/>
    <n v="2"/>
    <x v="11"/>
    <b v="0"/>
    <x v="6"/>
    <n v="1"/>
    <n v="0.22"/>
    <m/>
    <n v="0.2273"/>
    <n v="0.47"/>
    <n v="0.1343"/>
    <n v="12"/>
    <n v="52"/>
    <n v="64"/>
    <x v="0"/>
    <x v="0"/>
    <x v="0"/>
  </r>
  <r>
    <n v="934"/>
    <d v="2011-02-11T00:00:00"/>
    <x v="0"/>
    <n v="2"/>
    <x v="12"/>
    <b v="0"/>
    <x v="6"/>
    <n v="1"/>
    <n v="0.22"/>
    <m/>
    <n v="0.2273"/>
    <n v="0.47"/>
    <n v="0.1343"/>
    <n v="7"/>
    <n v="64"/>
    <n v="71"/>
    <x v="0"/>
    <x v="1"/>
    <x v="0"/>
  </r>
  <r>
    <n v="935"/>
    <d v="2011-02-11T00:00:00"/>
    <x v="0"/>
    <n v="2"/>
    <x v="13"/>
    <b v="0"/>
    <x v="6"/>
    <n v="1"/>
    <n v="0.24"/>
    <m/>
    <n v="0.2273"/>
    <n v="0.35"/>
    <n v="0.19400000000000001"/>
    <n v="21"/>
    <n v="89"/>
    <n v="110"/>
    <x v="0"/>
    <x v="1"/>
    <x v="0"/>
  </r>
  <r>
    <n v="936"/>
    <d v="2011-02-11T00:00:00"/>
    <x v="0"/>
    <n v="2"/>
    <x v="14"/>
    <b v="0"/>
    <x v="6"/>
    <n v="1"/>
    <n v="0.3"/>
    <m/>
    <n v="0.28789999999999999"/>
    <n v="0.26"/>
    <n v="0.25369999999999998"/>
    <n v="17"/>
    <n v="67"/>
    <n v="84"/>
    <x v="0"/>
    <x v="1"/>
    <x v="0"/>
  </r>
  <r>
    <n v="937"/>
    <d v="2011-02-11T00:00:00"/>
    <x v="0"/>
    <n v="2"/>
    <x v="15"/>
    <b v="0"/>
    <x v="6"/>
    <n v="1"/>
    <n v="0.32"/>
    <m/>
    <n v="0.31819999999999998"/>
    <n v="0.21"/>
    <n v="0.16420000000000001"/>
    <n v="12"/>
    <n v="62"/>
    <n v="74"/>
    <x v="0"/>
    <x v="1"/>
    <x v="0"/>
  </r>
  <r>
    <n v="938"/>
    <d v="2011-02-11T00:00:00"/>
    <x v="0"/>
    <n v="2"/>
    <x v="16"/>
    <b v="0"/>
    <x v="6"/>
    <n v="1"/>
    <n v="0.3"/>
    <m/>
    <n v="0.28789999999999999"/>
    <n v="0.28000000000000003"/>
    <n v="0.19400000000000001"/>
    <n v="14"/>
    <n v="111"/>
    <n v="125"/>
    <x v="0"/>
    <x v="2"/>
    <x v="0"/>
  </r>
  <r>
    <n v="939"/>
    <d v="2011-02-11T00:00:00"/>
    <x v="0"/>
    <n v="2"/>
    <x v="17"/>
    <b v="0"/>
    <x v="6"/>
    <n v="1"/>
    <n v="0.3"/>
    <m/>
    <n v="0.33329999999999999"/>
    <n v="0.24"/>
    <n v="0"/>
    <n v="18"/>
    <n v="193"/>
    <n v="211"/>
    <x v="0"/>
    <x v="2"/>
    <x v="0"/>
  </r>
  <r>
    <n v="940"/>
    <d v="2011-02-11T00:00:00"/>
    <x v="0"/>
    <n v="2"/>
    <x v="18"/>
    <b v="0"/>
    <x v="6"/>
    <n v="1"/>
    <n v="0.28000000000000003"/>
    <m/>
    <n v="0.31819999999999998"/>
    <n v="0.28000000000000003"/>
    <n v="0"/>
    <n v="9"/>
    <n v="165"/>
    <n v="174"/>
    <x v="0"/>
    <x v="2"/>
    <x v="0"/>
  </r>
  <r>
    <n v="941"/>
    <d v="2011-02-11T00:00:00"/>
    <x v="0"/>
    <n v="2"/>
    <x v="19"/>
    <b v="0"/>
    <x v="6"/>
    <n v="1"/>
    <n v="0.26"/>
    <m/>
    <n v="0.30299999999999999"/>
    <n v="0.33"/>
    <n v="0"/>
    <n v="7"/>
    <n v="94"/>
    <n v="101"/>
    <x v="0"/>
    <x v="2"/>
    <x v="0"/>
  </r>
  <r>
    <n v="942"/>
    <d v="2011-02-11T00:00:00"/>
    <x v="0"/>
    <n v="2"/>
    <x v="20"/>
    <b v="0"/>
    <x v="6"/>
    <n v="1"/>
    <n v="0.22"/>
    <m/>
    <n v="0.2273"/>
    <n v="0.55000000000000004"/>
    <n v="0.1343"/>
    <n v="2"/>
    <n v="61"/>
    <n v="63"/>
    <x v="0"/>
    <x v="2"/>
    <x v="0"/>
  </r>
  <r>
    <n v="943"/>
    <d v="2011-02-11T00:00:00"/>
    <x v="0"/>
    <n v="2"/>
    <x v="21"/>
    <b v="0"/>
    <x v="6"/>
    <n v="1"/>
    <n v="0.2"/>
    <m/>
    <n v="0.21210000000000001"/>
    <n v="0.59"/>
    <n v="0.1343"/>
    <n v="1"/>
    <n v="46"/>
    <n v="47"/>
    <x v="0"/>
    <x v="3"/>
    <x v="0"/>
  </r>
  <r>
    <n v="944"/>
    <d v="2011-02-11T00:00:00"/>
    <x v="0"/>
    <n v="2"/>
    <x v="22"/>
    <b v="0"/>
    <x v="6"/>
    <n v="1"/>
    <n v="0.2"/>
    <m/>
    <n v="0.2273"/>
    <n v="0.64"/>
    <n v="8.9599999999999999E-2"/>
    <n v="2"/>
    <n v="41"/>
    <n v="43"/>
    <x v="0"/>
    <x v="3"/>
    <x v="0"/>
  </r>
  <r>
    <n v="945"/>
    <d v="2011-02-11T00:00:00"/>
    <x v="0"/>
    <n v="2"/>
    <x v="23"/>
    <b v="0"/>
    <x v="6"/>
    <n v="1"/>
    <n v="0.18"/>
    <m/>
    <n v="0.2424"/>
    <n v="0.69"/>
    <n v="0"/>
    <n v="5"/>
    <n v="48"/>
    <n v="53"/>
    <x v="0"/>
    <x v="3"/>
    <x v="0"/>
  </r>
  <r>
    <n v="946"/>
    <d v="2011-02-12T00:00:00"/>
    <x v="0"/>
    <n v="2"/>
    <x v="0"/>
    <b v="0"/>
    <x v="0"/>
    <n v="1"/>
    <n v="0.16"/>
    <m/>
    <n v="0.19700000000000001"/>
    <n v="0.69"/>
    <n v="8.9599999999999999E-2"/>
    <n v="3"/>
    <n v="27"/>
    <n v="30"/>
    <x v="0"/>
    <x v="0"/>
    <x v="0"/>
  </r>
  <r>
    <n v="947"/>
    <d v="2011-02-12T00:00:00"/>
    <x v="0"/>
    <n v="2"/>
    <x v="1"/>
    <b v="0"/>
    <x v="0"/>
    <n v="1"/>
    <n v="0.14000000000000001"/>
    <m/>
    <n v="0.21210000000000001"/>
    <n v="0.86"/>
    <n v="0"/>
    <n v="2"/>
    <n v="22"/>
    <n v="24"/>
    <x v="0"/>
    <x v="0"/>
    <x v="0"/>
  </r>
  <r>
    <n v="948"/>
    <d v="2011-02-12T00:00:00"/>
    <x v="0"/>
    <n v="2"/>
    <x v="2"/>
    <b v="0"/>
    <x v="0"/>
    <n v="1"/>
    <n v="0.14000000000000001"/>
    <m/>
    <n v="0.21210000000000001"/>
    <n v="0.8"/>
    <n v="0"/>
    <n v="2"/>
    <n v="13"/>
    <n v="15"/>
    <x v="0"/>
    <x v="0"/>
    <x v="0"/>
  </r>
  <r>
    <n v="949"/>
    <d v="2011-02-12T00:00:00"/>
    <x v="0"/>
    <n v="2"/>
    <x v="3"/>
    <b v="0"/>
    <x v="0"/>
    <n v="1"/>
    <n v="0.12"/>
    <m/>
    <n v="0.19700000000000001"/>
    <n v="0.8"/>
    <n v="0"/>
    <n v="3"/>
    <n v="7"/>
    <n v="10"/>
    <x v="0"/>
    <x v="0"/>
    <x v="0"/>
  </r>
  <r>
    <n v="950"/>
    <d v="2011-02-12T00:00:00"/>
    <x v="0"/>
    <n v="2"/>
    <x v="4"/>
    <b v="0"/>
    <x v="0"/>
    <n v="1"/>
    <n v="0.12"/>
    <m/>
    <n v="0.16669999999999999"/>
    <n v="0.74"/>
    <n v="8.9599999999999999E-2"/>
    <n v="0"/>
    <n v="4"/>
    <n v="4"/>
    <x v="0"/>
    <x v="0"/>
    <x v="0"/>
  </r>
  <r>
    <n v="951"/>
    <d v="2011-02-12T00:00:00"/>
    <x v="0"/>
    <n v="2"/>
    <x v="5"/>
    <b v="0"/>
    <x v="0"/>
    <n v="1"/>
    <n v="0.12"/>
    <m/>
    <n v="0.16669999999999999"/>
    <n v="0.74"/>
    <n v="8.9599999999999999E-2"/>
    <n v="0"/>
    <n v="1"/>
    <n v="1"/>
    <x v="0"/>
    <x v="0"/>
    <x v="0"/>
  </r>
  <r>
    <n v="952"/>
    <d v="2011-02-12T00:00:00"/>
    <x v="0"/>
    <n v="2"/>
    <x v="6"/>
    <b v="0"/>
    <x v="0"/>
    <n v="1"/>
    <n v="0.12"/>
    <m/>
    <n v="0.13639999999999999"/>
    <n v="0.93"/>
    <n v="0.19400000000000001"/>
    <n v="1"/>
    <n v="1"/>
    <n v="2"/>
    <x v="0"/>
    <x v="0"/>
    <x v="0"/>
  </r>
  <r>
    <n v="953"/>
    <d v="2011-02-12T00:00:00"/>
    <x v="0"/>
    <n v="2"/>
    <x v="7"/>
    <b v="0"/>
    <x v="0"/>
    <n v="1"/>
    <n v="0.12"/>
    <m/>
    <n v="0.1515"/>
    <n v="0.8"/>
    <n v="0.1045"/>
    <n v="2"/>
    <n v="9"/>
    <n v="11"/>
    <x v="0"/>
    <x v="0"/>
    <x v="0"/>
  </r>
  <r>
    <n v="954"/>
    <d v="2011-02-12T00:00:00"/>
    <x v="0"/>
    <n v="2"/>
    <x v="8"/>
    <b v="0"/>
    <x v="0"/>
    <n v="1"/>
    <n v="0.14000000000000001"/>
    <m/>
    <n v="0.1515"/>
    <n v="0.86"/>
    <n v="0.1343"/>
    <n v="2"/>
    <n v="28"/>
    <n v="30"/>
    <x v="0"/>
    <x v="0"/>
    <x v="0"/>
  </r>
  <r>
    <n v="955"/>
    <d v="2011-02-12T00:00:00"/>
    <x v="0"/>
    <n v="2"/>
    <x v="9"/>
    <b v="0"/>
    <x v="0"/>
    <n v="1"/>
    <n v="0.16"/>
    <m/>
    <n v="0.18179999999999999"/>
    <n v="0.64"/>
    <n v="0.1343"/>
    <n v="5"/>
    <n v="38"/>
    <n v="43"/>
    <x v="0"/>
    <x v="0"/>
    <x v="0"/>
  </r>
  <r>
    <n v="956"/>
    <d v="2011-02-12T00:00:00"/>
    <x v="0"/>
    <n v="2"/>
    <x v="10"/>
    <b v="0"/>
    <x v="0"/>
    <n v="1"/>
    <n v="0.22"/>
    <m/>
    <n v="0.21210000000000001"/>
    <n v="0.41"/>
    <n v="0.25369999999999998"/>
    <n v="13"/>
    <n v="71"/>
    <n v="84"/>
    <x v="0"/>
    <x v="0"/>
    <x v="0"/>
  </r>
  <r>
    <n v="957"/>
    <d v="2011-02-12T00:00:00"/>
    <x v="0"/>
    <n v="2"/>
    <x v="11"/>
    <b v="0"/>
    <x v="0"/>
    <n v="1"/>
    <n v="0.3"/>
    <m/>
    <n v="0.2727"/>
    <n v="0.28000000000000003"/>
    <n v="0.32840000000000003"/>
    <n v="30"/>
    <n v="84"/>
    <n v="114"/>
    <x v="0"/>
    <x v="0"/>
    <x v="0"/>
  </r>
  <r>
    <n v="958"/>
    <d v="2011-02-12T00:00:00"/>
    <x v="0"/>
    <n v="2"/>
    <x v="12"/>
    <b v="0"/>
    <x v="0"/>
    <n v="1"/>
    <n v="0.3"/>
    <m/>
    <n v="0.2727"/>
    <n v="0.39"/>
    <n v="0.4627"/>
    <n v="27"/>
    <n v="93"/>
    <n v="120"/>
    <x v="0"/>
    <x v="1"/>
    <x v="0"/>
  </r>
  <r>
    <n v="959"/>
    <d v="2011-02-12T00:00:00"/>
    <x v="0"/>
    <n v="2"/>
    <x v="13"/>
    <b v="0"/>
    <x v="0"/>
    <n v="1"/>
    <n v="0.3"/>
    <m/>
    <n v="0.2727"/>
    <n v="0.39"/>
    <n v="0.41789999999999999"/>
    <n v="32"/>
    <n v="103"/>
    <n v="135"/>
    <x v="0"/>
    <x v="1"/>
    <x v="0"/>
  </r>
  <r>
    <n v="960"/>
    <d v="2011-02-12T00:00:00"/>
    <x v="0"/>
    <n v="2"/>
    <x v="14"/>
    <b v="0"/>
    <x v="0"/>
    <n v="1"/>
    <n v="0.34"/>
    <m/>
    <n v="0.31819999999999998"/>
    <n v="0.31"/>
    <n v="0.28360000000000002"/>
    <n v="30"/>
    <n v="90"/>
    <n v="120"/>
    <x v="0"/>
    <x v="1"/>
    <x v="0"/>
  </r>
  <r>
    <n v="961"/>
    <d v="2011-02-12T00:00:00"/>
    <x v="0"/>
    <n v="2"/>
    <x v="15"/>
    <b v="0"/>
    <x v="0"/>
    <n v="1"/>
    <n v="0.34"/>
    <m/>
    <n v="0.30299999999999999"/>
    <n v="0.28999999999999998"/>
    <n v="0.41789999999999999"/>
    <n v="47"/>
    <n v="127"/>
    <n v="174"/>
    <x v="0"/>
    <x v="1"/>
    <x v="0"/>
  </r>
  <r>
    <n v="962"/>
    <d v="2011-02-12T00:00:00"/>
    <x v="0"/>
    <n v="2"/>
    <x v="16"/>
    <b v="0"/>
    <x v="0"/>
    <n v="1"/>
    <n v="0.34"/>
    <m/>
    <n v="0.30299999999999999"/>
    <n v="0.28999999999999998"/>
    <n v="0.41789999999999999"/>
    <n v="42"/>
    <n v="103"/>
    <n v="145"/>
    <x v="0"/>
    <x v="2"/>
    <x v="0"/>
  </r>
  <r>
    <n v="963"/>
    <d v="2011-02-12T00:00:00"/>
    <x v="0"/>
    <n v="2"/>
    <x v="17"/>
    <b v="0"/>
    <x v="0"/>
    <n v="1"/>
    <n v="0.32"/>
    <m/>
    <n v="0.28789999999999999"/>
    <n v="0.31"/>
    <n v="0.52239999999999998"/>
    <n v="24"/>
    <n v="113"/>
    <n v="137"/>
    <x v="0"/>
    <x v="2"/>
    <x v="0"/>
  </r>
  <r>
    <n v="964"/>
    <d v="2011-02-12T00:00:00"/>
    <x v="0"/>
    <n v="2"/>
    <x v="18"/>
    <b v="0"/>
    <x v="0"/>
    <n v="1"/>
    <n v="0.28000000000000003"/>
    <m/>
    <n v="0.2576"/>
    <n v="0.38"/>
    <n v="0.32840000000000003"/>
    <n v="4"/>
    <n v="60"/>
    <n v="64"/>
    <x v="0"/>
    <x v="2"/>
    <x v="0"/>
  </r>
  <r>
    <n v="965"/>
    <d v="2011-02-12T00:00:00"/>
    <x v="0"/>
    <n v="2"/>
    <x v="19"/>
    <b v="0"/>
    <x v="0"/>
    <n v="1"/>
    <n v="0.28000000000000003"/>
    <m/>
    <n v="0.2727"/>
    <n v="0.38"/>
    <n v="0.16420000000000001"/>
    <n v="2"/>
    <n v="39"/>
    <n v="41"/>
    <x v="0"/>
    <x v="2"/>
    <x v="0"/>
  </r>
  <r>
    <n v="966"/>
    <d v="2011-02-12T00:00:00"/>
    <x v="0"/>
    <n v="2"/>
    <x v="20"/>
    <b v="0"/>
    <x v="0"/>
    <n v="1"/>
    <n v="0.26"/>
    <m/>
    <n v="0.2576"/>
    <n v="0.41"/>
    <n v="0.22389999999999999"/>
    <n v="1"/>
    <n v="39"/>
    <n v="40"/>
    <x v="0"/>
    <x v="2"/>
    <x v="0"/>
  </r>
  <r>
    <n v="967"/>
    <d v="2011-02-12T00:00:00"/>
    <x v="0"/>
    <n v="2"/>
    <x v="21"/>
    <b v="0"/>
    <x v="0"/>
    <n v="1"/>
    <n v="0.26"/>
    <m/>
    <n v="0.30299999999999999"/>
    <n v="0.41"/>
    <n v="0"/>
    <n v="9"/>
    <n v="42"/>
    <n v="51"/>
    <x v="0"/>
    <x v="3"/>
    <x v="0"/>
  </r>
  <r>
    <n v="968"/>
    <d v="2011-02-12T00:00:00"/>
    <x v="0"/>
    <n v="2"/>
    <x v="22"/>
    <b v="0"/>
    <x v="0"/>
    <n v="1"/>
    <n v="0.24"/>
    <m/>
    <n v="0.2576"/>
    <n v="0.44"/>
    <n v="8.9599999999999999E-2"/>
    <n v="6"/>
    <n v="39"/>
    <n v="45"/>
    <x v="0"/>
    <x v="3"/>
    <x v="0"/>
  </r>
  <r>
    <n v="969"/>
    <d v="2011-02-12T00:00:00"/>
    <x v="0"/>
    <n v="2"/>
    <x v="23"/>
    <b v="0"/>
    <x v="0"/>
    <n v="1"/>
    <n v="0.22"/>
    <m/>
    <n v="0.2273"/>
    <n v="0.51"/>
    <n v="0.1343"/>
    <n v="1"/>
    <n v="31"/>
    <n v="32"/>
    <x v="0"/>
    <x v="3"/>
    <x v="0"/>
  </r>
  <r>
    <n v="970"/>
    <d v="2011-02-13T00:00:00"/>
    <x v="0"/>
    <n v="2"/>
    <x v="0"/>
    <b v="0"/>
    <x v="1"/>
    <n v="1"/>
    <n v="0.2"/>
    <m/>
    <n v="0.2273"/>
    <n v="0.64"/>
    <n v="0.1045"/>
    <n v="5"/>
    <n v="34"/>
    <n v="39"/>
    <x v="1"/>
    <x v="0"/>
    <x v="0"/>
  </r>
  <r>
    <n v="971"/>
    <d v="2011-02-13T00:00:00"/>
    <x v="0"/>
    <n v="2"/>
    <x v="1"/>
    <b v="0"/>
    <x v="1"/>
    <n v="1"/>
    <n v="0.2"/>
    <m/>
    <n v="0.2273"/>
    <n v="0.59"/>
    <n v="8.9599999999999999E-2"/>
    <n v="1"/>
    <n v="23"/>
    <n v="24"/>
    <x v="1"/>
    <x v="0"/>
    <x v="0"/>
  </r>
  <r>
    <n v="972"/>
    <d v="2011-02-13T00:00:00"/>
    <x v="0"/>
    <n v="2"/>
    <x v="2"/>
    <b v="0"/>
    <x v="1"/>
    <n v="2"/>
    <n v="0.2"/>
    <m/>
    <n v="0.2273"/>
    <n v="0.75"/>
    <n v="8.9599999999999999E-2"/>
    <n v="1"/>
    <n v="19"/>
    <n v="20"/>
    <x v="1"/>
    <x v="0"/>
    <x v="1"/>
  </r>
  <r>
    <n v="973"/>
    <d v="2011-02-13T00:00:00"/>
    <x v="0"/>
    <n v="2"/>
    <x v="3"/>
    <b v="0"/>
    <x v="1"/>
    <n v="2"/>
    <n v="0.2"/>
    <m/>
    <n v="0.2273"/>
    <n v="0.69"/>
    <n v="0.1045"/>
    <n v="4"/>
    <n v="8"/>
    <n v="12"/>
    <x v="1"/>
    <x v="0"/>
    <x v="1"/>
  </r>
  <r>
    <n v="974"/>
    <d v="2011-02-13T00:00:00"/>
    <x v="0"/>
    <n v="2"/>
    <x v="4"/>
    <b v="0"/>
    <x v="1"/>
    <n v="2"/>
    <n v="0.2"/>
    <m/>
    <n v="0.21210000000000001"/>
    <n v="0.69"/>
    <n v="0.16420000000000001"/>
    <n v="0"/>
    <n v="2"/>
    <n v="2"/>
    <x v="1"/>
    <x v="0"/>
    <x v="1"/>
  </r>
  <r>
    <n v="975"/>
    <d v="2011-02-13T00:00:00"/>
    <x v="0"/>
    <n v="2"/>
    <x v="6"/>
    <b v="0"/>
    <x v="1"/>
    <n v="2"/>
    <n v="0.2"/>
    <m/>
    <n v="0.21210000000000001"/>
    <n v="0.69"/>
    <n v="0.1343"/>
    <n v="2"/>
    <n v="3"/>
    <n v="5"/>
    <x v="1"/>
    <x v="0"/>
    <x v="1"/>
  </r>
  <r>
    <n v="976"/>
    <d v="2011-02-13T00:00:00"/>
    <x v="0"/>
    <n v="2"/>
    <x v="7"/>
    <b v="0"/>
    <x v="1"/>
    <n v="2"/>
    <n v="0.22"/>
    <m/>
    <n v="0.2727"/>
    <n v="0.55000000000000004"/>
    <n v="0"/>
    <n v="0"/>
    <n v="3"/>
    <n v="3"/>
    <x v="1"/>
    <x v="0"/>
    <x v="1"/>
  </r>
  <r>
    <n v="977"/>
    <d v="2011-02-13T00:00:00"/>
    <x v="0"/>
    <n v="2"/>
    <x v="8"/>
    <b v="0"/>
    <x v="1"/>
    <n v="2"/>
    <n v="0.22"/>
    <m/>
    <n v="0.2273"/>
    <n v="0.64"/>
    <n v="0.19400000000000001"/>
    <n v="1"/>
    <n v="11"/>
    <n v="12"/>
    <x v="1"/>
    <x v="0"/>
    <x v="1"/>
  </r>
  <r>
    <n v="978"/>
    <d v="2011-02-13T00:00:00"/>
    <x v="0"/>
    <n v="2"/>
    <x v="9"/>
    <b v="0"/>
    <x v="1"/>
    <n v="2"/>
    <n v="0.24"/>
    <m/>
    <n v="0.2273"/>
    <n v="0.6"/>
    <n v="0.22389999999999999"/>
    <n v="12"/>
    <n v="35"/>
    <n v="47"/>
    <x v="1"/>
    <x v="0"/>
    <x v="1"/>
  </r>
  <r>
    <n v="979"/>
    <d v="2011-02-13T00:00:00"/>
    <x v="0"/>
    <n v="2"/>
    <x v="10"/>
    <b v="0"/>
    <x v="1"/>
    <n v="1"/>
    <n v="0.3"/>
    <m/>
    <n v="0.2727"/>
    <n v="0.45"/>
    <n v="0.32840000000000003"/>
    <n v="19"/>
    <n v="86"/>
    <n v="105"/>
    <x v="1"/>
    <x v="0"/>
    <x v="0"/>
  </r>
  <r>
    <n v="980"/>
    <d v="2011-02-13T00:00:00"/>
    <x v="0"/>
    <n v="2"/>
    <x v="11"/>
    <b v="0"/>
    <x v="1"/>
    <n v="1"/>
    <n v="0.32"/>
    <m/>
    <n v="0.28789999999999999"/>
    <n v="0.39"/>
    <n v="0.44779999999999998"/>
    <n v="26"/>
    <n v="86"/>
    <n v="112"/>
    <x v="1"/>
    <x v="0"/>
    <x v="0"/>
  </r>
  <r>
    <n v="981"/>
    <d v="2011-02-13T00:00:00"/>
    <x v="0"/>
    <n v="2"/>
    <x v="12"/>
    <b v="0"/>
    <x v="1"/>
    <n v="1"/>
    <n v="0.36"/>
    <m/>
    <n v="0.31819999999999998"/>
    <n v="0.32"/>
    <n v="0.4627"/>
    <n v="58"/>
    <n v="94"/>
    <n v="152"/>
    <x v="1"/>
    <x v="1"/>
    <x v="0"/>
  </r>
  <r>
    <n v="982"/>
    <d v="2011-02-13T00:00:00"/>
    <x v="0"/>
    <n v="2"/>
    <x v="13"/>
    <b v="0"/>
    <x v="1"/>
    <n v="1"/>
    <n v="0.38"/>
    <m/>
    <n v="0.39389999999999997"/>
    <n v="0.28999999999999998"/>
    <n v="0.35820000000000002"/>
    <n v="62"/>
    <n v="92"/>
    <n v="154"/>
    <x v="1"/>
    <x v="1"/>
    <x v="0"/>
  </r>
  <r>
    <n v="983"/>
    <d v="2011-02-13T00:00:00"/>
    <x v="0"/>
    <n v="2"/>
    <x v="14"/>
    <b v="0"/>
    <x v="1"/>
    <n v="2"/>
    <n v="0.4"/>
    <m/>
    <n v="0.40910000000000002"/>
    <n v="0.3"/>
    <n v="0.41789999999999999"/>
    <n v="51"/>
    <n v="110"/>
    <n v="161"/>
    <x v="1"/>
    <x v="1"/>
    <x v="1"/>
  </r>
  <r>
    <n v="984"/>
    <d v="2011-02-13T00:00:00"/>
    <x v="0"/>
    <n v="2"/>
    <x v="15"/>
    <b v="0"/>
    <x v="1"/>
    <n v="2"/>
    <n v="0.4"/>
    <m/>
    <n v="0.40910000000000002"/>
    <n v="0.3"/>
    <n v="0.29849999999999999"/>
    <n v="40"/>
    <n v="122"/>
    <n v="162"/>
    <x v="1"/>
    <x v="1"/>
    <x v="1"/>
  </r>
  <r>
    <n v="985"/>
    <d v="2011-02-13T00:00:00"/>
    <x v="0"/>
    <n v="2"/>
    <x v="16"/>
    <b v="0"/>
    <x v="1"/>
    <n v="2"/>
    <n v="0.42"/>
    <m/>
    <n v="0.42420000000000002"/>
    <n v="0.28000000000000003"/>
    <n v="0.32840000000000003"/>
    <n v="28"/>
    <n v="106"/>
    <n v="134"/>
    <x v="1"/>
    <x v="2"/>
    <x v="1"/>
  </r>
  <r>
    <n v="986"/>
    <d v="2011-02-13T00:00:00"/>
    <x v="0"/>
    <n v="2"/>
    <x v="17"/>
    <b v="0"/>
    <x v="1"/>
    <n v="1"/>
    <n v="0.42"/>
    <m/>
    <n v="0.42420000000000002"/>
    <n v="0.28000000000000003"/>
    <n v="0.32840000000000003"/>
    <n v="30"/>
    <n v="95"/>
    <n v="125"/>
    <x v="1"/>
    <x v="2"/>
    <x v="0"/>
  </r>
  <r>
    <n v="987"/>
    <d v="2011-02-13T00:00:00"/>
    <x v="0"/>
    <n v="2"/>
    <x v="18"/>
    <b v="0"/>
    <x v="1"/>
    <n v="1"/>
    <n v="0.4"/>
    <m/>
    <n v="0.40910000000000002"/>
    <n v="0.32"/>
    <n v="0.29849999999999999"/>
    <n v="17"/>
    <n v="78"/>
    <n v="95"/>
    <x v="1"/>
    <x v="2"/>
    <x v="0"/>
  </r>
  <r>
    <n v="988"/>
    <d v="2011-02-13T00:00:00"/>
    <x v="0"/>
    <n v="2"/>
    <x v="19"/>
    <b v="0"/>
    <x v="1"/>
    <n v="1"/>
    <n v="0.4"/>
    <m/>
    <n v="0.40910000000000002"/>
    <n v="0.35"/>
    <n v="0.28360000000000002"/>
    <n v="11"/>
    <n v="50"/>
    <n v="61"/>
    <x v="1"/>
    <x v="2"/>
    <x v="0"/>
  </r>
  <r>
    <n v="989"/>
    <d v="2011-02-13T00:00:00"/>
    <x v="0"/>
    <n v="2"/>
    <x v="20"/>
    <b v="0"/>
    <x v="1"/>
    <n v="1"/>
    <n v="0.4"/>
    <m/>
    <n v="0.40910000000000002"/>
    <n v="0.35"/>
    <n v="0.32840000000000003"/>
    <n v="15"/>
    <n v="32"/>
    <n v="47"/>
    <x v="1"/>
    <x v="2"/>
    <x v="0"/>
  </r>
  <r>
    <n v="990"/>
    <d v="2011-02-13T00:00:00"/>
    <x v="0"/>
    <n v="2"/>
    <x v="21"/>
    <b v="0"/>
    <x v="1"/>
    <n v="1"/>
    <n v="0.4"/>
    <m/>
    <n v="0.40910000000000002"/>
    <n v="0.35"/>
    <n v="0.35820000000000002"/>
    <n v="6"/>
    <n v="45"/>
    <n v="51"/>
    <x v="1"/>
    <x v="3"/>
    <x v="0"/>
  </r>
  <r>
    <n v="991"/>
    <d v="2011-02-13T00:00:00"/>
    <x v="0"/>
    <n v="2"/>
    <x v="22"/>
    <b v="0"/>
    <x v="1"/>
    <n v="1"/>
    <n v="0.4"/>
    <m/>
    <n v="0.40910000000000002"/>
    <n v="0.35"/>
    <n v="0.29849999999999999"/>
    <n v="5"/>
    <n v="31"/>
    <n v="36"/>
    <x v="1"/>
    <x v="3"/>
    <x v="0"/>
  </r>
  <r>
    <n v="992"/>
    <d v="2011-02-13T00:00:00"/>
    <x v="0"/>
    <n v="2"/>
    <x v="23"/>
    <b v="0"/>
    <x v="1"/>
    <n v="1"/>
    <n v="0.4"/>
    <m/>
    <n v="0.40910000000000002"/>
    <n v="0.35"/>
    <n v="0.35820000000000002"/>
    <n v="3"/>
    <n v="27"/>
    <n v="30"/>
    <x v="1"/>
    <x v="3"/>
    <x v="0"/>
  </r>
  <r>
    <n v="993"/>
    <d v="2011-02-14T00:00:00"/>
    <x v="0"/>
    <n v="2"/>
    <x v="0"/>
    <b v="0"/>
    <x v="2"/>
    <n v="1"/>
    <n v="0.38"/>
    <m/>
    <n v="0.39389999999999997"/>
    <n v="0.37"/>
    <n v="0.35820000000000002"/>
    <n v="3"/>
    <n v="8"/>
    <n v="11"/>
    <x v="1"/>
    <x v="0"/>
    <x v="0"/>
  </r>
  <r>
    <n v="994"/>
    <d v="2011-02-14T00:00:00"/>
    <x v="0"/>
    <n v="2"/>
    <x v="1"/>
    <b v="0"/>
    <x v="2"/>
    <n v="1"/>
    <n v="0.38"/>
    <m/>
    <n v="0.39389999999999997"/>
    <n v="0.37"/>
    <n v="0.35820000000000002"/>
    <n v="1"/>
    <n v="6"/>
    <n v="7"/>
    <x v="1"/>
    <x v="0"/>
    <x v="0"/>
  </r>
  <r>
    <n v="995"/>
    <d v="2011-02-14T00:00:00"/>
    <x v="0"/>
    <n v="2"/>
    <x v="2"/>
    <b v="0"/>
    <x v="2"/>
    <n v="1"/>
    <n v="0.36"/>
    <m/>
    <n v="0.33329999999999999"/>
    <n v="0.4"/>
    <n v="0.29849999999999999"/>
    <n v="0"/>
    <n v="2"/>
    <n v="2"/>
    <x v="1"/>
    <x v="0"/>
    <x v="0"/>
  </r>
  <r>
    <n v="996"/>
    <d v="2011-02-14T00:00:00"/>
    <x v="0"/>
    <n v="2"/>
    <x v="3"/>
    <b v="0"/>
    <x v="2"/>
    <n v="1"/>
    <n v="0.34"/>
    <m/>
    <n v="0.31819999999999998"/>
    <n v="0.46"/>
    <n v="0.22389999999999999"/>
    <n v="1"/>
    <n v="1"/>
    <n v="2"/>
    <x v="1"/>
    <x v="0"/>
    <x v="0"/>
  </r>
  <r>
    <n v="997"/>
    <d v="2011-02-14T00:00:00"/>
    <x v="0"/>
    <n v="2"/>
    <x v="4"/>
    <b v="0"/>
    <x v="2"/>
    <n v="1"/>
    <n v="0.32"/>
    <m/>
    <n v="0.30299999999999999"/>
    <n v="0.53"/>
    <n v="0.28360000000000002"/>
    <n v="0"/>
    <n v="2"/>
    <n v="2"/>
    <x v="1"/>
    <x v="0"/>
    <x v="0"/>
  </r>
  <r>
    <n v="998"/>
    <d v="2011-02-14T00:00:00"/>
    <x v="0"/>
    <n v="2"/>
    <x v="5"/>
    <b v="0"/>
    <x v="2"/>
    <n v="1"/>
    <n v="0.32"/>
    <m/>
    <n v="0.30299999999999999"/>
    <n v="0.53"/>
    <n v="0.28360000000000002"/>
    <n v="0"/>
    <n v="3"/>
    <n v="3"/>
    <x v="1"/>
    <x v="0"/>
    <x v="0"/>
  </r>
  <r>
    <n v="999"/>
    <d v="2011-02-14T00:00:00"/>
    <x v="0"/>
    <n v="2"/>
    <x v="6"/>
    <b v="0"/>
    <x v="2"/>
    <n v="1"/>
    <n v="0.34"/>
    <m/>
    <n v="0.30299999999999999"/>
    <n v="0.46"/>
    <n v="0.29849999999999999"/>
    <n v="1"/>
    <n v="25"/>
    <n v="26"/>
    <x v="1"/>
    <x v="0"/>
    <x v="0"/>
  </r>
  <r>
    <n v="1000"/>
    <d v="2011-02-14T00:00:00"/>
    <x v="0"/>
    <n v="2"/>
    <x v="7"/>
    <b v="0"/>
    <x v="2"/>
    <n v="1"/>
    <n v="0.34"/>
    <m/>
    <n v="0.30299999999999999"/>
    <n v="0.46"/>
    <n v="0.29849999999999999"/>
    <n v="2"/>
    <n v="96"/>
    <n v="98"/>
    <x v="1"/>
    <x v="0"/>
    <x v="0"/>
  </r>
  <r>
    <n v="1001"/>
    <d v="2011-01-28T00:00:00"/>
    <x v="0"/>
    <n v="1"/>
    <x v="16"/>
    <b v="0"/>
    <x v="6"/>
    <n v="1"/>
    <n v="0.22"/>
    <m/>
    <n v="0.2727"/>
    <n v="0.8"/>
    <n v="0"/>
    <n v="10"/>
    <n v="70"/>
    <n v="80"/>
    <x v="0"/>
    <x v="2"/>
    <x v="0"/>
  </r>
  <r>
    <n v="1002"/>
    <d v="2011-01-28T00:00:00"/>
    <x v="0"/>
    <n v="1"/>
    <x v="17"/>
    <b v="0"/>
    <x v="6"/>
    <n v="1"/>
    <n v="0.24"/>
    <m/>
    <n v="0.2424"/>
    <n v="0.75"/>
    <n v="0.1343"/>
    <n v="2"/>
    <n v="147"/>
    <n v="149"/>
    <x v="0"/>
    <x v="2"/>
    <x v="0"/>
  </r>
  <r>
    <n v="1003"/>
    <d v="2011-01-28T00:00:00"/>
    <x v="0"/>
    <n v="1"/>
    <x v="18"/>
    <b v="0"/>
    <x v="6"/>
    <n v="1"/>
    <n v="0.24"/>
    <m/>
    <n v="0.2273"/>
    <n v="0.75"/>
    <n v="0.19400000000000001"/>
    <n v="2"/>
    <n v="107"/>
    <n v="109"/>
    <x v="0"/>
    <x v="2"/>
    <x v="0"/>
  </r>
  <r>
    <n v="1004"/>
    <d v="2011-01-28T00:00:00"/>
    <x v="0"/>
    <n v="1"/>
    <x v="19"/>
    <b v="0"/>
    <x v="6"/>
    <n v="2"/>
    <n v="0.24"/>
    <m/>
    <n v="0.2424"/>
    <n v="0.75"/>
    <n v="0.1343"/>
    <n v="5"/>
    <n v="84"/>
    <n v="89"/>
    <x v="0"/>
    <x v="2"/>
    <x v="1"/>
  </r>
  <r>
    <n v="1005"/>
    <d v="2011-01-28T00:00:00"/>
    <x v="0"/>
    <n v="1"/>
    <x v="20"/>
    <b v="0"/>
    <x v="6"/>
    <n v="2"/>
    <n v="0.24"/>
    <m/>
    <n v="0.2273"/>
    <n v="0.7"/>
    <n v="0.19400000000000001"/>
    <n v="1"/>
    <n v="61"/>
    <n v="62"/>
    <x v="0"/>
    <x v="2"/>
    <x v="1"/>
  </r>
  <r>
    <n v="1006"/>
    <d v="2011-01-28T00:00:00"/>
    <x v="0"/>
    <n v="1"/>
    <x v="21"/>
    <b v="0"/>
    <x v="6"/>
    <n v="2"/>
    <n v="0.22"/>
    <m/>
    <n v="0.2273"/>
    <n v="0.75"/>
    <n v="0.1343"/>
    <n v="1"/>
    <n v="57"/>
    <n v="58"/>
    <x v="0"/>
    <x v="3"/>
    <x v="1"/>
  </r>
  <r>
    <n v="1007"/>
    <d v="2011-01-28T00:00:00"/>
    <x v="0"/>
    <n v="1"/>
    <x v="22"/>
    <b v="0"/>
    <x v="6"/>
    <n v="1"/>
    <n v="0.24"/>
    <m/>
    <n v="0.21210000000000001"/>
    <n v="0.65"/>
    <n v="0.35820000000000002"/>
    <n v="0"/>
    <n v="26"/>
    <n v="26"/>
    <x v="0"/>
    <x v="3"/>
    <x v="0"/>
  </r>
  <r>
    <n v="1008"/>
    <d v="2011-01-28T00:00:00"/>
    <x v="0"/>
    <n v="1"/>
    <x v="23"/>
    <b v="0"/>
    <x v="6"/>
    <n v="1"/>
    <n v="0.24"/>
    <m/>
    <n v="0.2273"/>
    <n v="0.6"/>
    <n v="0.22389999999999999"/>
    <n v="1"/>
    <n v="22"/>
    <n v="23"/>
    <x v="0"/>
    <x v="3"/>
    <x v="0"/>
  </r>
  <r>
    <n v="1009"/>
    <d v="2011-01-29T00:00:00"/>
    <x v="0"/>
    <n v="1"/>
    <x v="0"/>
    <b v="0"/>
    <x v="0"/>
    <n v="1"/>
    <n v="0.22"/>
    <m/>
    <n v="0.19700000000000001"/>
    <n v="0.64"/>
    <n v="0.35820000000000002"/>
    <n v="2"/>
    <n v="26"/>
    <n v="28"/>
    <x v="0"/>
    <x v="0"/>
    <x v="0"/>
  </r>
  <r>
    <m/>
    <m/>
    <x v="1"/>
    <m/>
    <x v="24"/>
    <m/>
    <x v="7"/>
    <m/>
    <m/>
    <m/>
    <m/>
    <m/>
    <m/>
    <m/>
    <m/>
    <m/>
    <x v="2"/>
    <x v="4"/>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2">
  <r>
    <n v="1"/>
    <d v="2011-01-01T00:00:00"/>
    <n v="1"/>
    <n v="1"/>
    <x v="0"/>
    <b v="0"/>
    <n v="6"/>
    <n v="1"/>
    <n v="0.24"/>
    <n v="0"/>
    <n v="0.28789999999999999"/>
    <n v="0.81"/>
    <n v="0"/>
    <n v="3"/>
    <n v="13"/>
    <n v="16"/>
  </r>
  <r>
    <n v="2"/>
    <d v="2011-01-01T00:00:00"/>
    <n v="1"/>
    <n v="1"/>
    <x v="1"/>
    <b v="0"/>
    <n v="6"/>
    <n v="1"/>
    <n v="0.22"/>
    <n v="0"/>
    <n v="0.28789999999999999"/>
    <n v="0.81"/>
    <n v="0"/>
    <n v="3"/>
    <n v="13"/>
    <n v="16"/>
  </r>
  <r>
    <n v="3"/>
    <d v="2011-01-01T00:00:00"/>
    <n v="1"/>
    <n v="1"/>
    <x v="2"/>
    <b v="0"/>
    <n v="6"/>
    <n v="1"/>
    <n v="0.22"/>
    <n v="0"/>
    <n v="0.28789999999999999"/>
    <n v="0.81"/>
    <n v="0"/>
    <n v="3"/>
    <n v="13"/>
    <n v="16"/>
  </r>
  <r>
    <n v="4"/>
    <d v="2011-01-01T00:00:00"/>
    <n v="1"/>
    <n v="1"/>
    <x v="3"/>
    <b v="0"/>
    <n v="6"/>
    <n v="1"/>
    <n v="0.24"/>
    <n v="0"/>
    <n v="0.28789999999999999"/>
    <n v="0.81"/>
    <n v="0"/>
    <n v="3"/>
    <n v="13"/>
    <n v="16"/>
  </r>
  <r>
    <n v="5"/>
    <d v="2011-01-01T00:00:00"/>
    <n v="1"/>
    <n v="1"/>
    <x v="4"/>
    <b v="0"/>
    <n v="6"/>
    <n v="1"/>
    <n v="0.24"/>
    <n v="0"/>
    <n v="0.28789999999999999"/>
    <n v="0.81"/>
    <n v="0"/>
    <n v="3"/>
    <n v="13"/>
    <n v="16"/>
  </r>
  <r>
    <n v="6"/>
    <d v="2011-01-01T00:00:00"/>
    <n v="1"/>
    <n v="1"/>
    <x v="5"/>
    <b v="0"/>
    <n v="6"/>
    <n v="2"/>
    <n v="0.24"/>
    <n v="0"/>
    <n v="0.28789999999999999"/>
    <n v="0.81"/>
    <n v="0"/>
    <n v="3"/>
    <n v="13"/>
    <n v="16"/>
  </r>
  <r>
    <n v="7"/>
    <d v="2011-01-01T00:00:00"/>
    <n v="1"/>
    <n v="1"/>
    <x v="6"/>
    <b v="0"/>
    <n v="6"/>
    <n v="1"/>
    <n v="0.22"/>
    <n v="0"/>
    <n v="0.28789999999999999"/>
    <n v="0.81"/>
    <n v="0"/>
    <n v="3"/>
    <n v="13"/>
    <n v="16"/>
  </r>
  <r>
    <n v="8"/>
    <d v="2011-01-01T00:00:00"/>
    <n v="1"/>
    <n v="1"/>
    <x v="7"/>
    <b v="0"/>
    <n v="6"/>
    <n v="1"/>
    <n v="0.2"/>
    <n v="0"/>
    <n v="0.28789999999999999"/>
    <n v="0.81"/>
    <n v="0"/>
    <n v="3"/>
    <n v="13"/>
    <n v="16"/>
  </r>
  <r>
    <n v="9"/>
    <d v="2011-01-01T00:00:00"/>
    <n v="1"/>
    <n v="1"/>
    <x v="8"/>
    <b v="0"/>
    <n v="6"/>
    <n v="1"/>
    <n v="0.24"/>
    <n v="0"/>
    <n v="0.28789999999999999"/>
    <n v="0.81"/>
    <n v="0"/>
    <n v="3"/>
    <n v="13"/>
    <n v="16"/>
  </r>
  <r>
    <n v="10"/>
    <d v="2011-01-01T00:00:00"/>
    <n v="1"/>
    <n v="1"/>
    <x v="9"/>
    <b v="0"/>
    <n v="6"/>
    <n v="1"/>
    <n v="0.32"/>
    <n v="0"/>
    <n v="0.28789999999999999"/>
    <n v="0.81"/>
    <n v="0"/>
    <n v="3"/>
    <n v="13"/>
    <n v="16"/>
  </r>
  <r>
    <n v="11"/>
    <d v="2011-01-01T00:00:00"/>
    <n v="1"/>
    <n v="1"/>
    <x v="10"/>
    <b v="0"/>
    <n v="6"/>
    <n v="1"/>
    <n v="0.38"/>
    <n v="0"/>
    <n v="0.28789999999999999"/>
    <n v="0.81"/>
    <n v="0"/>
    <n v="3"/>
    <n v="13"/>
    <n v="16"/>
  </r>
  <r>
    <n v="12"/>
    <d v="2011-01-01T00:00:00"/>
    <n v="1"/>
    <n v="1"/>
    <x v="11"/>
    <b v="0"/>
    <n v="6"/>
    <n v="1"/>
    <n v="0.36"/>
    <n v="0"/>
    <n v="0.28789999999999999"/>
    <n v="0.81"/>
    <n v="0"/>
    <n v="3"/>
    <n v="13"/>
    <n v="16"/>
  </r>
  <r>
    <n v="13"/>
    <d v="2011-01-01T00:00:00"/>
    <n v="1"/>
    <n v="1"/>
    <x v="12"/>
    <b v="0"/>
    <n v="6"/>
    <n v="1"/>
    <n v="0.42"/>
    <n v="0"/>
    <n v="0.28789999999999999"/>
    <n v="0.81"/>
    <n v="0"/>
    <n v="3"/>
    <n v="13"/>
    <n v="16"/>
  </r>
  <r>
    <n v="14"/>
    <d v="2011-01-01T00:00:00"/>
    <n v="1"/>
    <n v="1"/>
    <x v="13"/>
    <b v="0"/>
    <n v="6"/>
    <n v="2"/>
    <n v="0.46"/>
    <n v="0"/>
    <n v="0.28789999999999999"/>
    <n v="0.81"/>
    <n v="0"/>
    <n v="3"/>
    <n v="13"/>
    <n v="16"/>
  </r>
  <r>
    <n v="15"/>
    <d v="2011-01-01T00:00:00"/>
    <n v="1"/>
    <n v="1"/>
    <x v="14"/>
    <b v="0"/>
    <n v="6"/>
    <n v="2"/>
    <n v="0.46"/>
    <n v="0"/>
    <n v="0.28789999999999999"/>
    <n v="0.81"/>
    <n v="0"/>
    <n v="3"/>
    <n v="13"/>
    <n v="16"/>
  </r>
  <r>
    <n v="16"/>
    <d v="2011-01-01T00:00:00"/>
    <n v="1"/>
    <n v="1"/>
    <x v="15"/>
    <b v="0"/>
    <n v="6"/>
    <n v="2"/>
    <n v="0.44"/>
    <n v="0"/>
    <n v="0.28789999999999999"/>
    <n v="0.81"/>
    <n v="0"/>
    <n v="3"/>
    <n v="13"/>
    <n v="16"/>
  </r>
  <r>
    <n v="17"/>
    <d v="2011-01-01T00:00:00"/>
    <n v="1"/>
    <n v="1"/>
    <x v="16"/>
    <b v="0"/>
    <n v="6"/>
    <n v="2"/>
    <n v="0.42"/>
    <n v="0"/>
    <n v="0.28789999999999999"/>
    <n v="0.81"/>
    <n v="0"/>
    <n v="3"/>
    <n v="13"/>
    <n v="16"/>
  </r>
  <r>
    <n v="18"/>
    <d v="2011-01-01T00:00:00"/>
    <n v="1"/>
    <n v="1"/>
    <x v="17"/>
    <b v="0"/>
    <n v="6"/>
    <n v="2"/>
    <n v="0.44"/>
    <n v="0"/>
    <n v="0.28789999999999999"/>
    <n v="0.81"/>
    <n v="0"/>
    <n v="3"/>
    <n v="13"/>
    <n v="16"/>
  </r>
  <r>
    <n v="19"/>
    <d v="2011-01-01T00:00:00"/>
    <n v="1"/>
    <n v="1"/>
    <x v="18"/>
    <b v="0"/>
    <n v="6"/>
    <n v="3"/>
    <n v="0.42"/>
    <n v="0"/>
    <n v="0.28789999999999999"/>
    <n v="0.81"/>
    <n v="0"/>
    <n v="3"/>
    <n v="13"/>
    <n v="16"/>
  </r>
  <r>
    <n v="20"/>
    <d v="2011-01-01T00:00:00"/>
    <n v="1"/>
    <n v="1"/>
    <x v="19"/>
    <b v="0"/>
    <n v="6"/>
    <n v="3"/>
    <n v="0.42"/>
    <n v="0"/>
    <n v="0.28789999999999999"/>
    <n v="0.81"/>
    <n v="0"/>
    <n v="3"/>
    <n v="13"/>
    <n v="16"/>
  </r>
  <r>
    <n v="21"/>
    <d v="2011-01-01T00:00:00"/>
    <n v="1"/>
    <n v="1"/>
    <x v="20"/>
    <b v="0"/>
    <n v="6"/>
    <n v="2"/>
    <n v="0.4"/>
    <n v="0"/>
    <n v="0.28789999999999999"/>
    <n v="0.81"/>
    <n v="0"/>
    <n v="3"/>
    <n v="13"/>
    <n v="16"/>
  </r>
  <r>
    <n v="22"/>
    <d v="2011-01-01T00:00:00"/>
    <n v="1"/>
    <n v="1"/>
    <x v="21"/>
    <b v="0"/>
    <n v="6"/>
    <n v="2"/>
    <n v="0.4"/>
    <n v="0"/>
    <n v="0.28789999999999999"/>
    <n v="0.81"/>
    <n v="0"/>
    <n v="3"/>
    <n v="13"/>
    <n v="16"/>
  </r>
  <r>
    <n v="23"/>
    <d v="2011-01-01T00:00:00"/>
    <n v="1"/>
    <n v="1"/>
    <x v="22"/>
    <b v="0"/>
    <n v="6"/>
    <n v="2"/>
    <n v="0.4"/>
    <n v="0"/>
    <n v="0.28789999999999999"/>
    <n v="0.81"/>
    <n v="0"/>
    <n v="3"/>
    <n v="13"/>
    <n v="16"/>
  </r>
  <r>
    <n v="24"/>
    <d v="2011-01-01T00:00:00"/>
    <n v="1"/>
    <n v="1"/>
    <x v="23"/>
    <b v="0"/>
    <n v="6"/>
    <n v="2"/>
    <n v="0.46"/>
    <n v="0"/>
    <n v="0.28789999999999999"/>
    <n v="0.81"/>
    <n v="0"/>
    <n v="3"/>
    <n v="13"/>
    <n v="16"/>
  </r>
  <r>
    <n v="25"/>
    <d v="2011-01-02T00:00:00"/>
    <n v="1"/>
    <n v="1"/>
    <x v="0"/>
    <b v="0"/>
    <n v="0"/>
    <n v="2"/>
    <n v="0.46"/>
    <n v="0"/>
    <n v="0.28789999999999999"/>
    <n v="0.81"/>
    <n v="0"/>
    <n v="3"/>
    <n v="13"/>
    <n v="16"/>
  </r>
  <r>
    <n v="26"/>
    <d v="2011-01-02T00:00:00"/>
    <n v="1"/>
    <n v="1"/>
    <x v="1"/>
    <b v="0"/>
    <n v="0"/>
    <n v="2"/>
    <n v="0.44"/>
    <n v="0"/>
    <n v="0.28789999999999999"/>
    <n v="0.81"/>
    <n v="0"/>
    <n v="3"/>
    <n v="13"/>
    <n v="16"/>
  </r>
  <r>
    <n v="27"/>
    <d v="2011-01-02T00:00:00"/>
    <n v="1"/>
    <n v="1"/>
    <x v="2"/>
    <b v="0"/>
    <n v="0"/>
    <n v="2"/>
    <n v="0.42"/>
    <n v="0"/>
    <n v="0.28789999999999999"/>
    <n v="0.81"/>
    <n v="0"/>
    <n v="3"/>
    <n v="13"/>
    <n v="16"/>
  </r>
  <r>
    <n v="28"/>
    <d v="2011-01-02T00:00:00"/>
    <n v="1"/>
    <n v="1"/>
    <x v="3"/>
    <b v="0"/>
    <n v="0"/>
    <n v="2"/>
    <n v="0.46"/>
    <n v="0"/>
    <n v="0.28789999999999999"/>
    <n v="0.81"/>
    <n v="0"/>
    <n v="3"/>
    <n v="13"/>
    <n v="16"/>
  </r>
  <r>
    <n v="29"/>
    <d v="2011-01-02T00:00:00"/>
    <n v="1"/>
    <n v="1"/>
    <x v="4"/>
    <b v="0"/>
    <n v="0"/>
    <n v="2"/>
    <n v="0.46"/>
    <n v="0"/>
    <n v="0.28789999999999999"/>
    <n v="0.81"/>
    <n v="0"/>
    <n v="3"/>
    <n v="13"/>
    <n v="16"/>
  </r>
  <r>
    <n v="30"/>
    <d v="2011-01-02T00:00:00"/>
    <n v="1"/>
    <n v="1"/>
    <x v="6"/>
    <b v="0"/>
    <n v="0"/>
    <n v="3"/>
    <n v="0.42"/>
    <n v="0"/>
    <n v="0.28789999999999999"/>
    <n v="0.81"/>
    <n v="0"/>
    <n v="3"/>
    <n v="13"/>
    <n v="16"/>
  </r>
  <r>
    <n v="31"/>
    <d v="2011-01-02T00:00:00"/>
    <n v="1"/>
    <n v="1"/>
    <x v="7"/>
    <b v="0"/>
    <n v="0"/>
    <n v="2"/>
    <n v="0.4"/>
    <n v="0"/>
    <n v="0.28789999999999999"/>
    <n v="0.81"/>
    <n v="0"/>
    <n v="3"/>
    <n v="13"/>
    <n v="16"/>
  </r>
  <r>
    <n v="32"/>
    <d v="2011-01-02T00:00:00"/>
    <n v="1"/>
    <n v="1"/>
    <x v="8"/>
    <b v="0"/>
    <n v="0"/>
    <n v="3"/>
    <n v="0.4"/>
    <n v="0"/>
    <n v="0.28789999999999999"/>
    <n v="0.81"/>
    <n v="0"/>
    <n v="3"/>
    <n v="13"/>
    <n v="16"/>
  </r>
  <r>
    <n v="33"/>
    <d v="2011-01-02T00:00:00"/>
    <n v="1"/>
    <n v="1"/>
    <x v="9"/>
    <b v="0"/>
    <n v="0"/>
    <n v="2"/>
    <n v="0.38"/>
    <n v="0"/>
    <n v="0.28789999999999999"/>
    <n v="0.81"/>
    <n v="0"/>
    <n v="3"/>
    <n v="13"/>
    <n v="16"/>
  </r>
  <r>
    <n v="34"/>
    <d v="2011-01-02T00:00:00"/>
    <n v="1"/>
    <n v="1"/>
    <x v="10"/>
    <b v="0"/>
    <n v="0"/>
    <n v="2"/>
    <n v="0.36"/>
    <n v="0"/>
    <n v="0.28789999999999999"/>
    <n v="0.81"/>
    <n v="0"/>
    <n v="3"/>
    <n v="13"/>
    <n v="16"/>
  </r>
  <r>
    <n v="35"/>
    <d v="2011-01-02T00:00:00"/>
    <n v="1"/>
    <n v="1"/>
    <x v="11"/>
    <b v="0"/>
    <n v="0"/>
    <n v="2"/>
    <n v="0.36"/>
    <n v="0"/>
    <n v="0.28789999999999999"/>
    <n v="0.81"/>
    <n v="0"/>
    <n v="3"/>
    <n v="13"/>
    <n v="16"/>
  </r>
  <r>
    <n v="36"/>
    <d v="2011-01-02T00:00:00"/>
    <n v="1"/>
    <n v="1"/>
    <x v="12"/>
    <b v="0"/>
    <n v="0"/>
    <n v="2"/>
    <n v="0.36"/>
    <n v="0"/>
    <n v="0.28789999999999999"/>
    <n v="0.81"/>
    <n v="0"/>
    <n v="3"/>
    <n v="13"/>
    <n v="16"/>
  </r>
  <r>
    <n v="37"/>
    <d v="2011-01-02T00:00:00"/>
    <n v="1"/>
    <n v="1"/>
    <x v="13"/>
    <b v="0"/>
    <n v="0"/>
    <n v="2"/>
    <n v="0.36"/>
    <n v="0"/>
    <n v="0.28789999999999999"/>
    <n v="0.81"/>
    <n v="0"/>
    <n v="3"/>
    <n v="13"/>
    <n v="16"/>
  </r>
  <r>
    <n v="38"/>
    <d v="2011-01-02T00:00:00"/>
    <n v="1"/>
    <n v="1"/>
    <x v="14"/>
    <b v="0"/>
    <n v="0"/>
    <n v="3"/>
    <n v="0.36"/>
    <n v="0"/>
    <n v="0.28789999999999999"/>
    <n v="0.81"/>
    <n v="0"/>
    <n v="3"/>
    <n v="13"/>
    <n v="16"/>
  </r>
  <r>
    <n v="39"/>
    <d v="2011-01-02T00:00:00"/>
    <n v="1"/>
    <n v="1"/>
    <x v="15"/>
    <b v="0"/>
    <n v="0"/>
    <n v="3"/>
    <n v="0.34"/>
    <n v="0"/>
    <n v="0.28789999999999999"/>
    <n v="0.81"/>
    <n v="0"/>
    <n v="3"/>
    <n v="13"/>
    <n v="16"/>
  </r>
  <r>
    <n v="40"/>
    <d v="2011-01-02T00:00:00"/>
    <n v="1"/>
    <n v="1"/>
    <x v="16"/>
    <b v="0"/>
    <n v="0"/>
    <n v="3"/>
    <n v="0.34"/>
    <n v="0"/>
    <n v="0.28789999999999999"/>
    <n v="0.81"/>
    <n v="0"/>
    <n v="3"/>
    <n v="13"/>
    <n v="16"/>
  </r>
  <r>
    <n v="41"/>
    <d v="2011-01-02T00:00:00"/>
    <n v="1"/>
    <n v="1"/>
    <x v="17"/>
    <b v="0"/>
    <n v="0"/>
    <n v="1"/>
    <n v="0.34"/>
    <n v="0"/>
    <n v="0.28789999999999999"/>
    <n v="0.81"/>
    <n v="0"/>
    <n v="3"/>
    <n v="13"/>
    <n v="16"/>
  </r>
  <r>
    <n v="42"/>
    <d v="2011-01-02T00:00:00"/>
    <n v="1"/>
    <n v="1"/>
    <x v="18"/>
    <b v="0"/>
    <n v="0"/>
    <n v="2"/>
    <n v="0.36"/>
    <n v="0"/>
    <n v="0.28789999999999999"/>
    <n v="0.81"/>
    <n v="0"/>
    <n v="3"/>
    <n v="13"/>
    <n v="16"/>
  </r>
  <r>
    <n v="43"/>
    <d v="2011-01-02T00:00:00"/>
    <n v="1"/>
    <n v="1"/>
    <x v="19"/>
    <b v="0"/>
    <n v="0"/>
    <n v="1"/>
    <n v="0.32"/>
    <n v="0"/>
    <n v="0.28789999999999999"/>
    <n v="0.81"/>
    <n v="0"/>
    <n v="3"/>
    <n v="13"/>
    <n v="16"/>
  </r>
  <r>
    <n v="44"/>
    <d v="2011-01-02T00:00:00"/>
    <n v="1"/>
    <n v="1"/>
    <x v="20"/>
    <b v="0"/>
    <n v="0"/>
    <n v="1"/>
    <n v="0.3"/>
    <n v="0"/>
    <n v="0.28789999999999999"/>
    <n v="0.81"/>
    <n v="0"/>
    <n v="3"/>
    <n v="13"/>
    <n v="16"/>
  </r>
  <r>
    <n v="45"/>
    <d v="2011-01-02T00:00:00"/>
    <n v="1"/>
    <n v="1"/>
    <x v="21"/>
    <b v="0"/>
    <n v="0"/>
    <n v="1"/>
    <n v="0.26"/>
    <n v="0"/>
    <n v="0.28789999999999999"/>
    <n v="0.81"/>
    <n v="0"/>
    <n v="3"/>
    <n v="13"/>
    <n v="16"/>
  </r>
  <r>
    <n v="46"/>
    <d v="2011-01-02T00:00:00"/>
    <n v="1"/>
    <n v="1"/>
    <x v="22"/>
    <b v="0"/>
    <n v="0"/>
    <n v="1"/>
    <n v="0.24"/>
    <n v="0"/>
    <n v="0.28789999999999999"/>
    <n v="0.81"/>
    <n v="0"/>
    <n v="3"/>
    <n v="13"/>
    <n v="16"/>
  </r>
  <r>
    <n v="47"/>
    <d v="2011-01-02T00:00:00"/>
    <n v="1"/>
    <n v="1"/>
    <x v="23"/>
    <b v="0"/>
    <n v="0"/>
    <n v="1"/>
    <n v="0.22"/>
    <n v="0"/>
    <n v="0.28789999999999999"/>
    <n v="0.81"/>
    <n v="0"/>
    <n v="3"/>
    <n v="13"/>
    <n v="16"/>
  </r>
  <r>
    <n v="48"/>
    <d v="2011-01-03T00:00:00"/>
    <n v="1"/>
    <n v="1"/>
    <x v="0"/>
    <b v="0"/>
    <n v="1"/>
    <n v="1"/>
    <n v="0.22"/>
    <n v="0"/>
    <n v="0.28789999999999999"/>
    <n v="0.81"/>
    <n v="0"/>
    <n v="3"/>
    <n v="13"/>
    <n v="16"/>
  </r>
  <r>
    <n v="49"/>
    <d v="2011-01-03T00:00:00"/>
    <n v="1"/>
    <n v="1"/>
    <x v="1"/>
    <b v="0"/>
    <n v="1"/>
    <n v="1"/>
    <n v="0.2"/>
    <n v="0"/>
    <n v="0.28789999999999999"/>
    <n v="0.81"/>
    <n v="0"/>
    <n v="3"/>
    <n v="13"/>
    <n v="16"/>
  </r>
  <r>
    <n v="50"/>
    <d v="2011-01-03T00:00:00"/>
    <n v="1"/>
    <n v="1"/>
    <x v="4"/>
    <b v="0"/>
    <n v="1"/>
    <n v="1"/>
    <n v="0.16"/>
    <n v="0"/>
    <n v="0.28789999999999999"/>
    <n v="0.81"/>
    <n v="0"/>
    <n v="3"/>
    <n v="13"/>
    <n v="16"/>
  </r>
  <r>
    <n v="51"/>
    <d v="2011-01-03T00:00:00"/>
    <n v="1"/>
    <n v="1"/>
    <x v="5"/>
    <b v="0"/>
    <n v="1"/>
    <n v="1"/>
    <n v="0.16"/>
    <n v="0"/>
    <n v="0.28789999999999999"/>
    <n v="0.81"/>
    <n v="0"/>
    <n v="3"/>
    <n v="13"/>
    <n v="16"/>
  </r>
  <r>
    <n v="52"/>
    <d v="2011-01-03T00:00:00"/>
    <n v="1"/>
    <n v="1"/>
    <x v="6"/>
    <b v="0"/>
    <n v="1"/>
    <n v="1"/>
    <n v="0.14000000000000001"/>
    <n v="0"/>
    <n v="0.28789999999999999"/>
    <n v="0.81"/>
    <n v="0"/>
    <n v="3"/>
    <n v="13"/>
    <n v="16"/>
  </r>
  <r>
    <n v="53"/>
    <d v="2011-01-03T00:00:00"/>
    <n v="1"/>
    <n v="1"/>
    <x v="7"/>
    <b v="0"/>
    <n v="1"/>
    <n v="1"/>
    <n v="0.14000000000000001"/>
    <n v="0"/>
    <n v="0.28789999999999999"/>
    <n v="0.81"/>
    <n v="0"/>
    <n v="3"/>
    <n v="13"/>
    <n v="16"/>
  </r>
  <r>
    <n v="54"/>
    <d v="2011-01-03T00:00:00"/>
    <n v="1"/>
    <n v="1"/>
    <x v="8"/>
    <b v="0"/>
    <n v="1"/>
    <n v="1"/>
    <n v="0.14000000000000001"/>
    <n v="0"/>
    <n v="0.28789999999999999"/>
    <n v="0.81"/>
    <n v="0"/>
    <n v="3"/>
    <n v="13"/>
    <n v="16"/>
  </r>
  <r>
    <n v="55"/>
    <d v="2011-01-03T00:00:00"/>
    <n v="1"/>
    <n v="1"/>
    <x v="9"/>
    <b v="0"/>
    <n v="1"/>
    <n v="1"/>
    <n v="0.16"/>
    <n v="0"/>
    <n v="0.28789999999999999"/>
    <n v="0.81"/>
    <n v="0"/>
    <n v="3"/>
    <n v="13"/>
    <n v="16"/>
  </r>
  <r>
    <n v="56"/>
    <d v="2011-01-03T00:00:00"/>
    <n v="1"/>
    <n v="1"/>
    <x v="10"/>
    <b v="0"/>
    <n v="1"/>
    <n v="1"/>
    <n v="0.18"/>
    <n v="0"/>
    <n v="0.28789999999999999"/>
    <n v="0.81"/>
    <n v="0"/>
    <n v="3"/>
    <n v="13"/>
    <n v="16"/>
  </r>
  <r>
    <n v="57"/>
    <d v="2011-01-03T00:00:00"/>
    <n v="1"/>
    <n v="1"/>
    <x v="11"/>
    <b v="0"/>
    <n v="1"/>
    <n v="1"/>
    <n v="0.2"/>
    <n v="0"/>
    <n v="0.28789999999999999"/>
    <n v="0.81"/>
    <n v="0"/>
    <n v="3"/>
    <n v="13"/>
    <n v="16"/>
  </r>
  <r>
    <n v="58"/>
    <d v="2011-01-03T00:00:00"/>
    <n v="1"/>
    <n v="1"/>
    <x v="12"/>
    <b v="0"/>
    <n v="1"/>
    <n v="1"/>
    <n v="0.22"/>
    <n v="0"/>
    <n v="0.28789999999999999"/>
    <n v="0.81"/>
    <n v="0"/>
    <n v="3"/>
    <n v="13"/>
    <n v="16"/>
  </r>
  <r>
    <n v="59"/>
    <d v="2011-01-03T00:00:00"/>
    <n v="1"/>
    <n v="1"/>
    <x v="13"/>
    <b v="0"/>
    <n v="1"/>
    <n v="1"/>
    <n v="0.24"/>
    <n v="0"/>
    <n v="0.28789999999999999"/>
    <n v="0.81"/>
    <n v="0"/>
    <n v="3"/>
    <n v="13"/>
    <n v="16"/>
  </r>
  <r>
    <n v="60"/>
    <d v="2011-01-03T00:00:00"/>
    <n v="1"/>
    <n v="1"/>
    <x v="14"/>
    <b v="0"/>
    <n v="1"/>
    <n v="1"/>
    <n v="0.26"/>
    <n v="0"/>
    <n v="0.28789999999999999"/>
    <n v="0.81"/>
    <n v="0"/>
    <n v="3"/>
    <n v="13"/>
    <n v="16"/>
  </r>
  <r>
    <n v="61"/>
    <d v="2011-01-03T00:00:00"/>
    <n v="1"/>
    <n v="1"/>
    <x v="15"/>
    <b v="0"/>
    <n v="1"/>
    <n v="1"/>
    <n v="0.26"/>
    <n v="0"/>
    <n v="0.28789999999999999"/>
    <n v="0.81"/>
    <n v="0"/>
    <n v="3"/>
    <n v="13"/>
    <n v="16"/>
  </r>
  <r>
    <n v="62"/>
    <d v="2011-01-03T00:00:00"/>
    <n v="1"/>
    <n v="1"/>
    <x v="16"/>
    <b v="0"/>
    <n v="1"/>
    <n v="1"/>
    <n v="0.26"/>
    <n v="0"/>
    <n v="0.28789999999999999"/>
    <n v="0.81"/>
    <n v="0"/>
    <n v="3"/>
    <n v="13"/>
    <n v="16"/>
  </r>
  <r>
    <n v="63"/>
    <d v="2011-01-03T00:00:00"/>
    <n v="1"/>
    <n v="1"/>
    <x v="17"/>
    <b v="0"/>
    <n v="1"/>
    <n v="1"/>
    <n v="0.24"/>
    <n v="0"/>
    <n v="0.28789999999999999"/>
    <n v="0.81"/>
    <n v="0"/>
    <n v="3"/>
    <n v="13"/>
    <n v="16"/>
  </r>
  <r>
    <n v="64"/>
    <d v="2011-01-03T00:00:00"/>
    <n v="1"/>
    <n v="1"/>
    <x v="18"/>
    <b v="0"/>
    <n v="1"/>
    <n v="1"/>
    <n v="0.24"/>
    <n v="0"/>
    <n v="0.28789999999999999"/>
    <n v="0.81"/>
    <n v="0"/>
    <n v="3"/>
    <n v="13"/>
    <n v="16"/>
  </r>
  <r>
    <n v="65"/>
    <d v="2011-01-03T00:00:00"/>
    <n v="1"/>
    <n v="1"/>
    <x v="19"/>
    <b v="0"/>
    <n v="1"/>
    <n v="1"/>
    <n v="0.2"/>
    <n v="0"/>
    <n v="0.28789999999999999"/>
    <n v="0.81"/>
    <n v="0"/>
    <n v="3"/>
    <n v="13"/>
    <n v="16"/>
  </r>
  <r>
    <n v="66"/>
    <d v="2011-01-03T00:00:00"/>
    <n v="1"/>
    <n v="1"/>
    <x v="20"/>
    <b v="0"/>
    <n v="1"/>
    <n v="1"/>
    <n v="0.2"/>
    <n v="0"/>
    <n v="0.28789999999999999"/>
    <n v="0.81"/>
    <n v="0"/>
    <n v="3"/>
    <n v="13"/>
    <n v="16"/>
  </r>
  <r>
    <n v="67"/>
    <d v="2011-01-03T00:00:00"/>
    <n v="1"/>
    <n v="1"/>
    <x v="21"/>
    <b v="0"/>
    <n v="1"/>
    <n v="1"/>
    <n v="0.18"/>
    <n v="0"/>
    <n v="0.28789999999999999"/>
    <n v="0.81"/>
    <n v="0"/>
    <n v="3"/>
    <n v="13"/>
    <n v="16"/>
  </r>
  <r>
    <n v="68"/>
    <d v="2011-01-03T00:00:00"/>
    <n v="1"/>
    <n v="1"/>
    <x v="22"/>
    <b v="0"/>
    <n v="1"/>
    <n v="1"/>
    <n v="0.14000000000000001"/>
    <n v="0"/>
    <n v="0.28789999999999999"/>
    <n v="0.81"/>
    <n v="0"/>
    <n v="3"/>
    <n v="13"/>
    <n v="16"/>
  </r>
  <r>
    <n v="69"/>
    <d v="2011-01-03T00:00:00"/>
    <n v="1"/>
    <n v="1"/>
    <x v="23"/>
    <b v="0"/>
    <n v="1"/>
    <n v="1"/>
    <n v="0.18"/>
    <n v="0"/>
    <n v="0.28789999999999999"/>
    <n v="0.81"/>
    <n v="0"/>
    <n v="3"/>
    <n v="13"/>
    <n v="16"/>
  </r>
  <r>
    <n v="70"/>
    <d v="2011-01-04T00:00:00"/>
    <n v="1"/>
    <n v="1"/>
    <x v="0"/>
    <b v="0"/>
    <n v="2"/>
    <n v="1"/>
    <n v="0.16"/>
    <n v="0"/>
    <n v="0.28789999999999999"/>
    <n v="0.81"/>
    <n v="0"/>
    <n v="3"/>
    <n v="13"/>
    <n v="16"/>
  </r>
  <r>
    <n v="71"/>
    <d v="2011-01-04T00:00:00"/>
    <n v="1"/>
    <n v="1"/>
    <x v="1"/>
    <b v="0"/>
    <n v="2"/>
    <n v="1"/>
    <n v="0.16"/>
    <n v="0"/>
    <n v="0.28789999999999999"/>
    <n v="0.81"/>
    <n v="0"/>
    <n v="3"/>
    <n v="13"/>
    <n v="16"/>
  </r>
  <r>
    <n v="72"/>
    <d v="2011-01-04T00:00:00"/>
    <n v="1"/>
    <n v="1"/>
    <x v="2"/>
    <b v="0"/>
    <n v="2"/>
    <n v="1"/>
    <n v="0.14000000000000001"/>
    <n v="0"/>
    <n v="0.28789999999999999"/>
    <n v="0.81"/>
    <n v="0"/>
    <n v="3"/>
    <n v="13"/>
    <n v="16"/>
  </r>
  <r>
    <n v="73"/>
    <d v="2011-01-04T00:00:00"/>
    <n v="1"/>
    <n v="1"/>
    <x v="4"/>
    <b v="0"/>
    <n v="2"/>
    <n v="1"/>
    <n v="0.14000000000000001"/>
    <n v="0"/>
    <n v="0.28789999999999999"/>
    <n v="0.81"/>
    <n v="0"/>
    <n v="3"/>
    <n v="13"/>
    <n v="16"/>
  </r>
  <r>
    <n v="74"/>
    <d v="2011-01-04T00:00:00"/>
    <n v="1"/>
    <n v="1"/>
    <x v="5"/>
    <b v="0"/>
    <n v="2"/>
    <n v="1"/>
    <n v="0.12"/>
    <n v="0"/>
    <n v="0.28789999999999999"/>
    <n v="0.81"/>
    <n v="0"/>
    <n v="3"/>
    <n v="13"/>
    <n v="16"/>
  </r>
  <r>
    <n v="75"/>
    <d v="2011-01-04T00:00:00"/>
    <n v="1"/>
    <n v="1"/>
    <x v="6"/>
    <b v="0"/>
    <n v="2"/>
    <n v="1"/>
    <n v="0.12"/>
    <n v="0"/>
    <n v="0.28789999999999999"/>
    <n v="0.81"/>
    <n v="0"/>
    <n v="3"/>
    <n v="13"/>
    <n v="16"/>
  </r>
  <r>
    <n v="76"/>
    <d v="2011-01-04T00:00:00"/>
    <n v="1"/>
    <n v="1"/>
    <x v="7"/>
    <b v="0"/>
    <n v="2"/>
    <n v="1"/>
    <n v="0.12"/>
    <n v="0"/>
    <n v="0.28789999999999999"/>
    <n v="0.81"/>
    <n v="0"/>
    <n v="3"/>
    <n v="13"/>
    <n v="16"/>
  </r>
  <r>
    <n v="77"/>
    <d v="2011-01-04T00:00:00"/>
    <n v="1"/>
    <n v="1"/>
    <x v="8"/>
    <b v="0"/>
    <n v="2"/>
    <n v="1"/>
    <n v="0.14000000000000001"/>
    <n v="0"/>
    <n v="0.28789999999999999"/>
    <n v="0.81"/>
    <n v="0"/>
    <n v="3"/>
    <n v="13"/>
    <n v="16"/>
  </r>
  <r>
    <n v="78"/>
    <d v="2011-01-04T00:00:00"/>
    <n v="1"/>
    <n v="1"/>
    <x v="9"/>
    <b v="0"/>
    <n v="2"/>
    <n v="1"/>
    <n v="0.16"/>
    <n v="0"/>
    <n v="0.28789999999999999"/>
    <n v="0.81"/>
    <n v="0"/>
    <n v="3"/>
    <n v="13"/>
    <n v="16"/>
  </r>
  <r>
    <n v="79"/>
    <d v="2011-01-04T00:00:00"/>
    <n v="1"/>
    <n v="1"/>
    <x v="10"/>
    <b v="0"/>
    <n v="2"/>
    <n v="2"/>
    <n v="0.16"/>
    <n v="0"/>
    <n v="0.28789999999999999"/>
    <n v="0.81"/>
    <n v="0"/>
    <n v="3"/>
    <n v="13"/>
    <n v="16"/>
  </r>
  <r>
    <n v="80"/>
    <d v="2011-01-04T00:00:00"/>
    <n v="1"/>
    <n v="1"/>
    <x v="11"/>
    <b v="0"/>
    <n v="2"/>
    <n v="1"/>
    <n v="0.22"/>
    <n v="0"/>
    <n v="0.28789999999999999"/>
    <n v="0.81"/>
    <n v="0"/>
    <n v="3"/>
    <n v="13"/>
    <n v="16"/>
  </r>
  <r>
    <n v="81"/>
    <d v="2011-01-04T00:00:00"/>
    <n v="1"/>
    <n v="1"/>
    <x v="12"/>
    <b v="0"/>
    <n v="2"/>
    <n v="1"/>
    <n v="0.22"/>
    <n v="0"/>
    <n v="0.28789999999999999"/>
    <n v="0.81"/>
    <n v="0"/>
    <n v="3"/>
    <n v="13"/>
    <n v="16"/>
  </r>
  <r>
    <n v="82"/>
    <d v="2011-01-04T00:00:00"/>
    <n v="1"/>
    <n v="1"/>
    <x v="13"/>
    <b v="0"/>
    <n v="2"/>
    <n v="1"/>
    <n v="0.24"/>
    <n v="0"/>
    <n v="0.28789999999999999"/>
    <n v="0.81"/>
    <n v="0"/>
    <n v="3"/>
    <n v="13"/>
    <n v="16"/>
  </r>
  <r>
    <n v="83"/>
    <d v="2011-01-04T00:00:00"/>
    <n v="1"/>
    <n v="1"/>
    <x v="14"/>
    <b v="0"/>
    <n v="2"/>
    <n v="1"/>
    <n v="0.26"/>
    <n v="0"/>
    <n v="0.28789999999999999"/>
    <n v="0.81"/>
    <n v="0"/>
    <n v="3"/>
    <n v="13"/>
    <n v="16"/>
  </r>
  <r>
    <n v="84"/>
    <d v="2011-01-04T00:00:00"/>
    <n v="1"/>
    <n v="1"/>
    <x v="15"/>
    <b v="0"/>
    <n v="2"/>
    <n v="1"/>
    <n v="0.28000000000000003"/>
    <n v="0"/>
    <n v="0.28789999999999999"/>
    <n v="0.81"/>
    <n v="0"/>
    <n v="3"/>
    <n v="13"/>
    <n v="16"/>
  </r>
  <r>
    <n v="85"/>
    <d v="2011-01-04T00:00:00"/>
    <n v="1"/>
    <n v="1"/>
    <x v="16"/>
    <b v="0"/>
    <n v="2"/>
    <n v="1"/>
    <n v="0.3"/>
    <n v="0"/>
    <n v="0.28789999999999999"/>
    <n v="0.81"/>
    <n v="0"/>
    <n v="3"/>
    <n v="13"/>
    <n v="16"/>
  </r>
  <r>
    <n v="86"/>
    <d v="2011-01-04T00:00:00"/>
    <n v="1"/>
    <n v="1"/>
    <x v="17"/>
    <b v="0"/>
    <n v="2"/>
    <n v="1"/>
    <n v="0.28000000000000003"/>
    <n v="0"/>
    <n v="0.28789999999999999"/>
    <n v="0.81"/>
    <n v="0"/>
    <n v="3"/>
    <n v="13"/>
    <n v="16"/>
  </r>
  <r>
    <n v="87"/>
    <d v="2011-01-04T00:00:00"/>
    <n v="1"/>
    <n v="1"/>
    <x v="18"/>
    <b v="0"/>
    <n v="2"/>
    <n v="1"/>
    <n v="0.26"/>
    <n v="0"/>
    <n v="0.28789999999999999"/>
    <n v="0.81"/>
    <n v="0"/>
    <n v="3"/>
    <n v="13"/>
    <n v="16"/>
  </r>
  <r>
    <n v="88"/>
    <d v="2011-01-04T00:00:00"/>
    <n v="1"/>
    <n v="1"/>
    <x v="19"/>
    <b v="0"/>
    <n v="2"/>
    <n v="1"/>
    <n v="0.24"/>
    <n v="0"/>
    <n v="0.28789999999999999"/>
    <n v="0.81"/>
    <n v="0"/>
    <n v="3"/>
    <n v="13"/>
    <n v="16"/>
  </r>
  <r>
    <n v="89"/>
    <d v="2011-01-04T00:00:00"/>
    <n v="1"/>
    <n v="1"/>
    <x v="20"/>
    <b v="0"/>
    <n v="2"/>
    <n v="1"/>
    <n v="0.24"/>
    <n v="0"/>
    <n v="0.28789999999999999"/>
    <n v="0.81"/>
    <n v="0"/>
    <n v="3"/>
    <n v="13"/>
    <n v="16"/>
  </r>
  <r>
    <n v="90"/>
    <d v="2011-01-04T00:00:00"/>
    <n v="1"/>
    <n v="1"/>
    <x v="21"/>
    <b v="0"/>
    <n v="2"/>
    <n v="1"/>
    <n v="0.22"/>
    <n v="0"/>
    <n v="0.28789999999999999"/>
    <n v="0.81"/>
    <n v="0"/>
    <n v="3"/>
    <n v="13"/>
    <n v="16"/>
  </r>
  <r>
    <n v="91"/>
    <d v="2011-01-04T00:00:00"/>
    <n v="1"/>
    <n v="1"/>
    <x v="22"/>
    <b v="0"/>
    <n v="2"/>
    <n v="1"/>
    <n v="0.22"/>
    <n v="0"/>
    <n v="0.28789999999999999"/>
    <n v="0.81"/>
    <n v="0"/>
    <n v="3"/>
    <n v="13"/>
    <n v="16"/>
  </r>
  <r>
    <n v="92"/>
    <d v="2011-01-04T00:00:00"/>
    <n v="1"/>
    <n v="1"/>
    <x v="23"/>
    <b v="0"/>
    <n v="2"/>
    <n v="1"/>
    <n v="0.2"/>
    <n v="0"/>
    <n v="0.28789999999999999"/>
    <n v="0.81"/>
    <n v="0"/>
    <n v="3"/>
    <n v="13"/>
    <n v="16"/>
  </r>
  <r>
    <n v="93"/>
    <d v="2011-01-05T00:00:00"/>
    <n v="1"/>
    <n v="1"/>
    <x v="0"/>
    <b v="0"/>
    <n v="3"/>
    <n v="1"/>
    <n v="0.2"/>
    <n v="0"/>
    <n v="0.28789999999999999"/>
    <n v="0.81"/>
    <n v="0"/>
    <n v="3"/>
    <n v="13"/>
    <n v="16"/>
  </r>
  <r>
    <n v="94"/>
    <d v="2011-01-05T00:00:00"/>
    <n v="1"/>
    <n v="1"/>
    <x v="1"/>
    <b v="0"/>
    <n v="3"/>
    <n v="1"/>
    <n v="0.16"/>
    <n v="0"/>
    <n v="0.28789999999999999"/>
    <n v="0.81"/>
    <n v="0"/>
    <n v="3"/>
    <n v="13"/>
    <n v="16"/>
  </r>
  <r>
    <n v="95"/>
    <d v="2011-01-05T00:00:00"/>
    <n v="1"/>
    <n v="1"/>
    <x v="2"/>
    <b v="0"/>
    <n v="3"/>
    <n v="1"/>
    <n v="0.16"/>
    <n v="0"/>
    <n v="0.28789999999999999"/>
    <n v="0.81"/>
    <n v="0"/>
    <n v="3"/>
    <n v="13"/>
    <n v="16"/>
  </r>
  <r>
    <n v="96"/>
    <d v="2011-01-05T00:00:00"/>
    <n v="1"/>
    <n v="1"/>
    <x v="4"/>
    <b v="0"/>
    <n v="3"/>
    <n v="1"/>
    <n v="0.24"/>
    <n v="0"/>
    <n v="0.28789999999999999"/>
    <n v="0.81"/>
    <n v="0"/>
    <n v="3"/>
    <n v="13"/>
    <n v="16"/>
  </r>
  <r>
    <n v="97"/>
    <d v="2011-01-05T00:00:00"/>
    <n v="1"/>
    <n v="1"/>
    <x v="5"/>
    <b v="0"/>
    <n v="3"/>
    <n v="1"/>
    <n v="0.22"/>
    <n v="0"/>
    <n v="0.28789999999999999"/>
    <n v="0.81"/>
    <n v="0"/>
    <n v="3"/>
    <n v="13"/>
    <n v="16"/>
  </r>
  <r>
    <n v="98"/>
    <d v="2011-01-05T00:00:00"/>
    <n v="1"/>
    <n v="1"/>
    <x v="6"/>
    <b v="0"/>
    <n v="3"/>
    <n v="1"/>
    <n v="0.2"/>
    <n v="0"/>
    <n v="0.28789999999999999"/>
    <n v="0.81"/>
    <n v="0"/>
    <n v="3"/>
    <n v="13"/>
    <n v="16"/>
  </r>
  <r>
    <n v="99"/>
    <d v="2011-01-05T00:00:00"/>
    <n v="1"/>
    <n v="1"/>
    <x v="7"/>
    <b v="0"/>
    <n v="3"/>
    <n v="1"/>
    <n v="0.18"/>
    <n v="0"/>
    <n v="0.28789999999999999"/>
    <n v="0.81"/>
    <n v="0"/>
    <n v="3"/>
    <n v="13"/>
    <n v="16"/>
  </r>
  <r>
    <n v="100"/>
    <d v="2011-01-05T00:00:00"/>
    <n v="1"/>
    <n v="1"/>
    <x v="8"/>
    <b v="0"/>
    <n v="3"/>
    <n v="1"/>
    <n v="0.2"/>
    <n v="0"/>
    <n v="0.28789999999999999"/>
    <n v="0.81"/>
    <n v="0"/>
    <n v="3"/>
    <n v="13"/>
    <n v="16"/>
  </r>
  <r>
    <n v="101"/>
    <d v="2011-01-05T00:00:00"/>
    <n v="1"/>
    <n v="1"/>
    <x v="9"/>
    <b v="0"/>
    <n v="3"/>
    <n v="1"/>
    <n v="0.22"/>
    <n v="0"/>
    <n v="0.28789999999999999"/>
    <n v="0.81"/>
    <n v="0"/>
    <n v="3"/>
    <n v="13"/>
    <n v="16"/>
  </r>
  <r>
    <n v="102"/>
    <d v="2011-01-05T00:00:00"/>
    <n v="1"/>
    <n v="1"/>
    <x v="10"/>
    <b v="0"/>
    <n v="3"/>
    <n v="1"/>
    <n v="0.22"/>
    <n v="0"/>
    <n v="0.28789999999999999"/>
    <n v="0.81"/>
    <n v="0"/>
    <n v="3"/>
    <n v="13"/>
    <n v="16"/>
  </r>
  <r>
    <n v="103"/>
    <d v="2011-01-05T00:00:00"/>
    <n v="1"/>
    <n v="1"/>
    <x v="11"/>
    <b v="0"/>
    <n v="3"/>
    <n v="1"/>
    <n v="0.26"/>
    <n v="0"/>
    <n v="0.28789999999999999"/>
    <n v="0.81"/>
    <n v="0"/>
    <n v="3"/>
    <n v="13"/>
    <n v="16"/>
  </r>
  <r>
    <n v="104"/>
    <d v="2011-01-05T00:00:00"/>
    <n v="1"/>
    <n v="1"/>
    <x v="12"/>
    <b v="0"/>
    <n v="3"/>
    <n v="1"/>
    <n v="0.26"/>
    <n v="0"/>
    <n v="0.28789999999999999"/>
    <n v="0.81"/>
    <n v="0"/>
    <n v="3"/>
    <n v="13"/>
    <n v="16"/>
  </r>
  <r>
    <n v="105"/>
    <d v="2011-01-05T00:00:00"/>
    <n v="1"/>
    <n v="1"/>
    <x v="13"/>
    <b v="0"/>
    <n v="3"/>
    <n v="1"/>
    <n v="0.28000000000000003"/>
    <n v="0"/>
    <n v="0.28789999999999999"/>
    <n v="0.81"/>
    <n v="0"/>
    <n v="3"/>
    <n v="13"/>
    <n v="16"/>
  </r>
  <r>
    <n v="106"/>
    <d v="2011-01-05T00:00:00"/>
    <n v="1"/>
    <n v="1"/>
    <x v="14"/>
    <b v="0"/>
    <n v="3"/>
    <n v="1"/>
    <n v="0.3"/>
    <n v="0"/>
    <n v="0.28789999999999999"/>
    <n v="0.81"/>
    <n v="0"/>
    <n v="3"/>
    <n v="13"/>
    <n v="16"/>
  </r>
  <r>
    <n v="107"/>
    <d v="2011-01-05T00:00:00"/>
    <n v="1"/>
    <n v="1"/>
    <x v="15"/>
    <b v="0"/>
    <n v="3"/>
    <n v="1"/>
    <n v="0.3"/>
    <n v="0"/>
    <n v="0.28789999999999999"/>
    <n v="0.81"/>
    <n v="0"/>
    <n v="3"/>
    <n v="13"/>
    <n v="16"/>
  </r>
  <r>
    <n v="108"/>
    <d v="2011-01-05T00:00:00"/>
    <n v="1"/>
    <n v="1"/>
    <x v="16"/>
    <b v="0"/>
    <n v="3"/>
    <n v="1"/>
    <n v="0.3"/>
    <n v="0"/>
    <n v="0.28789999999999999"/>
    <n v="0.81"/>
    <n v="0"/>
    <n v="3"/>
    <n v="13"/>
    <n v="16"/>
  </r>
  <r>
    <n v="109"/>
    <d v="2011-01-05T00:00:00"/>
    <n v="1"/>
    <n v="1"/>
    <x v="17"/>
    <b v="0"/>
    <n v="3"/>
    <n v="1"/>
    <n v="0.24"/>
    <n v="0"/>
    <n v="0.28789999999999999"/>
    <n v="0.81"/>
    <n v="0"/>
    <n v="3"/>
    <n v="13"/>
    <n v="16"/>
  </r>
  <r>
    <n v="110"/>
    <d v="2011-01-05T00:00:00"/>
    <n v="1"/>
    <n v="1"/>
    <x v="18"/>
    <b v="0"/>
    <n v="3"/>
    <n v="1"/>
    <n v="0.24"/>
    <n v="0"/>
    <n v="0.28789999999999999"/>
    <n v="0.81"/>
    <n v="0"/>
    <n v="3"/>
    <n v="13"/>
    <n v="16"/>
  </r>
  <r>
    <n v="111"/>
    <d v="2011-01-05T00:00:00"/>
    <n v="1"/>
    <n v="1"/>
    <x v="19"/>
    <b v="0"/>
    <n v="3"/>
    <n v="1"/>
    <n v="0.24"/>
    <n v="0"/>
    <n v="0.28789999999999999"/>
    <n v="0.81"/>
    <n v="0"/>
    <n v="3"/>
    <n v="13"/>
    <n v="16"/>
  </r>
  <r>
    <n v="112"/>
    <d v="2011-01-05T00:00:00"/>
    <n v="1"/>
    <n v="1"/>
    <x v="20"/>
    <b v="0"/>
    <n v="3"/>
    <n v="1"/>
    <n v="0.22"/>
    <n v="0"/>
    <n v="0.28789999999999999"/>
    <n v="0.81"/>
    <n v="0"/>
    <n v="3"/>
    <n v="13"/>
    <n v="16"/>
  </r>
  <r>
    <n v="113"/>
    <d v="2011-01-05T00:00:00"/>
    <n v="1"/>
    <n v="1"/>
    <x v="21"/>
    <b v="0"/>
    <n v="3"/>
    <n v="1"/>
    <n v="0.2"/>
    <n v="0"/>
    <n v="0.28789999999999999"/>
    <n v="0.81"/>
    <n v="0"/>
    <n v="3"/>
    <n v="13"/>
    <n v="16"/>
  </r>
  <r>
    <n v="114"/>
    <d v="2011-01-05T00:00:00"/>
    <n v="1"/>
    <n v="1"/>
    <x v="22"/>
    <b v="0"/>
    <n v="3"/>
    <n v="1"/>
    <n v="0.18"/>
    <n v="0"/>
    <n v="0.28789999999999999"/>
    <n v="0.81"/>
    <n v="0"/>
    <n v="3"/>
    <n v="13"/>
    <n v="16"/>
  </r>
  <r>
    <n v="115"/>
    <d v="2011-01-05T00:00:00"/>
    <n v="1"/>
    <n v="1"/>
    <x v="23"/>
    <b v="0"/>
    <n v="3"/>
    <n v="1"/>
    <n v="0.2"/>
    <n v="0"/>
    <n v="0.28789999999999999"/>
    <n v="0.81"/>
    <n v="0"/>
    <n v="3"/>
    <n v="13"/>
    <n v="16"/>
  </r>
  <r>
    <n v="116"/>
    <d v="2011-01-06T00:00:00"/>
    <n v="1"/>
    <n v="1"/>
    <x v="0"/>
    <b v="0"/>
    <n v="4"/>
    <n v="1"/>
    <n v="0.18"/>
    <n v="0"/>
    <n v="0.28789999999999999"/>
    <n v="0.81"/>
    <n v="0"/>
    <n v="3"/>
    <n v="13"/>
    <n v="16"/>
  </r>
  <r>
    <n v="117"/>
    <d v="2011-01-06T00:00:00"/>
    <n v="1"/>
    <n v="1"/>
    <x v="1"/>
    <b v="0"/>
    <n v="4"/>
    <n v="1"/>
    <n v="0.16"/>
    <n v="0"/>
    <n v="0.28789999999999999"/>
    <n v="0.81"/>
    <n v="0"/>
    <n v="3"/>
    <n v="13"/>
    <n v="16"/>
  </r>
  <r>
    <n v="118"/>
    <d v="2011-01-06T00:00:00"/>
    <n v="1"/>
    <n v="1"/>
    <x v="2"/>
    <b v="0"/>
    <n v="4"/>
    <n v="1"/>
    <n v="0.16"/>
    <n v="0"/>
    <n v="0.28789999999999999"/>
    <n v="0.81"/>
    <n v="0"/>
    <n v="3"/>
    <n v="13"/>
    <n v="16"/>
  </r>
  <r>
    <n v="119"/>
    <d v="2011-01-06T00:00:00"/>
    <n v="1"/>
    <n v="1"/>
    <x v="4"/>
    <b v="0"/>
    <n v="4"/>
    <n v="2"/>
    <n v="0.16"/>
    <n v="0"/>
    <n v="0.28789999999999999"/>
    <n v="0.81"/>
    <n v="0"/>
    <n v="3"/>
    <n v="13"/>
    <n v="16"/>
  </r>
  <r>
    <n v="120"/>
    <d v="2011-01-06T00:00:00"/>
    <n v="1"/>
    <n v="1"/>
    <x v="5"/>
    <b v="0"/>
    <n v="4"/>
    <n v="2"/>
    <n v="0.14000000000000001"/>
    <n v="0"/>
    <n v="0.28789999999999999"/>
    <n v="0.81"/>
    <n v="0"/>
    <n v="3"/>
    <n v="13"/>
    <n v="16"/>
  </r>
  <r>
    <n v="121"/>
    <d v="2011-01-06T00:00:00"/>
    <n v="1"/>
    <n v="1"/>
    <x v="6"/>
    <b v="0"/>
    <n v="4"/>
    <n v="2"/>
    <n v="0.14000000000000001"/>
    <n v="0"/>
    <n v="0.28789999999999999"/>
    <n v="0.81"/>
    <n v="0"/>
    <n v="3"/>
    <n v="13"/>
    <n v="16"/>
  </r>
  <r>
    <n v="122"/>
    <d v="2011-01-06T00:00:00"/>
    <n v="1"/>
    <n v="1"/>
    <x v="7"/>
    <b v="0"/>
    <n v="4"/>
    <n v="2"/>
    <n v="0.16"/>
    <n v="0"/>
    <n v="0.28789999999999999"/>
    <n v="0.81"/>
    <n v="0"/>
    <n v="3"/>
    <n v="13"/>
    <n v="16"/>
  </r>
  <r>
    <n v="123"/>
    <d v="2011-01-06T00:00:00"/>
    <n v="1"/>
    <n v="1"/>
    <x v="8"/>
    <b v="0"/>
    <n v="4"/>
    <n v="1"/>
    <n v="0.16"/>
    <n v="0"/>
    <n v="0.28789999999999999"/>
    <n v="0.81"/>
    <n v="0"/>
    <n v="3"/>
    <n v="13"/>
    <n v="16"/>
  </r>
  <r>
    <n v="124"/>
    <d v="2011-01-06T00:00:00"/>
    <n v="1"/>
    <n v="1"/>
    <x v="9"/>
    <b v="0"/>
    <n v="4"/>
    <n v="2"/>
    <n v="0.18"/>
    <n v="0"/>
    <n v="0.28789999999999999"/>
    <n v="0.81"/>
    <n v="0"/>
    <n v="3"/>
    <n v="13"/>
    <n v="16"/>
  </r>
  <r>
    <n v="125"/>
    <d v="2011-01-06T00:00:00"/>
    <n v="1"/>
    <n v="1"/>
    <x v="10"/>
    <b v="0"/>
    <n v="4"/>
    <n v="1"/>
    <n v="0.2"/>
    <n v="0"/>
    <n v="0.28789999999999999"/>
    <n v="0.81"/>
    <n v="0"/>
    <n v="3"/>
    <n v="13"/>
    <n v="16"/>
  </r>
  <r>
    <n v="126"/>
    <d v="2011-01-06T00:00:00"/>
    <n v="1"/>
    <n v="1"/>
    <x v="11"/>
    <b v="0"/>
    <n v="4"/>
    <n v="1"/>
    <n v="0.22"/>
    <n v="0"/>
    <n v="0.28789999999999999"/>
    <n v="0.81"/>
    <n v="0"/>
    <n v="3"/>
    <n v="13"/>
    <n v="16"/>
  </r>
  <r>
    <n v="127"/>
    <d v="2011-01-06T00:00:00"/>
    <n v="1"/>
    <n v="1"/>
    <x v="12"/>
    <b v="0"/>
    <n v="4"/>
    <n v="1"/>
    <n v="0.26"/>
    <n v="0"/>
    <n v="0.28789999999999999"/>
    <n v="0.81"/>
    <n v="0"/>
    <n v="3"/>
    <n v="13"/>
    <n v="16"/>
  </r>
  <r>
    <n v="128"/>
    <d v="2011-01-06T00:00:00"/>
    <n v="1"/>
    <n v="1"/>
    <x v="13"/>
    <b v="0"/>
    <n v="4"/>
    <n v="1"/>
    <n v="0.26"/>
    <n v="0"/>
    <n v="0.28789999999999999"/>
    <n v="0.81"/>
    <n v="0"/>
    <n v="3"/>
    <n v="13"/>
    <n v="16"/>
  </r>
  <r>
    <n v="129"/>
    <d v="2011-01-06T00:00:00"/>
    <n v="1"/>
    <n v="1"/>
    <x v="14"/>
    <b v="0"/>
    <n v="4"/>
    <n v="1"/>
    <n v="0.28000000000000003"/>
    <n v="0"/>
    <n v="0.28789999999999999"/>
    <n v="0.81"/>
    <n v="0"/>
    <n v="3"/>
    <n v="13"/>
    <n v="16"/>
  </r>
  <r>
    <n v="130"/>
    <d v="2011-01-06T00:00:00"/>
    <n v="1"/>
    <n v="1"/>
    <x v="15"/>
    <b v="0"/>
    <n v="4"/>
    <n v="1"/>
    <n v="0.28000000000000003"/>
    <n v="0"/>
    <n v="0.28789999999999999"/>
    <n v="0.81"/>
    <n v="0"/>
    <n v="3"/>
    <n v="13"/>
    <n v="16"/>
  </r>
  <r>
    <n v="131"/>
    <d v="2011-01-06T00:00:00"/>
    <n v="1"/>
    <n v="1"/>
    <x v="16"/>
    <b v="0"/>
    <n v="4"/>
    <n v="1"/>
    <n v="0.26"/>
    <n v="0"/>
    <n v="0.28789999999999999"/>
    <n v="0.81"/>
    <n v="0"/>
    <n v="3"/>
    <n v="13"/>
    <n v="16"/>
  </r>
  <r>
    <n v="132"/>
    <d v="2011-01-06T00:00:00"/>
    <n v="1"/>
    <n v="1"/>
    <x v="17"/>
    <b v="0"/>
    <n v="4"/>
    <n v="1"/>
    <n v="0.22"/>
    <n v="0"/>
    <n v="0.28789999999999999"/>
    <n v="0.81"/>
    <n v="0"/>
    <n v="3"/>
    <n v="13"/>
    <n v="16"/>
  </r>
  <r>
    <n v="133"/>
    <d v="2011-01-06T00:00:00"/>
    <n v="1"/>
    <n v="1"/>
    <x v="18"/>
    <b v="0"/>
    <n v="4"/>
    <n v="1"/>
    <n v="0.22"/>
    <n v="0"/>
    <n v="0.28789999999999999"/>
    <n v="0.81"/>
    <n v="0"/>
    <n v="3"/>
    <n v="13"/>
    <n v="16"/>
  </r>
  <r>
    <n v="134"/>
    <d v="2011-01-06T00:00:00"/>
    <n v="1"/>
    <n v="1"/>
    <x v="19"/>
    <b v="0"/>
    <n v="4"/>
    <n v="1"/>
    <n v="0.22"/>
    <n v="0"/>
    <n v="0.28789999999999999"/>
    <n v="0.81"/>
    <n v="0"/>
    <n v="3"/>
    <n v="13"/>
    <n v="16"/>
  </r>
  <r>
    <n v="135"/>
    <d v="2011-01-06T00:00:00"/>
    <n v="1"/>
    <n v="1"/>
    <x v="20"/>
    <b v="0"/>
    <n v="4"/>
    <n v="1"/>
    <n v="0.2"/>
    <n v="0"/>
    <n v="0.28789999999999999"/>
    <n v="0.81"/>
    <n v="0"/>
    <n v="3"/>
    <n v="13"/>
    <n v="16"/>
  </r>
  <r>
    <n v="136"/>
    <d v="2011-01-06T00:00:00"/>
    <n v="1"/>
    <n v="1"/>
    <x v="21"/>
    <b v="0"/>
    <n v="4"/>
    <n v="2"/>
    <n v="0.22"/>
    <n v="0"/>
    <n v="0.28789999999999999"/>
    <n v="0.81"/>
    <n v="0"/>
    <n v="3"/>
    <n v="13"/>
    <n v="16"/>
  </r>
  <r>
    <n v="137"/>
    <d v="2011-01-06T00:00:00"/>
    <n v="1"/>
    <n v="1"/>
    <x v="22"/>
    <b v="0"/>
    <n v="4"/>
    <n v="2"/>
    <n v="0.22"/>
    <n v="0"/>
    <n v="0.28789999999999999"/>
    <n v="0.81"/>
    <n v="0"/>
    <n v="3"/>
    <n v="13"/>
    <n v="16"/>
  </r>
  <r>
    <n v="138"/>
    <d v="2011-01-06T00:00:00"/>
    <n v="1"/>
    <n v="1"/>
    <x v="23"/>
    <b v="0"/>
    <n v="4"/>
    <n v="2"/>
    <n v="0.2"/>
    <n v="0"/>
    <n v="0.28789999999999999"/>
    <n v="0.81"/>
    <n v="0"/>
    <n v="3"/>
    <n v="13"/>
    <n v="16"/>
  </r>
  <r>
    <n v="139"/>
    <d v="2011-01-07T00:00:00"/>
    <n v="1"/>
    <n v="1"/>
    <x v="0"/>
    <b v="0"/>
    <n v="5"/>
    <n v="2"/>
    <n v="0.2"/>
    <n v="0"/>
    <n v="0.28789999999999999"/>
    <n v="0.81"/>
    <n v="0"/>
    <n v="3"/>
    <n v="13"/>
    <n v="16"/>
  </r>
  <r>
    <n v="140"/>
    <d v="2011-01-07T00:00:00"/>
    <n v="1"/>
    <n v="1"/>
    <x v="1"/>
    <b v="0"/>
    <n v="5"/>
    <n v="2"/>
    <n v="0.2"/>
    <n v="0"/>
    <n v="0.28789999999999999"/>
    <n v="0.81"/>
    <n v="0"/>
    <n v="3"/>
    <n v="13"/>
    <n v="16"/>
  </r>
  <r>
    <n v="141"/>
    <d v="2011-01-07T00:00:00"/>
    <n v="1"/>
    <n v="1"/>
    <x v="2"/>
    <b v="0"/>
    <n v="5"/>
    <n v="2"/>
    <n v="0.2"/>
    <n v="0"/>
    <n v="0.28789999999999999"/>
    <n v="0.81"/>
    <n v="0"/>
    <n v="3"/>
    <n v="13"/>
    <n v="16"/>
  </r>
  <r>
    <n v="142"/>
    <d v="2011-01-07T00:00:00"/>
    <n v="1"/>
    <n v="1"/>
    <x v="4"/>
    <b v="0"/>
    <n v="5"/>
    <n v="2"/>
    <n v="0.2"/>
    <n v="0"/>
    <n v="0.28789999999999999"/>
    <n v="0.81"/>
    <n v="0"/>
    <n v="3"/>
    <n v="13"/>
    <n v="16"/>
  </r>
  <r>
    <n v="143"/>
    <d v="2011-01-07T00:00:00"/>
    <n v="1"/>
    <n v="1"/>
    <x v="5"/>
    <b v="0"/>
    <n v="5"/>
    <n v="3"/>
    <n v="0.22"/>
    <n v="0"/>
    <n v="0.28789999999999999"/>
    <n v="0.81"/>
    <n v="0"/>
    <n v="3"/>
    <n v="13"/>
    <n v="16"/>
  </r>
  <r>
    <n v="144"/>
    <d v="2011-01-07T00:00:00"/>
    <n v="1"/>
    <n v="1"/>
    <x v="6"/>
    <b v="0"/>
    <n v="5"/>
    <n v="2"/>
    <n v="0.2"/>
    <n v="0"/>
    <n v="0.28789999999999999"/>
    <n v="0.81"/>
    <n v="0"/>
    <n v="3"/>
    <n v="13"/>
    <n v="16"/>
  </r>
  <r>
    <n v="145"/>
    <d v="2011-01-07T00:00:00"/>
    <n v="1"/>
    <n v="1"/>
    <x v="7"/>
    <b v="0"/>
    <n v="5"/>
    <n v="1"/>
    <n v="0.2"/>
    <n v="0"/>
    <n v="0.28789999999999999"/>
    <n v="0.81"/>
    <n v="0"/>
    <n v="3"/>
    <n v="13"/>
    <n v="16"/>
  </r>
  <r>
    <n v="146"/>
    <d v="2011-01-07T00:00:00"/>
    <n v="1"/>
    <n v="1"/>
    <x v="8"/>
    <b v="0"/>
    <n v="5"/>
    <n v="1"/>
    <n v="0.2"/>
    <n v="0"/>
    <n v="0.28789999999999999"/>
    <n v="0.81"/>
    <n v="0"/>
    <n v="3"/>
    <n v="13"/>
    <n v="16"/>
  </r>
  <r>
    <n v="147"/>
    <d v="2011-01-07T00:00:00"/>
    <n v="1"/>
    <n v="1"/>
    <x v="9"/>
    <b v="0"/>
    <n v="5"/>
    <n v="1"/>
    <n v="0.2"/>
    <n v="0"/>
    <n v="0.28789999999999999"/>
    <n v="0.81"/>
    <n v="0"/>
    <n v="3"/>
    <n v="13"/>
    <n v="16"/>
  </r>
  <r>
    <n v="148"/>
    <d v="2011-01-07T00:00:00"/>
    <n v="1"/>
    <n v="1"/>
    <x v="10"/>
    <b v="0"/>
    <n v="5"/>
    <n v="1"/>
    <n v="0.22"/>
    <n v="0"/>
    <n v="0.28789999999999999"/>
    <n v="0.81"/>
    <n v="0"/>
    <n v="3"/>
    <n v="13"/>
    <n v="16"/>
  </r>
  <r>
    <n v="149"/>
    <d v="2011-01-07T00:00:00"/>
    <n v="1"/>
    <n v="1"/>
    <x v="11"/>
    <b v="0"/>
    <n v="5"/>
    <n v="2"/>
    <n v="0.2"/>
    <n v="0"/>
    <n v="0.28789999999999999"/>
    <n v="0.81"/>
    <n v="0"/>
    <n v="3"/>
    <n v="13"/>
    <n v="16"/>
  </r>
  <r>
    <n v="150"/>
    <d v="2011-01-07T00:00:00"/>
    <n v="1"/>
    <n v="1"/>
    <x v="12"/>
    <b v="0"/>
    <n v="5"/>
    <n v="2"/>
    <n v="0.2"/>
    <n v="0"/>
    <n v="0.28789999999999999"/>
    <n v="0.81"/>
    <n v="0"/>
    <n v="3"/>
    <n v="13"/>
    <n v="16"/>
  </r>
  <r>
    <n v="151"/>
    <d v="2011-01-07T00:00:00"/>
    <n v="1"/>
    <n v="1"/>
    <x v="13"/>
    <b v="0"/>
    <n v="5"/>
    <n v="2"/>
    <n v="0.2"/>
    <n v="0"/>
    <n v="0.28789999999999999"/>
    <n v="0.81"/>
    <n v="0"/>
    <n v="3"/>
    <n v="13"/>
    <n v="16"/>
  </r>
  <r>
    <n v="152"/>
    <d v="2011-01-07T00:00:00"/>
    <n v="1"/>
    <n v="1"/>
    <x v="14"/>
    <b v="0"/>
    <n v="5"/>
    <n v="2"/>
    <n v="0.2"/>
    <n v="0"/>
    <n v="0.28789999999999999"/>
    <n v="0.81"/>
    <n v="0"/>
    <n v="3"/>
    <n v="13"/>
    <n v="16"/>
  </r>
  <r>
    <n v="153"/>
    <d v="2011-01-07T00:00:00"/>
    <n v="1"/>
    <n v="1"/>
    <x v="15"/>
    <b v="0"/>
    <n v="5"/>
    <n v="2"/>
    <n v="0.2"/>
    <n v="0"/>
    <n v="0.28789999999999999"/>
    <n v="0.81"/>
    <n v="0"/>
    <n v="3"/>
    <n v="13"/>
    <n v="16"/>
  </r>
  <r>
    <n v="154"/>
    <d v="2011-01-07T00:00:00"/>
    <n v="1"/>
    <n v="1"/>
    <x v="16"/>
    <b v="0"/>
    <n v="5"/>
    <n v="2"/>
    <n v="0.2"/>
    <n v="0"/>
    <n v="0.28789999999999999"/>
    <n v="0.81"/>
    <n v="0"/>
    <n v="3"/>
    <n v="13"/>
    <n v="16"/>
  </r>
  <r>
    <n v="155"/>
    <d v="2011-01-07T00:00:00"/>
    <n v="1"/>
    <n v="1"/>
    <x v="17"/>
    <b v="0"/>
    <n v="5"/>
    <n v="2"/>
    <n v="0.2"/>
    <n v="0"/>
    <n v="0.28789999999999999"/>
    <n v="0.81"/>
    <n v="0"/>
    <n v="3"/>
    <n v="13"/>
    <n v="16"/>
  </r>
  <r>
    <n v="156"/>
    <d v="2011-01-07T00:00:00"/>
    <n v="1"/>
    <n v="1"/>
    <x v="18"/>
    <b v="0"/>
    <n v="5"/>
    <n v="1"/>
    <n v="0.2"/>
    <n v="0"/>
    <n v="0.28789999999999999"/>
    <n v="0.81"/>
    <n v="0"/>
    <n v="3"/>
    <n v="13"/>
    <n v="16"/>
  </r>
  <r>
    <n v="157"/>
    <d v="2011-01-07T00:00:00"/>
    <n v="1"/>
    <n v="1"/>
    <x v="19"/>
    <b v="0"/>
    <n v="5"/>
    <n v="1"/>
    <n v="0.16"/>
    <n v="0"/>
    <n v="0.28789999999999999"/>
    <n v="0.81"/>
    <n v="0"/>
    <n v="3"/>
    <n v="13"/>
    <n v="16"/>
  </r>
  <r>
    <n v="158"/>
    <d v="2011-01-07T00:00:00"/>
    <n v="1"/>
    <n v="1"/>
    <x v="20"/>
    <b v="0"/>
    <n v="5"/>
    <n v="1"/>
    <n v="0.18"/>
    <n v="0"/>
    <n v="0.28789999999999999"/>
    <n v="0.81"/>
    <n v="0"/>
    <n v="3"/>
    <n v="13"/>
    <n v="16"/>
  </r>
  <r>
    <n v="159"/>
    <d v="2011-01-07T00:00:00"/>
    <n v="1"/>
    <n v="1"/>
    <x v="21"/>
    <b v="0"/>
    <n v="5"/>
    <n v="1"/>
    <n v="0.18"/>
    <n v="0"/>
    <n v="0.28789999999999999"/>
    <n v="0.81"/>
    <n v="0"/>
    <n v="3"/>
    <n v="13"/>
    <n v="16"/>
  </r>
  <r>
    <n v="160"/>
    <d v="2011-01-07T00:00:00"/>
    <n v="1"/>
    <n v="1"/>
    <x v="22"/>
    <b v="0"/>
    <n v="5"/>
    <n v="2"/>
    <n v="0.18"/>
    <n v="0"/>
    <n v="0.28789999999999999"/>
    <n v="0.81"/>
    <n v="0"/>
    <n v="3"/>
    <n v="13"/>
    <n v="16"/>
  </r>
  <r>
    <n v="161"/>
    <d v="2011-01-07T00:00:00"/>
    <n v="1"/>
    <n v="1"/>
    <x v="23"/>
    <b v="0"/>
    <n v="5"/>
    <n v="2"/>
    <n v="0.18"/>
    <n v="0"/>
    <n v="0.28789999999999999"/>
    <n v="0.81"/>
    <n v="0"/>
    <n v="3"/>
    <n v="13"/>
    <n v="16"/>
  </r>
  <r>
    <n v="162"/>
    <d v="2011-01-08T00:00:00"/>
    <n v="1"/>
    <n v="1"/>
    <x v="0"/>
    <b v="0"/>
    <n v="6"/>
    <n v="2"/>
    <n v="0.18"/>
    <n v="0"/>
    <n v="0.28789999999999999"/>
    <n v="0.81"/>
    <n v="0"/>
    <n v="3"/>
    <n v="13"/>
    <n v="16"/>
  </r>
  <r>
    <n v="163"/>
    <d v="2011-01-08T00:00:00"/>
    <n v="1"/>
    <n v="1"/>
    <x v="1"/>
    <b v="0"/>
    <n v="6"/>
    <n v="2"/>
    <n v="0.18"/>
    <n v="0"/>
    <n v="0.28789999999999999"/>
    <n v="0.81"/>
    <n v="0"/>
    <n v="3"/>
    <n v="13"/>
    <n v="16"/>
  </r>
  <r>
    <n v="164"/>
    <d v="2011-01-08T00:00:00"/>
    <n v="1"/>
    <n v="1"/>
    <x v="2"/>
    <b v="0"/>
    <n v="6"/>
    <n v="2"/>
    <n v="0.18"/>
    <n v="0"/>
    <n v="0.28789999999999999"/>
    <n v="0.81"/>
    <n v="0"/>
    <n v="3"/>
    <n v="13"/>
    <n v="16"/>
  </r>
  <r>
    <n v="165"/>
    <d v="2011-01-08T00:00:00"/>
    <n v="1"/>
    <n v="1"/>
    <x v="3"/>
    <b v="0"/>
    <n v="6"/>
    <n v="3"/>
    <n v="0.18"/>
    <n v="0"/>
    <n v="0.28789999999999999"/>
    <n v="0.81"/>
    <n v="0"/>
    <n v="3"/>
    <n v="13"/>
    <n v="16"/>
  </r>
  <r>
    <n v="166"/>
    <d v="2011-01-08T00:00:00"/>
    <n v="1"/>
    <n v="1"/>
    <x v="4"/>
    <b v="0"/>
    <n v="6"/>
    <n v="3"/>
    <n v="0.18"/>
    <n v="0"/>
    <n v="0.28789999999999999"/>
    <n v="0.81"/>
    <n v="0"/>
    <n v="3"/>
    <n v="13"/>
    <n v="16"/>
  </r>
  <r>
    <n v="167"/>
    <d v="2011-01-08T00:00:00"/>
    <n v="1"/>
    <n v="1"/>
    <x v="5"/>
    <b v="0"/>
    <n v="6"/>
    <n v="2"/>
    <n v="0.16"/>
    <n v="0"/>
    <n v="0.28789999999999999"/>
    <n v="0.81"/>
    <n v="0"/>
    <n v="3"/>
    <n v="13"/>
    <n v="16"/>
  </r>
  <r>
    <n v="168"/>
    <d v="2011-01-08T00:00:00"/>
    <n v="1"/>
    <n v="1"/>
    <x v="6"/>
    <b v="0"/>
    <n v="6"/>
    <n v="2"/>
    <n v="0.16"/>
    <n v="0"/>
    <n v="0.28789999999999999"/>
    <n v="0.81"/>
    <n v="0"/>
    <n v="3"/>
    <n v="13"/>
    <n v="16"/>
  </r>
  <r>
    <n v="169"/>
    <d v="2011-01-08T00:00:00"/>
    <n v="1"/>
    <n v="1"/>
    <x v="7"/>
    <b v="0"/>
    <n v="6"/>
    <n v="2"/>
    <n v="0.16"/>
    <n v="0"/>
    <n v="0.28789999999999999"/>
    <n v="0.81"/>
    <n v="0"/>
    <n v="3"/>
    <n v="13"/>
    <n v="16"/>
  </r>
  <r>
    <n v="170"/>
    <d v="2011-01-08T00:00:00"/>
    <n v="1"/>
    <n v="1"/>
    <x v="8"/>
    <b v="0"/>
    <n v="6"/>
    <n v="3"/>
    <n v="0.16"/>
    <n v="0"/>
    <n v="0.28789999999999999"/>
    <n v="0.81"/>
    <n v="0"/>
    <n v="3"/>
    <n v="13"/>
    <n v="16"/>
  </r>
  <r>
    <n v="171"/>
    <d v="2011-01-08T00:00:00"/>
    <n v="1"/>
    <n v="1"/>
    <x v="9"/>
    <b v="0"/>
    <n v="6"/>
    <n v="3"/>
    <n v="0.16"/>
    <n v="0"/>
    <n v="0.28789999999999999"/>
    <n v="0.81"/>
    <n v="0"/>
    <n v="3"/>
    <n v="13"/>
    <n v="16"/>
  </r>
  <r>
    <n v="172"/>
    <d v="2011-01-08T00:00:00"/>
    <n v="1"/>
    <n v="1"/>
    <x v="10"/>
    <b v="0"/>
    <n v="6"/>
    <n v="2"/>
    <n v="0.18"/>
    <n v="0"/>
    <n v="0.28789999999999999"/>
    <n v="0.81"/>
    <n v="0"/>
    <n v="3"/>
    <n v="13"/>
    <n v="16"/>
  </r>
  <r>
    <n v="173"/>
    <d v="2011-01-08T00:00:00"/>
    <n v="1"/>
    <n v="1"/>
    <x v="11"/>
    <b v="0"/>
    <n v="6"/>
    <n v="2"/>
    <n v="0.2"/>
    <n v="0"/>
    <n v="0.28789999999999999"/>
    <n v="0.81"/>
    <n v="0"/>
    <n v="3"/>
    <n v="13"/>
    <n v="16"/>
  </r>
  <r>
    <n v="174"/>
    <d v="2011-01-08T00:00:00"/>
    <n v="1"/>
    <n v="1"/>
    <x v="12"/>
    <b v="0"/>
    <n v="6"/>
    <n v="2"/>
    <n v="0.2"/>
    <n v="0"/>
    <n v="0.28789999999999999"/>
    <n v="0.81"/>
    <n v="0"/>
    <n v="3"/>
    <n v="13"/>
    <n v="16"/>
  </r>
  <r>
    <n v="175"/>
    <d v="2011-01-08T00:00:00"/>
    <n v="1"/>
    <n v="1"/>
    <x v="13"/>
    <b v="0"/>
    <n v="6"/>
    <n v="1"/>
    <n v="0.2"/>
    <n v="0"/>
    <n v="0.28789999999999999"/>
    <n v="0.81"/>
    <n v="0"/>
    <n v="3"/>
    <n v="13"/>
    <n v="16"/>
  </r>
  <r>
    <n v="176"/>
    <d v="2011-01-08T00:00:00"/>
    <n v="1"/>
    <n v="1"/>
    <x v="14"/>
    <b v="0"/>
    <n v="6"/>
    <n v="1"/>
    <n v="0.2"/>
    <n v="0"/>
    <n v="0.28789999999999999"/>
    <n v="0.81"/>
    <n v="0"/>
    <n v="3"/>
    <n v="13"/>
    <n v="16"/>
  </r>
  <r>
    <n v="177"/>
    <d v="2011-01-08T00:00:00"/>
    <n v="1"/>
    <n v="1"/>
    <x v="15"/>
    <b v="0"/>
    <n v="6"/>
    <n v="1"/>
    <n v="0.2"/>
    <n v="0"/>
    <n v="0.28789999999999999"/>
    <n v="0.81"/>
    <n v="0"/>
    <n v="3"/>
    <n v="13"/>
    <n v="16"/>
  </r>
  <r>
    <n v="178"/>
    <d v="2011-01-08T00:00:00"/>
    <n v="1"/>
    <n v="1"/>
    <x v="16"/>
    <b v="0"/>
    <n v="6"/>
    <n v="1"/>
    <n v="0.18"/>
    <n v="0"/>
    <n v="0.28789999999999999"/>
    <n v="0.81"/>
    <n v="0"/>
    <n v="3"/>
    <n v="13"/>
    <n v="16"/>
  </r>
  <r>
    <n v="179"/>
    <d v="2011-01-08T00:00:00"/>
    <n v="1"/>
    <n v="1"/>
    <x v="17"/>
    <b v="0"/>
    <n v="6"/>
    <n v="1"/>
    <n v="0.16"/>
    <n v="0"/>
    <n v="0.28789999999999999"/>
    <n v="0.81"/>
    <n v="0"/>
    <n v="3"/>
    <n v="13"/>
    <n v="16"/>
  </r>
  <r>
    <n v="180"/>
    <d v="2011-01-08T00:00:00"/>
    <n v="1"/>
    <n v="1"/>
    <x v="18"/>
    <b v="0"/>
    <n v="6"/>
    <n v="1"/>
    <n v="0.14000000000000001"/>
    <n v="0"/>
    <n v="0.28789999999999999"/>
    <n v="0.81"/>
    <n v="0"/>
    <n v="3"/>
    <n v="13"/>
    <n v="16"/>
  </r>
  <r>
    <n v="181"/>
    <d v="2011-01-08T00:00:00"/>
    <n v="1"/>
    <n v="1"/>
    <x v="19"/>
    <b v="0"/>
    <n v="6"/>
    <n v="1"/>
    <n v="0.14000000000000001"/>
    <n v="0"/>
    <n v="0.28789999999999999"/>
    <n v="0.81"/>
    <n v="0"/>
    <n v="3"/>
    <n v="13"/>
    <n v="16"/>
  </r>
  <r>
    <n v="182"/>
    <d v="2011-01-08T00:00:00"/>
    <n v="1"/>
    <n v="1"/>
    <x v="20"/>
    <b v="0"/>
    <n v="6"/>
    <n v="1"/>
    <n v="0.12"/>
    <n v="0"/>
    <n v="0.28789999999999999"/>
    <n v="0.81"/>
    <n v="0"/>
    <n v="3"/>
    <n v="13"/>
    <n v="16"/>
  </r>
  <r>
    <n v="183"/>
    <d v="2011-01-08T00:00:00"/>
    <n v="1"/>
    <n v="1"/>
    <x v="21"/>
    <b v="0"/>
    <n v="6"/>
    <n v="1"/>
    <n v="0.12"/>
    <n v="0"/>
    <n v="0.28789999999999999"/>
    <n v="0.81"/>
    <n v="0"/>
    <n v="3"/>
    <n v="13"/>
    <n v="16"/>
  </r>
  <r>
    <n v="184"/>
    <d v="2011-01-08T00:00:00"/>
    <n v="1"/>
    <n v="1"/>
    <x v="22"/>
    <b v="0"/>
    <n v="6"/>
    <n v="1"/>
    <n v="0.12"/>
    <n v="0"/>
    <n v="0.28789999999999999"/>
    <n v="0.81"/>
    <n v="0"/>
    <n v="3"/>
    <n v="13"/>
    <n v="16"/>
  </r>
  <r>
    <n v="185"/>
    <d v="2011-01-08T00:00:00"/>
    <n v="1"/>
    <n v="1"/>
    <x v="23"/>
    <b v="0"/>
    <n v="6"/>
    <n v="1"/>
    <n v="0.1"/>
    <n v="0"/>
    <n v="0.28789999999999999"/>
    <n v="0.81"/>
    <n v="0"/>
    <n v="3"/>
    <n v="13"/>
    <n v="16"/>
  </r>
  <r>
    <n v="186"/>
    <d v="2011-01-09T00:00:00"/>
    <n v="1"/>
    <n v="1"/>
    <x v="0"/>
    <b v="0"/>
    <n v="0"/>
    <n v="1"/>
    <n v="0.1"/>
    <n v="0"/>
    <n v="0.28789999999999999"/>
    <n v="0.81"/>
    <n v="0"/>
    <n v="3"/>
    <n v="13"/>
    <n v="16"/>
  </r>
  <r>
    <n v="187"/>
    <d v="2011-01-09T00:00:00"/>
    <n v="1"/>
    <n v="1"/>
    <x v="1"/>
    <b v="0"/>
    <n v="0"/>
    <n v="1"/>
    <n v="0.1"/>
    <n v="0"/>
    <n v="0.28789999999999999"/>
    <n v="0.81"/>
    <n v="0"/>
    <n v="3"/>
    <n v="13"/>
    <n v="16"/>
  </r>
  <r>
    <n v="188"/>
    <d v="2011-01-09T00:00:00"/>
    <n v="1"/>
    <n v="1"/>
    <x v="2"/>
    <b v="0"/>
    <n v="0"/>
    <n v="1"/>
    <n v="0.1"/>
    <n v="0"/>
    <n v="0.28789999999999999"/>
    <n v="0.81"/>
    <n v="0"/>
    <n v="3"/>
    <n v="13"/>
    <n v="16"/>
  </r>
  <r>
    <n v="189"/>
    <d v="2011-01-09T00:00:00"/>
    <n v="1"/>
    <n v="1"/>
    <x v="3"/>
    <b v="0"/>
    <n v="0"/>
    <n v="1"/>
    <n v="0.1"/>
    <n v="0"/>
    <n v="0.28789999999999999"/>
    <n v="0.81"/>
    <n v="0"/>
    <n v="3"/>
    <n v="13"/>
    <n v="16"/>
  </r>
  <r>
    <n v="190"/>
    <d v="2011-01-09T00:00:00"/>
    <n v="1"/>
    <n v="1"/>
    <x v="4"/>
    <b v="0"/>
    <n v="0"/>
    <n v="1"/>
    <n v="0.08"/>
    <n v="0"/>
    <n v="0.28789999999999999"/>
    <n v="0.81"/>
    <n v="0"/>
    <n v="3"/>
    <n v="13"/>
    <n v="16"/>
  </r>
  <r>
    <n v="191"/>
    <d v="2011-01-09T00:00:00"/>
    <n v="1"/>
    <n v="1"/>
    <x v="5"/>
    <b v="0"/>
    <n v="0"/>
    <n v="1"/>
    <n v="0.08"/>
    <n v="0"/>
    <n v="0.28789999999999999"/>
    <n v="0.81"/>
    <n v="0"/>
    <n v="3"/>
    <n v="13"/>
    <n v="16"/>
  </r>
  <r>
    <n v="192"/>
    <d v="2011-01-09T00:00:00"/>
    <n v="1"/>
    <n v="1"/>
    <x v="6"/>
    <b v="0"/>
    <n v="0"/>
    <n v="1"/>
    <n v="0.1"/>
    <n v="0"/>
    <n v="0.28789999999999999"/>
    <n v="0.81"/>
    <n v="0"/>
    <n v="3"/>
    <n v="13"/>
    <n v="16"/>
  </r>
  <r>
    <n v="193"/>
    <d v="2011-01-09T00:00:00"/>
    <n v="1"/>
    <n v="1"/>
    <x v="7"/>
    <b v="0"/>
    <n v="0"/>
    <n v="1"/>
    <n v="0.08"/>
    <n v="0"/>
    <n v="0.28789999999999999"/>
    <n v="0.81"/>
    <n v="0"/>
    <n v="3"/>
    <n v="13"/>
    <n v="16"/>
  </r>
  <r>
    <n v="194"/>
    <d v="2011-01-09T00:00:00"/>
    <n v="1"/>
    <n v="1"/>
    <x v="8"/>
    <b v="0"/>
    <n v="0"/>
    <n v="1"/>
    <n v="0.1"/>
    <n v="0"/>
    <n v="0.28789999999999999"/>
    <n v="0.81"/>
    <n v="0"/>
    <n v="3"/>
    <n v="13"/>
    <n v="16"/>
  </r>
  <r>
    <n v="195"/>
    <d v="2011-01-09T00:00:00"/>
    <n v="1"/>
    <n v="1"/>
    <x v="9"/>
    <b v="0"/>
    <n v="0"/>
    <n v="1"/>
    <n v="0.12"/>
    <n v="0"/>
    <n v="0.28789999999999999"/>
    <n v="0.81"/>
    <n v="0"/>
    <n v="3"/>
    <n v="13"/>
    <n v="16"/>
  </r>
  <r>
    <n v="196"/>
    <d v="2011-01-09T00:00:00"/>
    <n v="1"/>
    <n v="1"/>
    <x v="10"/>
    <b v="0"/>
    <n v="0"/>
    <n v="1"/>
    <n v="0.14000000000000001"/>
    <n v="0"/>
    <n v="0.28789999999999999"/>
    <n v="0.81"/>
    <n v="0"/>
    <n v="3"/>
    <n v="13"/>
    <n v="16"/>
  </r>
  <r>
    <n v="197"/>
    <d v="2011-01-09T00:00:00"/>
    <n v="1"/>
    <n v="1"/>
    <x v="11"/>
    <b v="0"/>
    <n v="0"/>
    <n v="1"/>
    <n v="0.16"/>
    <n v="0"/>
    <n v="0.28789999999999999"/>
    <n v="0.81"/>
    <n v="0"/>
    <n v="3"/>
    <n v="13"/>
    <n v="16"/>
  </r>
  <r>
    <n v="198"/>
    <d v="2011-01-09T00:00:00"/>
    <n v="1"/>
    <n v="1"/>
    <x v="12"/>
    <b v="0"/>
    <n v="0"/>
    <n v="1"/>
    <n v="0.18"/>
    <n v="0"/>
    <n v="0.28789999999999999"/>
    <n v="0.81"/>
    <n v="0"/>
    <n v="3"/>
    <n v="13"/>
    <n v="16"/>
  </r>
  <r>
    <n v="199"/>
    <d v="2011-01-09T00:00:00"/>
    <n v="1"/>
    <n v="1"/>
    <x v="13"/>
    <b v="0"/>
    <n v="0"/>
    <n v="1"/>
    <n v="0.2"/>
    <n v="0"/>
    <n v="0.28789999999999999"/>
    <n v="0.81"/>
    <n v="0"/>
    <n v="3"/>
    <n v="13"/>
    <n v="16"/>
  </r>
  <r>
    <n v="200"/>
    <d v="2011-01-09T00:00:00"/>
    <n v="1"/>
    <n v="1"/>
    <x v="14"/>
    <b v="0"/>
    <n v="0"/>
    <n v="1"/>
    <n v="0.22"/>
    <n v="0"/>
    <n v="0.28789999999999999"/>
    <n v="0.81"/>
    <n v="0"/>
    <n v="3"/>
    <n v="13"/>
    <n v="16"/>
  </r>
  <r>
    <n v="201"/>
    <d v="2011-01-09T00:00:00"/>
    <n v="1"/>
    <n v="1"/>
    <x v="15"/>
    <b v="0"/>
    <n v="0"/>
    <n v="1"/>
    <n v="0.22"/>
    <n v="0"/>
    <n v="0.28789999999999999"/>
    <n v="0.81"/>
    <n v="0"/>
    <n v="3"/>
    <n v="13"/>
    <n v="16"/>
  </r>
  <r>
    <n v="202"/>
    <d v="2011-01-09T00:00:00"/>
    <n v="1"/>
    <n v="1"/>
    <x v="16"/>
    <b v="0"/>
    <n v="0"/>
    <n v="1"/>
    <n v="0.2"/>
    <n v="0"/>
    <n v="0.28789999999999999"/>
    <n v="0.81"/>
    <n v="0"/>
    <n v="3"/>
    <n v="13"/>
    <n v="16"/>
  </r>
  <r>
    <n v="203"/>
    <d v="2011-01-09T00:00:00"/>
    <n v="1"/>
    <n v="1"/>
    <x v="17"/>
    <b v="0"/>
    <n v="0"/>
    <n v="1"/>
    <n v="0.18"/>
    <n v="0"/>
    <n v="0.28789999999999999"/>
    <n v="0.81"/>
    <n v="0"/>
    <n v="3"/>
    <n v="13"/>
    <n v="16"/>
  </r>
  <r>
    <n v="204"/>
    <d v="2011-01-09T00:00:00"/>
    <n v="1"/>
    <n v="1"/>
    <x v="18"/>
    <b v="0"/>
    <n v="0"/>
    <n v="1"/>
    <n v="0.16"/>
    <n v="0"/>
    <n v="0.28789999999999999"/>
    <n v="0.81"/>
    <n v="0"/>
    <n v="3"/>
    <n v="13"/>
    <n v="16"/>
  </r>
  <r>
    <n v="205"/>
    <d v="2011-01-09T00:00:00"/>
    <n v="1"/>
    <n v="1"/>
    <x v="19"/>
    <b v="0"/>
    <n v="0"/>
    <n v="1"/>
    <n v="0.16"/>
    <n v="0"/>
    <n v="0.28789999999999999"/>
    <n v="0.81"/>
    <n v="0"/>
    <n v="3"/>
    <n v="13"/>
    <n v="16"/>
  </r>
  <r>
    <n v="206"/>
    <d v="2011-01-09T00:00:00"/>
    <n v="1"/>
    <n v="1"/>
    <x v="20"/>
    <b v="0"/>
    <n v="0"/>
    <n v="1"/>
    <n v="0.14000000000000001"/>
    <n v="0"/>
    <n v="0.28789999999999999"/>
    <n v="0.81"/>
    <n v="0"/>
    <n v="3"/>
    <n v="13"/>
    <n v="16"/>
  </r>
  <r>
    <n v="207"/>
    <d v="2011-01-09T00:00:00"/>
    <n v="1"/>
    <n v="1"/>
    <x v="21"/>
    <b v="0"/>
    <n v="0"/>
    <n v="1"/>
    <n v="0.14000000000000001"/>
    <n v="0"/>
    <n v="0.28789999999999999"/>
    <n v="0.81"/>
    <n v="0"/>
    <n v="3"/>
    <n v="13"/>
    <n v="16"/>
  </r>
  <r>
    <n v="208"/>
    <d v="2011-01-09T00:00:00"/>
    <n v="1"/>
    <n v="1"/>
    <x v="22"/>
    <b v="0"/>
    <n v="0"/>
    <n v="1"/>
    <n v="0.14000000000000001"/>
    <n v="0"/>
    <n v="0.28789999999999999"/>
    <n v="0.81"/>
    <n v="0"/>
    <n v="3"/>
    <n v="13"/>
    <n v="16"/>
  </r>
  <r>
    <n v="209"/>
    <d v="2011-01-09T00:00:00"/>
    <n v="1"/>
    <n v="1"/>
    <x v="23"/>
    <b v="0"/>
    <n v="0"/>
    <n v="1"/>
    <n v="0.12"/>
    <n v="0"/>
    <n v="0.28789999999999999"/>
    <n v="0.81"/>
    <n v="0"/>
    <n v="3"/>
    <n v="13"/>
    <n v="16"/>
  </r>
  <r>
    <n v="210"/>
    <d v="2011-01-10T00:00:00"/>
    <n v="1"/>
    <n v="1"/>
    <x v="0"/>
    <b v="0"/>
    <n v="1"/>
    <n v="1"/>
    <n v="0.12"/>
    <n v="0"/>
    <n v="0.28789999999999999"/>
    <n v="0.81"/>
    <n v="0"/>
    <n v="3"/>
    <n v="13"/>
    <n v="16"/>
  </r>
  <r>
    <n v="211"/>
    <d v="2011-01-10T00:00:00"/>
    <n v="1"/>
    <n v="1"/>
    <x v="1"/>
    <b v="0"/>
    <n v="1"/>
    <n v="1"/>
    <n v="0.12"/>
    <n v="0"/>
    <n v="0.28789999999999999"/>
    <n v="0.81"/>
    <n v="0"/>
    <n v="3"/>
    <n v="13"/>
    <n v="16"/>
  </r>
  <r>
    <n v="212"/>
    <d v="2011-01-10T00:00:00"/>
    <n v="1"/>
    <n v="1"/>
    <x v="2"/>
    <b v="0"/>
    <n v="1"/>
    <n v="1"/>
    <n v="0.12"/>
    <n v="0"/>
    <n v="0.28789999999999999"/>
    <n v="0.81"/>
    <n v="0"/>
    <n v="3"/>
    <n v="13"/>
    <n v="16"/>
  </r>
  <r>
    <n v="213"/>
    <d v="2011-01-10T00:00:00"/>
    <n v="1"/>
    <n v="1"/>
    <x v="3"/>
    <b v="0"/>
    <n v="1"/>
    <n v="1"/>
    <n v="0.12"/>
    <n v="0"/>
    <n v="0.28789999999999999"/>
    <n v="0.81"/>
    <n v="0"/>
    <n v="3"/>
    <n v="13"/>
    <n v="16"/>
  </r>
  <r>
    <n v="214"/>
    <d v="2011-01-10T00:00:00"/>
    <n v="1"/>
    <n v="1"/>
    <x v="4"/>
    <b v="0"/>
    <n v="1"/>
    <n v="1"/>
    <n v="0.1"/>
    <n v="0"/>
    <n v="0.28789999999999999"/>
    <n v="0.81"/>
    <n v="0"/>
    <n v="3"/>
    <n v="13"/>
    <n v="16"/>
  </r>
  <r>
    <n v="215"/>
    <d v="2011-01-10T00:00:00"/>
    <n v="1"/>
    <n v="1"/>
    <x v="5"/>
    <b v="0"/>
    <n v="1"/>
    <n v="1"/>
    <n v="0.1"/>
    <n v="0"/>
    <n v="0.28789999999999999"/>
    <n v="0.81"/>
    <n v="0"/>
    <n v="3"/>
    <n v="13"/>
    <n v="16"/>
  </r>
  <r>
    <n v="216"/>
    <d v="2011-01-10T00:00:00"/>
    <n v="1"/>
    <n v="1"/>
    <x v="6"/>
    <b v="0"/>
    <n v="1"/>
    <n v="1"/>
    <n v="0.12"/>
    <n v="0"/>
    <n v="0.28789999999999999"/>
    <n v="0.81"/>
    <n v="0"/>
    <n v="3"/>
    <n v="13"/>
    <n v="16"/>
  </r>
  <r>
    <n v="217"/>
    <d v="2011-01-10T00:00:00"/>
    <n v="1"/>
    <n v="1"/>
    <x v="7"/>
    <b v="0"/>
    <n v="1"/>
    <n v="1"/>
    <n v="0.12"/>
    <n v="0"/>
    <n v="0.28789999999999999"/>
    <n v="0.81"/>
    <n v="0"/>
    <n v="3"/>
    <n v="13"/>
    <n v="16"/>
  </r>
  <r>
    <n v="218"/>
    <d v="2011-01-10T00:00:00"/>
    <n v="1"/>
    <n v="1"/>
    <x v="8"/>
    <b v="0"/>
    <n v="1"/>
    <n v="2"/>
    <n v="0.12"/>
    <n v="0"/>
    <n v="0.28789999999999999"/>
    <n v="0.81"/>
    <n v="0"/>
    <n v="3"/>
    <n v="13"/>
    <n v="16"/>
  </r>
  <r>
    <n v="219"/>
    <d v="2011-01-10T00:00:00"/>
    <n v="1"/>
    <n v="1"/>
    <x v="9"/>
    <b v="0"/>
    <n v="1"/>
    <n v="2"/>
    <n v="0.14000000000000001"/>
    <n v="0"/>
    <n v="0.28789999999999999"/>
    <n v="0.81"/>
    <n v="0"/>
    <n v="3"/>
    <n v="13"/>
    <n v="16"/>
  </r>
  <r>
    <n v="220"/>
    <d v="2011-01-10T00:00:00"/>
    <n v="1"/>
    <n v="1"/>
    <x v="10"/>
    <b v="0"/>
    <n v="1"/>
    <n v="2"/>
    <n v="0.14000000000000001"/>
    <n v="0"/>
    <n v="0.28789999999999999"/>
    <n v="0.81"/>
    <n v="0"/>
    <n v="3"/>
    <n v="13"/>
    <n v="16"/>
  </r>
  <r>
    <n v="221"/>
    <d v="2011-01-10T00:00:00"/>
    <n v="1"/>
    <n v="1"/>
    <x v="11"/>
    <b v="0"/>
    <n v="1"/>
    <n v="2"/>
    <n v="0.16"/>
    <n v="0"/>
    <n v="0.28789999999999999"/>
    <n v="0.81"/>
    <n v="0"/>
    <n v="3"/>
    <n v="13"/>
    <n v="16"/>
  </r>
  <r>
    <n v="222"/>
    <d v="2011-01-10T00:00:00"/>
    <n v="1"/>
    <n v="1"/>
    <x v="12"/>
    <b v="0"/>
    <n v="1"/>
    <n v="2"/>
    <n v="0.2"/>
    <n v="0"/>
    <n v="0.28789999999999999"/>
    <n v="0.81"/>
    <n v="0"/>
    <n v="3"/>
    <n v="13"/>
    <n v="16"/>
  </r>
  <r>
    <n v="223"/>
    <d v="2011-01-10T00:00:00"/>
    <n v="1"/>
    <n v="1"/>
    <x v="13"/>
    <b v="0"/>
    <n v="1"/>
    <n v="2"/>
    <n v="0.2"/>
    <n v="0"/>
    <n v="0.28789999999999999"/>
    <n v="0.81"/>
    <n v="0"/>
    <n v="3"/>
    <n v="13"/>
    <n v="16"/>
  </r>
  <r>
    <n v="224"/>
    <d v="2011-01-10T00:00:00"/>
    <n v="1"/>
    <n v="1"/>
    <x v="14"/>
    <b v="0"/>
    <n v="1"/>
    <n v="2"/>
    <n v="0.2"/>
    <n v="0"/>
    <n v="0.28789999999999999"/>
    <n v="0.81"/>
    <n v="0"/>
    <n v="3"/>
    <n v="13"/>
    <n v="16"/>
  </r>
  <r>
    <n v="225"/>
    <d v="2011-01-10T00:00:00"/>
    <n v="1"/>
    <n v="1"/>
    <x v="15"/>
    <b v="0"/>
    <n v="1"/>
    <n v="2"/>
    <n v="0.2"/>
    <n v="0"/>
    <n v="0.28789999999999999"/>
    <n v="0.81"/>
    <n v="0"/>
    <n v="3"/>
    <n v="13"/>
    <n v="16"/>
  </r>
  <r>
    <n v="226"/>
    <d v="2011-01-10T00:00:00"/>
    <n v="1"/>
    <n v="1"/>
    <x v="16"/>
    <b v="0"/>
    <n v="1"/>
    <n v="1"/>
    <n v="0.2"/>
    <n v="0"/>
    <n v="0.28789999999999999"/>
    <n v="0.81"/>
    <n v="0"/>
    <n v="3"/>
    <n v="13"/>
    <n v="16"/>
  </r>
  <r>
    <n v="227"/>
    <d v="2011-01-10T00:00:00"/>
    <n v="1"/>
    <n v="1"/>
    <x v="17"/>
    <b v="0"/>
    <n v="1"/>
    <n v="1"/>
    <n v="0.2"/>
    <n v="0"/>
    <n v="0.28789999999999999"/>
    <n v="0.81"/>
    <n v="0"/>
    <n v="3"/>
    <n v="13"/>
    <n v="16"/>
  </r>
  <r>
    <n v="228"/>
    <d v="2011-01-10T00:00:00"/>
    <n v="1"/>
    <n v="1"/>
    <x v="18"/>
    <b v="0"/>
    <n v="1"/>
    <n v="1"/>
    <n v="0.2"/>
    <n v="0"/>
    <n v="0.28789999999999999"/>
    <n v="0.81"/>
    <n v="0"/>
    <n v="3"/>
    <n v="13"/>
    <n v="16"/>
  </r>
  <r>
    <n v="229"/>
    <d v="2011-01-10T00:00:00"/>
    <n v="1"/>
    <n v="1"/>
    <x v="19"/>
    <b v="0"/>
    <n v="1"/>
    <n v="1"/>
    <n v="0.16"/>
    <n v="0"/>
    <n v="0.28789999999999999"/>
    <n v="0.81"/>
    <n v="0"/>
    <n v="3"/>
    <n v="13"/>
    <n v="16"/>
  </r>
  <r>
    <n v="230"/>
    <d v="2011-01-10T00:00:00"/>
    <n v="1"/>
    <n v="1"/>
    <x v="20"/>
    <b v="0"/>
    <n v="1"/>
    <n v="1"/>
    <n v="0.16"/>
    <n v="0"/>
    <n v="0.28789999999999999"/>
    <n v="0.81"/>
    <n v="0"/>
    <n v="3"/>
    <n v="13"/>
    <n v="16"/>
  </r>
  <r>
    <n v="231"/>
    <d v="2011-01-10T00:00:00"/>
    <n v="1"/>
    <n v="1"/>
    <x v="21"/>
    <b v="0"/>
    <n v="1"/>
    <n v="1"/>
    <n v="0.14000000000000001"/>
    <n v="0"/>
    <n v="0.28789999999999999"/>
    <n v="0.81"/>
    <n v="0"/>
    <n v="3"/>
    <n v="13"/>
    <n v="16"/>
  </r>
  <r>
    <n v="232"/>
    <d v="2011-01-10T00:00:00"/>
    <n v="1"/>
    <n v="1"/>
    <x v="22"/>
    <b v="0"/>
    <n v="1"/>
    <n v="1"/>
    <n v="0.14000000000000001"/>
    <n v="0"/>
    <n v="0.28789999999999999"/>
    <n v="0.81"/>
    <n v="0"/>
    <n v="3"/>
    <n v="13"/>
    <n v="16"/>
  </r>
  <r>
    <n v="233"/>
    <d v="2011-01-10T00:00:00"/>
    <n v="1"/>
    <n v="1"/>
    <x v="23"/>
    <b v="0"/>
    <n v="1"/>
    <n v="1"/>
    <n v="0.14000000000000001"/>
    <n v="0"/>
    <n v="0.28789999999999999"/>
    <n v="0.81"/>
    <n v="0"/>
    <n v="3"/>
    <n v="13"/>
    <n v="16"/>
  </r>
  <r>
    <n v="234"/>
    <d v="2011-01-11T00:00:00"/>
    <n v="1"/>
    <n v="1"/>
    <x v="0"/>
    <b v="0"/>
    <n v="2"/>
    <n v="1"/>
    <n v="0.14000000000000001"/>
    <n v="0"/>
    <n v="0.28789999999999999"/>
    <n v="0.81"/>
    <n v="0"/>
    <n v="3"/>
    <n v="13"/>
    <n v="16"/>
  </r>
  <r>
    <n v="235"/>
    <d v="2011-01-11T00:00:00"/>
    <n v="1"/>
    <n v="1"/>
    <x v="1"/>
    <b v="0"/>
    <n v="2"/>
    <n v="1"/>
    <n v="0.14000000000000001"/>
    <n v="0"/>
    <n v="0.28789999999999999"/>
    <n v="0.81"/>
    <n v="0"/>
    <n v="3"/>
    <n v="13"/>
    <n v="16"/>
  </r>
  <r>
    <n v="236"/>
    <d v="2011-01-11T00:00:00"/>
    <n v="1"/>
    <n v="1"/>
    <x v="2"/>
    <b v="0"/>
    <n v="2"/>
    <n v="2"/>
    <n v="0.16"/>
    <n v="0"/>
    <n v="0.28789999999999999"/>
    <n v="0.81"/>
    <n v="0"/>
    <n v="3"/>
    <n v="13"/>
    <n v="16"/>
  </r>
  <r>
    <n v="237"/>
    <d v="2011-01-11T00:00:00"/>
    <n v="1"/>
    <n v="1"/>
    <x v="5"/>
    <b v="0"/>
    <n v="2"/>
    <n v="2"/>
    <n v="0.16"/>
    <n v="0"/>
    <n v="0.28789999999999999"/>
    <n v="0.81"/>
    <n v="0"/>
    <n v="3"/>
    <n v="13"/>
    <n v="16"/>
  </r>
  <r>
    <n v="238"/>
    <d v="2011-01-11T00:00:00"/>
    <n v="1"/>
    <n v="1"/>
    <x v="6"/>
    <b v="0"/>
    <n v="2"/>
    <n v="2"/>
    <n v="0.16"/>
    <n v="0"/>
    <n v="0.28789999999999999"/>
    <n v="0.81"/>
    <n v="0"/>
    <n v="3"/>
    <n v="13"/>
    <n v="16"/>
  </r>
  <r>
    <n v="239"/>
    <d v="2011-01-11T00:00:00"/>
    <n v="1"/>
    <n v="1"/>
    <x v="7"/>
    <b v="0"/>
    <n v="2"/>
    <n v="2"/>
    <n v="0.16"/>
    <n v="0"/>
    <n v="0.28789999999999999"/>
    <n v="0.81"/>
    <n v="0"/>
    <n v="3"/>
    <n v="13"/>
    <n v="16"/>
  </r>
  <r>
    <n v="240"/>
    <d v="2011-01-11T00:00:00"/>
    <n v="1"/>
    <n v="1"/>
    <x v="8"/>
    <b v="0"/>
    <n v="2"/>
    <n v="2"/>
    <n v="0.18"/>
    <n v="0"/>
    <n v="0.28789999999999999"/>
    <n v="0.81"/>
    <n v="0"/>
    <n v="3"/>
    <n v="13"/>
    <n v="16"/>
  </r>
  <r>
    <n v="241"/>
    <d v="2011-01-11T00:00:00"/>
    <n v="1"/>
    <n v="1"/>
    <x v="9"/>
    <b v="0"/>
    <n v="2"/>
    <n v="2"/>
    <n v="0.18"/>
    <n v="0"/>
    <n v="0.28789999999999999"/>
    <n v="0.81"/>
    <n v="0"/>
    <n v="3"/>
    <n v="13"/>
    <n v="16"/>
  </r>
  <r>
    <n v="242"/>
    <d v="2011-01-11T00:00:00"/>
    <n v="1"/>
    <n v="1"/>
    <x v="10"/>
    <b v="0"/>
    <n v="2"/>
    <n v="2"/>
    <n v="0.2"/>
    <n v="0"/>
    <n v="0.28789999999999999"/>
    <n v="0.81"/>
    <n v="0"/>
    <n v="3"/>
    <n v="13"/>
    <n v="16"/>
  </r>
  <r>
    <n v="243"/>
    <d v="2011-01-11T00:00:00"/>
    <n v="1"/>
    <n v="1"/>
    <x v="11"/>
    <b v="0"/>
    <n v="2"/>
    <n v="2"/>
    <n v="0.2"/>
    <n v="0"/>
    <n v="0.28789999999999999"/>
    <n v="0.81"/>
    <n v="0"/>
    <n v="3"/>
    <n v="13"/>
    <n v="16"/>
  </r>
  <r>
    <n v="244"/>
    <d v="2011-01-11T00:00:00"/>
    <n v="1"/>
    <n v="1"/>
    <x v="12"/>
    <b v="0"/>
    <n v="2"/>
    <n v="2"/>
    <n v="0.2"/>
    <n v="0"/>
    <n v="0.28789999999999999"/>
    <n v="0.81"/>
    <n v="0"/>
    <n v="3"/>
    <n v="13"/>
    <n v="16"/>
  </r>
  <r>
    <n v="245"/>
    <d v="2011-01-11T00:00:00"/>
    <n v="1"/>
    <n v="1"/>
    <x v="13"/>
    <b v="0"/>
    <n v="2"/>
    <n v="2"/>
    <n v="0.2"/>
    <n v="0"/>
    <n v="0.28789999999999999"/>
    <n v="0.81"/>
    <n v="0"/>
    <n v="3"/>
    <n v="13"/>
    <n v="16"/>
  </r>
  <r>
    <n v="246"/>
    <d v="2011-01-11T00:00:00"/>
    <n v="1"/>
    <n v="1"/>
    <x v="14"/>
    <b v="0"/>
    <n v="2"/>
    <n v="2"/>
    <n v="0.2"/>
    <n v="0"/>
    <n v="0.28789999999999999"/>
    <n v="0.81"/>
    <n v="0"/>
    <n v="3"/>
    <n v="13"/>
    <n v="16"/>
  </r>
  <r>
    <n v="247"/>
    <d v="2011-01-11T00:00:00"/>
    <n v="1"/>
    <n v="1"/>
    <x v="15"/>
    <b v="0"/>
    <n v="2"/>
    <n v="2"/>
    <n v="0.16"/>
    <n v="0"/>
    <n v="0.28789999999999999"/>
    <n v="0.81"/>
    <n v="0"/>
    <n v="3"/>
    <n v="13"/>
    <n v="16"/>
  </r>
  <r>
    <n v="248"/>
    <d v="2011-01-11T00:00:00"/>
    <n v="1"/>
    <n v="1"/>
    <x v="16"/>
    <b v="0"/>
    <n v="2"/>
    <n v="2"/>
    <n v="0.16"/>
    <n v="0"/>
    <n v="0.28789999999999999"/>
    <n v="0.81"/>
    <n v="0"/>
    <n v="3"/>
    <n v="13"/>
    <n v="16"/>
  </r>
  <r>
    <n v="249"/>
    <d v="2011-01-11T00:00:00"/>
    <n v="1"/>
    <n v="1"/>
    <x v="17"/>
    <b v="0"/>
    <n v="2"/>
    <n v="2"/>
    <n v="0.16"/>
    <n v="0"/>
    <n v="0.28789999999999999"/>
    <n v="0.81"/>
    <n v="0"/>
    <n v="3"/>
    <n v="13"/>
    <n v="16"/>
  </r>
  <r>
    <n v="250"/>
    <d v="2011-01-11T00:00:00"/>
    <n v="1"/>
    <n v="1"/>
    <x v="18"/>
    <b v="0"/>
    <n v="2"/>
    <n v="3"/>
    <n v="0.16"/>
    <n v="0"/>
    <n v="0.28789999999999999"/>
    <n v="0.81"/>
    <n v="0"/>
    <n v="3"/>
    <n v="13"/>
    <n v="16"/>
  </r>
  <r>
    <n v="251"/>
    <d v="2011-01-11T00:00:00"/>
    <n v="1"/>
    <n v="1"/>
    <x v="19"/>
    <b v="0"/>
    <n v="2"/>
    <n v="3"/>
    <n v="0.16"/>
    <n v="0"/>
    <n v="0.28789999999999999"/>
    <n v="0.81"/>
    <n v="0"/>
    <n v="3"/>
    <n v="13"/>
    <n v="16"/>
  </r>
  <r>
    <n v="252"/>
    <d v="2011-01-11T00:00:00"/>
    <n v="1"/>
    <n v="1"/>
    <x v="20"/>
    <b v="0"/>
    <n v="2"/>
    <n v="3"/>
    <n v="0.16"/>
    <n v="0"/>
    <n v="0.28789999999999999"/>
    <n v="0.81"/>
    <n v="0"/>
    <n v="3"/>
    <n v="13"/>
    <n v="16"/>
  </r>
  <r>
    <n v="253"/>
    <d v="2011-01-11T00:00:00"/>
    <n v="1"/>
    <n v="1"/>
    <x v="21"/>
    <b v="0"/>
    <n v="2"/>
    <n v="3"/>
    <n v="0.16"/>
    <n v="0"/>
    <n v="0.28789999999999999"/>
    <n v="0.81"/>
    <n v="0"/>
    <n v="3"/>
    <n v="13"/>
    <n v="16"/>
  </r>
  <r>
    <n v="254"/>
    <d v="2011-01-11T00:00:00"/>
    <n v="1"/>
    <n v="1"/>
    <x v="22"/>
    <b v="0"/>
    <n v="2"/>
    <n v="3"/>
    <n v="0.16"/>
    <n v="0"/>
    <n v="0.28789999999999999"/>
    <n v="0.81"/>
    <n v="0"/>
    <n v="3"/>
    <n v="13"/>
    <n v="16"/>
  </r>
  <r>
    <n v="255"/>
    <d v="2011-01-11T00:00:00"/>
    <n v="1"/>
    <n v="1"/>
    <x v="23"/>
    <b v="0"/>
    <n v="2"/>
    <n v="3"/>
    <n v="0.16"/>
    <n v="0"/>
    <n v="0.28789999999999999"/>
    <n v="0.81"/>
    <n v="0"/>
    <n v="3"/>
    <n v="13"/>
    <n v="16"/>
  </r>
  <r>
    <n v="256"/>
    <d v="2011-01-12T00:00:00"/>
    <n v="1"/>
    <n v="1"/>
    <x v="0"/>
    <b v="0"/>
    <n v="3"/>
    <n v="2"/>
    <n v="0.16"/>
    <n v="0"/>
    <n v="0.28789999999999999"/>
    <n v="0.81"/>
    <n v="0"/>
    <n v="3"/>
    <n v="13"/>
    <n v="16"/>
  </r>
  <r>
    <n v="257"/>
    <d v="2011-01-12T00:00:00"/>
    <n v="1"/>
    <n v="1"/>
    <x v="1"/>
    <b v="0"/>
    <n v="3"/>
    <n v="2"/>
    <n v="0.16"/>
    <n v="0"/>
    <n v="0.28789999999999999"/>
    <n v="0.81"/>
    <n v="0"/>
    <n v="3"/>
    <n v="13"/>
    <n v="16"/>
  </r>
  <r>
    <n v="258"/>
    <d v="2011-01-12T00:00:00"/>
    <n v="1"/>
    <n v="1"/>
    <x v="2"/>
    <b v="0"/>
    <n v="3"/>
    <n v="1"/>
    <n v="0.14000000000000001"/>
    <n v="0"/>
    <n v="0.28789999999999999"/>
    <n v="0.81"/>
    <n v="0"/>
    <n v="3"/>
    <n v="13"/>
    <n v="16"/>
  </r>
  <r>
    <n v="259"/>
    <d v="2011-01-12T00:00:00"/>
    <n v="1"/>
    <n v="1"/>
    <x v="5"/>
    <b v="0"/>
    <n v="3"/>
    <n v="1"/>
    <n v="0.14000000000000001"/>
    <n v="0"/>
    <n v="0.28789999999999999"/>
    <n v="0.81"/>
    <n v="0"/>
    <n v="3"/>
    <n v="13"/>
    <n v="16"/>
  </r>
  <r>
    <n v="260"/>
    <d v="2011-01-12T00:00:00"/>
    <n v="1"/>
    <n v="1"/>
    <x v="6"/>
    <b v="0"/>
    <n v="3"/>
    <n v="1"/>
    <n v="0.12"/>
    <n v="0"/>
    <n v="0.28789999999999999"/>
    <n v="0.81"/>
    <n v="0"/>
    <n v="3"/>
    <n v="13"/>
    <n v="16"/>
  </r>
  <r>
    <n v="261"/>
    <d v="2011-01-12T00:00:00"/>
    <n v="1"/>
    <n v="1"/>
    <x v="7"/>
    <b v="0"/>
    <n v="3"/>
    <n v="1"/>
    <n v="0.14000000000000001"/>
    <n v="0"/>
    <n v="0.28789999999999999"/>
    <n v="0.81"/>
    <n v="0"/>
    <n v="3"/>
    <n v="13"/>
    <n v="16"/>
  </r>
  <r>
    <n v="262"/>
    <d v="2011-01-12T00:00:00"/>
    <n v="1"/>
    <n v="1"/>
    <x v="8"/>
    <b v="0"/>
    <n v="3"/>
    <n v="1"/>
    <n v="0.16"/>
    <n v="0"/>
    <n v="0.28789999999999999"/>
    <n v="0.81"/>
    <n v="0"/>
    <n v="3"/>
    <n v="13"/>
    <n v="16"/>
  </r>
  <r>
    <n v="263"/>
    <d v="2011-01-12T00:00:00"/>
    <n v="1"/>
    <n v="1"/>
    <x v="9"/>
    <b v="0"/>
    <n v="3"/>
    <n v="1"/>
    <n v="0.16"/>
    <n v="0"/>
    <n v="0.28789999999999999"/>
    <n v="0.81"/>
    <n v="0"/>
    <n v="3"/>
    <n v="13"/>
    <n v="16"/>
  </r>
  <r>
    <n v="264"/>
    <d v="2011-01-12T00:00:00"/>
    <n v="1"/>
    <n v="1"/>
    <x v="10"/>
    <b v="0"/>
    <n v="3"/>
    <n v="1"/>
    <n v="0.18"/>
    <n v="0"/>
    <n v="0.28789999999999999"/>
    <n v="0.81"/>
    <n v="0"/>
    <n v="3"/>
    <n v="13"/>
    <n v="16"/>
  </r>
  <r>
    <n v="265"/>
    <d v="2011-01-12T00:00:00"/>
    <n v="1"/>
    <n v="1"/>
    <x v="11"/>
    <b v="0"/>
    <n v="3"/>
    <n v="1"/>
    <n v="0.2"/>
    <n v="0"/>
    <n v="0.28789999999999999"/>
    <n v="0.81"/>
    <n v="0"/>
    <n v="3"/>
    <n v="13"/>
    <n v="16"/>
  </r>
  <r>
    <n v="266"/>
    <d v="2011-01-12T00:00:00"/>
    <n v="1"/>
    <n v="1"/>
    <x v="12"/>
    <b v="0"/>
    <n v="3"/>
    <n v="1"/>
    <n v="0.2"/>
    <n v="0"/>
    <n v="0.28789999999999999"/>
    <n v="0.81"/>
    <n v="0"/>
    <n v="3"/>
    <n v="13"/>
    <n v="16"/>
  </r>
  <r>
    <n v="267"/>
    <d v="2011-01-12T00:00:00"/>
    <n v="1"/>
    <n v="1"/>
    <x v="13"/>
    <b v="0"/>
    <n v="3"/>
    <n v="1"/>
    <n v="0.22"/>
    <n v="0"/>
    <n v="0.28789999999999999"/>
    <n v="0.81"/>
    <n v="0"/>
    <n v="3"/>
    <n v="13"/>
    <n v="16"/>
  </r>
  <r>
    <n v="268"/>
    <d v="2011-01-12T00:00:00"/>
    <n v="1"/>
    <n v="1"/>
    <x v="14"/>
    <b v="0"/>
    <n v="3"/>
    <n v="1"/>
    <n v="0.2"/>
    <n v="0"/>
    <n v="0.28789999999999999"/>
    <n v="0.81"/>
    <n v="0"/>
    <n v="3"/>
    <n v="13"/>
    <n v="16"/>
  </r>
  <r>
    <n v="269"/>
    <d v="2011-01-12T00:00:00"/>
    <n v="1"/>
    <n v="1"/>
    <x v="15"/>
    <b v="0"/>
    <n v="3"/>
    <n v="1"/>
    <n v="0.2"/>
    <n v="0"/>
    <n v="0.28789999999999999"/>
    <n v="0.81"/>
    <n v="0"/>
    <n v="3"/>
    <n v="13"/>
    <n v="16"/>
  </r>
  <r>
    <n v="270"/>
    <d v="2011-01-12T00:00:00"/>
    <n v="1"/>
    <n v="1"/>
    <x v="16"/>
    <b v="0"/>
    <n v="3"/>
    <n v="1"/>
    <n v="0.22"/>
    <n v="0"/>
    <n v="0.28789999999999999"/>
    <n v="0.81"/>
    <n v="0"/>
    <n v="3"/>
    <n v="13"/>
    <n v="16"/>
  </r>
  <r>
    <n v="271"/>
    <d v="2011-01-12T00:00:00"/>
    <n v="1"/>
    <n v="1"/>
    <x v="17"/>
    <b v="0"/>
    <n v="3"/>
    <n v="1"/>
    <n v="0.2"/>
    <n v="0"/>
    <n v="0.28789999999999999"/>
    <n v="0.81"/>
    <n v="0"/>
    <n v="3"/>
    <n v="13"/>
    <n v="16"/>
  </r>
  <r>
    <n v="272"/>
    <d v="2011-01-12T00:00:00"/>
    <n v="1"/>
    <n v="1"/>
    <x v="18"/>
    <b v="0"/>
    <n v="3"/>
    <n v="1"/>
    <n v="0.2"/>
    <n v="0"/>
    <n v="0.28789999999999999"/>
    <n v="0.81"/>
    <n v="0"/>
    <n v="3"/>
    <n v="13"/>
    <n v="16"/>
  </r>
  <r>
    <n v="273"/>
    <d v="2011-01-12T00:00:00"/>
    <n v="1"/>
    <n v="1"/>
    <x v="19"/>
    <b v="0"/>
    <n v="3"/>
    <n v="1"/>
    <n v="0.18"/>
    <n v="0"/>
    <n v="0.28789999999999999"/>
    <n v="0.81"/>
    <n v="0"/>
    <n v="3"/>
    <n v="13"/>
    <n v="16"/>
  </r>
  <r>
    <n v="274"/>
    <d v="2011-01-12T00:00:00"/>
    <n v="1"/>
    <n v="1"/>
    <x v="20"/>
    <b v="0"/>
    <n v="3"/>
    <n v="1"/>
    <n v="0.16"/>
    <n v="0"/>
    <n v="0.28789999999999999"/>
    <n v="0.81"/>
    <n v="0"/>
    <n v="3"/>
    <n v="13"/>
    <n v="16"/>
  </r>
  <r>
    <n v="275"/>
    <d v="2011-01-12T00:00:00"/>
    <n v="1"/>
    <n v="1"/>
    <x v="21"/>
    <b v="0"/>
    <n v="3"/>
    <n v="1"/>
    <n v="0.16"/>
    <n v="0"/>
    <n v="0.28789999999999999"/>
    <n v="0.81"/>
    <n v="0"/>
    <n v="3"/>
    <n v="13"/>
    <n v="16"/>
  </r>
  <r>
    <n v="276"/>
    <d v="2011-01-12T00:00:00"/>
    <n v="1"/>
    <n v="1"/>
    <x v="22"/>
    <b v="0"/>
    <n v="3"/>
    <n v="1"/>
    <n v="0.16"/>
    <n v="0"/>
    <n v="0.28789999999999999"/>
    <n v="0.81"/>
    <n v="0"/>
    <n v="3"/>
    <n v="13"/>
    <n v="16"/>
  </r>
  <r>
    <n v="277"/>
    <d v="2011-01-12T00:00:00"/>
    <n v="1"/>
    <n v="1"/>
    <x v="23"/>
    <b v="0"/>
    <n v="3"/>
    <n v="1"/>
    <n v="0.14000000000000001"/>
    <n v="0"/>
    <n v="0.28789999999999999"/>
    <n v="0.81"/>
    <n v="0"/>
    <n v="3"/>
    <n v="13"/>
    <n v="16"/>
  </r>
  <r>
    <n v="278"/>
    <d v="2011-01-13T00:00:00"/>
    <n v="1"/>
    <n v="1"/>
    <x v="0"/>
    <b v="0"/>
    <n v="4"/>
    <n v="1"/>
    <n v="0.14000000000000001"/>
    <n v="0"/>
    <n v="0.28789999999999999"/>
    <n v="0.81"/>
    <n v="0"/>
    <n v="3"/>
    <n v="13"/>
    <n v="16"/>
  </r>
  <r>
    <n v="279"/>
    <d v="2011-01-13T00:00:00"/>
    <n v="1"/>
    <n v="1"/>
    <x v="1"/>
    <b v="0"/>
    <n v="4"/>
    <n v="1"/>
    <n v="0.14000000000000001"/>
    <n v="0"/>
    <n v="0.28789999999999999"/>
    <n v="0.81"/>
    <n v="0"/>
    <n v="3"/>
    <n v="13"/>
    <n v="16"/>
  </r>
  <r>
    <n v="280"/>
    <d v="2011-01-13T00:00:00"/>
    <n v="1"/>
    <n v="1"/>
    <x v="2"/>
    <b v="0"/>
    <n v="4"/>
    <n v="1"/>
    <n v="0.14000000000000001"/>
    <n v="0"/>
    <n v="0.28789999999999999"/>
    <n v="0.81"/>
    <n v="0"/>
    <n v="3"/>
    <n v="13"/>
    <n v="16"/>
  </r>
  <r>
    <n v="281"/>
    <d v="2011-01-13T00:00:00"/>
    <n v="1"/>
    <n v="1"/>
    <x v="3"/>
    <b v="0"/>
    <n v="4"/>
    <n v="1"/>
    <n v="0.14000000000000001"/>
    <n v="0"/>
    <n v="0.28789999999999999"/>
    <n v="0.81"/>
    <n v="0"/>
    <n v="3"/>
    <n v="13"/>
    <n v="16"/>
  </r>
  <r>
    <n v="282"/>
    <d v="2011-01-13T00:00:00"/>
    <n v="1"/>
    <n v="1"/>
    <x v="4"/>
    <b v="0"/>
    <n v="4"/>
    <n v="1"/>
    <n v="0.14000000000000001"/>
    <n v="0"/>
    <n v="0.28789999999999999"/>
    <n v="0.81"/>
    <n v="0"/>
    <n v="3"/>
    <n v="13"/>
    <n v="16"/>
  </r>
  <r>
    <n v="283"/>
    <d v="2011-01-13T00:00:00"/>
    <n v="1"/>
    <n v="1"/>
    <x v="5"/>
    <b v="0"/>
    <n v="4"/>
    <n v="1"/>
    <n v="0.14000000000000001"/>
    <n v="0"/>
    <n v="0.28789999999999999"/>
    <n v="0.81"/>
    <n v="0"/>
    <n v="3"/>
    <n v="13"/>
    <n v="16"/>
  </r>
  <r>
    <n v="284"/>
    <d v="2011-01-13T00:00:00"/>
    <n v="1"/>
    <n v="1"/>
    <x v="6"/>
    <b v="0"/>
    <n v="4"/>
    <n v="1"/>
    <n v="0.12"/>
    <n v="0"/>
    <n v="0.28789999999999999"/>
    <n v="0.81"/>
    <n v="0"/>
    <n v="3"/>
    <n v="13"/>
    <n v="16"/>
  </r>
  <r>
    <n v="285"/>
    <d v="2011-01-13T00:00:00"/>
    <n v="1"/>
    <n v="1"/>
    <x v="7"/>
    <b v="0"/>
    <n v="4"/>
    <n v="1"/>
    <n v="0.12"/>
    <n v="0"/>
    <n v="0.28789999999999999"/>
    <n v="0.81"/>
    <n v="0"/>
    <n v="3"/>
    <n v="13"/>
    <n v="16"/>
  </r>
  <r>
    <n v="286"/>
    <d v="2011-01-13T00:00:00"/>
    <n v="1"/>
    <n v="1"/>
    <x v="8"/>
    <b v="0"/>
    <n v="4"/>
    <n v="1"/>
    <n v="0.14000000000000001"/>
    <n v="0"/>
    <n v="0.28789999999999999"/>
    <n v="0.81"/>
    <n v="0"/>
    <n v="3"/>
    <n v="13"/>
    <n v="16"/>
  </r>
  <r>
    <n v="287"/>
    <d v="2011-01-13T00:00:00"/>
    <n v="1"/>
    <n v="1"/>
    <x v="9"/>
    <b v="0"/>
    <n v="4"/>
    <n v="1"/>
    <n v="0.14000000000000001"/>
    <n v="0"/>
    <n v="0.28789999999999999"/>
    <n v="0.81"/>
    <n v="0"/>
    <n v="3"/>
    <n v="13"/>
    <n v="16"/>
  </r>
  <r>
    <n v="288"/>
    <d v="2011-01-13T00:00:00"/>
    <n v="1"/>
    <n v="1"/>
    <x v="10"/>
    <b v="0"/>
    <n v="4"/>
    <n v="2"/>
    <n v="0.16"/>
    <n v="0"/>
    <n v="0.28789999999999999"/>
    <n v="0.81"/>
    <n v="0"/>
    <n v="3"/>
    <n v="13"/>
    <n v="16"/>
  </r>
  <r>
    <n v="289"/>
    <d v="2011-01-13T00:00:00"/>
    <n v="1"/>
    <n v="1"/>
    <x v="11"/>
    <b v="0"/>
    <n v="4"/>
    <n v="2"/>
    <n v="0.2"/>
    <n v="0"/>
    <n v="0.28789999999999999"/>
    <n v="0.81"/>
    <n v="0"/>
    <n v="3"/>
    <n v="13"/>
    <n v="16"/>
  </r>
  <r>
    <n v="290"/>
    <d v="2011-01-13T00:00:00"/>
    <n v="1"/>
    <n v="1"/>
    <x v="12"/>
    <b v="0"/>
    <n v="4"/>
    <n v="1"/>
    <n v="0.2"/>
    <n v="0"/>
    <n v="0.28789999999999999"/>
    <n v="0.81"/>
    <n v="0"/>
    <n v="3"/>
    <n v="13"/>
    <n v="16"/>
  </r>
  <r>
    <n v="291"/>
    <d v="2011-01-13T00:00:00"/>
    <n v="1"/>
    <n v="1"/>
    <x v="13"/>
    <b v="0"/>
    <n v="4"/>
    <n v="1"/>
    <n v="0.22"/>
    <n v="0"/>
    <n v="0.28789999999999999"/>
    <n v="0.81"/>
    <n v="0"/>
    <n v="3"/>
    <n v="13"/>
    <n v="16"/>
  </r>
  <r>
    <n v="292"/>
    <d v="2011-01-13T00:00:00"/>
    <n v="1"/>
    <n v="1"/>
    <x v="14"/>
    <b v="0"/>
    <n v="4"/>
    <n v="1"/>
    <n v="0.22"/>
    <n v="0"/>
    <n v="0.28789999999999999"/>
    <n v="0.81"/>
    <n v="0"/>
    <n v="3"/>
    <n v="13"/>
    <n v="16"/>
  </r>
  <r>
    <n v="293"/>
    <d v="2011-01-13T00:00:00"/>
    <n v="1"/>
    <n v="1"/>
    <x v="15"/>
    <b v="0"/>
    <n v="4"/>
    <n v="1"/>
    <n v="0.24"/>
    <n v="0"/>
    <n v="0.28789999999999999"/>
    <n v="0.81"/>
    <n v="0"/>
    <n v="3"/>
    <n v="13"/>
    <n v="16"/>
  </r>
  <r>
    <n v="294"/>
    <d v="2011-01-13T00:00:00"/>
    <n v="1"/>
    <n v="1"/>
    <x v="16"/>
    <b v="0"/>
    <n v="4"/>
    <n v="1"/>
    <n v="0.24"/>
    <n v="0"/>
    <n v="0.28789999999999999"/>
    <n v="0.81"/>
    <n v="0"/>
    <n v="3"/>
    <n v="13"/>
    <n v="16"/>
  </r>
  <r>
    <n v="295"/>
    <d v="2011-01-13T00:00:00"/>
    <n v="1"/>
    <n v="1"/>
    <x v="17"/>
    <b v="0"/>
    <n v="4"/>
    <n v="1"/>
    <n v="0.2"/>
    <n v="0"/>
    <n v="0.28789999999999999"/>
    <n v="0.81"/>
    <n v="0"/>
    <n v="3"/>
    <n v="13"/>
    <n v="16"/>
  </r>
  <r>
    <n v="296"/>
    <d v="2011-01-13T00:00:00"/>
    <n v="1"/>
    <n v="1"/>
    <x v="18"/>
    <b v="0"/>
    <n v="4"/>
    <n v="1"/>
    <n v="0.2"/>
    <n v="0"/>
    <n v="0.28789999999999999"/>
    <n v="0.81"/>
    <n v="0"/>
    <n v="3"/>
    <n v="13"/>
    <n v="16"/>
  </r>
  <r>
    <n v="297"/>
    <d v="2011-01-13T00:00:00"/>
    <n v="1"/>
    <n v="1"/>
    <x v="19"/>
    <b v="0"/>
    <n v="4"/>
    <n v="1"/>
    <n v="0.16"/>
    <n v="0"/>
    <n v="0.28789999999999999"/>
    <n v="0.81"/>
    <n v="0"/>
    <n v="3"/>
    <n v="13"/>
    <n v="16"/>
  </r>
  <r>
    <n v="298"/>
    <d v="2011-01-13T00:00:00"/>
    <n v="1"/>
    <n v="1"/>
    <x v="20"/>
    <b v="0"/>
    <n v="4"/>
    <n v="1"/>
    <n v="0.16"/>
    <n v="0"/>
    <n v="0.28789999999999999"/>
    <n v="0.81"/>
    <n v="0"/>
    <n v="3"/>
    <n v="13"/>
    <n v="16"/>
  </r>
  <r>
    <n v="299"/>
    <d v="2011-01-13T00:00:00"/>
    <n v="1"/>
    <n v="1"/>
    <x v="21"/>
    <b v="0"/>
    <n v="4"/>
    <n v="1"/>
    <n v="0.14000000000000001"/>
    <n v="0"/>
    <n v="0.28789999999999999"/>
    <n v="0.81"/>
    <n v="0"/>
    <n v="3"/>
    <n v="13"/>
    <n v="16"/>
  </r>
  <r>
    <n v="300"/>
    <d v="2011-01-13T00:00:00"/>
    <n v="1"/>
    <n v="1"/>
    <x v="22"/>
    <b v="0"/>
    <n v="4"/>
    <n v="1"/>
    <n v="0.14000000000000001"/>
    <n v="0"/>
    <n v="0.28789999999999999"/>
    <n v="0.81"/>
    <n v="0"/>
    <n v="3"/>
    <n v="13"/>
    <n v="16"/>
  </r>
  <r>
    <n v="301"/>
    <d v="2011-01-13T00:00:00"/>
    <n v="1"/>
    <n v="1"/>
    <x v="23"/>
    <b v="0"/>
    <n v="4"/>
    <n v="1"/>
    <n v="0.12"/>
    <n v="0"/>
    <n v="0.28789999999999999"/>
    <n v="0.81"/>
    <n v="0"/>
    <n v="3"/>
    <n v="13"/>
    <n v="16"/>
  </r>
  <r>
    <n v="302"/>
    <d v="2011-01-14T00:00:00"/>
    <n v="1"/>
    <n v="1"/>
    <x v="0"/>
    <b v="0"/>
    <n v="5"/>
    <n v="1"/>
    <n v="0.12"/>
    <n v="0"/>
    <n v="0.28789999999999999"/>
    <n v="0.81"/>
    <n v="0"/>
    <n v="3"/>
    <n v="13"/>
    <n v="16"/>
  </r>
  <r>
    <n v="303"/>
    <d v="2011-01-14T00:00:00"/>
    <n v="1"/>
    <n v="1"/>
    <x v="1"/>
    <b v="0"/>
    <n v="5"/>
    <n v="1"/>
    <n v="0.1"/>
    <n v="0"/>
    <n v="0.28789999999999999"/>
    <n v="0.81"/>
    <n v="0"/>
    <n v="3"/>
    <n v="13"/>
    <n v="16"/>
  </r>
  <r>
    <n v="304"/>
    <d v="2011-01-14T00:00:00"/>
    <n v="1"/>
    <n v="1"/>
    <x v="2"/>
    <b v="0"/>
    <n v="5"/>
    <n v="1"/>
    <n v="0.1"/>
    <n v="0"/>
    <n v="0.28789999999999999"/>
    <n v="0.81"/>
    <n v="0"/>
    <n v="3"/>
    <n v="13"/>
    <n v="16"/>
  </r>
  <r>
    <n v="305"/>
    <d v="2011-01-14T00:00:00"/>
    <n v="1"/>
    <n v="1"/>
    <x v="3"/>
    <b v="0"/>
    <n v="5"/>
    <n v="1"/>
    <n v="0.1"/>
    <n v="0"/>
    <n v="0.28789999999999999"/>
    <n v="0.81"/>
    <n v="0"/>
    <n v="3"/>
    <n v="13"/>
    <n v="16"/>
  </r>
  <r>
    <n v="306"/>
    <d v="2011-01-14T00:00:00"/>
    <n v="1"/>
    <n v="1"/>
    <x v="5"/>
    <b v="0"/>
    <n v="5"/>
    <n v="1"/>
    <n v="0.1"/>
    <n v="0"/>
    <n v="0.28789999999999999"/>
    <n v="0.81"/>
    <n v="0"/>
    <n v="3"/>
    <n v="13"/>
    <n v="16"/>
  </r>
  <r>
    <n v="307"/>
    <d v="2011-01-14T00:00:00"/>
    <n v="1"/>
    <n v="1"/>
    <x v="6"/>
    <b v="0"/>
    <n v="5"/>
    <n v="1"/>
    <n v="0.1"/>
    <n v="0"/>
    <n v="0.28789999999999999"/>
    <n v="0.81"/>
    <n v="0"/>
    <n v="3"/>
    <n v="13"/>
    <n v="16"/>
  </r>
  <r>
    <n v="308"/>
    <d v="2011-01-14T00:00:00"/>
    <n v="1"/>
    <n v="1"/>
    <x v="7"/>
    <b v="0"/>
    <n v="5"/>
    <n v="1"/>
    <n v="0.1"/>
    <n v="0"/>
    <n v="0.28789999999999999"/>
    <n v="0.81"/>
    <n v="0"/>
    <n v="3"/>
    <n v="13"/>
    <n v="16"/>
  </r>
  <r>
    <n v="309"/>
    <d v="2011-01-14T00:00:00"/>
    <n v="1"/>
    <n v="1"/>
    <x v="8"/>
    <b v="0"/>
    <n v="5"/>
    <n v="1"/>
    <n v="0.12"/>
    <n v="0"/>
    <n v="0.28789999999999999"/>
    <n v="0.81"/>
    <n v="0"/>
    <n v="3"/>
    <n v="13"/>
    <n v="16"/>
  </r>
  <r>
    <n v="310"/>
    <d v="2011-01-14T00:00:00"/>
    <n v="1"/>
    <n v="1"/>
    <x v="9"/>
    <b v="0"/>
    <n v="5"/>
    <n v="1"/>
    <n v="0.14000000000000001"/>
    <n v="0"/>
    <n v="0.28789999999999999"/>
    <n v="0.81"/>
    <n v="0"/>
    <n v="3"/>
    <n v="13"/>
    <n v="16"/>
  </r>
  <r>
    <n v="311"/>
    <d v="2011-01-14T00:00:00"/>
    <n v="1"/>
    <n v="1"/>
    <x v="10"/>
    <b v="0"/>
    <n v="5"/>
    <n v="1"/>
    <n v="0.18"/>
    <n v="0"/>
    <n v="0.28789999999999999"/>
    <n v="0.81"/>
    <n v="0"/>
    <n v="3"/>
    <n v="13"/>
    <n v="16"/>
  </r>
  <r>
    <n v="312"/>
    <d v="2011-01-14T00:00:00"/>
    <n v="1"/>
    <n v="1"/>
    <x v="11"/>
    <b v="0"/>
    <n v="5"/>
    <n v="1"/>
    <n v="0.18"/>
    <n v="0"/>
    <n v="0.28789999999999999"/>
    <n v="0.81"/>
    <n v="0"/>
    <n v="3"/>
    <n v="13"/>
    <n v="16"/>
  </r>
  <r>
    <n v="313"/>
    <d v="2011-01-14T00:00:00"/>
    <n v="1"/>
    <n v="1"/>
    <x v="12"/>
    <b v="0"/>
    <n v="5"/>
    <n v="1"/>
    <n v="0.2"/>
    <n v="0"/>
    <n v="0.28789999999999999"/>
    <n v="0.81"/>
    <n v="0"/>
    <n v="3"/>
    <n v="13"/>
    <n v="16"/>
  </r>
  <r>
    <n v="314"/>
    <d v="2011-01-14T00:00:00"/>
    <n v="1"/>
    <n v="1"/>
    <x v="13"/>
    <b v="0"/>
    <n v="5"/>
    <n v="1"/>
    <n v="0.22"/>
    <n v="0"/>
    <n v="0.28789999999999999"/>
    <n v="0.81"/>
    <n v="0"/>
    <n v="3"/>
    <n v="13"/>
    <n v="16"/>
  </r>
  <r>
    <n v="315"/>
    <d v="2011-01-14T00:00:00"/>
    <n v="1"/>
    <n v="1"/>
    <x v="14"/>
    <b v="0"/>
    <n v="5"/>
    <n v="1"/>
    <n v="0.22"/>
    <n v="0"/>
    <n v="0.28789999999999999"/>
    <n v="0.81"/>
    <n v="0"/>
    <n v="3"/>
    <n v="13"/>
    <n v="16"/>
  </r>
  <r>
    <n v="316"/>
    <d v="2011-01-14T00:00:00"/>
    <n v="1"/>
    <n v="1"/>
    <x v="15"/>
    <b v="0"/>
    <n v="5"/>
    <n v="1"/>
    <n v="0.24"/>
    <n v="0"/>
    <n v="0.28789999999999999"/>
    <n v="0.81"/>
    <n v="0"/>
    <n v="3"/>
    <n v="13"/>
    <n v="16"/>
  </r>
  <r>
    <n v="317"/>
    <d v="2011-01-14T00:00:00"/>
    <n v="1"/>
    <n v="1"/>
    <x v="16"/>
    <b v="0"/>
    <n v="5"/>
    <n v="1"/>
    <n v="0.22"/>
    <n v="0"/>
    <n v="0.28789999999999999"/>
    <n v="0.81"/>
    <n v="0"/>
    <n v="3"/>
    <n v="13"/>
    <n v="16"/>
  </r>
  <r>
    <n v="318"/>
    <d v="2011-01-14T00:00:00"/>
    <n v="1"/>
    <n v="1"/>
    <x v="17"/>
    <b v="0"/>
    <n v="5"/>
    <n v="1"/>
    <n v="0.22"/>
    <n v="0"/>
    <n v="0.28789999999999999"/>
    <n v="0.81"/>
    <n v="0"/>
    <n v="3"/>
    <n v="13"/>
    <n v="16"/>
  </r>
  <r>
    <n v="319"/>
    <d v="2011-01-14T00:00:00"/>
    <n v="1"/>
    <n v="1"/>
    <x v="18"/>
    <b v="0"/>
    <n v="5"/>
    <n v="1"/>
    <n v="0.2"/>
    <n v="0"/>
    <n v="0.28789999999999999"/>
    <n v="0.81"/>
    <n v="0"/>
    <n v="3"/>
    <n v="13"/>
    <n v="16"/>
  </r>
  <r>
    <n v="320"/>
    <d v="2011-01-14T00:00:00"/>
    <n v="1"/>
    <n v="1"/>
    <x v="19"/>
    <b v="0"/>
    <n v="5"/>
    <n v="1"/>
    <n v="0.16"/>
    <n v="0"/>
    <n v="0.28789999999999999"/>
    <n v="0.81"/>
    <n v="0"/>
    <n v="3"/>
    <n v="13"/>
    <n v="16"/>
  </r>
  <r>
    <n v="321"/>
    <d v="2011-01-14T00:00:00"/>
    <n v="1"/>
    <n v="1"/>
    <x v="20"/>
    <b v="0"/>
    <n v="5"/>
    <n v="1"/>
    <n v="0.18"/>
    <n v="0"/>
    <n v="0.28789999999999999"/>
    <n v="0.81"/>
    <n v="0"/>
    <n v="3"/>
    <n v="13"/>
    <n v="16"/>
  </r>
  <r>
    <n v="322"/>
    <d v="2011-01-14T00:00:00"/>
    <n v="1"/>
    <n v="1"/>
    <x v="21"/>
    <b v="0"/>
    <n v="5"/>
    <n v="1"/>
    <n v="0.16"/>
    <n v="0"/>
    <n v="0.28789999999999999"/>
    <n v="0.81"/>
    <n v="0"/>
    <n v="3"/>
    <n v="13"/>
    <n v="16"/>
  </r>
  <r>
    <n v="323"/>
    <d v="2011-01-14T00:00:00"/>
    <n v="1"/>
    <n v="1"/>
    <x v="22"/>
    <b v="0"/>
    <n v="5"/>
    <n v="2"/>
    <n v="0.16"/>
    <n v="0"/>
    <n v="0.28789999999999999"/>
    <n v="0.81"/>
    <n v="0"/>
    <n v="3"/>
    <n v="13"/>
    <n v="16"/>
  </r>
  <r>
    <n v="324"/>
    <d v="2011-01-14T00:00:00"/>
    <n v="1"/>
    <n v="1"/>
    <x v="23"/>
    <b v="0"/>
    <n v="5"/>
    <n v="2"/>
    <n v="0.18"/>
    <n v="0"/>
    <n v="0.28789999999999999"/>
    <n v="0.81"/>
    <n v="0"/>
    <n v="3"/>
    <n v="13"/>
    <n v="16"/>
  </r>
  <r>
    <n v="325"/>
    <d v="2011-01-15T00:00:00"/>
    <n v="1"/>
    <n v="1"/>
    <x v="0"/>
    <b v="0"/>
    <n v="6"/>
    <n v="1"/>
    <n v="0.18"/>
    <n v="0"/>
    <n v="0.28789999999999999"/>
    <n v="0.81"/>
    <n v="0"/>
    <n v="3"/>
    <n v="13"/>
    <n v="16"/>
  </r>
  <r>
    <n v="326"/>
    <d v="2011-01-15T00:00:00"/>
    <n v="1"/>
    <n v="1"/>
    <x v="1"/>
    <b v="0"/>
    <n v="6"/>
    <n v="2"/>
    <n v="0.16"/>
    <n v="0"/>
    <n v="0.28789999999999999"/>
    <n v="0.81"/>
    <n v="0"/>
    <n v="3"/>
    <n v="13"/>
    <n v="16"/>
  </r>
  <r>
    <n v="327"/>
    <d v="2011-01-15T00:00:00"/>
    <n v="1"/>
    <n v="1"/>
    <x v="2"/>
    <b v="0"/>
    <n v="6"/>
    <n v="2"/>
    <n v="0.16"/>
    <n v="0"/>
    <n v="0.28789999999999999"/>
    <n v="0.81"/>
    <n v="0"/>
    <n v="3"/>
    <n v="13"/>
    <n v="16"/>
  </r>
  <r>
    <n v="328"/>
    <d v="2011-01-15T00:00:00"/>
    <n v="1"/>
    <n v="1"/>
    <x v="3"/>
    <b v="0"/>
    <n v="6"/>
    <n v="2"/>
    <n v="0.16"/>
    <n v="0"/>
    <n v="0.28789999999999999"/>
    <n v="0.81"/>
    <n v="0"/>
    <n v="3"/>
    <n v="13"/>
    <n v="16"/>
  </r>
  <r>
    <n v="329"/>
    <d v="2011-01-15T00:00:00"/>
    <n v="1"/>
    <n v="1"/>
    <x v="4"/>
    <b v="0"/>
    <n v="6"/>
    <n v="2"/>
    <n v="0.16"/>
    <n v="0"/>
    <n v="0.28789999999999999"/>
    <n v="0.81"/>
    <n v="0"/>
    <n v="3"/>
    <n v="13"/>
    <n v="16"/>
  </r>
  <r>
    <n v="330"/>
    <d v="2011-01-15T00:00:00"/>
    <n v="1"/>
    <n v="1"/>
    <x v="5"/>
    <b v="0"/>
    <n v="6"/>
    <n v="1"/>
    <n v="0.16"/>
    <n v="0"/>
    <n v="0.28789999999999999"/>
    <n v="0.81"/>
    <n v="0"/>
    <n v="3"/>
    <n v="13"/>
    <n v="16"/>
  </r>
  <r>
    <n v="331"/>
    <d v="2011-01-15T00:00:00"/>
    <n v="1"/>
    <n v="1"/>
    <x v="6"/>
    <b v="0"/>
    <n v="6"/>
    <n v="1"/>
    <n v="0.14000000000000001"/>
    <n v="0"/>
    <n v="0.28789999999999999"/>
    <n v="0.81"/>
    <n v="0"/>
    <n v="3"/>
    <n v="13"/>
    <n v="16"/>
  </r>
  <r>
    <n v="332"/>
    <d v="2011-01-15T00:00:00"/>
    <n v="1"/>
    <n v="1"/>
    <x v="7"/>
    <b v="0"/>
    <n v="6"/>
    <n v="1"/>
    <n v="0.14000000000000001"/>
    <n v="0"/>
    <n v="0.28789999999999999"/>
    <n v="0.81"/>
    <n v="0"/>
    <n v="3"/>
    <n v="13"/>
    <n v="16"/>
  </r>
  <r>
    <n v="333"/>
    <d v="2011-01-15T00:00:00"/>
    <n v="1"/>
    <n v="1"/>
    <x v="8"/>
    <b v="0"/>
    <n v="6"/>
    <n v="1"/>
    <n v="0.14000000000000001"/>
    <n v="0"/>
    <n v="0.28789999999999999"/>
    <n v="0.81"/>
    <n v="0"/>
    <n v="3"/>
    <n v="13"/>
    <n v="16"/>
  </r>
  <r>
    <n v="334"/>
    <d v="2011-01-15T00:00:00"/>
    <n v="1"/>
    <n v="1"/>
    <x v="9"/>
    <b v="0"/>
    <n v="6"/>
    <n v="1"/>
    <n v="0.16"/>
    <n v="0"/>
    <n v="0.28789999999999999"/>
    <n v="0.81"/>
    <n v="0"/>
    <n v="3"/>
    <n v="13"/>
    <n v="16"/>
  </r>
  <r>
    <n v="335"/>
    <d v="2011-01-15T00:00:00"/>
    <n v="1"/>
    <n v="1"/>
    <x v="10"/>
    <b v="0"/>
    <n v="6"/>
    <n v="1"/>
    <n v="0.18"/>
    <n v="0"/>
    <n v="0.28789999999999999"/>
    <n v="0.81"/>
    <n v="0"/>
    <n v="3"/>
    <n v="13"/>
    <n v="16"/>
  </r>
  <r>
    <n v="336"/>
    <d v="2011-01-15T00:00:00"/>
    <n v="1"/>
    <n v="1"/>
    <x v="11"/>
    <b v="0"/>
    <n v="6"/>
    <n v="1"/>
    <n v="0.2"/>
    <n v="0"/>
    <n v="0.28789999999999999"/>
    <n v="0.81"/>
    <n v="0"/>
    <n v="3"/>
    <n v="13"/>
    <n v="16"/>
  </r>
  <r>
    <n v="337"/>
    <d v="2011-01-15T00:00:00"/>
    <n v="1"/>
    <n v="1"/>
    <x v="12"/>
    <b v="0"/>
    <n v="6"/>
    <n v="1"/>
    <n v="0.24"/>
    <n v="0"/>
    <n v="0.28789999999999999"/>
    <n v="0.81"/>
    <n v="0"/>
    <n v="3"/>
    <n v="13"/>
    <n v="16"/>
  </r>
  <r>
    <n v="338"/>
    <d v="2011-01-15T00:00:00"/>
    <n v="1"/>
    <n v="1"/>
    <x v="13"/>
    <b v="0"/>
    <n v="6"/>
    <n v="1"/>
    <n v="0.28000000000000003"/>
    <n v="0"/>
    <n v="0.28789999999999999"/>
    <n v="0.81"/>
    <n v="0"/>
    <n v="3"/>
    <n v="13"/>
    <n v="16"/>
  </r>
  <r>
    <n v="339"/>
    <d v="2011-01-15T00:00:00"/>
    <n v="1"/>
    <n v="1"/>
    <x v="14"/>
    <b v="0"/>
    <n v="6"/>
    <n v="1"/>
    <n v="0.3"/>
    <n v="0"/>
    <n v="0.28789999999999999"/>
    <n v="0.81"/>
    <n v="0"/>
    <n v="3"/>
    <n v="13"/>
    <n v="16"/>
  </r>
  <r>
    <n v="340"/>
    <d v="2011-01-15T00:00:00"/>
    <n v="1"/>
    <n v="1"/>
    <x v="15"/>
    <b v="0"/>
    <n v="6"/>
    <n v="2"/>
    <n v="0.32"/>
    <n v="0"/>
    <n v="0.28789999999999999"/>
    <n v="0.81"/>
    <n v="0"/>
    <n v="3"/>
    <n v="13"/>
    <n v="16"/>
  </r>
  <r>
    <n v="341"/>
    <d v="2011-01-15T00:00:00"/>
    <n v="1"/>
    <n v="1"/>
    <x v="16"/>
    <b v="0"/>
    <n v="6"/>
    <n v="2"/>
    <n v="0.34"/>
    <n v="0"/>
    <n v="0.28789999999999999"/>
    <n v="0.81"/>
    <n v="0"/>
    <n v="3"/>
    <n v="13"/>
    <n v="16"/>
  </r>
  <r>
    <n v="342"/>
    <d v="2011-01-15T00:00:00"/>
    <n v="1"/>
    <n v="1"/>
    <x v="17"/>
    <b v="0"/>
    <n v="6"/>
    <n v="2"/>
    <n v="0.32"/>
    <n v="0"/>
    <n v="0.28789999999999999"/>
    <n v="0.81"/>
    <n v="0"/>
    <n v="3"/>
    <n v="13"/>
    <n v="16"/>
  </r>
  <r>
    <n v="343"/>
    <d v="2011-01-15T00:00:00"/>
    <n v="1"/>
    <n v="1"/>
    <x v="18"/>
    <b v="0"/>
    <n v="6"/>
    <n v="2"/>
    <n v="0.3"/>
    <n v="0"/>
    <n v="0.28789999999999999"/>
    <n v="0.81"/>
    <n v="0"/>
    <n v="3"/>
    <n v="13"/>
    <n v="16"/>
  </r>
  <r>
    <n v="344"/>
    <d v="2011-01-15T00:00:00"/>
    <n v="1"/>
    <n v="1"/>
    <x v="19"/>
    <b v="0"/>
    <n v="6"/>
    <n v="2"/>
    <n v="0.32"/>
    <n v="0"/>
    <n v="0.28789999999999999"/>
    <n v="0.81"/>
    <n v="0"/>
    <n v="3"/>
    <n v="13"/>
    <n v="16"/>
  </r>
  <r>
    <n v="345"/>
    <d v="2011-01-15T00:00:00"/>
    <n v="1"/>
    <n v="1"/>
    <x v="20"/>
    <b v="0"/>
    <n v="6"/>
    <n v="2"/>
    <n v="0.32"/>
    <n v="0"/>
    <n v="0.28789999999999999"/>
    <n v="0.81"/>
    <n v="0"/>
    <n v="3"/>
    <n v="13"/>
    <n v="16"/>
  </r>
  <r>
    <n v="346"/>
    <d v="2011-01-15T00:00:00"/>
    <n v="1"/>
    <n v="1"/>
    <x v="21"/>
    <b v="0"/>
    <n v="6"/>
    <n v="2"/>
    <n v="0.32"/>
    <n v="0"/>
    <n v="0.28789999999999999"/>
    <n v="0.81"/>
    <n v="0"/>
    <n v="3"/>
    <n v="13"/>
    <n v="16"/>
  </r>
  <r>
    <n v="347"/>
    <d v="2011-01-15T00:00:00"/>
    <n v="1"/>
    <n v="1"/>
    <x v="22"/>
    <b v="0"/>
    <n v="6"/>
    <n v="2"/>
    <n v="0.3"/>
    <n v="0"/>
    <n v="0.28789999999999999"/>
    <n v="0.81"/>
    <n v="0"/>
    <n v="3"/>
    <n v="13"/>
    <n v="16"/>
  </r>
  <r>
    <n v="348"/>
    <d v="2011-01-15T00:00:00"/>
    <n v="1"/>
    <n v="1"/>
    <x v="23"/>
    <b v="0"/>
    <n v="6"/>
    <n v="1"/>
    <n v="0.3"/>
    <n v="0"/>
    <n v="0.28789999999999999"/>
    <n v="0.81"/>
    <n v="0"/>
    <n v="3"/>
    <n v="13"/>
    <n v="16"/>
  </r>
  <r>
    <n v="349"/>
    <d v="2011-01-16T00:00:00"/>
    <n v="1"/>
    <n v="1"/>
    <x v="0"/>
    <b v="0"/>
    <n v="0"/>
    <n v="1"/>
    <n v="0.26"/>
    <n v="0"/>
    <n v="0.28789999999999999"/>
    <n v="0.81"/>
    <n v="0"/>
    <n v="3"/>
    <n v="13"/>
    <n v="16"/>
  </r>
  <r>
    <n v="350"/>
    <d v="2011-01-16T00:00:00"/>
    <n v="1"/>
    <n v="1"/>
    <x v="1"/>
    <b v="0"/>
    <n v="0"/>
    <n v="1"/>
    <n v="0.26"/>
    <n v="0"/>
    <n v="0.28789999999999999"/>
    <n v="0.81"/>
    <n v="0"/>
    <n v="3"/>
    <n v="13"/>
    <n v="16"/>
  </r>
  <r>
    <n v="351"/>
    <d v="2011-01-16T00:00:00"/>
    <n v="1"/>
    <n v="1"/>
    <x v="2"/>
    <b v="0"/>
    <n v="0"/>
    <n v="1"/>
    <n v="0.26"/>
    <n v="0"/>
    <n v="0.28789999999999999"/>
    <n v="0.81"/>
    <n v="0"/>
    <n v="3"/>
    <n v="13"/>
    <n v="16"/>
  </r>
  <r>
    <n v="352"/>
    <d v="2011-01-16T00:00:00"/>
    <n v="1"/>
    <n v="1"/>
    <x v="3"/>
    <b v="0"/>
    <n v="0"/>
    <n v="1"/>
    <n v="0.22"/>
    <n v="0"/>
    <n v="0.28789999999999999"/>
    <n v="0.81"/>
    <n v="0"/>
    <n v="3"/>
    <n v="13"/>
    <n v="16"/>
  </r>
  <r>
    <n v="353"/>
    <d v="2011-01-16T00:00:00"/>
    <n v="1"/>
    <n v="1"/>
    <x v="4"/>
    <b v="0"/>
    <n v="0"/>
    <n v="1"/>
    <n v="0.26"/>
    <n v="0"/>
    <n v="0.28789999999999999"/>
    <n v="0.81"/>
    <n v="0"/>
    <n v="3"/>
    <n v="13"/>
    <n v="16"/>
  </r>
  <r>
    <n v="354"/>
    <d v="2011-01-16T00:00:00"/>
    <n v="1"/>
    <n v="1"/>
    <x v="5"/>
    <b v="0"/>
    <n v="0"/>
    <n v="2"/>
    <n v="0.26"/>
    <n v="0"/>
    <n v="0.28789999999999999"/>
    <n v="0.81"/>
    <n v="0"/>
    <n v="3"/>
    <n v="13"/>
    <n v="16"/>
  </r>
  <r>
    <n v="355"/>
    <d v="2011-01-16T00:00:00"/>
    <n v="1"/>
    <n v="1"/>
    <x v="6"/>
    <b v="0"/>
    <n v="0"/>
    <n v="2"/>
    <n v="0.26"/>
    <n v="0"/>
    <n v="0.28789999999999999"/>
    <n v="0.81"/>
    <n v="0"/>
    <n v="3"/>
    <n v="13"/>
    <n v="16"/>
  </r>
  <r>
    <n v="356"/>
    <d v="2011-01-16T00:00:00"/>
    <n v="1"/>
    <n v="1"/>
    <x v="7"/>
    <b v="0"/>
    <n v="0"/>
    <n v="2"/>
    <n v="0.24"/>
    <n v="0"/>
    <n v="0.28789999999999999"/>
    <n v="0.81"/>
    <n v="0"/>
    <n v="3"/>
    <n v="13"/>
    <n v="16"/>
  </r>
  <r>
    <n v="357"/>
    <d v="2011-01-16T00:00:00"/>
    <n v="1"/>
    <n v="1"/>
    <x v="8"/>
    <b v="0"/>
    <n v="0"/>
    <n v="1"/>
    <n v="0.22"/>
    <n v="0"/>
    <n v="0.28789999999999999"/>
    <n v="0.81"/>
    <n v="0"/>
    <n v="3"/>
    <n v="13"/>
    <n v="16"/>
  </r>
  <r>
    <n v="358"/>
    <d v="2011-01-16T00:00:00"/>
    <n v="1"/>
    <n v="1"/>
    <x v="9"/>
    <b v="0"/>
    <n v="0"/>
    <n v="1"/>
    <n v="0.22"/>
    <n v="0"/>
    <n v="0.28789999999999999"/>
    <n v="0.81"/>
    <n v="0"/>
    <n v="3"/>
    <n v="13"/>
    <n v="16"/>
  </r>
  <r>
    <n v="359"/>
    <d v="2011-01-16T00:00:00"/>
    <n v="1"/>
    <n v="1"/>
    <x v="10"/>
    <b v="0"/>
    <n v="0"/>
    <n v="1"/>
    <n v="0.22"/>
    <n v="0"/>
    <n v="0.28789999999999999"/>
    <n v="0.81"/>
    <n v="0"/>
    <n v="3"/>
    <n v="13"/>
    <n v="16"/>
  </r>
  <r>
    <n v="360"/>
    <d v="2011-01-16T00:00:00"/>
    <n v="1"/>
    <n v="1"/>
    <x v="11"/>
    <b v="0"/>
    <n v="0"/>
    <n v="1"/>
    <n v="0.24"/>
    <n v="0"/>
    <n v="0.28789999999999999"/>
    <n v="0.81"/>
    <n v="0"/>
    <n v="3"/>
    <n v="13"/>
    <n v="16"/>
  </r>
  <r>
    <n v="361"/>
    <d v="2011-01-16T00:00:00"/>
    <n v="1"/>
    <n v="1"/>
    <x v="12"/>
    <b v="0"/>
    <n v="0"/>
    <n v="1"/>
    <n v="0.24"/>
    <n v="0"/>
    <n v="0.28789999999999999"/>
    <n v="0.81"/>
    <n v="0"/>
    <n v="3"/>
    <n v="13"/>
    <n v="16"/>
  </r>
  <r>
    <n v="362"/>
    <d v="2011-01-16T00:00:00"/>
    <n v="1"/>
    <n v="1"/>
    <x v="13"/>
    <b v="0"/>
    <n v="0"/>
    <n v="1"/>
    <n v="0.26"/>
    <n v="0"/>
    <n v="0.28789999999999999"/>
    <n v="0.81"/>
    <n v="0"/>
    <n v="3"/>
    <n v="13"/>
    <n v="16"/>
  </r>
  <r>
    <n v="363"/>
    <d v="2011-01-16T00:00:00"/>
    <n v="1"/>
    <n v="1"/>
    <x v="14"/>
    <b v="0"/>
    <n v="0"/>
    <n v="1"/>
    <n v="0.28000000000000003"/>
    <n v="0"/>
    <n v="0.28789999999999999"/>
    <n v="0.81"/>
    <n v="0"/>
    <n v="3"/>
    <n v="13"/>
    <n v="16"/>
  </r>
  <r>
    <n v="364"/>
    <d v="2011-01-16T00:00:00"/>
    <n v="1"/>
    <n v="1"/>
    <x v="15"/>
    <b v="0"/>
    <n v="0"/>
    <n v="1"/>
    <n v="0.26"/>
    <n v="0"/>
    <n v="0.28789999999999999"/>
    <n v="0.81"/>
    <n v="0"/>
    <n v="3"/>
    <n v="13"/>
    <n v="16"/>
  </r>
  <r>
    <n v="365"/>
    <d v="2011-01-16T00:00:00"/>
    <n v="1"/>
    <n v="1"/>
    <x v="16"/>
    <b v="0"/>
    <n v="0"/>
    <n v="1"/>
    <n v="0.24"/>
    <n v="0"/>
    <n v="0.28789999999999999"/>
    <n v="0.81"/>
    <n v="0"/>
    <n v="3"/>
    <n v="13"/>
    <n v="16"/>
  </r>
  <r>
    <n v="366"/>
    <d v="2011-01-16T00:00:00"/>
    <n v="1"/>
    <n v="1"/>
    <x v="17"/>
    <b v="0"/>
    <n v="0"/>
    <n v="1"/>
    <n v="0.22"/>
    <n v="0"/>
    <n v="0.28789999999999999"/>
    <n v="0.81"/>
    <n v="0"/>
    <n v="3"/>
    <n v="13"/>
    <n v="16"/>
  </r>
  <r>
    <n v="367"/>
    <d v="2011-01-16T00:00:00"/>
    <n v="1"/>
    <n v="1"/>
    <x v="18"/>
    <b v="0"/>
    <n v="0"/>
    <n v="1"/>
    <n v="0.2"/>
    <n v="0"/>
    <n v="0.28789999999999999"/>
    <n v="0.81"/>
    <n v="0"/>
    <n v="3"/>
    <n v="13"/>
    <n v="16"/>
  </r>
  <r>
    <n v="368"/>
    <d v="2011-01-16T00:00:00"/>
    <n v="1"/>
    <n v="1"/>
    <x v="19"/>
    <b v="0"/>
    <n v="0"/>
    <n v="1"/>
    <n v="0.18"/>
    <n v="0"/>
    <n v="0.28789999999999999"/>
    <n v="0.81"/>
    <n v="0"/>
    <n v="3"/>
    <n v="13"/>
    <n v="16"/>
  </r>
  <r>
    <n v="369"/>
    <d v="2011-01-16T00:00:00"/>
    <n v="1"/>
    <n v="1"/>
    <x v="20"/>
    <b v="0"/>
    <n v="0"/>
    <n v="1"/>
    <n v="0.18"/>
    <n v="0"/>
    <n v="0.28789999999999999"/>
    <n v="0.81"/>
    <n v="0"/>
    <n v="3"/>
    <n v="13"/>
    <n v="16"/>
  </r>
  <r>
    <n v="370"/>
    <d v="2011-01-16T00:00:00"/>
    <n v="1"/>
    <n v="1"/>
    <x v="21"/>
    <b v="0"/>
    <n v="0"/>
    <n v="1"/>
    <n v="0.18"/>
    <n v="0"/>
    <n v="0.28789999999999999"/>
    <n v="0.81"/>
    <n v="0"/>
    <n v="3"/>
    <n v="13"/>
    <n v="16"/>
  </r>
  <r>
    <n v="371"/>
    <d v="2011-01-16T00:00:00"/>
    <n v="1"/>
    <n v="1"/>
    <x v="22"/>
    <b v="0"/>
    <n v="0"/>
    <n v="2"/>
    <n v="0.2"/>
    <n v="0"/>
    <n v="0.28789999999999999"/>
    <n v="0.81"/>
    <n v="0"/>
    <n v="3"/>
    <n v="13"/>
    <n v="16"/>
  </r>
  <r>
    <n v="372"/>
    <d v="2011-01-16T00:00:00"/>
    <n v="1"/>
    <n v="1"/>
    <x v="23"/>
    <b v="0"/>
    <n v="0"/>
    <n v="2"/>
    <n v="0.2"/>
    <n v="0"/>
    <n v="0.28789999999999999"/>
    <n v="0.81"/>
    <n v="0"/>
    <n v="3"/>
    <n v="13"/>
    <n v="16"/>
  </r>
  <r>
    <n v="373"/>
    <d v="2011-01-17T00:00:00"/>
    <n v="1"/>
    <n v="1"/>
    <x v="0"/>
    <b v="1"/>
    <n v="1"/>
    <n v="2"/>
    <n v="0.2"/>
    <n v="0"/>
    <n v="0.28789999999999999"/>
    <n v="0.81"/>
    <n v="0"/>
    <n v="3"/>
    <n v="13"/>
    <n v="16"/>
  </r>
  <r>
    <n v="374"/>
    <d v="2011-01-17T00:00:00"/>
    <n v="1"/>
    <n v="1"/>
    <x v="1"/>
    <b v="1"/>
    <n v="1"/>
    <n v="2"/>
    <n v="0.2"/>
    <n v="0"/>
    <n v="0.28789999999999999"/>
    <n v="0.81"/>
    <n v="0"/>
    <n v="3"/>
    <n v="13"/>
    <n v="16"/>
  </r>
  <r>
    <n v="375"/>
    <d v="2011-01-17T00:00:00"/>
    <n v="1"/>
    <n v="1"/>
    <x v="2"/>
    <b v="1"/>
    <n v="1"/>
    <n v="2"/>
    <n v="0.18"/>
    <n v="0"/>
    <n v="0.28789999999999999"/>
    <n v="0.81"/>
    <n v="0"/>
    <n v="3"/>
    <n v="13"/>
    <n v="16"/>
  </r>
  <r>
    <n v="376"/>
    <d v="2011-01-17T00:00:00"/>
    <n v="1"/>
    <n v="1"/>
    <x v="3"/>
    <b v="1"/>
    <n v="1"/>
    <n v="2"/>
    <n v="0.18"/>
    <n v="0"/>
    <n v="0.28789999999999999"/>
    <n v="0.81"/>
    <n v="0"/>
    <n v="3"/>
    <n v="13"/>
    <n v="16"/>
  </r>
  <r>
    <n v="377"/>
    <d v="2011-01-17T00:00:00"/>
    <n v="1"/>
    <n v="1"/>
    <x v="4"/>
    <b v="1"/>
    <n v="1"/>
    <n v="2"/>
    <n v="0.18"/>
    <n v="0"/>
    <n v="0.28789999999999999"/>
    <n v="0.81"/>
    <n v="0"/>
    <n v="3"/>
    <n v="13"/>
    <n v="16"/>
  </r>
  <r>
    <n v="378"/>
    <d v="2011-01-17T00:00:00"/>
    <n v="1"/>
    <n v="1"/>
    <x v="5"/>
    <b v="1"/>
    <n v="1"/>
    <n v="2"/>
    <n v="0.18"/>
    <n v="0"/>
    <n v="0.28789999999999999"/>
    <n v="0.81"/>
    <n v="0"/>
    <n v="3"/>
    <n v="13"/>
    <n v="16"/>
  </r>
  <r>
    <n v="379"/>
    <d v="2011-01-17T00:00:00"/>
    <n v="1"/>
    <n v="1"/>
    <x v="6"/>
    <b v="1"/>
    <n v="1"/>
    <n v="2"/>
    <n v="0.18"/>
    <n v="0"/>
    <n v="0.28789999999999999"/>
    <n v="0.81"/>
    <n v="0"/>
    <n v="3"/>
    <n v="13"/>
    <n v="16"/>
  </r>
  <r>
    <n v="380"/>
    <d v="2011-01-17T00:00:00"/>
    <n v="1"/>
    <n v="1"/>
    <x v="7"/>
    <b v="1"/>
    <n v="1"/>
    <n v="2"/>
    <n v="0.16"/>
    <n v="0"/>
    <n v="0.28789999999999999"/>
    <n v="0.81"/>
    <n v="0"/>
    <n v="3"/>
    <n v="13"/>
    <n v="16"/>
  </r>
  <r>
    <n v="381"/>
    <d v="2011-01-17T00:00:00"/>
    <n v="1"/>
    <n v="1"/>
    <x v="8"/>
    <b v="1"/>
    <n v="1"/>
    <n v="2"/>
    <n v="0.16"/>
    <n v="0"/>
    <n v="0.28789999999999999"/>
    <n v="0.81"/>
    <n v="0"/>
    <n v="3"/>
    <n v="13"/>
    <n v="16"/>
  </r>
  <r>
    <n v="382"/>
    <d v="2011-01-17T00:00:00"/>
    <n v="1"/>
    <n v="1"/>
    <x v="9"/>
    <b v="1"/>
    <n v="1"/>
    <n v="2"/>
    <n v="0.16"/>
    <n v="0"/>
    <n v="0.28789999999999999"/>
    <n v="0.81"/>
    <n v="0"/>
    <n v="3"/>
    <n v="13"/>
    <n v="16"/>
  </r>
  <r>
    <n v="383"/>
    <d v="2011-01-17T00:00:00"/>
    <n v="1"/>
    <n v="1"/>
    <x v="10"/>
    <b v="1"/>
    <n v="1"/>
    <n v="2"/>
    <n v="0.16"/>
    <n v="0"/>
    <n v="0.28789999999999999"/>
    <n v="0.81"/>
    <n v="0"/>
    <n v="3"/>
    <n v="13"/>
    <n v="16"/>
  </r>
  <r>
    <n v="384"/>
    <d v="2011-01-17T00:00:00"/>
    <n v="1"/>
    <n v="1"/>
    <x v="11"/>
    <b v="1"/>
    <n v="1"/>
    <n v="2"/>
    <n v="0.16"/>
    <n v="0"/>
    <n v="0.28789999999999999"/>
    <n v="0.81"/>
    <n v="0"/>
    <n v="3"/>
    <n v="13"/>
    <n v="16"/>
  </r>
  <r>
    <n v="385"/>
    <d v="2011-01-17T00:00:00"/>
    <n v="1"/>
    <n v="1"/>
    <x v="12"/>
    <b v="1"/>
    <n v="1"/>
    <n v="2"/>
    <n v="0.18"/>
    <n v="0"/>
    <n v="0.28789999999999999"/>
    <n v="0.81"/>
    <n v="0"/>
    <n v="3"/>
    <n v="13"/>
    <n v="16"/>
  </r>
  <r>
    <n v="386"/>
    <d v="2011-01-17T00:00:00"/>
    <n v="1"/>
    <n v="1"/>
    <x v="13"/>
    <b v="1"/>
    <n v="1"/>
    <n v="2"/>
    <n v="0.18"/>
    <n v="0"/>
    <n v="0.28789999999999999"/>
    <n v="0.81"/>
    <n v="0"/>
    <n v="3"/>
    <n v="13"/>
    <n v="16"/>
  </r>
  <r>
    <n v="387"/>
    <d v="2011-01-17T00:00:00"/>
    <n v="1"/>
    <n v="1"/>
    <x v="14"/>
    <b v="1"/>
    <n v="1"/>
    <n v="2"/>
    <n v="0.18"/>
    <n v="0"/>
    <n v="0.28789999999999999"/>
    <n v="0.81"/>
    <n v="0"/>
    <n v="3"/>
    <n v="13"/>
    <n v="16"/>
  </r>
  <r>
    <n v="388"/>
    <d v="2011-01-17T00:00:00"/>
    <n v="1"/>
    <n v="1"/>
    <x v="15"/>
    <b v="1"/>
    <n v="1"/>
    <n v="2"/>
    <n v="0.2"/>
    <n v="0"/>
    <n v="0.28789999999999999"/>
    <n v="0.81"/>
    <n v="0"/>
    <n v="3"/>
    <n v="13"/>
    <n v="16"/>
  </r>
  <r>
    <n v="389"/>
    <d v="2011-01-17T00:00:00"/>
    <n v="1"/>
    <n v="1"/>
    <x v="16"/>
    <b v="1"/>
    <n v="1"/>
    <n v="2"/>
    <n v="0.2"/>
    <n v="0"/>
    <n v="0.28789999999999999"/>
    <n v="0.81"/>
    <n v="0"/>
    <n v="3"/>
    <n v="13"/>
    <n v="16"/>
  </r>
  <r>
    <n v="390"/>
    <d v="2011-01-17T00:00:00"/>
    <n v="1"/>
    <n v="1"/>
    <x v="17"/>
    <b v="1"/>
    <n v="1"/>
    <n v="1"/>
    <n v="0.2"/>
    <n v="0"/>
    <n v="0.28789999999999999"/>
    <n v="0.81"/>
    <n v="0"/>
    <n v="3"/>
    <n v="13"/>
    <n v="16"/>
  </r>
  <r>
    <n v="391"/>
    <d v="2011-01-17T00:00:00"/>
    <n v="1"/>
    <n v="1"/>
    <x v="18"/>
    <b v="1"/>
    <n v="1"/>
    <n v="2"/>
    <n v="0.18"/>
    <n v="0"/>
    <n v="0.28789999999999999"/>
    <n v="0.81"/>
    <n v="0"/>
    <n v="3"/>
    <n v="13"/>
    <n v="16"/>
  </r>
  <r>
    <n v="392"/>
    <d v="2011-01-17T00:00:00"/>
    <n v="1"/>
    <n v="1"/>
    <x v="19"/>
    <b v="1"/>
    <n v="1"/>
    <n v="3"/>
    <n v="0.18"/>
    <n v="0"/>
    <n v="0.28789999999999999"/>
    <n v="0.81"/>
    <n v="0"/>
    <n v="3"/>
    <n v="13"/>
    <n v="16"/>
  </r>
  <r>
    <n v="393"/>
    <d v="2011-01-17T00:00:00"/>
    <n v="1"/>
    <n v="1"/>
    <x v="20"/>
    <b v="1"/>
    <n v="1"/>
    <n v="3"/>
    <n v="0.16"/>
    <n v="0"/>
    <n v="0.28789999999999999"/>
    <n v="0.81"/>
    <n v="0"/>
    <n v="3"/>
    <n v="13"/>
    <n v="16"/>
  </r>
  <r>
    <n v="394"/>
    <d v="2011-01-17T00:00:00"/>
    <n v="1"/>
    <n v="1"/>
    <x v="21"/>
    <b v="1"/>
    <n v="1"/>
    <n v="3"/>
    <n v="0.16"/>
    <n v="0"/>
    <n v="0.28789999999999999"/>
    <n v="0.81"/>
    <n v="0"/>
    <n v="3"/>
    <n v="13"/>
    <n v="16"/>
  </r>
  <r>
    <n v="395"/>
    <d v="2011-01-17T00:00:00"/>
    <n v="1"/>
    <n v="1"/>
    <x v="22"/>
    <b v="1"/>
    <n v="1"/>
    <n v="3"/>
    <n v="0.14000000000000001"/>
    <n v="0"/>
    <n v="0.28789999999999999"/>
    <n v="0.81"/>
    <n v="0"/>
    <n v="3"/>
    <n v="13"/>
    <n v="16"/>
  </r>
  <r>
    <n v="396"/>
    <d v="2011-01-17T00:00:00"/>
    <n v="1"/>
    <n v="1"/>
    <x v="23"/>
    <b v="1"/>
    <n v="1"/>
    <n v="3"/>
    <n v="0.16"/>
    <n v="0"/>
    <n v="0.28789999999999999"/>
    <n v="0.81"/>
    <n v="0"/>
    <n v="3"/>
    <n v="13"/>
    <n v="16"/>
  </r>
  <r>
    <n v="397"/>
    <d v="2011-01-18T00:00:00"/>
    <n v="1"/>
    <n v="1"/>
    <x v="12"/>
    <b v="0"/>
    <n v="2"/>
    <n v="2"/>
    <n v="0.2"/>
    <n v="0"/>
    <n v="0.28789999999999999"/>
    <n v="0.81"/>
    <n v="0"/>
    <n v="3"/>
    <n v="13"/>
    <n v="16"/>
  </r>
  <r>
    <n v="398"/>
    <d v="2011-01-18T00:00:00"/>
    <n v="1"/>
    <n v="1"/>
    <x v="13"/>
    <b v="0"/>
    <n v="2"/>
    <n v="2"/>
    <n v="0.2"/>
    <n v="0"/>
    <n v="0.28789999999999999"/>
    <n v="0.81"/>
    <n v="0"/>
    <n v="3"/>
    <n v="13"/>
    <n v="16"/>
  </r>
  <r>
    <n v="399"/>
    <d v="2011-01-18T00:00:00"/>
    <n v="1"/>
    <n v="1"/>
    <x v="14"/>
    <b v="0"/>
    <n v="2"/>
    <n v="2"/>
    <n v="0.22"/>
    <n v="0"/>
    <n v="0.28789999999999999"/>
    <n v="0.81"/>
    <n v="0"/>
    <n v="3"/>
    <n v="13"/>
    <n v="16"/>
  </r>
  <r>
    <n v="400"/>
    <d v="2011-01-18T00:00:00"/>
    <n v="1"/>
    <n v="1"/>
    <x v="15"/>
    <b v="0"/>
    <n v="2"/>
    <n v="2"/>
    <n v="0.22"/>
    <n v="0"/>
    <n v="0.28789999999999999"/>
    <n v="0.81"/>
    <n v="0"/>
    <n v="3"/>
    <n v="13"/>
    <n v="16"/>
  </r>
  <r>
    <n v="401"/>
    <d v="2011-01-18T00:00:00"/>
    <n v="1"/>
    <n v="1"/>
    <x v="16"/>
    <b v="0"/>
    <n v="2"/>
    <n v="2"/>
    <n v="0.22"/>
    <n v="0"/>
    <n v="0.28789999999999999"/>
    <n v="0.81"/>
    <n v="0"/>
    <n v="3"/>
    <n v="13"/>
    <n v="16"/>
  </r>
  <r>
    <n v="402"/>
    <d v="2011-01-18T00:00:00"/>
    <n v="1"/>
    <n v="1"/>
    <x v="17"/>
    <b v="0"/>
    <n v="2"/>
    <n v="2"/>
    <n v="0.22"/>
    <n v="0"/>
    <n v="0.28789999999999999"/>
    <n v="0.81"/>
    <n v="0"/>
    <n v="3"/>
    <n v="13"/>
    <n v="16"/>
  </r>
  <r>
    <n v="403"/>
    <d v="2011-01-18T00:00:00"/>
    <n v="1"/>
    <n v="1"/>
    <x v="18"/>
    <b v="0"/>
    <n v="2"/>
    <n v="2"/>
    <n v="0.22"/>
    <n v="0"/>
    <n v="0.28789999999999999"/>
    <n v="0.81"/>
    <n v="0"/>
    <n v="3"/>
    <n v="13"/>
    <n v="16"/>
  </r>
  <r>
    <n v="404"/>
    <d v="2011-01-18T00:00:00"/>
    <n v="1"/>
    <n v="1"/>
    <x v="19"/>
    <b v="0"/>
    <n v="2"/>
    <n v="2"/>
    <n v="0.22"/>
    <n v="0"/>
    <n v="0.28789999999999999"/>
    <n v="0.81"/>
    <n v="0"/>
    <n v="3"/>
    <n v="13"/>
    <n v="16"/>
  </r>
  <r>
    <n v="405"/>
    <d v="2011-01-18T00:00:00"/>
    <n v="1"/>
    <n v="1"/>
    <x v="20"/>
    <b v="0"/>
    <n v="2"/>
    <n v="2"/>
    <n v="0.22"/>
    <n v="0"/>
    <n v="0.28789999999999999"/>
    <n v="0.81"/>
    <n v="0"/>
    <n v="3"/>
    <n v="13"/>
    <n v="16"/>
  </r>
  <r>
    <n v="406"/>
    <d v="2011-01-18T00:00:00"/>
    <n v="1"/>
    <n v="1"/>
    <x v="21"/>
    <b v="0"/>
    <n v="2"/>
    <n v="2"/>
    <n v="0.22"/>
    <n v="0"/>
    <n v="0.28789999999999999"/>
    <n v="0.81"/>
    <n v="0"/>
    <n v="3"/>
    <n v="13"/>
    <n v="16"/>
  </r>
  <r>
    <n v="407"/>
    <d v="2011-01-18T00:00:00"/>
    <n v="1"/>
    <n v="1"/>
    <x v="22"/>
    <b v="0"/>
    <n v="2"/>
    <n v="2"/>
    <n v="0.22"/>
    <n v="0"/>
    <n v="0.28789999999999999"/>
    <n v="0.81"/>
    <n v="0"/>
    <n v="3"/>
    <n v="13"/>
    <n v="16"/>
  </r>
  <r>
    <n v="408"/>
    <d v="2011-01-18T00:00:00"/>
    <n v="1"/>
    <n v="1"/>
    <x v="23"/>
    <b v="0"/>
    <n v="2"/>
    <n v="2"/>
    <n v="0.22"/>
    <n v="0"/>
    <n v="0.28789999999999999"/>
    <n v="0.81"/>
    <n v="0"/>
    <n v="3"/>
    <n v="13"/>
    <n v="16"/>
  </r>
  <r>
    <n v="409"/>
    <d v="2011-01-19T00:00:00"/>
    <n v="1"/>
    <n v="1"/>
    <x v="0"/>
    <b v="0"/>
    <n v="3"/>
    <n v="2"/>
    <n v="0.22"/>
    <n v="0"/>
    <n v="0.28789999999999999"/>
    <n v="0.81"/>
    <n v="0"/>
    <n v="3"/>
    <n v="13"/>
    <n v="16"/>
  </r>
  <r>
    <n v="410"/>
    <d v="2011-01-19T00:00:00"/>
    <n v="1"/>
    <n v="1"/>
    <x v="1"/>
    <b v="0"/>
    <n v="3"/>
    <n v="3"/>
    <n v="0.22"/>
    <n v="0"/>
    <n v="0.28789999999999999"/>
    <n v="0.81"/>
    <n v="0"/>
    <n v="3"/>
    <n v="13"/>
    <n v="16"/>
  </r>
  <r>
    <n v="411"/>
    <d v="2011-01-19T00:00:00"/>
    <n v="1"/>
    <n v="1"/>
    <x v="2"/>
    <b v="0"/>
    <n v="3"/>
    <n v="3"/>
    <n v="0.22"/>
    <n v="0"/>
    <n v="0.28789999999999999"/>
    <n v="0.81"/>
    <n v="0"/>
    <n v="3"/>
    <n v="13"/>
    <n v="16"/>
  </r>
  <r>
    <n v="412"/>
    <d v="2011-01-19T00:00:00"/>
    <n v="1"/>
    <n v="1"/>
    <x v="4"/>
    <b v="0"/>
    <n v="3"/>
    <n v="3"/>
    <n v="0.22"/>
    <n v="0"/>
    <n v="0.28789999999999999"/>
    <n v="0.81"/>
    <n v="0"/>
    <n v="3"/>
    <n v="13"/>
    <n v="16"/>
  </r>
  <r>
    <n v="413"/>
    <d v="2011-01-19T00:00:00"/>
    <n v="1"/>
    <n v="1"/>
    <x v="5"/>
    <b v="0"/>
    <n v="3"/>
    <n v="2"/>
    <n v="0.22"/>
    <n v="0"/>
    <n v="0.28789999999999999"/>
    <n v="0.81"/>
    <n v="0"/>
    <n v="3"/>
    <n v="13"/>
    <n v="16"/>
  </r>
  <r>
    <n v="414"/>
    <d v="2011-01-19T00:00:00"/>
    <n v="1"/>
    <n v="1"/>
    <x v="6"/>
    <b v="0"/>
    <n v="3"/>
    <n v="2"/>
    <n v="0.22"/>
    <n v="0"/>
    <n v="0.28789999999999999"/>
    <n v="0.81"/>
    <n v="0"/>
    <n v="3"/>
    <n v="13"/>
    <n v="16"/>
  </r>
  <r>
    <n v="415"/>
    <d v="2011-01-19T00:00:00"/>
    <n v="1"/>
    <n v="1"/>
    <x v="7"/>
    <b v="0"/>
    <n v="3"/>
    <n v="2"/>
    <n v="0.24"/>
    <n v="0"/>
    <n v="0.28789999999999999"/>
    <n v="0.81"/>
    <n v="0"/>
    <n v="3"/>
    <n v="13"/>
    <n v="16"/>
  </r>
  <r>
    <n v="416"/>
    <d v="2011-01-19T00:00:00"/>
    <n v="1"/>
    <n v="1"/>
    <x v="8"/>
    <b v="0"/>
    <n v="3"/>
    <n v="2"/>
    <n v="0.24"/>
    <n v="0"/>
    <n v="0.28789999999999999"/>
    <n v="0.81"/>
    <n v="0"/>
    <n v="3"/>
    <n v="13"/>
    <n v="16"/>
  </r>
  <r>
    <n v="417"/>
    <d v="2011-01-19T00:00:00"/>
    <n v="1"/>
    <n v="1"/>
    <x v="9"/>
    <b v="0"/>
    <n v="3"/>
    <n v="2"/>
    <n v="0.24"/>
    <n v="0"/>
    <n v="0.28789999999999999"/>
    <n v="0.81"/>
    <n v="0"/>
    <n v="3"/>
    <n v="13"/>
    <n v="16"/>
  </r>
  <r>
    <n v="418"/>
    <d v="2011-01-19T00:00:00"/>
    <n v="1"/>
    <n v="1"/>
    <x v="10"/>
    <b v="0"/>
    <n v="3"/>
    <n v="2"/>
    <n v="0.26"/>
    <n v="0"/>
    <n v="0.28789999999999999"/>
    <n v="0.81"/>
    <n v="0"/>
    <n v="3"/>
    <n v="13"/>
    <n v="16"/>
  </r>
  <r>
    <n v="419"/>
    <d v="2011-01-19T00:00:00"/>
    <n v="1"/>
    <n v="1"/>
    <x v="11"/>
    <b v="0"/>
    <n v="3"/>
    <n v="2"/>
    <n v="0.28000000000000003"/>
    <n v="0"/>
    <n v="0.28789999999999999"/>
    <n v="0.81"/>
    <n v="0"/>
    <n v="3"/>
    <n v="13"/>
    <n v="16"/>
  </r>
  <r>
    <n v="420"/>
    <d v="2011-01-19T00:00:00"/>
    <n v="1"/>
    <n v="1"/>
    <x v="12"/>
    <b v="0"/>
    <n v="3"/>
    <n v="2"/>
    <n v="0.3"/>
    <n v="0"/>
    <n v="0.28789999999999999"/>
    <n v="0.81"/>
    <n v="0"/>
    <n v="3"/>
    <n v="13"/>
    <n v="16"/>
  </r>
  <r>
    <n v="421"/>
    <d v="2011-01-19T00:00:00"/>
    <n v="1"/>
    <n v="1"/>
    <x v="13"/>
    <b v="0"/>
    <n v="3"/>
    <n v="1"/>
    <n v="0.4"/>
    <n v="0"/>
    <n v="0.28789999999999999"/>
    <n v="0.81"/>
    <n v="0"/>
    <n v="3"/>
    <n v="13"/>
    <n v="16"/>
  </r>
  <r>
    <n v="422"/>
    <d v="2011-01-19T00:00:00"/>
    <n v="1"/>
    <n v="1"/>
    <x v="14"/>
    <b v="0"/>
    <n v="3"/>
    <n v="1"/>
    <n v="0.4"/>
    <n v="0"/>
    <n v="0.28789999999999999"/>
    <n v="0.81"/>
    <n v="0"/>
    <n v="3"/>
    <n v="13"/>
    <n v="16"/>
  </r>
  <r>
    <n v="423"/>
    <d v="2011-01-19T00:00:00"/>
    <n v="1"/>
    <n v="1"/>
    <x v="15"/>
    <b v="0"/>
    <n v="3"/>
    <n v="1"/>
    <n v="0.4"/>
    <n v="0"/>
    <n v="0.28789999999999999"/>
    <n v="0.81"/>
    <n v="0"/>
    <n v="3"/>
    <n v="13"/>
    <n v="16"/>
  </r>
  <r>
    <n v="424"/>
    <d v="2011-01-19T00:00:00"/>
    <n v="1"/>
    <n v="1"/>
    <x v="16"/>
    <b v="0"/>
    <n v="3"/>
    <n v="1"/>
    <n v="0.38"/>
    <n v="0"/>
    <n v="0.28789999999999999"/>
    <n v="0.81"/>
    <n v="0"/>
    <n v="3"/>
    <n v="13"/>
    <n v="16"/>
  </r>
  <r>
    <n v="425"/>
    <d v="2011-01-19T00:00:00"/>
    <n v="1"/>
    <n v="1"/>
    <x v="17"/>
    <b v="0"/>
    <n v="3"/>
    <n v="1"/>
    <n v="0.36"/>
    <n v="0"/>
    <n v="0.28789999999999999"/>
    <n v="0.81"/>
    <n v="0"/>
    <n v="3"/>
    <n v="13"/>
    <n v="16"/>
  </r>
  <r>
    <n v="426"/>
    <d v="2011-01-19T00:00:00"/>
    <n v="1"/>
    <n v="1"/>
    <x v="18"/>
    <b v="0"/>
    <n v="3"/>
    <n v="1"/>
    <n v="0.34"/>
    <n v="0"/>
    <n v="0.28789999999999999"/>
    <n v="0.81"/>
    <n v="0"/>
    <n v="3"/>
    <n v="13"/>
    <n v="16"/>
  </r>
  <r>
    <n v="427"/>
    <d v="2011-01-19T00:00:00"/>
    <n v="1"/>
    <n v="1"/>
    <x v="19"/>
    <b v="0"/>
    <n v="3"/>
    <n v="1"/>
    <n v="0.32"/>
    <n v="0"/>
    <n v="0.28789999999999999"/>
    <n v="0.81"/>
    <n v="0"/>
    <n v="3"/>
    <n v="13"/>
    <n v="16"/>
  </r>
  <r>
    <n v="428"/>
    <d v="2011-01-19T00:00:00"/>
    <n v="1"/>
    <n v="1"/>
    <x v="20"/>
    <b v="0"/>
    <n v="3"/>
    <n v="1"/>
    <n v="0.32"/>
    <n v="0"/>
    <n v="0.28789999999999999"/>
    <n v="0.81"/>
    <n v="0"/>
    <n v="3"/>
    <n v="13"/>
    <n v="16"/>
  </r>
  <r>
    <n v="429"/>
    <d v="2011-01-19T00:00:00"/>
    <n v="1"/>
    <n v="1"/>
    <x v="21"/>
    <b v="0"/>
    <n v="3"/>
    <n v="1"/>
    <n v="0.32"/>
    <n v="0"/>
    <n v="0.28789999999999999"/>
    <n v="0.81"/>
    <n v="0"/>
    <n v="3"/>
    <n v="13"/>
    <n v="16"/>
  </r>
  <r>
    <n v="430"/>
    <d v="2011-01-19T00:00:00"/>
    <n v="1"/>
    <n v="1"/>
    <x v="22"/>
    <b v="0"/>
    <n v="3"/>
    <n v="1"/>
    <n v="0.3"/>
    <n v="0"/>
    <n v="0.28789999999999999"/>
    <n v="0.81"/>
    <n v="0"/>
    <n v="3"/>
    <n v="13"/>
    <n v="16"/>
  </r>
  <r>
    <n v="431"/>
    <d v="2011-01-19T00:00:00"/>
    <n v="1"/>
    <n v="1"/>
    <x v="23"/>
    <b v="0"/>
    <n v="3"/>
    <n v="1"/>
    <n v="0.3"/>
    <n v="0"/>
    <n v="0.28789999999999999"/>
    <n v="0.81"/>
    <n v="0"/>
    <n v="3"/>
    <n v="13"/>
    <n v="16"/>
  </r>
  <r>
    <n v="432"/>
    <d v="2011-01-20T00:00:00"/>
    <n v="1"/>
    <n v="1"/>
    <x v="0"/>
    <b v="0"/>
    <n v="4"/>
    <n v="1"/>
    <n v="0.26"/>
    <n v="0"/>
    <n v="0.28789999999999999"/>
    <n v="0.81"/>
    <n v="0"/>
    <n v="3"/>
    <n v="13"/>
    <n v="16"/>
  </r>
  <r>
    <n v="433"/>
    <d v="2011-01-20T00:00:00"/>
    <n v="1"/>
    <n v="1"/>
    <x v="1"/>
    <b v="0"/>
    <n v="4"/>
    <n v="1"/>
    <n v="0.26"/>
    <n v="0"/>
    <n v="0.28789999999999999"/>
    <n v="0.81"/>
    <n v="0"/>
    <n v="3"/>
    <n v="13"/>
    <n v="16"/>
  </r>
  <r>
    <n v="434"/>
    <d v="2011-01-20T00:00:00"/>
    <n v="1"/>
    <n v="1"/>
    <x v="2"/>
    <b v="0"/>
    <n v="4"/>
    <n v="1"/>
    <n v="0.26"/>
    <n v="0"/>
    <n v="0.28789999999999999"/>
    <n v="0.81"/>
    <n v="0"/>
    <n v="3"/>
    <n v="13"/>
    <n v="16"/>
  </r>
  <r>
    <n v="435"/>
    <d v="2011-01-20T00:00:00"/>
    <n v="1"/>
    <n v="1"/>
    <x v="3"/>
    <b v="0"/>
    <n v="4"/>
    <n v="1"/>
    <n v="0.26"/>
    <n v="0"/>
    <n v="0.28789999999999999"/>
    <n v="0.81"/>
    <n v="0"/>
    <n v="3"/>
    <n v="13"/>
    <n v="16"/>
  </r>
  <r>
    <n v="436"/>
    <d v="2011-01-20T00:00:00"/>
    <n v="1"/>
    <n v="1"/>
    <x v="4"/>
    <b v="0"/>
    <n v="4"/>
    <n v="1"/>
    <n v="0.26"/>
    <n v="0"/>
    <n v="0.28789999999999999"/>
    <n v="0.81"/>
    <n v="0"/>
    <n v="3"/>
    <n v="13"/>
    <n v="16"/>
  </r>
  <r>
    <n v="437"/>
    <d v="2011-01-20T00:00:00"/>
    <n v="1"/>
    <n v="1"/>
    <x v="5"/>
    <b v="0"/>
    <n v="4"/>
    <n v="1"/>
    <n v="0.24"/>
    <n v="0"/>
    <n v="0.28789999999999999"/>
    <n v="0.81"/>
    <n v="0"/>
    <n v="3"/>
    <n v="13"/>
    <n v="16"/>
  </r>
  <r>
    <n v="438"/>
    <d v="2011-01-20T00:00:00"/>
    <n v="1"/>
    <n v="1"/>
    <x v="6"/>
    <b v="0"/>
    <n v="4"/>
    <n v="1"/>
    <n v="0.22"/>
    <n v="0"/>
    <n v="0.28789999999999999"/>
    <n v="0.81"/>
    <n v="0"/>
    <n v="3"/>
    <n v="13"/>
    <n v="16"/>
  </r>
  <r>
    <n v="439"/>
    <d v="2011-01-20T00:00:00"/>
    <n v="1"/>
    <n v="1"/>
    <x v="7"/>
    <b v="0"/>
    <n v="4"/>
    <n v="1"/>
    <n v="0.22"/>
    <n v="0"/>
    <n v="0.28789999999999999"/>
    <n v="0.81"/>
    <n v="0"/>
    <n v="3"/>
    <n v="13"/>
    <n v="16"/>
  </r>
  <r>
    <n v="440"/>
    <d v="2011-01-20T00:00:00"/>
    <n v="1"/>
    <n v="1"/>
    <x v="8"/>
    <b v="0"/>
    <n v="4"/>
    <n v="1"/>
    <n v="0.22"/>
    <n v="0"/>
    <n v="0.28789999999999999"/>
    <n v="0.81"/>
    <n v="0"/>
    <n v="3"/>
    <n v="13"/>
    <n v="16"/>
  </r>
  <r>
    <n v="441"/>
    <d v="2011-01-20T00:00:00"/>
    <n v="1"/>
    <n v="1"/>
    <x v="9"/>
    <b v="0"/>
    <n v="4"/>
    <n v="2"/>
    <n v="0.24"/>
    <n v="0"/>
    <n v="0.28789999999999999"/>
    <n v="0.81"/>
    <n v="0"/>
    <n v="3"/>
    <n v="13"/>
    <n v="16"/>
  </r>
  <r>
    <n v="442"/>
    <d v="2011-01-20T00:00:00"/>
    <n v="1"/>
    <n v="1"/>
    <x v="10"/>
    <b v="0"/>
    <n v="4"/>
    <n v="1"/>
    <n v="0.26"/>
    <n v="0"/>
    <n v="0.28789999999999999"/>
    <n v="0.81"/>
    <n v="0"/>
    <n v="3"/>
    <n v="13"/>
    <n v="16"/>
  </r>
  <r>
    <n v="443"/>
    <d v="2011-01-20T00:00:00"/>
    <n v="1"/>
    <n v="1"/>
    <x v="11"/>
    <b v="0"/>
    <n v="4"/>
    <n v="2"/>
    <n v="0.28000000000000003"/>
    <n v="0"/>
    <n v="0.28789999999999999"/>
    <n v="0.81"/>
    <n v="0"/>
    <n v="3"/>
    <n v="13"/>
    <n v="16"/>
  </r>
  <r>
    <n v="444"/>
    <d v="2011-01-20T00:00:00"/>
    <n v="1"/>
    <n v="1"/>
    <x v="12"/>
    <b v="0"/>
    <n v="4"/>
    <n v="2"/>
    <n v="0.3"/>
    <n v="0"/>
    <n v="0.28789999999999999"/>
    <n v="0.81"/>
    <n v="0"/>
    <n v="3"/>
    <n v="13"/>
    <n v="16"/>
  </r>
  <r>
    <n v="445"/>
    <d v="2011-01-20T00:00:00"/>
    <n v="1"/>
    <n v="1"/>
    <x v="13"/>
    <b v="0"/>
    <n v="4"/>
    <n v="2"/>
    <n v="0.28000000000000003"/>
    <n v="0"/>
    <n v="0.28789999999999999"/>
    <n v="0.81"/>
    <n v="0"/>
    <n v="3"/>
    <n v="13"/>
    <n v="16"/>
  </r>
  <r>
    <n v="446"/>
    <d v="2011-01-20T00:00:00"/>
    <n v="1"/>
    <n v="1"/>
    <x v="14"/>
    <b v="0"/>
    <n v="4"/>
    <n v="2"/>
    <n v="0.3"/>
    <n v="0"/>
    <n v="0.28789999999999999"/>
    <n v="0.81"/>
    <n v="0"/>
    <n v="3"/>
    <n v="13"/>
    <n v="16"/>
  </r>
  <r>
    <n v="447"/>
    <d v="2011-01-20T00:00:00"/>
    <n v="1"/>
    <n v="1"/>
    <x v="15"/>
    <b v="0"/>
    <n v="4"/>
    <n v="2"/>
    <n v="0.32"/>
    <n v="0"/>
    <n v="0.28789999999999999"/>
    <n v="0.81"/>
    <n v="0"/>
    <n v="3"/>
    <n v="13"/>
    <n v="16"/>
  </r>
  <r>
    <n v="448"/>
    <d v="2011-01-20T00:00:00"/>
    <n v="1"/>
    <n v="1"/>
    <x v="16"/>
    <b v="0"/>
    <n v="4"/>
    <n v="2"/>
    <n v="0.3"/>
    <n v="0"/>
    <n v="0.28789999999999999"/>
    <n v="0.81"/>
    <n v="0"/>
    <n v="3"/>
    <n v="13"/>
    <n v="16"/>
  </r>
  <r>
    <n v="449"/>
    <d v="2011-01-20T00:00:00"/>
    <n v="1"/>
    <n v="1"/>
    <x v="17"/>
    <b v="0"/>
    <n v="4"/>
    <n v="2"/>
    <n v="0.3"/>
    <n v="0"/>
    <n v="0.28789999999999999"/>
    <n v="0.81"/>
    <n v="0"/>
    <n v="3"/>
    <n v="13"/>
    <n v="16"/>
  </r>
  <r>
    <n v="450"/>
    <d v="2011-01-20T00:00:00"/>
    <n v="1"/>
    <n v="1"/>
    <x v="18"/>
    <b v="0"/>
    <n v="4"/>
    <n v="2"/>
    <n v="0.26"/>
    <n v="0"/>
    <n v="0.28789999999999999"/>
    <n v="0.81"/>
    <n v="0"/>
    <n v="3"/>
    <n v="13"/>
    <n v="16"/>
  </r>
  <r>
    <n v="451"/>
    <d v="2011-01-20T00:00:00"/>
    <n v="1"/>
    <n v="1"/>
    <x v="19"/>
    <b v="0"/>
    <n v="4"/>
    <n v="1"/>
    <n v="0.26"/>
    <n v="0"/>
    <n v="0.28789999999999999"/>
    <n v="0.81"/>
    <n v="0"/>
    <n v="3"/>
    <n v="13"/>
    <n v="16"/>
  </r>
  <r>
    <n v="452"/>
    <d v="2011-01-20T00:00:00"/>
    <n v="1"/>
    <n v="1"/>
    <x v="20"/>
    <b v="0"/>
    <n v="4"/>
    <n v="2"/>
    <n v="0.26"/>
    <n v="0"/>
    <n v="0.28789999999999999"/>
    <n v="0.81"/>
    <n v="0"/>
    <n v="3"/>
    <n v="13"/>
    <n v="16"/>
  </r>
  <r>
    <n v="453"/>
    <d v="2011-01-20T00:00:00"/>
    <n v="1"/>
    <n v="1"/>
    <x v="21"/>
    <b v="0"/>
    <n v="4"/>
    <n v="2"/>
    <n v="0.24"/>
    <n v="0"/>
    <n v="0.28789999999999999"/>
    <n v="0.81"/>
    <n v="0"/>
    <n v="3"/>
    <n v="13"/>
    <n v="16"/>
  </r>
  <r>
    <n v="454"/>
    <d v="2011-01-20T00:00:00"/>
    <n v="1"/>
    <n v="1"/>
    <x v="22"/>
    <b v="0"/>
    <n v="4"/>
    <n v="2"/>
    <n v="0.24"/>
    <n v="0"/>
    <n v="0.28789999999999999"/>
    <n v="0.81"/>
    <n v="0"/>
    <n v="3"/>
    <n v="13"/>
    <n v="16"/>
  </r>
  <r>
    <n v="455"/>
    <d v="2011-01-20T00:00:00"/>
    <n v="1"/>
    <n v="1"/>
    <x v="23"/>
    <b v="0"/>
    <n v="4"/>
    <n v="2"/>
    <n v="0.24"/>
    <n v="0"/>
    <n v="0.28789999999999999"/>
    <n v="0.81"/>
    <n v="0"/>
    <n v="3"/>
    <n v="13"/>
    <n v="16"/>
  </r>
  <r>
    <n v="456"/>
    <d v="2011-01-21T00:00:00"/>
    <n v="1"/>
    <n v="1"/>
    <x v="0"/>
    <b v="0"/>
    <n v="5"/>
    <n v="2"/>
    <n v="0.24"/>
    <n v="0"/>
    <n v="0.28789999999999999"/>
    <n v="0.81"/>
    <n v="0"/>
    <n v="3"/>
    <n v="13"/>
    <n v="16"/>
  </r>
  <r>
    <n v="457"/>
    <d v="2011-01-21T00:00:00"/>
    <n v="1"/>
    <n v="1"/>
    <x v="1"/>
    <b v="0"/>
    <n v="5"/>
    <n v="2"/>
    <n v="0.24"/>
    <n v="0"/>
    <n v="0.28789999999999999"/>
    <n v="0.81"/>
    <n v="0"/>
    <n v="3"/>
    <n v="13"/>
    <n v="16"/>
  </r>
  <r>
    <n v="458"/>
    <d v="2011-01-21T00:00:00"/>
    <n v="1"/>
    <n v="1"/>
    <x v="2"/>
    <b v="0"/>
    <n v="5"/>
    <n v="3"/>
    <n v="0.24"/>
    <n v="0"/>
    <n v="0.28789999999999999"/>
    <n v="0.81"/>
    <n v="0"/>
    <n v="3"/>
    <n v="13"/>
    <n v="16"/>
  </r>
  <r>
    <n v="459"/>
    <d v="2011-01-21T00:00:00"/>
    <n v="1"/>
    <n v="1"/>
    <x v="3"/>
    <b v="0"/>
    <n v="5"/>
    <n v="3"/>
    <n v="0.22"/>
    <n v="0"/>
    <n v="0.28789999999999999"/>
    <n v="0.81"/>
    <n v="0"/>
    <n v="3"/>
    <n v="13"/>
    <n v="16"/>
  </r>
  <r>
    <n v="460"/>
    <d v="2011-01-21T00:00:00"/>
    <n v="1"/>
    <n v="1"/>
    <x v="4"/>
    <b v="0"/>
    <n v="5"/>
    <n v="2"/>
    <n v="0.22"/>
    <n v="0"/>
    <n v="0.28789999999999999"/>
    <n v="0.81"/>
    <n v="0"/>
    <n v="3"/>
    <n v="13"/>
    <n v="16"/>
  </r>
  <r>
    <n v="461"/>
    <d v="2011-01-21T00:00:00"/>
    <n v="1"/>
    <n v="1"/>
    <x v="5"/>
    <b v="0"/>
    <n v="5"/>
    <n v="1"/>
    <n v="0.24"/>
    <n v="0"/>
    <n v="0.28789999999999999"/>
    <n v="0.81"/>
    <n v="0"/>
    <n v="3"/>
    <n v="13"/>
    <n v="16"/>
  </r>
  <r>
    <n v="462"/>
    <d v="2011-01-21T00:00:00"/>
    <n v="1"/>
    <n v="1"/>
    <x v="6"/>
    <b v="0"/>
    <n v="5"/>
    <n v="1"/>
    <n v="0.22"/>
    <n v="0"/>
    <n v="0.28789999999999999"/>
    <n v="0.81"/>
    <n v="0"/>
    <n v="3"/>
    <n v="13"/>
    <n v="16"/>
  </r>
  <r>
    <n v="463"/>
    <d v="2011-01-21T00:00:00"/>
    <n v="1"/>
    <n v="1"/>
    <x v="7"/>
    <b v="0"/>
    <n v="5"/>
    <n v="1"/>
    <n v="0.2"/>
    <n v="0"/>
    <n v="0.28789999999999999"/>
    <n v="0.81"/>
    <n v="0"/>
    <n v="3"/>
    <n v="13"/>
    <n v="16"/>
  </r>
  <r>
    <n v="464"/>
    <d v="2011-01-21T00:00:00"/>
    <n v="1"/>
    <n v="1"/>
    <x v="8"/>
    <b v="0"/>
    <n v="5"/>
    <n v="1"/>
    <n v="0.2"/>
    <n v="0"/>
    <n v="0.28789999999999999"/>
    <n v="0.81"/>
    <n v="0"/>
    <n v="3"/>
    <n v="13"/>
    <n v="16"/>
  </r>
  <r>
    <n v="465"/>
    <d v="2011-01-21T00:00:00"/>
    <n v="1"/>
    <n v="1"/>
    <x v="9"/>
    <b v="0"/>
    <n v="5"/>
    <n v="1"/>
    <n v="0.2"/>
    <n v="0"/>
    <n v="0.28789999999999999"/>
    <n v="0.81"/>
    <n v="0"/>
    <n v="3"/>
    <n v="13"/>
    <n v="16"/>
  </r>
  <r>
    <n v="466"/>
    <d v="2011-01-21T00:00:00"/>
    <n v="1"/>
    <n v="1"/>
    <x v="10"/>
    <b v="0"/>
    <n v="5"/>
    <n v="1"/>
    <n v="0.2"/>
    <n v="0"/>
    <n v="0.28789999999999999"/>
    <n v="0.81"/>
    <n v="0"/>
    <n v="3"/>
    <n v="13"/>
    <n v="16"/>
  </r>
  <r>
    <n v="467"/>
    <d v="2011-01-21T00:00:00"/>
    <n v="1"/>
    <n v="1"/>
    <x v="11"/>
    <b v="0"/>
    <n v="5"/>
    <n v="1"/>
    <n v="0.22"/>
    <n v="0"/>
    <n v="0.28789999999999999"/>
    <n v="0.81"/>
    <n v="0"/>
    <n v="3"/>
    <n v="13"/>
    <n v="16"/>
  </r>
  <r>
    <n v="468"/>
    <d v="2011-01-21T00:00:00"/>
    <n v="1"/>
    <n v="1"/>
    <x v="12"/>
    <b v="0"/>
    <n v="5"/>
    <n v="1"/>
    <n v="0.22"/>
    <n v="0"/>
    <n v="0.28789999999999999"/>
    <n v="0.81"/>
    <n v="0"/>
    <n v="3"/>
    <n v="13"/>
    <n v="16"/>
  </r>
  <r>
    <n v="469"/>
    <d v="2011-01-21T00:00:00"/>
    <n v="1"/>
    <n v="1"/>
    <x v="13"/>
    <b v="0"/>
    <n v="5"/>
    <n v="1"/>
    <n v="0.2"/>
    <n v="0"/>
    <n v="0.28789999999999999"/>
    <n v="0.81"/>
    <n v="0"/>
    <n v="3"/>
    <n v="13"/>
    <n v="16"/>
  </r>
  <r>
    <n v="470"/>
    <d v="2011-01-21T00:00:00"/>
    <n v="1"/>
    <n v="1"/>
    <x v="14"/>
    <b v="0"/>
    <n v="5"/>
    <n v="1"/>
    <n v="0.2"/>
    <n v="0"/>
    <n v="0.28789999999999999"/>
    <n v="0.81"/>
    <n v="0"/>
    <n v="3"/>
    <n v="13"/>
    <n v="16"/>
  </r>
  <r>
    <n v="471"/>
    <d v="2011-01-21T00:00:00"/>
    <n v="1"/>
    <n v="1"/>
    <x v="15"/>
    <b v="0"/>
    <n v="5"/>
    <n v="1"/>
    <n v="0.16"/>
    <n v="0"/>
    <n v="0.28789999999999999"/>
    <n v="0.81"/>
    <n v="0"/>
    <n v="3"/>
    <n v="13"/>
    <n v="16"/>
  </r>
  <r>
    <n v="472"/>
    <d v="2011-01-21T00:00:00"/>
    <n v="1"/>
    <n v="1"/>
    <x v="16"/>
    <b v="0"/>
    <n v="5"/>
    <n v="1"/>
    <n v="0.16"/>
    <n v="0"/>
    <n v="0.28789999999999999"/>
    <n v="0.81"/>
    <n v="0"/>
    <n v="3"/>
    <n v="13"/>
    <n v="16"/>
  </r>
  <r>
    <n v="473"/>
    <d v="2011-01-21T00:00:00"/>
    <n v="1"/>
    <n v="1"/>
    <x v="17"/>
    <b v="0"/>
    <n v="5"/>
    <n v="1"/>
    <n v="0.14000000000000001"/>
    <n v="0"/>
    <n v="0.28789999999999999"/>
    <n v="0.81"/>
    <n v="0"/>
    <n v="3"/>
    <n v="13"/>
    <n v="16"/>
  </r>
  <r>
    <n v="474"/>
    <d v="2011-01-21T00:00:00"/>
    <n v="1"/>
    <n v="1"/>
    <x v="18"/>
    <b v="0"/>
    <n v="5"/>
    <n v="1"/>
    <n v="0.12"/>
    <n v="0"/>
    <n v="0.28789999999999999"/>
    <n v="0.81"/>
    <n v="0"/>
    <n v="3"/>
    <n v="13"/>
    <n v="16"/>
  </r>
  <r>
    <n v="475"/>
    <d v="2011-01-21T00:00:00"/>
    <n v="1"/>
    <n v="1"/>
    <x v="19"/>
    <b v="0"/>
    <n v="5"/>
    <n v="1"/>
    <n v="0.12"/>
    <n v="0"/>
    <n v="0.28789999999999999"/>
    <n v="0.81"/>
    <n v="0"/>
    <n v="3"/>
    <n v="13"/>
    <n v="16"/>
  </r>
  <r>
    <n v="476"/>
    <d v="2011-01-21T00:00:00"/>
    <n v="1"/>
    <n v="1"/>
    <x v="20"/>
    <b v="0"/>
    <n v="5"/>
    <n v="1"/>
    <n v="0.1"/>
    <n v="0"/>
    <n v="0.28789999999999999"/>
    <n v="0.81"/>
    <n v="0"/>
    <n v="3"/>
    <n v="13"/>
    <n v="16"/>
  </r>
  <r>
    <n v="477"/>
    <d v="2011-01-21T00:00:00"/>
    <n v="1"/>
    <n v="1"/>
    <x v="21"/>
    <b v="0"/>
    <n v="5"/>
    <n v="1"/>
    <n v="0.08"/>
    <n v="0"/>
    <n v="0.28789999999999999"/>
    <n v="0.81"/>
    <n v="0"/>
    <n v="3"/>
    <n v="13"/>
    <n v="16"/>
  </r>
  <r>
    <n v="478"/>
    <d v="2011-01-21T00:00:00"/>
    <n v="1"/>
    <n v="1"/>
    <x v="22"/>
    <b v="0"/>
    <n v="5"/>
    <n v="1"/>
    <n v="0.06"/>
    <n v="0"/>
    <n v="0.28789999999999999"/>
    <n v="0.81"/>
    <n v="0"/>
    <n v="3"/>
    <n v="13"/>
    <n v="16"/>
  </r>
  <r>
    <n v="479"/>
    <d v="2011-01-21T00:00:00"/>
    <n v="1"/>
    <n v="1"/>
    <x v="23"/>
    <b v="0"/>
    <n v="5"/>
    <n v="1"/>
    <n v="0.06"/>
    <n v="0"/>
    <n v="0.28789999999999999"/>
    <n v="0.81"/>
    <n v="0"/>
    <n v="3"/>
    <n v="13"/>
    <n v="16"/>
  </r>
  <r>
    <n v="480"/>
    <d v="2011-01-22T00:00:00"/>
    <n v="1"/>
    <n v="1"/>
    <x v="0"/>
    <b v="0"/>
    <n v="6"/>
    <n v="1"/>
    <n v="0.04"/>
    <n v="0"/>
    <n v="0.28789999999999999"/>
    <n v="0.81"/>
    <n v="0"/>
    <n v="3"/>
    <n v="13"/>
    <n v="16"/>
  </r>
  <r>
    <n v="481"/>
    <d v="2011-01-22T00:00:00"/>
    <n v="1"/>
    <n v="1"/>
    <x v="1"/>
    <b v="0"/>
    <n v="6"/>
    <n v="2"/>
    <n v="0.04"/>
    <n v="0"/>
    <n v="0.28789999999999999"/>
    <n v="0.81"/>
    <n v="0"/>
    <n v="3"/>
    <n v="13"/>
    <n v="16"/>
  </r>
  <r>
    <n v="482"/>
    <d v="2011-01-22T00:00:00"/>
    <n v="1"/>
    <n v="1"/>
    <x v="2"/>
    <b v="0"/>
    <n v="6"/>
    <n v="2"/>
    <n v="0.04"/>
    <n v="0"/>
    <n v="0.28789999999999999"/>
    <n v="0.81"/>
    <n v="0"/>
    <n v="3"/>
    <n v="13"/>
    <n v="16"/>
  </r>
  <r>
    <n v="483"/>
    <d v="2011-01-22T00:00:00"/>
    <n v="1"/>
    <n v="1"/>
    <x v="3"/>
    <b v="0"/>
    <n v="6"/>
    <n v="2"/>
    <n v="0.04"/>
    <n v="0"/>
    <n v="0.28789999999999999"/>
    <n v="0.81"/>
    <n v="0"/>
    <n v="3"/>
    <n v="13"/>
    <n v="16"/>
  </r>
  <r>
    <n v="484"/>
    <d v="2011-01-22T00:00:00"/>
    <n v="1"/>
    <n v="1"/>
    <x v="4"/>
    <b v="0"/>
    <n v="6"/>
    <n v="2"/>
    <n v="0.02"/>
    <n v="0"/>
    <n v="0.28789999999999999"/>
    <n v="0.81"/>
    <n v="0"/>
    <n v="3"/>
    <n v="13"/>
    <n v="16"/>
  </r>
  <r>
    <n v="485"/>
    <d v="2011-01-22T00:00:00"/>
    <n v="1"/>
    <n v="1"/>
    <x v="6"/>
    <b v="0"/>
    <n v="6"/>
    <n v="2"/>
    <n v="0.02"/>
    <n v="0"/>
    <n v="0.28789999999999999"/>
    <n v="0.81"/>
    <n v="0"/>
    <n v="3"/>
    <n v="13"/>
    <n v="16"/>
  </r>
  <r>
    <n v="486"/>
    <d v="2011-01-22T00:00:00"/>
    <n v="1"/>
    <n v="1"/>
    <x v="7"/>
    <b v="0"/>
    <n v="6"/>
    <n v="1"/>
    <n v="0.02"/>
    <n v="0"/>
    <n v="0.28789999999999999"/>
    <n v="0.81"/>
    <n v="0"/>
    <n v="3"/>
    <n v="13"/>
    <n v="16"/>
  </r>
  <r>
    <n v="487"/>
    <d v="2011-01-22T00:00:00"/>
    <n v="1"/>
    <n v="1"/>
    <x v="8"/>
    <b v="0"/>
    <n v="6"/>
    <n v="1"/>
    <n v="0.02"/>
    <n v="0"/>
    <n v="0.28789999999999999"/>
    <n v="0.81"/>
    <n v="0"/>
    <n v="3"/>
    <n v="13"/>
    <n v="16"/>
  </r>
  <r>
    <n v="488"/>
    <d v="2011-01-22T00:00:00"/>
    <n v="1"/>
    <n v="1"/>
    <x v="9"/>
    <b v="0"/>
    <n v="6"/>
    <n v="1"/>
    <n v="0.04"/>
    <n v="0"/>
    <n v="0.28789999999999999"/>
    <n v="0.81"/>
    <n v="0"/>
    <n v="3"/>
    <n v="13"/>
    <n v="16"/>
  </r>
  <r>
    <n v="489"/>
    <d v="2011-01-22T00:00:00"/>
    <n v="1"/>
    <n v="1"/>
    <x v="10"/>
    <b v="0"/>
    <n v="6"/>
    <n v="2"/>
    <n v="0.04"/>
    <n v="0"/>
    <n v="0.28789999999999999"/>
    <n v="0.81"/>
    <n v="0"/>
    <n v="3"/>
    <n v="13"/>
    <n v="16"/>
  </r>
  <r>
    <n v="490"/>
    <d v="2011-01-22T00:00:00"/>
    <n v="1"/>
    <n v="1"/>
    <x v="11"/>
    <b v="0"/>
    <n v="6"/>
    <n v="2"/>
    <n v="0.06"/>
    <n v="0"/>
    <n v="0.28789999999999999"/>
    <n v="0.81"/>
    <n v="0"/>
    <n v="3"/>
    <n v="13"/>
    <n v="16"/>
  </r>
  <r>
    <n v="491"/>
    <d v="2011-01-22T00:00:00"/>
    <n v="1"/>
    <n v="1"/>
    <x v="12"/>
    <b v="0"/>
    <n v="6"/>
    <n v="2"/>
    <n v="0.06"/>
    <n v="0"/>
    <n v="0.28789999999999999"/>
    <n v="0.81"/>
    <n v="0"/>
    <n v="3"/>
    <n v="13"/>
    <n v="16"/>
  </r>
  <r>
    <n v="492"/>
    <d v="2011-01-22T00:00:00"/>
    <n v="1"/>
    <n v="1"/>
    <x v="13"/>
    <b v="0"/>
    <n v="6"/>
    <n v="1"/>
    <n v="0.08"/>
    <n v="0"/>
    <n v="0.28789999999999999"/>
    <n v="0.81"/>
    <n v="0"/>
    <n v="3"/>
    <n v="13"/>
    <n v="16"/>
  </r>
  <r>
    <n v="493"/>
    <d v="2011-01-22T00:00:00"/>
    <n v="1"/>
    <n v="1"/>
    <x v="14"/>
    <b v="0"/>
    <n v="6"/>
    <n v="1"/>
    <n v="0.1"/>
    <n v="0"/>
    <n v="0.28789999999999999"/>
    <n v="0.81"/>
    <n v="0"/>
    <n v="3"/>
    <n v="13"/>
    <n v="16"/>
  </r>
  <r>
    <n v="494"/>
    <d v="2011-01-22T00:00:00"/>
    <n v="1"/>
    <n v="1"/>
    <x v="15"/>
    <b v="0"/>
    <n v="6"/>
    <n v="1"/>
    <n v="0.12"/>
    <n v="0"/>
    <n v="0.28789999999999999"/>
    <n v="0.81"/>
    <n v="0"/>
    <n v="3"/>
    <n v="13"/>
    <n v="16"/>
  </r>
  <r>
    <n v="495"/>
    <d v="2011-01-22T00:00:00"/>
    <n v="1"/>
    <n v="1"/>
    <x v="16"/>
    <b v="0"/>
    <n v="6"/>
    <n v="1"/>
    <n v="0.12"/>
    <n v="0"/>
    <n v="0.28789999999999999"/>
    <n v="0.81"/>
    <n v="0"/>
    <n v="3"/>
    <n v="13"/>
    <n v="16"/>
  </r>
  <r>
    <n v="496"/>
    <d v="2011-01-22T00:00:00"/>
    <n v="1"/>
    <n v="1"/>
    <x v="17"/>
    <b v="0"/>
    <n v="6"/>
    <n v="1"/>
    <n v="0.12"/>
    <n v="0"/>
    <n v="0.28789999999999999"/>
    <n v="0.81"/>
    <n v="0"/>
    <n v="3"/>
    <n v="13"/>
    <n v="16"/>
  </r>
  <r>
    <n v="497"/>
    <d v="2011-01-22T00:00:00"/>
    <n v="1"/>
    <n v="1"/>
    <x v="18"/>
    <b v="0"/>
    <n v="6"/>
    <n v="1"/>
    <n v="0.08"/>
    <n v="0"/>
    <n v="0.28789999999999999"/>
    <n v="0.81"/>
    <n v="0"/>
    <n v="3"/>
    <n v="13"/>
    <n v="16"/>
  </r>
  <r>
    <n v="498"/>
    <d v="2011-01-22T00:00:00"/>
    <n v="1"/>
    <n v="1"/>
    <x v="19"/>
    <b v="0"/>
    <n v="6"/>
    <n v="1"/>
    <n v="0.08"/>
    <n v="0"/>
    <n v="0.28789999999999999"/>
    <n v="0.81"/>
    <n v="0"/>
    <n v="3"/>
    <n v="13"/>
    <n v="16"/>
  </r>
  <r>
    <n v="499"/>
    <d v="2011-01-22T00:00:00"/>
    <n v="1"/>
    <n v="1"/>
    <x v="20"/>
    <b v="0"/>
    <n v="6"/>
    <n v="1"/>
    <n v="0.06"/>
    <n v="0"/>
    <n v="0.28789999999999999"/>
    <n v="0.81"/>
    <n v="0"/>
    <n v="3"/>
    <n v="13"/>
    <n v="16"/>
  </r>
  <r>
    <n v="500"/>
    <d v="2011-01-22T00:00:00"/>
    <n v="1"/>
    <n v="1"/>
    <x v="21"/>
    <b v="0"/>
    <n v="6"/>
    <n v="1"/>
    <n v="0.06"/>
    <n v="0"/>
    <n v="0.28789999999999999"/>
    <n v="0.81"/>
    <n v="0"/>
    <n v="3"/>
    <n v="13"/>
    <n v="16"/>
  </r>
  <r>
    <n v="501"/>
    <d v="2011-01-22T00:00:00"/>
    <n v="1"/>
    <n v="1"/>
    <x v="22"/>
    <b v="0"/>
    <n v="6"/>
    <n v="1"/>
    <n v="0.06"/>
    <n v="0"/>
    <n v="0.28789999999999999"/>
    <n v="0.81"/>
    <n v="0"/>
    <n v="3"/>
    <n v="13"/>
    <n v="16"/>
  </r>
  <r>
    <n v="502"/>
    <d v="2011-01-22T00:00:00"/>
    <n v="1"/>
    <n v="1"/>
    <x v="23"/>
    <b v="0"/>
    <n v="6"/>
    <n v="1"/>
    <n v="0.04"/>
    <n v="0"/>
    <n v="0.28789999999999999"/>
    <n v="0.81"/>
    <n v="0"/>
    <n v="3"/>
    <n v="13"/>
    <n v="16"/>
  </r>
  <r>
    <n v="503"/>
    <d v="2011-01-23T00:00:00"/>
    <n v="1"/>
    <n v="1"/>
    <x v="0"/>
    <b v="0"/>
    <n v="0"/>
    <n v="1"/>
    <n v="0.04"/>
    <n v="0"/>
    <n v="0.28789999999999999"/>
    <n v="0.81"/>
    <n v="0"/>
    <n v="3"/>
    <n v="13"/>
    <n v="16"/>
  </r>
  <r>
    <n v="504"/>
    <d v="2011-01-23T00:00:00"/>
    <n v="1"/>
    <n v="1"/>
    <x v="1"/>
    <b v="0"/>
    <n v="0"/>
    <n v="1"/>
    <n v="0.04"/>
    <n v="0"/>
    <n v="0.28789999999999999"/>
    <n v="0.81"/>
    <n v="0"/>
    <n v="3"/>
    <n v="13"/>
    <n v="16"/>
  </r>
  <r>
    <n v="505"/>
    <d v="2011-01-23T00:00:00"/>
    <n v="1"/>
    <n v="1"/>
    <x v="2"/>
    <b v="0"/>
    <n v="0"/>
    <n v="1"/>
    <n v="0.02"/>
    <n v="0"/>
    <n v="0.28789999999999999"/>
    <n v="0.81"/>
    <n v="0"/>
    <n v="3"/>
    <n v="13"/>
    <n v="16"/>
  </r>
  <r>
    <n v="506"/>
    <d v="2011-01-23T00:00:00"/>
    <n v="1"/>
    <n v="1"/>
    <x v="3"/>
    <b v="0"/>
    <n v="0"/>
    <n v="1"/>
    <n v="0.02"/>
    <n v="0"/>
    <n v="0.28789999999999999"/>
    <n v="0.81"/>
    <n v="0"/>
    <n v="3"/>
    <n v="13"/>
    <n v="16"/>
  </r>
  <r>
    <n v="507"/>
    <d v="2011-01-23T00:00:00"/>
    <n v="1"/>
    <n v="1"/>
    <x v="5"/>
    <b v="0"/>
    <n v="0"/>
    <n v="2"/>
    <n v="0.04"/>
    <n v="0"/>
    <n v="0.28789999999999999"/>
    <n v="0.81"/>
    <n v="0"/>
    <n v="3"/>
    <n v="13"/>
    <n v="16"/>
  </r>
  <r>
    <n v="508"/>
    <d v="2011-01-23T00:00:00"/>
    <n v="1"/>
    <n v="1"/>
    <x v="6"/>
    <b v="0"/>
    <n v="0"/>
    <n v="2"/>
    <n v="0.04"/>
    <n v="0"/>
    <n v="0.28789999999999999"/>
    <n v="0.81"/>
    <n v="0"/>
    <n v="3"/>
    <n v="13"/>
    <n v="16"/>
  </r>
  <r>
    <n v="509"/>
    <d v="2011-01-23T00:00:00"/>
    <n v="1"/>
    <n v="1"/>
    <x v="7"/>
    <b v="0"/>
    <n v="0"/>
    <n v="1"/>
    <n v="0.08"/>
    <n v="0"/>
    <n v="0.28789999999999999"/>
    <n v="0.81"/>
    <n v="0"/>
    <n v="3"/>
    <n v="13"/>
    <n v="16"/>
  </r>
  <r>
    <n v="510"/>
    <d v="2011-01-23T00:00:00"/>
    <n v="1"/>
    <n v="1"/>
    <x v="8"/>
    <b v="0"/>
    <n v="0"/>
    <n v="1"/>
    <n v="0.06"/>
    <n v="0"/>
    <n v="0.28789999999999999"/>
    <n v="0.81"/>
    <n v="0"/>
    <n v="3"/>
    <n v="13"/>
    <n v="16"/>
  </r>
  <r>
    <n v="511"/>
    <d v="2011-01-23T00:00:00"/>
    <n v="1"/>
    <n v="1"/>
    <x v="9"/>
    <b v="0"/>
    <n v="0"/>
    <n v="1"/>
    <n v="0.1"/>
    <n v="0"/>
    <n v="0.28789999999999999"/>
    <n v="0.81"/>
    <n v="0"/>
    <n v="3"/>
    <n v="13"/>
    <n v="16"/>
  </r>
  <r>
    <n v="512"/>
    <d v="2011-01-23T00:00:00"/>
    <n v="1"/>
    <n v="1"/>
    <x v="10"/>
    <b v="0"/>
    <n v="0"/>
    <n v="1"/>
    <n v="0.14000000000000001"/>
    <n v="0"/>
    <n v="0.28789999999999999"/>
    <n v="0.81"/>
    <n v="0"/>
    <n v="3"/>
    <n v="13"/>
    <n v="16"/>
  </r>
  <r>
    <n v="513"/>
    <d v="2011-01-23T00:00:00"/>
    <n v="1"/>
    <n v="1"/>
    <x v="11"/>
    <b v="0"/>
    <n v="0"/>
    <n v="1"/>
    <n v="0.14000000000000001"/>
    <n v="0"/>
    <n v="0.28789999999999999"/>
    <n v="0.81"/>
    <n v="0"/>
    <n v="3"/>
    <n v="13"/>
    <n v="16"/>
  </r>
  <r>
    <n v="514"/>
    <d v="2011-01-23T00:00:00"/>
    <n v="1"/>
    <n v="1"/>
    <x v="12"/>
    <b v="0"/>
    <n v="0"/>
    <n v="1"/>
    <n v="0.16"/>
    <n v="0"/>
    <n v="0.28789999999999999"/>
    <n v="0.81"/>
    <n v="0"/>
    <n v="3"/>
    <n v="13"/>
    <n v="16"/>
  </r>
  <r>
    <n v="515"/>
    <d v="2011-01-23T00:00:00"/>
    <n v="1"/>
    <n v="1"/>
    <x v="13"/>
    <b v="0"/>
    <n v="0"/>
    <n v="1"/>
    <n v="0.14000000000000001"/>
    <n v="0"/>
    <n v="0.28789999999999999"/>
    <n v="0.81"/>
    <n v="0"/>
    <n v="3"/>
    <n v="13"/>
    <n v="16"/>
  </r>
  <r>
    <n v="516"/>
    <d v="2011-01-23T00:00:00"/>
    <n v="1"/>
    <n v="1"/>
    <x v="14"/>
    <b v="0"/>
    <n v="0"/>
    <n v="1"/>
    <n v="0.16"/>
    <n v="0"/>
    <n v="0.28789999999999999"/>
    <n v="0.81"/>
    <n v="0"/>
    <n v="3"/>
    <n v="13"/>
    <n v="16"/>
  </r>
  <r>
    <n v="517"/>
    <d v="2011-01-23T00:00:00"/>
    <n v="1"/>
    <n v="1"/>
    <x v="15"/>
    <b v="0"/>
    <n v="0"/>
    <n v="1"/>
    <n v="0.16"/>
    <n v="0"/>
    <n v="0.28789999999999999"/>
    <n v="0.81"/>
    <n v="0"/>
    <n v="3"/>
    <n v="13"/>
    <n v="16"/>
  </r>
  <r>
    <n v="518"/>
    <d v="2011-01-23T00:00:00"/>
    <n v="1"/>
    <n v="1"/>
    <x v="16"/>
    <b v="0"/>
    <n v="0"/>
    <n v="1"/>
    <n v="0.16"/>
    <n v="0"/>
    <n v="0.28789999999999999"/>
    <n v="0.81"/>
    <n v="0"/>
    <n v="3"/>
    <n v="13"/>
    <n v="16"/>
  </r>
  <r>
    <n v="519"/>
    <d v="2011-01-23T00:00:00"/>
    <n v="1"/>
    <n v="1"/>
    <x v="17"/>
    <b v="0"/>
    <n v="0"/>
    <n v="1"/>
    <n v="0.14000000000000001"/>
    <n v="0"/>
    <n v="0.28789999999999999"/>
    <n v="0.81"/>
    <n v="0"/>
    <n v="3"/>
    <n v="13"/>
    <n v="16"/>
  </r>
  <r>
    <n v="520"/>
    <d v="2011-01-23T00:00:00"/>
    <n v="1"/>
    <n v="1"/>
    <x v="18"/>
    <b v="0"/>
    <n v="0"/>
    <n v="1"/>
    <n v="0.12"/>
    <n v="0"/>
    <n v="0.28789999999999999"/>
    <n v="0.81"/>
    <n v="0"/>
    <n v="3"/>
    <n v="13"/>
    <n v="16"/>
  </r>
  <r>
    <n v="521"/>
    <d v="2011-01-23T00:00:00"/>
    <n v="1"/>
    <n v="1"/>
    <x v="19"/>
    <b v="0"/>
    <n v="0"/>
    <n v="1"/>
    <n v="0.12"/>
    <n v="0"/>
    <n v="0.28789999999999999"/>
    <n v="0.81"/>
    <n v="0"/>
    <n v="3"/>
    <n v="13"/>
    <n v="16"/>
  </r>
  <r>
    <n v="522"/>
    <d v="2011-01-23T00:00:00"/>
    <n v="1"/>
    <n v="1"/>
    <x v="20"/>
    <b v="0"/>
    <n v="0"/>
    <n v="1"/>
    <n v="0.1"/>
    <n v="0"/>
    <n v="0.28789999999999999"/>
    <n v="0.81"/>
    <n v="0"/>
    <n v="3"/>
    <n v="13"/>
    <n v="16"/>
  </r>
  <r>
    <n v="523"/>
    <d v="2011-01-23T00:00:00"/>
    <n v="1"/>
    <n v="1"/>
    <x v="21"/>
    <b v="0"/>
    <n v="0"/>
    <n v="1"/>
    <n v="0.1"/>
    <n v="0"/>
    <n v="0.28789999999999999"/>
    <n v="0.81"/>
    <n v="0"/>
    <n v="3"/>
    <n v="13"/>
    <n v="16"/>
  </r>
  <r>
    <n v="524"/>
    <d v="2011-01-23T00:00:00"/>
    <n v="1"/>
    <n v="1"/>
    <x v="22"/>
    <b v="0"/>
    <n v="0"/>
    <n v="1"/>
    <n v="0.08"/>
    <n v="0"/>
    <n v="0.28789999999999999"/>
    <n v="0.81"/>
    <n v="0"/>
    <n v="3"/>
    <n v="13"/>
    <n v="16"/>
  </r>
  <r>
    <n v="525"/>
    <d v="2011-01-23T00:00:00"/>
    <n v="1"/>
    <n v="1"/>
    <x v="23"/>
    <b v="0"/>
    <n v="0"/>
    <n v="1"/>
    <n v="0.06"/>
    <n v="0"/>
    <n v="0.28789999999999999"/>
    <n v="0.81"/>
    <n v="0"/>
    <n v="3"/>
    <n v="13"/>
    <n v="16"/>
  </r>
  <r>
    <n v="526"/>
    <d v="2011-01-24T00:00:00"/>
    <n v="1"/>
    <n v="1"/>
    <x v="0"/>
    <b v="0"/>
    <n v="1"/>
    <n v="1"/>
    <n v="0.06"/>
    <n v="0"/>
    <n v="0.28789999999999999"/>
    <n v="0.81"/>
    <n v="0"/>
    <n v="3"/>
    <n v="13"/>
    <n v="16"/>
  </r>
  <r>
    <n v="527"/>
    <d v="2011-01-24T00:00:00"/>
    <n v="1"/>
    <n v="1"/>
    <x v="1"/>
    <b v="0"/>
    <n v="1"/>
    <n v="1"/>
    <n v="0.04"/>
    <n v="0"/>
    <n v="0.28789999999999999"/>
    <n v="0.81"/>
    <n v="0"/>
    <n v="3"/>
    <n v="13"/>
    <n v="16"/>
  </r>
  <r>
    <n v="528"/>
    <d v="2011-01-24T00:00:00"/>
    <n v="1"/>
    <n v="1"/>
    <x v="3"/>
    <b v="0"/>
    <n v="1"/>
    <n v="1"/>
    <n v="0.04"/>
    <n v="0"/>
    <n v="0.28789999999999999"/>
    <n v="0.81"/>
    <n v="0"/>
    <n v="3"/>
    <n v="13"/>
    <n v="16"/>
  </r>
  <r>
    <n v="529"/>
    <d v="2011-01-24T00:00:00"/>
    <n v="1"/>
    <n v="1"/>
    <x v="4"/>
    <b v="0"/>
    <n v="1"/>
    <n v="1"/>
    <n v="0.02"/>
    <n v="0"/>
    <n v="0.28789999999999999"/>
    <n v="0.81"/>
    <n v="0"/>
    <n v="3"/>
    <n v="13"/>
    <n v="16"/>
  </r>
  <r>
    <n v="530"/>
    <d v="2011-01-24T00:00:00"/>
    <n v="1"/>
    <n v="1"/>
    <x v="5"/>
    <b v="0"/>
    <n v="1"/>
    <n v="1"/>
    <n v="0.02"/>
    <n v="0"/>
    <n v="0.28789999999999999"/>
    <n v="0.81"/>
    <n v="0"/>
    <n v="3"/>
    <n v="13"/>
    <n v="16"/>
  </r>
  <r>
    <n v="531"/>
    <d v="2011-01-24T00:00:00"/>
    <n v="1"/>
    <n v="1"/>
    <x v="6"/>
    <b v="0"/>
    <n v="1"/>
    <n v="1"/>
    <n v="0.02"/>
    <n v="0"/>
    <n v="0.28789999999999999"/>
    <n v="0.81"/>
    <n v="0"/>
    <n v="3"/>
    <n v="13"/>
    <n v="16"/>
  </r>
  <r>
    <n v="532"/>
    <d v="2011-01-24T00:00:00"/>
    <n v="1"/>
    <n v="1"/>
    <x v="7"/>
    <b v="0"/>
    <n v="1"/>
    <n v="1"/>
    <n v="0.02"/>
    <n v="0"/>
    <n v="0.28789999999999999"/>
    <n v="0.81"/>
    <n v="0"/>
    <n v="3"/>
    <n v="13"/>
    <n v="16"/>
  </r>
  <r>
    <n v="533"/>
    <d v="2011-01-24T00:00:00"/>
    <n v="1"/>
    <n v="1"/>
    <x v="8"/>
    <b v="0"/>
    <n v="1"/>
    <n v="1"/>
    <n v="0.04"/>
    <n v="0"/>
    <n v="0.28789999999999999"/>
    <n v="0.81"/>
    <n v="0"/>
    <n v="3"/>
    <n v="13"/>
    <n v="16"/>
  </r>
  <r>
    <n v="534"/>
    <d v="2011-01-24T00:00:00"/>
    <n v="1"/>
    <n v="1"/>
    <x v="9"/>
    <b v="0"/>
    <n v="1"/>
    <n v="1"/>
    <n v="0.06"/>
    <n v="0"/>
    <n v="0.28789999999999999"/>
    <n v="0.81"/>
    <n v="0"/>
    <n v="3"/>
    <n v="13"/>
    <n v="16"/>
  </r>
  <r>
    <n v="535"/>
    <d v="2011-01-24T00:00:00"/>
    <n v="1"/>
    <n v="1"/>
    <x v="10"/>
    <b v="0"/>
    <n v="1"/>
    <n v="1"/>
    <n v="0.1"/>
    <n v="0"/>
    <n v="0.28789999999999999"/>
    <n v="0.81"/>
    <n v="0"/>
    <n v="3"/>
    <n v="13"/>
    <n v="16"/>
  </r>
  <r>
    <n v="536"/>
    <d v="2011-01-24T00:00:00"/>
    <n v="1"/>
    <n v="1"/>
    <x v="11"/>
    <b v="0"/>
    <n v="1"/>
    <n v="1"/>
    <n v="0.1"/>
    <n v="0"/>
    <n v="0.28789999999999999"/>
    <n v="0.81"/>
    <n v="0"/>
    <n v="3"/>
    <n v="13"/>
    <n v="16"/>
  </r>
  <r>
    <n v="537"/>
    <d v="2011-01-24T00:00:00"/>
    <n v="1"/>
    <n v="1"/>
    <x v="12"/>
    <b v="0"/>
    <n v="1"/>
    <n v="2"/>
    <n v="0.12"/>
    <n v="0"/>
    <n v="0.28789999999999999"/>
    <n v="0.81"/>
    <n v="0"/>
    <n v="3"/>
    <n v="13"/>
    <n v="16"/>
  </r>
  <r>
    <n v="538"/>
    <d v="2011-01-24T00:00:00"/>
    <n v="1"/>
    <n v="1"/>
    <x v="13"/>
    <b v="0"/>
    <n v="1"/>
    <n v="2"/>
    <n v="0.14000000000000001"/>
    <n v="0"/>
    <n v="0.28789999999999999"/>
    <n v="0.81"/>
    <n v="0"/>
    <n v="3"/>
    <n v="13"/>
    <n v="16"/>
  </r>
  <r>
    <n v="539"/>
    <d v="2011-01-24T00:00:00"/>
    <n v="1"/>
    <n v="1"/>
    <x v="14"/>
    <b v="0"/>
    <n v="1"/>
    <n v="2"/>
    <n v="0.14000000000000001"/>
    <n v="0"/>
    <n v="0.28789999999999999"/>
    <n v="0.81"/>
    <n v="0"/>
    <n v="3"/>
    <n v="13"/>
    <n v="16"/>
  </r>
  <r>
    <n v="540"/>
    <d v="2011-01-24T00:00:00"/>
    <n v="1"/>
    <n v="1"/>
    <x v="15"/>
    <b v="0"/>
    <n v="1"/>
    <n v="1"/>
    <n v="0.16"/>
    <n v="0"/>
    <n v="0.28789999999999999"/>
    <n v="0.81"/>
    <n v="0"/>
    <n v="3"/>
    <n v="13"/>
    <n v="16"/>
  </r>
  <r>
    <n v="541"/>
    <d v="2011-01-24T00:00:00"/>
    <n v="1"/>
    <n v="1"/>
    <x v="16"/>
    <b v="0"/>
    <n v="1"/>
    <n v="1"/>
    <n v="0.16"/>
    <n v="0"/>
    <n v="0.28789999999999999"/>
    <n v="0.81"/>
    <n v="0"/>
    <n v="3"/>
    <n v="13"/>
    <n v="16"/>
  </r>
  <r>
    <n v="542"/>
    <d v="2011-01-24T00:00:00"/>
    <n v="1"/>
    <n v="1"/>
    <x v="17"/>
    <b v="0"/>
    <n v="1"/>
    <n v="1"/>
    <n v="0.14000000000000001"/>
    <n v="0"/>
    <n v="0.28789999999999999"/>
    <n v="0.81"/>
    <n v="0"/>
    <n v="3"/>
    <n v="13"/>
    <n v="16"/>
  </r>
  <r>
    <n v="543"/>
    <d v="2011-01-24T00:00:00"/>
    <n v="1"/>
    <n v="1"/>
    <x v="18"/>
    <b v="0"/>
    <n v="1"/>
    <n v="1"/>
    <n v="0.14000000000000001"/>
    <n v="0"/>
    <n v="0.28789999999999999"/>
    <n v="0.81"/>
    <n v="0"/>
    <n v="3"/>
    <n v="13"/>
    <n v="16"/>
  </r>
  <r>
    <n v="544"/>
    <d v="2011-01-24T00:00:00"/>
    <n v="1"/>
    <n v="1"/>
    <x v="19"/>
    <b v="0"/>
    <n v="1"/>
    <n v="1"/>
    <n v="0.14000000000000001"/>
    <n v="0"/>
    <n v="0.28789999999999999"/>
    <n v="0.81"/>
    <n v="0"/>
    <n v="3"/>
    <n v="13"/>
    <n v="16"/>
  </r>
  <r>
    <n v="545"/>
    <d v="2011-01-24T00:00:00"/>
    <n v="1"/>
    <n v="1"/>
    <x v="20"/>
    <b v="0"/>
    <n v="1"/>
    <n v="1"/>
    <n v="0.14000000000000001"/>
    <n v="0"/>
    <n v="0.28789999999999999"/>
    <n v="0.81"/>
    <n v="0"/>
    <n v="3"/>
    <n v="13"/>
    <n v="16"/>
  </r>
  <r>
    <n v="546"/>
    <d v="2011-01-24T00:00:00"/>
    <n v="1"/>
    <n v="1"/>
    <x v="21"/>
    <b v="0"/>
    <n v="1"/>
    <n v="1"/>
    <n v="0.14000000000000001"/>
    <n v="0"/>
    <n v="0.28789999999999999"/>
    <n v="0.81"/>
    <n v="0"/>
    <n v="3"/>
    <n v="13"/>
    <n v="16"/>
  </r>
  <r>
    <n v="547"/>
    <d v="2011-01-24T00:00:00"/>
    <n v="1"/>
    <n v="1"/>
    <x v="22"/>
    <b v="0"/>
    <n v="1"/>
    <n v="2"/>
    <n v="0.14000000000000001"/>
    <n v="0"/>
    <n v="0.28789999999999999"/>
    <n v="0.81"/>
    <n v="0"/>
    <n v="3"/>
    <n v="13"/>
    <n v="16"/>
  </r>
  <r>
    <n v="548"/>
    <d v="2011-01-24T00:00:00"/>
    <n v="1"/>
    <n v="1"/>
    <x v="23"/>
    <b v="0"/>
    <n v="1"/>
    <n v="2"/>
    <n v="0.16"/>
    <n v="0"/>
    <n v="0.28789999999999999"/>
    <n v="0.81"/>
    <n v="0"/>
    <n v="3"/>
    <n v="13"/>
    <n v="16"/>
  </r>
  <r>
    <n v="549"/>
    <d v="2011-01-25T00:00:00"/>
    <n v="1"/>
    <n v="1"/>
    <x v="0"/>
    <b v="0"/>
    <n v="2"/>
    <n v="2"/>
    <n v="0.16"/>
    <n v="0"/>
    <n v="0.28789999999999999"/>
    <n v="0.81"/>
    <n v="0"/>
    <n v="3"/>
    <n v="13"/>
    <n v="16"/>
  </r>
  <r>
    <n v="550"/>
    <d v="2011-01-25T00:00:00"/>
    <n v="1"/>
    <n v="1"/>
    <x v="1"/>
    <b v="0"/>
    <n v="2"/>
    <n v="2"/>
    <n v="0.16"/>
    <n v="0"/>
    <n v="0.28789999999999999"/>
    <n v="0.81"/>
    <n v="0"/>
    <n v="3"/>
    <n v="13"/>
    <n v="16"/>
  </r>
  <r>
    <n v="551"/>
    <d v="2011-01-25T00:00:00"/>
    <n v="1"/>
    <n v="1"/>
    <x v="2"/>
    <b v="0"/>
    <n v="2"/>
    <n v="1"/>
    <n v="0.16"/>
    <n v="0"/>
    <n v="0.28789999999999999"/>
    <n v="0.81"/>
    <n v="0"/>
    <n v="3"/>
    <n v="13"/>
    <n v="16"/>
  </r>
  <r>
    <n v="552"/>
    <d v="2011-01-25T00:00:00"/>
    <n v="1"/>
    <n v="1"/>
    <x v="4"/>
    <b v="0"/>
    <n v="2"/>
    <n v="1"/>
    <n v="0.14000000000000001"/>
    <n v="0"/>
    <n v="0.28789999999999999"/>
    <n v="0.81"/>
    <n v="0"/>
    <n v="3"/>
    <n v="13"/>
    <n v="16"/>
  </r>
  <r>
    <n v="553"/>
    <d v="2011-01-25T00:00:00"/>
    <n v="1"/>
    <n v="1"/>
    <x v="5"/>
    <b v="0"/>
    <n v="2"/>
    <n v="1"/>
    <n v="0.14000000000000001"/>
    <n v="0"/>
    <n v="0.28789999999999999"/>
    <n v="0.81"/>
    <n v="0"/>
    <n v="3"/>
    <n v="13"/>
    <n v="16"/>
  </r>
  <r>
    <n v="554"/>
    <d v="2011-01-25T00:00:00"/>
    <n v="1"/>
    <n v="1"/>
    <x v="6"/>
    <b v="0"/>
    <n v="2"/>
    <n v="1"/>
    <n v="0.16"/>
    <n v="0"/>
    <n v="0.28789999999999999"/>
    <n v="0.81"/>
    <n v="0"/>
    <n v="3"/>
    <n v="13"/>
    <n v="16"/>
  </r>
  <r>
    <n v="555"/>
    <d v="2011-01-25T00:00:00"/>
    <n v="1"/>
    <n v="1"/>
    <x v="7"/>
    <b v="0"/>
    <n v="2"/>
    <n v="1"/>
    <n v="0.16"/>
    <n v="0"/>
    <n v="0.28789999999999999"/>
    <n v="0.81"/>
    <n v="0"/>
    <n v="3"/>
    <n v="13"/>
    <n v="16"/>
  </r>
  <r>
    <n v="556"/>
    <d v="2011-01-25T00:00:00"/>
    <n v="1"/>
    <n v="1"/>
    <x v="8"/>
    <b v="0"/>
    <n v="2"/>
    <n v="2"/>
    <n v="0.16"/>
    <n v="0"/>
    <n v="0.28789999999999999"/>
    <n v="0.81"/>
    <n v="0"/>
    <n v="3"/>
    <n v="13"/>
    <n v="16"/>
  </r>
  <r>
    <n v="557"/>
    <d v="2011-01-25T00:00:00"/>
    <n v="1"/>
    <n v="1"/>
    <x v="9"/>
    <b v="0"/>
    <n v="2"/>
    <n v="2"/>
    <n v="0.2"/>
    <n v="0"/>
    <n v="0.28789999999999999"/>
    <n v="0.81"/>
    <n v="0"/>
    <n v="3"/>
    <n v="13"/>
    <n v="16"/>
  </r>
  <r>
    <n v="558"/>
    <d v="2011-01-25T00:00:00"/>
    <n v="1"/>
    <n v="1"/>
    <x v="10"/>
    <b v="0"/>
    <n v="2"/>
    <n v="2"/>
    <n v="0.22"/>
    <n v="0"/>
    <n v="0.28789999999999999"/>
    <n v="0.81"/>
    <n v="0"/>
    <n v="3"/>
    <n v="13"/>
    <n v="16"/>
  </r>
  <r>
    <n v="559"/>
    <d v="2011-01-25T00:00:00"/>
    <n v="1"/>
    <n v="1"/>
    <x v="11"/>
    <b v="0"/>
    <n v="2"/>
    <n v="2"/>
    <n v="0.24"/>
    <n v="0"/>
    <n v="0.28789999999999999"/>
    <n v="0.81"/>
    <n v="0"/>
    <n v="3"/>
    <n v="13"/>
    <n v="16"/>
  </r>
  <r>
    <n v="560"/>
    <d v="2011-01-25T00:00:00"/>
    <n v="1"/>
    <n v="1"/>
    <x v="12"/>
    <b v="0"/>
    <n v="2"/>
    <n v="2"/>
    <n v="0.26"/>
    <n v="0"/>
    <n v="0.28789999999999999"/>
    <n v="0.81"/>
    <n v="0"/>
    <n v="3"/>
    <n v="13"/>
    <n v="16"/>
  </r>
  <r>
    <n v="561"/>
    <d v="2011-01-25T00:00:00"/>
    <n v="1"/>
    <n v="1"/>
    <x v="13"/>
    <b v="0"/>
    <n v="2"/>
    <n v="2"/>
    <n v="0.26"/>
    <n v="0"/>
    <n v="0.28789999999999999"/>
    <n v="0.81"/>
    <n v="0"/>
    <n v="3"/>
    <n v="13"/>
    <n v="16"/>
  </r>
  <r>
    <n v="562"/>
    <d v="2011-01-25T00:00:00"/>
    <n v="1"/>
    <n v="1"/>
    <x v="14"/>
    <b v="0"/>
    <n v="2"/>
    <n v="2"/>
    <n v="0.3"/>
    <n v="0"/>
    <n v="0.28789999999999999"/>
    <n v="0.81"/>
    <n v="0"/>
    <n v="3"/>
    <n v="13"/>
    <n v="16"/>
  </r>
  <r>
    <n v="563"/>
    <d v="2011-01-25T00:00:00"/>
    <n v="1"/>
    <n v="1"/>
    <x v="15"/>
    <b v="0"/>
    <n v="2"/>
    <n v="2"/>
    <n v="0.32"/>
    <n v="0"/>
    <n v="0.28789999999999999"/>
    <n v="0.81"/>
    <n v="0"/>
    <n v="3"/>
    <n v="13"/>
    <n v="16"/>
  </r>
  <r>
    <n v="564"/>
    <d v="2011-01-25T00:00:00"/>
    <n v="1"/>
    <n v="1"/>
    <x v="16"/>
    <b v="0"/>
    <n v="2"/>
    <n v="2"/>
    <n v="0.32"/>
    <n v="0"/>
    <n v="0.28789999999999999"/>
    <n v="0.81"/>
    <n v="0"/>
    <n v="3"/>
    <n v="13"/>
    <n v="16"/>
  </r>
  <r>
    <n v="565"/>
    <d v="2011-01-25T00:00:00"/>
    <n v="1"/>
    <n v="1"/>
    <x v="17"/>
    <b v="0"/>
    <n v="2"/>
    <n v="1"/>
    <n v="0.3"/>
    <n v="0"/>
    <n v="0.28789999999999999"/>
    <n v="0.81"/>
    <n v="0"/>
    <n v="3"/>
    <n v="13"/>
    <n v="16"/>
  </r>
  <r>
    <n v="566"/>
    <d v="2011-01-25T00:00:00"/>
    <n v="1"/>
    <n v="1"/>
    <x v="18"/>
    <b v="0"/>
    <n v="2"/>
    <n v="2"/>
    <n v="0.3"/>
    <n v="0"/>
    <n v="0.28789999999999999"/>
    <n v="0.81"/>
    <n v="0"/>
    <n v="3"/>
    <n v="13"/>
    <n v="16"/>
  </r>
  <r>
    <n v="567"/>
    <d v="2011-01-25T00:00:00"/>
    <n v="1"/>
    <n v="1"/>
    <x v="19"/>
    <b v="0"/>
    <n v="2"/>
    <n v="2"/>
    <n v="0.26"/>
    <n v="0"/>
    <n v="0.28789999999999999"/>
    <n v="0.81"/>
    <n v="0"/>
    <n v="3"/>
    <n v="13"/>
    <n v="16"/>
  </r>
  <r>
    <n v="568"/>
    <d v="2011-01-25T00:00:00"/>
    <n v="1"/>
    <n v="1"/>
    <x v="20"/>
    <b v="0"/>
    <n v="2"/>
    <n v="1"/>
    <n v="0.24"/>
    <n v="0"/>
    <n v="0.28789999999999999"/>
    <n v="0.81"/>
    <n v="0"/>
    <n v="3"/>
    <n v="13"/>
    <n v="16"/>
  </r>
  <r>
    <n v="569"/>
    <d v="2011-01-25T00:00:00"/>
    <n v="1"/>
    <n v="1"/>
    <x v="21"/>
    <b v="0"/>
    <n v="2"/>
    <n v="1"/>
    <n v="0.24"/>
    <n v="0"/>
    <n v="0.28789999999999999"/>
    <n v="0.81"/>
    <n v="0"/>
    <n v="3"/>
    <n v="13"/>
    <n v="16"/>
  </r>
  <r>
    <n v="570"/>
    <d v="2011-01-25T00:00:00"/>
    <n v="1"/>
    <n v="1"/>
    <x v="22"/>
    <b v="0"/>
    <n v="2"/>
    <n v="1"/>
    <n v="0.22"/>
    <n v="0"/>
    <n v="0.28789999999999999"/>
    <n v="0.81"/>
    <n v="0"/>
    <n v="3"/>
    <n v="13"/>
    <n v="16"/>
  </r>
  <r>
    <n v="571"/>
    <d v="2011-01-25T00:00:00"/>
    <n v="1"/>
    <n v="1"/>
    <x v="23"/>
    <b v="0"/>
    <n v="2"/>
    <n v="2"/>
    <n v="0.22"/>
    <n v="0"/>
    <n v="0.28789999999999999"/>
    <n v="0.81"/>
    <n v="0"/>
    <n v="3"/>
    <n v="13"/>
    <n v="16"/>
  </r>
  <r>
    <n v="572"/>
    <d v="2011-01-26T00:00:00"/>
    <n v="1"/>
    <n v="1"/>
    <x v="0"/>
    <b v="0"/>
    <n v="3"/>
    <n v="2"/>
    <n v="0.22"/>
    <n v="0"/>
    <n v="0.28789999999999999"/>
    <n v="0.81"/>
    <n v="0"/>
    <n v="3"/>
    <n v="13"/>
    <n v="16"/>
  </r>
  <r>
    <n v="573"/>
    <d v="2011-01-26T00:00:00"/>
    <n v="1"/>
    <n v="1"/>
    <x v="1"/>
    <b v="0"/>
    <n v="3"/>
    <n v="2"/>
    <n v="0.24"/>
    <n v="0"/>
    <n v="0.28789999999999999"/>
    <n v="0.81"/>
    <n v="0"/>
    <n v="3"/>
    <n v="13"/>
    <n v="16"/>
  </r>
  <r>
    <n v="574"/>
    <d v="2011-01-26T00:00:00"/>
    <n v="1"/>
    <n v="1"/>
    <x v="2"/>
    <b v="0"/>
    <n v="3"/>
    <n v="3"/>
    <n v="0.22"/>
    <n v="0"/>
    <n v="0.28789999999999999"/>
    <n v="0.81"/>
    <n v="0"/>
    <n v="3"/>
    <n v="13"/>
    <n v="16"/>
  </r>
  <r>
    <n v="575"/>
    <d v="2011-01-26T00:00:00"/>
    <n v="1"/>
    <n v="1"/>
    <x v="5"/>
    <b v="0"/>
    <n v="3"/>
    <n v="3"/>
    <n v="0.2"/>
    <n v="0"/>
    <n v="0.28789999999999999"/>
    <n v="0.81"/>
    <n v="0"/>
    <n v="3"/>
    <n v="13"/>
    <n v="16"/>
  </r>
  <r>
    <n v="576"/>
    <d v="2011-01-26T00:00:00"/>
    <n v="1"/>
    <n v="1"/>
    <x v="6"/>
    <b v="0"/>
    <n v="3"/>
    <n v="3"/>
    <n v="0.2"/>
    <n v="0"/>
    <n v="0.28789999999999999"/>
    <n v="0.81"/>
    <n v="0"/>
    <n v="3"/>
    <n v="13"/>
    <n v="16"/>
  </r>
  <r>
    <n v="577"/>
    <d v="2011-01-26T00:00:00"/>
    <n v="1"/>
    <n v="1"/>
    <x v="7"/>
    <b v="0"/>
    <n v="3"/>
    <n v="3"/>
    <n v="0.22"/>
    <n v="0"/>
    <n v="0.28789999999999999"/>
    <n v="0.81"/>
    <n v="0"/>
    <n v="3"/>
    <n v="13"/>
    <n v="16"/>
  </r>
  <r>
    <n v="578"/>
    <d v="2011-01-26T00:00:00"/>
    <n v="1"/>
    <n v="1"/>
    <x v="8"/>
    <b v="0"/>
    <n v="3"/>
    <n v="3"/>
    <n v="0.22"/>
    <n v="0"/>
    <n v="0.28789999999999999"/>
    <n v="0.81"/>
    <n v="0"/>
    <n v="3"/>
    <n v="13"/>
    <n v="16"/>
  </r>
  <r>
    <n v="579"/>
    <d v="2011-01-26T00:00:00"/>
    <n v="1"/>
    <n v="1"/>
    <x v="9"/>
    <b v="0"/>
    <n v="3"/>
    <n v="3"/>
    <n v="0.22"/>
    <n v="0"/>
    <n v="0.28789999999999999"/>
    <n v="0.81"/>
    <n v="0"/>
    <n v="3"/>
    <n v="13"/>
    <n v="16"/>
  </r>
  <r>
    <n v="580"/>
    <d v="2011-01-26T00:00:00"/>
    <n v="1"/>
    <n v="1"/>
    <x v="10"/>
    <b v="0"/>
    <n v="3"/>
    <n v="3"/>
    <n v="0.22"/>
    <n v="0"/>
    <n v="0.28789999999999999"/>
    <n v="0.81"/>
    <n v="0"/>
    <n v="3"/>
    <n v="13"/>
    <n v="16"/>
  </r>
  <r>
    <n v="581"/>
    <d v="2011-01-26T00:00:00"/>
    <n v="1"/>
    <n v="1"/>
    <x v="11"/>
    <b v="0"/>
    <n v="3"/>
    <n v="3"/>
    <n v="0.22"/>
    <n v="0"/>
    <n v="0.28789999999999999"/>
    <n v="0.81"/>
    <n v="0"/>
    <n v="3"/>
    <n v="13"/>
    <n v="16"/>
  </r>
  <r>
    <n v="582"/>
    <d v="2011-01-26T00:00:00"/>
    <n v="1"/>
    <n v="1"/>
    <x v="12"/>
    <b v="0"/>
    <n v="3"/>
    <n v="3"/>
    <n v="0.22"/>
    <n v="0"/>
    <n v="0.28789999999999999"/>
    <n v="0.81"/>
    <n v="0"/>
    <n v="3"/>
    <n v="13"/>
    <n v="16"/>
  </r>
  <r>
    <n v="583"/>
    <d v="2011-01-26T00:00:00"/>
    <n v="1"/>
    <n v="1"/>
    <x v="13"/>
    <b v="0"/>
    <n v="3"/>
    <n v="3"/>
    <n v="0.22"/>
    <n v="0"/>
    <n v="0.28789999999999999"/>
    <n v="0.81"/>
    <n v="0"/>
    <n v="3"/>
    <n v="13"/>
    <n v="16"/>
  </r>
  <r>
    <n v="584"/>
    <d v="2011-01-26T00:00:00"/>
    <n v="1"/>
    <n v="1"/>
    <x v="14"/>
    <b v="0"/>
    <n v="3"/>
    <n v="3"/>
    <n v="0.22"/>
    <n v="0"/>
    <n v="0.28789999999999999"/>
    <n v="0.81"/>
    <n v="0"/>
    <n v="3"/>
    <n v="13"/>
    <n v="16"/>
  </r>
  <r>
    <n v="585"/>
    <d v="2011-01-26T00:00:00"/>
    <n v="1"/>
    <n v="1"/>
    <x v="15"/>
    <b v="0"/>
    <n v="3"/>
    <n v="3"/>
    <n v="0.22"/>
    <n v="0"/>
    <n v="0.28789999999999999"/>
    <n v="0.81"/>
    <n v="0"/>
    <n v="3"/>
    <n v="13"/>
    <n v="16"/>
  </r>
  <r>
    <n v="586"/>
    <d v="2011-01-26T00:00:00"/>
    <n v="1"/>
    <n v="1"/>
    <x v="16"/>
    <b v="0"/>
    <n v="3"/>
    <n v="4"/>
    <n v="0.22"/>
    <n v="0"/>
    <n v="0.28789999999999999"/>
    <n v="0.81"/>
    <n v="0"/>
    <n v="3"/>
    <n v="13"/>
    <n v="16"/>
  </r>
  <r>
    <n v="587"/>
    <d v="2011-01-26T00:00:00"/>
    <n v="1"/>
    <n v="1"/>
    <x v="17"/>
    <b v="0"/>
    <n v="3"/>
    <n v="3"/>
    <n v="0.2"/>
    <n v="0"/>
    <n v="0.28789999999999999"/>
    <n v="0.81"/>
    <n v="0"/>
    <n v="3"/>
    <n v="13"/>
    <n v="16"/>
  </r>
  <r>
    <n v="588"/>
    <d v="2011-01-27T00:00:00"/>
    <n v="1"/>
    <n v="1"/>
    <x v="16"/>
    <b v="0"/>
    <n v="4"/>
    <n v="1"/>
    <n v="0.22"/>
    <n v="0"/>
    <n v="0.28789999999999999"/>
    <n v="0.81"/>
    <n v="0"/>
    <n v="3"/>
    <n v="13"/>
    <n v="16"/>
  </r>
  <r>
    <n v="589"/>
    <d v="2011-01-27T00:00:00"/>
    <n v="1"/>
    <n v="1"/>
    <x v="17"/>
    <b v="0"/>
    <n v="4"/>
    <n v="1"/>
    <n v="0.22"/>
    <n v="0"/>
    <n v="0.28789999999999999"/>
    <n v="0.81"/>
    <n v="0"/>
    <n v="3"/>
    <n v="13"/>
    <n v="16"/>
  </r>
  <r>
    <n v="590"/>
    <d v="2011-01-27T00:00:00"/>
    <n v="1"/>
    <n v="1"/>
    <x v="18"/>
    <b v="0"/>
    <n v="4"/>
    <n v="1"/>
    <n v="0.2"/>
    <n v="0"/>
    <n v="0.28789999999999999"/>
    <n v="0.81"/>
    <n v="0"/>
    <n v="3"/>
    <n v="13"/>
    <n v="16"/>
  </r>
  <r>
    <n v="591"/>
    <d v="2011-01-27T00:00:00"/>
    <n v="1"/>
    <n v="1"/>
    <x v="19"/>
    <b v="0"/>
    <n v="4"/>
    <n v="1"/>
    <n v="0.2"/>
    <n v="0"/>
    <n v="0.28789999999999999"/>
    <n v="0.81"/>
    <n v="0"/>
    <n v="3"/>
    <n v="13"/>
    <n v="16"/>
  </r>
  <r>
    <n v="592"/>
    <d v="2011-01-27T00:00:00"/>
    <n v="1"/>
    <n v="1"/>
    <x v="20"/>
    <b v="0"/>
    <n v="4"/>
    <n v="1"/>
    <n v="0.18"/>
    <n v="0"/>
    <n v="0.28789999999999999"/>
    <n v="0.81"/>
    <n v="0"/>
    <n v="3"/>
    <n v="13"/>
    <n v="16"/>
  </r>
  <r>
    <n v="593"/>
    <d v="2011-01-27T00:00:00"/>
    <n v="1"/>
    <n v="1"/>
    <x v="21"/>
    <b v="0"/>
    <n v="4"/>
    <n v="1"/>
    <n v="0.18"/>
    <n v="0"/>
    <n v="0.28789999999999999"/>
    <n v="0.81"/>
    <n v="0"/>
    <n v="3"/>
    <n v="13"/>
    <n v="16"/>
  </r>
  <r>
    <n v="594"/>
    <d v="2011-01-27T00:00:00"/>
    <n v="1"/>
    <n v="1"/>
    <x v="22"/>
    <b v="0"/>
    <n v="4"/>
    <n v="1"/>
    <n v="0.18"/>
    <n v="0"/>
    <n v="0.28789999999999999"/>
    <n v="0.81"/>
    <n v="0"/>
    <n v="3"/>
    <n v="13"/>
    <n v="16"/>
  </r>
  <r>
    <n v="595"/>
    <d v="2011-01-27T00:00:00"/>
    <n v="1"/>
    <n v="1"/>
    <x v="23"/>
    <b v="0"/>
    <n v="4"/>
    <n v="1"/>
    <n v="0.18"/>
    <n v="0"/>
    <n v="0.28789999999999999"/>
    <n v="0.81"/>
    <n v="0"/>
    <n v="3"/>
    <n v="13"/>
    <n v="16"/>
  </r>
  <r>
    <n v="596"/>
    <d v="2011-01-28T00:00:00"/>
    <n v="1"/>
    <n v="1"/>
    <x v="0"/>
    <b v="0"/>
    <n v="5"/>
    <n v="2"/>
    <n v="0.2"/>
    <n v="0"/>
    <n v="0.28789999999999999"/>
    <n v="0.81"/>
    <n v="0"/>
    <n v="3"/>
    <n v="13"/>
    <n v="16"/>
  </r>
  <r>
    <n v="597"/>
    <d v="2011-01-28T00:00:00"/>
    <n v="1"/>
    <n v="1"/>
    <x v="1"/>
    <b v="0"/>
    <n v="5"/>
    <n v="2"/>
    <n v="0.2"/>
    <n v="0"/>
    <n v="0.28789999999999999"/>
    <n v="0.81"/>
    <n v="0"/>
    <n v="3"/>
    <n v="13"/>
    <n v="16"/>
  </r>
  <r>
    <n v="598"/>
    <d v="2011-01-28T00:00:00"/>
    <n v="1"/>
    <n v="1"/>
    <x v="2"/>
    <b v="0"/>
    <n v="5"/>
    <n v="2"/>
    <n v="0.2"/>
    <n v="0"/>
    <n v="0.28789999999999999"/>
    <n v="0.81"/>
    <n v="0"/>
    <n v="3"/>
    <n v="13"/>
    <n v="16"/>
  </r>
  <r>
    <n v="599"/>
    <d v="2011-01-28T00:00:00"/>
    <n v="1"/>
    <n v="1"/>
    <x v="3"/>
    <b v="0"/>
    <n v="5"/>
    <n v="2"/>
    <n v="0.2"/>
    <n v="0"/>
    <n v="0.28789999999999999"/>
    <n v="0.81"/>
    <n v="0"/>
    <n v="3"/>
    <n v="13"/>
    <n v="16"/>
  </r>
  <r>
    <n v="600"/>
    <d v="2011-01-28T00:00:00"/>
    <n v="1"/>
    <n v="1"/>
    <x v="5"/>
    <b v="0"/>
    <n v="5"/>
    <n v="2"/>
    <n v="0.18"/>
    <n v="0"/>
    <n v="0.28789999999999999"/>
    <n v="0.81"/>
    <n v="0"/>
    <n v="3"/>
    <n v="13"/>
    <n v="16"/>
  </r>
  <r>
    <n v="601"/>
    <d v="2011-01-28T00:00:00"/>
    <n v="1"/>
    <n v="1"/>
    <x v="6"/>
    <b v="0"/>
    <n v="5"/>
    <n v="2"/>
    <n v="0.18"/>
    <n v="0"/>
    <n v="0.28789999999999999"/>
    <n v="0.81"/>
    <n v="0"/>
    <n v="3"/>
    <n v="13"/>
    <n v="16"/>
  </r>
  <r>
    <n v="602"/>
    <d v="2011-01-28T00:00:00"/>
    <n v="1"/>
    <n v="1"/>
    <x v="7"/>
    <b v="0"/>
    <n v="5"/>
    <n v="2"/>
    <n v="0.16"/>
    <n v="0"/>
    <n v="0.28789999999999999"/>
    <n v="0.81"/>
    <n v="0"/>
    <n v="3"/>
    <n v="13"/>
    <n v="16"/>
  </r>
  <r>
    <n v="603"/>
    <d v="2011-01-28T00:00:00"/>
    <n v="1"/>
    <n v="1"/>
    <x v="8"/>
    <b v="0"/>
    <n v="5"/>
    <n v="2"/>
    <n v="0.16"/>
    <n v="0"/>
    <n v="0.28789999999999999"/>
    <n v="0.81"/>
    <n v="0"/>
    <n v="3"/>
    <n v="13"/>
    <n v="16"/>
  </r>
  <r>
    <n v="604"/>
    <d v="2011-01-28T00:00:00"/>
    <n v="1"/>
    <n v="1"/>
    <x v="9"/>
    <b v="0"/>
    <n v="5"/>
    <n v="3"/>
    <n v="0.18"/>
    <n v="0"/>
    <n v="0.28789999999999999"/>
    <n v="0.81"/>
    <n v="0"/>
    <n v="3"/>
    <n v="13"/>
    <n v="16"/>
  </r>
  <r>
    <n v="605"/>
    <d v="2011-01-28T00:00:00"/>
    <n v="1"/>
    <n v="1"/>
    <x v="10"/>
    <b v="0"/>
    <n v="5"/>
    <n v="3"/>
    <n v="0.18"/>
    <n v="0"/>
    <n v="0.28789999999999999"/>
    <n v="0.81"/>
    <n v="0"/>
    <n v="3"/>
    <n v="13"/>
    <n v="16"/>
  </r>
  <r>
    <n v="606"/>
    <d v="2011-01-28T00:00:00"/>
    <n v="1"/>
    <n v="1"/>
    <x v="11"/>
    <b v="0"/>
    <n v="5"/>
    <n v="3"/>
    <n v="0.18"/>
    <n v="0"/>
    <n v="0.28789999999999999"/>
    <n v="0.81"/>
    <n v="0"/>
    <n v="3"/>
    <n v="13"/>
    <n v="16"/>
  </r>
  <r>
    <n v="607"/>
    <d v="2011-01-28T00:00:00"/>
    <n v="1"/>
    <n v="1"/>
    <x v="12"/>
    <b v="0"/>
    <n v="5"/>
    <n v="3"/>
    <n v="0.18"/>
    <n v="0"/>
    <n v="0.28789999999999999"/>
    <n v="0.81"/>
    <n v="0"/>
    <n v="3"/>
    <n v="13"/>
    <n v="16"/>
  </r>
  <r>
    <n v="608"/>
    <d v="2011-01-28T00:00:00"/>
    <n v="1"/>
    <n v="1"/>
    <x v="13"/>
    <b v="0"/>
    <n v="5"/>
    <n v="3"/>
    <n v="0.18"/>
    <n v="0"/>
    <n v="0.28789999999999999"/>
    <n v="0.81"/>
    <n v="0"/>
    <n v="3"/>
    <n v="13"/>
    <n v="16"/>
  </r>
  <r>
    <n v="609"/>
    <d v="2011-01-28T00:00:00"/>
    <n v="1"/>
    <n v="1"/>
    <x v="14"/>
    <b v="0"/>
    <n v="5"/>
    <n v="3"/>
    <n v="0.22"/>
    <n v="0"/>
    <n v="0.28789999999999999"/>
    <n v="0.81"/>
    <n v="0"/>
    <n v="3"/>
    <n v="13"/>
    <n v="16"/>
  </r>
  <r>
    <n v="610"/>
    <d v="2011-01-28T00:00:00"/>
    <n v="1"/>
    <n v="1"/>
    <x v="15"/>
    <b v="0"/>
    <n v="5"/>
    <n v="2"/>
    <n v="0.2"/>
    <n v="0"/>
    <n v="0.28789999999999999"/>
    <n v="0.81"/>
    <n v="0"/>
    <n v="3"/>
    <n v="13"/>
    <n v="16"/>
  </r>
  <r>
    <n v="1"/>
    <d v="2011-01-28T00:00:00"/>
    <n v="1"/>
    <n v="1"/>
    <x v="15"/>
    <b v="0"/>
    <n v="5"/>
    <n v="2"/>
    <n v="0.2"/>
    <n v="0"/>
    <n v="0.28789999999999999"/>
    <n v="0.81"/>
    <n v="0"/>
    <n v="3"/>
    <n v="13"/>
    <n v="16"/>
  </r>
  <r>
    <n v="2"/>
    <d v="2011-01-28T00:00:00"/>
    <n v="1"/>
    <n v="1"/>
    <x v="15"/>
    <b v="0"/>
    <n v="5"/>
    <n v="2"/>
    <n v="0.2"/>
    <n v="1"/>
    <n v="0.2727"/>
    <n v="0.8"/>
    <n v="0"/>
    <n v="8"/>
    <n v="32"/>
    <n v="40"/>
  </r>
  <r>
    <n v="3"/>
    <d v="2011-01-28T00:00:00"/>
    <n v="1"/>
    <n v="1"/>
    <x v="15"/>
    <b v="0"/>
    <n v="5"/>
    <n v="2"/>
    <n v="0.2"/>
    <n v="2"/>
    <n v="0.2727"/>
    <n v="0.8"/>
    <n v="0"/>
    <n v="5"/>
    <n v="27"/>
    <n v="32"/>
  </r>
  <r>
    <n v="4"/>
    <d v="2011-01-28T00:00:00"/>
    <n v="1"/>
    <n v="1"/>
    <x v="15"/>
    <b v="0"/>
    <n v="5"/>
    <n v="2"/>
    <n v="0.2"/>
    <n v="3"/>
    <n v="0.28789999999999999"/>
    <n v="0.75"/>
    <n v="0"/>
    <n v="3"/>
    <n v="10"/>
    <n v="13"/>
  </r>
  <r>
    <n v="5"/>
    <d v="2011-01-28T00:00:00"/>
    <n v="1"/>
    <n v="1"/>
    <x v="15"/>
    <b v="0"/>
    <n v="5"/>
    <n v="2"/>
    <n v="0.2"/>
    <n v="4"/>
    <n v="0.28789999999999999"/>
    <n v="0.75"/>
    <n v="0"/>
    <n v="0"/>
    <n v="1"/>
    <n v="1"/>
  </r>
  <r>
    <n v="6"/>
    <d v="2011-01-28T00:00:00"/>
    <n v="1"/>
    <n v="1"/>
    <x v="15"/>
    <b v="0"/>
    <n v="5"/>
    <n v="2"/>
    <n v="0.2"/>
    <n v="5"/>
    <n v="0.2576"/>
    <n v="0.75"/>
    <n v="8.9599999999999999E-2"/>
    <n v="0"/>
    <n v="1"/>
    <n v="1"/>
  </r>
  <r>
    <n v="7"/>
    <d v="2011-01-28T00:00:00"/>
    <n v="1"/>
    <n v="1"/>
    <x v="15"/>
    <b v="0"/>
    <n v="5"/>
    <n v="2"/>
    <n v="0.2"/>
    <n v="6"/>
    <n v="0.2727"/>
    <n v="0.8"/>
    <n v="0"/>
    <n v="2"/>
    <n v="0"/>
    <n v="2"/>
  </r>
  <r>
    <n v="8"/>
    <d v="2011-01-28T00:00:00"/>
    <n v="1"/>
    <n v="1"/>
    <x v="15"/>
    <b v="0"/>
    <n v="5"/>
    <n v="2"/>
    <n v="0.2"/>
    <n v="7"/>
    <n v="0.2576"/>
    <n v="0.86"/>
    <n v="0"/>
    <n v="1"/>
    <n v="2"/>
    <n v="3"/>
  </r>
  <r>
    <n v="9"/>
    <d v="2011-01-28T00:00:00"/>
    <n v="1"/>
    <n v="1"/>
    <x v="15"/>
    <b v="0"/>
    <n v="5"/>
    <n v="2"/>
    <n v="0.2"/>
    <n v="8"/>
    <n v="0"/>
    <n v="0.75"/>
    <n v="0"/>
    <n v="1"/>
    <n v="7"/>
    <n v="8"/>
  </r>
  <r>
    <n v="10"/>
    <d v="2011-01-28T00:00:00"/>
    <n v="1"/>
    <n v="1"/>
    <x v="15"/>
    <b v="0"/>
    <n v="5"/>
    <n v="2"/>
    <n v="0.2"/>
    <n v="9"/>
    <n v="0.34849999999999998"/>
    <n v="0.76"/>
    <n v="0"/>
    <n v="8"/>
    <n v="6"/>
    <n v="14"/>
  </r>
  <r>
    <n v="11"/>
    <d v="2011-01-28T00:00:00"/>
    <n v="1"/>
    <n v="1"/>
    <x v="15"/>
    <b v="0"/>
    <n v="5"/>
    <n v="2"/>
    <n v="0.2"/>
    <n v="10"/>
    <n v="0.39389999999999997"/>
    <n v="0.76"/>
    <n v="0.25369999999999998"/>
    <n v="12"/>
    <n v="24"/>
    <n v="36"/>
  </r>
  <r>
    <n v="12"/>
    <d v="2011-01-28T00:00:00"/>
    <n v="1"/>
    <n v="1"/>
    <x v="15"/>
    <b v="0"/>
    <n v="5"/>
    <n v="2"/>
    <n v="0.2"/>
    <n v="11"/>
    <n v="0.33329999999999999"/>
    <n v="0.81"/>
    <n v="0.28360000000000002"/>
    <n v="26"/>
    <n v="30"/>
    <n v="56"/>
  </r>
  <r>
    <n v="13"/>
    <d v="2011-01-28T00:00:00"/>
    <n v="1"/>
    <n v="1"/>
    <x v="15"/>
    <b v="0"/>
    <n v="5"/>
    <n v="2"/>
    <n v="0.2"/>
    <n v="12"/>
    <n v="0.42420000000000002"/>
    <n v="0.77"/>
    <n v="0.28360000000000002"/>
    <n v="29"/>
    <n v="55"/>
    <n v="84"/>
  </r>
  <r>
    <n v="14"/>
    <d v="2011-01-28T00:00:00"/>
    <n v="1"/>
    <n v="1"/>
    <x v="15"/>
    <b v="0"/>
    <n v="5"/>
    <n v="2"/>
    <n v="0.2"/>
    <n v="13"/>
    <n v="0.45450000000000002"/>
    <n v="0.72"/>
    <n v="0.29849999999999999"/>
    <n v="47"/>
    <n v="47"/>
    <n v="94"/>
  </r>
  <r>
    <n v="15"/>
    <d v="2011-01-28T00:00:00"/>
    <n v="1"/>
    <n v="1"/>
    <x v="15"/>
    <b v="0"/>
    <n v="5"/>
    <n v="2"/>
    <n v="0.2"/>
    <n v="14"/>
    <n v="0.45450000000000002"/>
    <n v="0.72"/>
    <n v="0.28360000000000002"/>
    <n v="35"/>
    <n v="71"/>
    <n v="106"/>
  </r>
  <r>
    <n v="16"/>
    <d v="2011-01-28T00:00:00"/>
    <n v="1"/>
    <n v="1"/>
    <x v="15"/>
    <b v="0"/>
    <n v="5"/>
    <n v="2"/>
    <n v="0.2"/>
    <n v="15"/>
    <n v="0.43940000000000001"/>
    <n v="0.77"/>
    <n v="0.29849999999999999"/>
    <n v="40"/>
    <n v="70"/>
    <n v="110"/>
  </r>
  <r>
    <n v="17"/>
    <d v="2011-01-28T00:00:00"/>
    <n v="1"/>
    <n v="1"/>
    <x v="15"/>
    <b v="0"/>
    <n v="5"/>
    <n v="2"/>
    <n v="0.2"/>
    <n v="16"/>
    <n v="0.42420000000000002"/>
    <n v="0.82"/>
    <n v="0.29849999999999999"/>
    <n v="41"/>
    <n v="52"/>
    <n v="93"/>
  </r>
  <r>
    <n v="18"/>
    <d v="2011-01-28T00:00:00"/>
    <n v="1"/>
    <n v="1"/>
    <x v="15"/>
    <b v="0"/>
    <n v="5"/>
    <n v="2"/>
    <n v="0.2"/>
    <n v="17"/>
    <n v="0"/>
    <n v="0.82"/>
    <n v="0.28360000000000002"/>
    <n v="15"/>
    <n v="52"/>
    <n v="67"/>
  </r>
  <r>
    <n v="19"/>
    <d v="2011-01-28T00:00:00"/>
    <n v="1"/>
    <n v="1"/>
    <x v="15"/>
    <b v="0"/>
    <n v="5"/>
    <n v="2"/>
    <n v="0.2"/>
    <n v="18"/>
    <n v="0.42420000000000002"/>
    <n v="0.88"/>
    <n v="0.25369999999999998"/>
    <n v="9"/>
    <n v="26"/>
    <n v="35"/>
  </r>
  <r>
    <n v="20"/>
    <d v="2011-01-28T00:00:00"/>
    <n v="1"/>
    <n v="1"/>
    <x v="15"/>
    <b v="0"/>
    <n v="5"/>
    <n v="2"/>
    <n v="0.2"/>
    <n v="19"/>
    <n v="0.42420000000000002"/>
    <n v="0.88"/>
    <n v="0.25369999999999998"/>
    <n v="6"/>
    <n v="31"/>
    <n v="37"/>
  </r>
  <r>
    <n v="21"/>
    <d v="2011-01-28T00:00:00"/>
    <n v="1"/>
    <n v="1"/>
    <x v="15"/>
    <b v="0"/>
    <n v="5"/>
    <n v="2"/>
    <n v="0.2"/>
    <n v="20"/>
    <n v="0.40910000000000002"/>
    <n v="0.87"/>
    <n v="0.25369999999999998"/>
    <n v="11"/>
    <n v="25"/>
    <n v="36"/>
  </r>
  <r>
    <n v="22"/>
    <d v="2011-01-28T00:00:00"/>
    <n v="1"/>
    <n v="1"/>
    <x v="15"/>
    <b v="0"/>
    <n v="5"/>
    <n v="2"/>
    <n v="0.2"/>
    <n v="21"/>
    <n v="0.40910000000000002"/>
    <n v="0.87"/>
    <n v="0.19400000000000001"/>
    <n v="3"/>
    <n v="31"/>
    <n v="34"/>
  </r>
  <r>
    <n v="23"/>
    <d v="2011-01-28T00:00:00"/>
    <n v="1"/>
    <n v="1"/>
    <x v="15"/>
    <b v="0"/>
    <n v="5"/>
    <n v="2"/>
    <n v="0.2"/>
    <n v="22"/>
    <n v="0.40910000000000002"/>
    <n v="0.94"/>
    <n v="0.22389999999999999"/>
    <n v="11"/>
    <n v="17"/>
    <n v="28"/>
  </r>
  <r>
    <n v="24"/>
    <d v="2011-01-28T00:00:00"/>
    <n v="1"/>
    <n v="1"/>
    <x v="15"/>
    <b v="0"/>
    <n v="5"/>
    <n v="2"/>
    <n v="0.2"/>
    <n v="23"/>
    <n v="0"/>
    <n v="0.88"/>
    <n v="0.29849999999999999"/>
    <n v="15"/>
    <n v="24"/>
    <n v="39"/>
  </r>
  <r>
    <n v="25"/>
    <d v="2011-01-28T00:00:00"/>
    <n v="1"/>
    <n v="1"/>
    <x v="15"/>
    <b v="0"/>
    <n v="5"/>
    <n v="2"/>
    <n v="0.2"/>
    <n v="24"/>
    <n v="0.45450000000000002"/>
    <n v="0.88"/>
    <n v="0.29849999999999999"/>
    <n v="4"/>
    <n v="13"/>
    <n v="17"/>
  </r>
  <r>
    <n v="26"/>
    <d v="2011-01-28T00:00:00"/>
    <n v="1"/>
    <n v="1"/>
    <x v="15"/>
    <b v="0"/>
    <n v="5"/>
    <n v="2"/>
    <n v="0.2"/>
    <n v="25"/>
    <n v="0.43940000000000001"/>
    <n v="0.94"/>
    <n v="0.25369999999999998"/>
    <n v="1"/>
    <n v="16"/>
    <n v="17"/>
  </r>
  <r>
    <n v="27"/>
    <d v="2011-01-28T00:00:00"/>
    <n v="1"/>
    <n v="1"/>
    <x v="15"/>
    <b v="0"/>
    <n v="5"/>
    <n v="2"/>
    <n v="0.2"/>
    <n v="26"/>
    <n v="0.42420000000000002"/>
    <n v="1"/>
    <n v="0.28360000000000002"/>
    <n v="1"/>
    <n v="8"/>
    <n v="9"/>
  </r>
  <r>
    <n v="28"/>
    <d v="2011-01-28T00:00:00"/>
    <n v="1"/>
    <n v="1"/>
    <x v="15"/>
    <b v="0"/>
    <n v="5"/>
    <n v="2"/>
    <n v="0.2"/>
    <n v="27"/>
    <n v="0.45450000000000002"/>
    <n v="0.94"/>
    <n v="0.19400000000000001"/>
    <n v="2"/>
    <n v="4"/>
    <n v="6"/>
  </r>
  <r>
    <n v="29"/>
    <d v="2011-01-28T00:00:00"/>
    <n v="1"/>
    <n v="1"/>
    <x v="15"/>
    <b v="0"/>
    <n v="5"/>
    <n v="2"/>
    <n v="0.2"/>
    <n v="28"/>
    <n v="0"/>
    <n v="0.94"/>
    <n v="0.19400000000000001"/>
    <n v="2"/>
    <n v="1"/>
    <n v="3"/>
  </r>
  <r>
    <n v="30"/>
    <d v="2011-01-28T00:00:00"/>
    <n v="1"/>
    <n v="1"/>
    <x v="15"/>
    <b v="0"/>
    <n v="5"/>
    <n v="2"/>
    <n v="0.2"/>
    <n v="29"/>
    <n v="0.42420000000000002"/>
    <n v="0.77"/>
    <n v="0.29849999999999999"/>
    <n v="0"/>
    <n v="2"/>
    <n v="2"/>
  </r>
  <r>
    <n v="31"/>
    <d v="2011-01-28T00:00:00"/>
    <n v="1"/>
    <n v="1"/>
    <x v="15"/>
    <b v="0"/>
    <n v="5"/>
    <n v="2"/>
    <n v="0.2"/>
    <n v="30"/>
    <n v="0.40910000000000002"/>
    <n v="0.76"/>
    <n v="0.19400000000000001"/>
    <n v="0"/>
    <n v="1"/>
    <n v="1"/>
  </r>
  <r>
    <n v="32"/>
    <d v="2011-01-28T00:00:00"/>
    <n v="1"/>
    <n v="1"/>
    <x v="15"/>
    <b v="0"/>
    <n v="5"/>
    <n v="2"/>
    <n v="0.2"/>
    <n v="31"/>
    <n v="0.40910000000000002"/>
    <n v="0.71"/>
    <n v="0.22389999999999999"/>
    <n v="0"/>
    <n v="8"/>
    <n v="8"/>
  </r>
  <r>
    <n v="33"/>
    <d v="2011-01-28T00:00:00"/>
    <n v="1"/>
    <n v="1"/>
    <x v="15"/>
    <b v="0"/>
    <n v="5"/>
    <n v="2"/>
    <n v="0.2"/>
    <n v="32"/>
    <n v="0"/>
    <n v="0.76"/>
    <n v="0.22389999999999999"/>
    <n v="1"/>
    <n v="19"/>
    <n v="20"/>
  </r>
  <r>
    <n v="34"/>
    <d v="2011-01-28T00:00:00"/>
    <n v="1"/>
    <n v="1"/>
    <x v="15"/>
    <b v="0"/>
    <n v="5"/>
    <n v="2"/>
    <n v="0.2"/>
    <n v="33"/>
    <n v="0.34849999999999998"/>
    <n v="0.81"/>
    <n v="0.22389999999999999"/>
    <n v="7"/>
    <n v="46"/>
    <n v="53"/>
  </r>
  <r>
    <n v="35"/>
    <d v="2011-01-28T00:00:00"/>
    <n v="1"/>
    <n v="1"/>
    <x v="15"/>
    <b v="0"/>
    <n v="5"/>
    <n v="2"/>
    <n v="0.2"/>
    <n v="34"/>
    <n v="0.33329999999999999"/>
    <n v="0.71"/>
    <n v="0.25369999999999998"/>
    <n v="16"/>
    <n v="54"/>
    <n v="70"/>
  </r>
  <r>
    <n v="36"/>
    <d v="2011-01-28T00:00:00"/>
    <n v="1"/>
    <n v="1"/>
    <x v="15"/>
    <b v="0"/>
    <n v="5"/>
    <n v="2"/>
    <n v="0.2"/>
    <n v="35"/>
    <n v="0.33329999999999999"/>
    <n v="0.66"/>
    <n v="0.29849999999999999"/>
    <n v="20"/>
    <n v="73"/>
    <n v="93"/>
  </r>
  <r>
    <n v="37"/>
    <d v="2011-01-28T00:00:00"/>
    <n v="1"/>
    <n v="1"/>
    <x v="15"/>
    <b v="0"/>
    <n v="5"/>
    <n v="2"/>
    <n v="0.2"/>
    <n v="36"/>
    <n v="0.34849999999999998"/>
    <n v="0.66"/>
    <n v="0.1343"/>
    <n v="11"/>
    <n v="64"/>
    <n v="75"/>
  </r>
  <r>
    <n v="38"/>
    <d v="2011-01-28T00:00:00"/>
    <n v="1"/>
    <n v="1"/>
    <x v="15"/>
    <b v="0"/>
    <n v="5"/>
    <n v="2"/>
    <n v="0.2"/>
    <n v="37"/>
    <n v="0"/>
    <n v="0.76"/>
    <n v="0.19400000000000001"/>
    <n v="4"/>
    <n v="55"/>
    <n v="59"/>
  </r>
  <r>
    <n v="39"/>
    <d v="2011-01-28T00:00:00"/>
    <n v="1"/>
    <n v="1"/>
    <x v="15"/>
    <b v="0"/>
    <n v="5"/>
    <n v="2"/>
    <n v="0.2"/>
    <n v="38"/>
    <n v="0.33329999999999999"/>
    <n v="0.81"/>
    <n v="0.16420000000000001"/>
    <n v="19"/>
    <n v="55"/>
    <n v="74"/>
  </r>
  <r>
    <n v="40"/>
    <d v="2011-01-28T00:00:00"/>
    <n v="1"/>
    <n v="1"/>
    <x v="15"/>
    <b v="0"/>
    <n v="5"/>
    <n v="2"/>
    <n v="0.2"/>
    <n v="39"/>
    <n v="0.33329999999999999"/>
    <n v="0.71"/>
    <n v="0.16420000000000001"/>
    <n v="9"/>
    <n v="67"/>
    <n v="76"/>
  </r>
  <r>
    <n v="41"/>
    <d v="2011-01-28T00:00:00"/>
    <n v="1"/>
    <n v="1"/>
    <x v="15"/>
    <b v="0"/>
    <n v="5"/>
    <n v="2"/>
    <n v="0.2"/>
    <n v="40"/>
    <n v="0.33329999999999999"/>
    <n v="0.56999999999999995"/>
    <n v="0.19400000000000001"/>
    <n v="7"/>
    <n v="58"/>
    <n v="65"/>
  </r>
  <r>
    <n v="42"/>
    <d v="2011-01-28T00:00:00"/>
    <n v="1"/>
    <n v="1"/>
    <x v="15"/>
    <b v="0"/>
    <n v="5"/>
    <n v="2"/>
    <n v="0.2"/>
    <n v="41"/>
    <n v="0.33329999999999999"/>
    <n v="0.46"/>
    <n v="0.32840000000000003"/>
    <n v="10"/>
    <n v="43"/>
    <n v="53"/>
  </r>
  <r>
    <n v="43"/>
    <d v="2011-01-28T00:00:00"/>
    <n v="1"/>
    <n v="1"/>
    <x v="15"/>
    <b v="0"/>
    <n v="5"/>
    <n v="2"/>
    <n v="0.2"/>
    <n v="42"/>
    <n v="0.28789999999999999"/>
    <n v="0.42"/>
    <n v="0.44779999999999998"/>
    <n v="1"/>
    <n v="29"/>
    <n v="30"/>
  </r>
  <r>
    <n v="44"/>
    <d v="2011-01-28T00:00:00"/>
    <n v="1"/>
    <n v="1"/>
    <x v="15"/>
    <b v="0"/>
    <n v="5"/>
    <n v="2"/>
    <n v="0.2"/>
    <n v="43"/>
    <n v="0"/>
    <n v="0.39"/>
    <n v="0.35820000000000002"/>
    <n v="5"/>
    <n v="17"/>
    <n v="22"/>
  </r>
  <r>
    <n v="45"/>
    <d v="2011-01-28T00:00:00"/>
    <n v="1"/>
    <n v="1"/>
    <x v="15"/>
    <b v="0"/>
    <n v="5"/>
    <n v="2"/>
    <n v="0.2"/>
    <n v="44"/>
    <n v="0.2273"/>
    <n v="0.44"/>
    <n v="0.32840000000000003"/>
    <n v="11"/>
    <n v="20"/>
    <n v="31"/>
  </r>
  <r>
    <n v="46"/>
    <d v="2011-01-28T00:00:00"/>
    <n v="1"/>
    <n v="1"/>
    <x v="15"/>
    <b v="0"/>
    <n v="5"/>
    <n v="2"/>
    <n v="0.2"/>
    <n v="45"/>
    <n v="0.21210000000000001"/>
    <n v="0.44"/>
    <n v="0.29849999999999999"/>
    <n v="0"/>
    <n v="9"/>
    <n v="9"/>
  </r>
  <r>
    <n v="47"/>
    <d v="2011-01-28T00:00:00"/>
    <n v="1"/>
    <n v="1"/>
    <x v="15"/>
    <b v="0"/>
    <n v="5"/>
    <n v="2"/>
    <n v="0.2"/>
    <n v="46"/>
    <n v="0.2273"/>
    <n v="0.47"/>
    <n v="0.16420000000000001"/>
    <n v="0"/>
    <n v="8"/>
    <n v="8"/>
  </r>
  <r>
    <n v="48"/>
    <d v="2011-01-28T00:00:00"/>
    <n v="1"/>
    <n v="1"/>
    <x v="15"/>
    <b v="0"/>
    <n v="5"/>
    <n v="2"/>
    <n v="0.2"/>
    <n v="47"/>
    <n v="0.19700000000000001"/>
    <n v="0.44"/>
    <n v="0.35820000000000002"/>
    <n v="0"/>
    <n v="5"/>
    <n v="5"/>
  </r>
  <r>
    <n v="49"/>
    <d v="2011-01-28T00:00:00"/>
    <n v="1"/>
    <n v="1"/>
    <x v="15"/>
    <b v="0"/>
    <n v="5"/>
    <n v="2"/>
    <n v="0.2"/>
    <n v="48"/>
    <n v="0"/>
    <n v="0.44"/>
    <n v="0.41789999999999999"/>
    <n v="0"/>
    <n v="2"/>
    <n v="2"/>
  </r>
  <r>
    <n v="50"/>
    <d v="2011-01-28T00:00:00"/>
    <n v="1"/>
    <n v="1"/>
    <x v="15"/>
    <b v="0"/>
    <n v="5"/>
    <n v="2"/>
    <n v="0.2"/>
    <n v="49"/>
    <n v="0.13639999999999999"/>
    <n v="0.47"/>
    <n v="0.3881"/>
    <n v="0"/>
    <n v="1"/>
    <n v="1"/>
  </r>
  <r>
    <n v="51"/>
    <d v="2011-01-28T00:00:00"/>
    <n v="1"/>
    <n v="1"/>
    <x v="15"/>
    <b v="0"/>
    <n v="5"/>
    <n v="2"/>
    <n v="0.2"/>
    <n v="50"/>
    <n v="0.13639999999999999"/>
    <n v="0.47"/>
    <n v="0.28360000000000002"/>
    <n v="0"/>
    <n v="3"/>
    <n v="3"/>
  </r>
  <r>
    <n v="52"/>
    <d v="2011-01-28T00:00:00"/>
    <n v="1"/>
    <n v="1"/>
    <x v="15"/>
    <b v="0"/>
    <n v="5"/>
    <n v="2"/>
    <n v="0.2"/>
    <n v="51"/>
    <n v="0.1061"/>
    <n v="0.5"/>
    <n v="0.3881"/>
    <n v="0"/>
    <n v="30"/>
    <n v="30"/>
  </r>
  <r>
    <n v="53"/>
    <d v="2011-01-28T00:00:00"/>
    <n v="1"/>
    <n v="1"/>
    <x v="15"/>
    <b v="0"/>
    <n v="5"/>
    <n v="2"/>
    <n v="0.2"/>
    <n v="52"/>
    <n v="0.13639999999999999"/>
    <n v="0.5"/>
    <n v="0.19400000000000001"/>
    <n v="1"/>
    <n v="63"/>
    <n v="64"/>
  </r>
  <r>
    <n v="54"/>
    <d v="2011-01-28T00:00:00"/>
    <n v="1"/>
    <n v="1"/>
    <x v="15"/>
    <b v="0"/>
    <n v="5"/>
    <n v="2"/>
    <n v="0.2"/>
    <n v="53"/>
    <n v="0.1212"/>
    <n v="0.5"/>
    <n v="0.28360000000000002"/>
    <n v="1"/>
    <n v="153"/>
    <n v="154"/>
  </r>
  <r>
    <n v="55"/>
    <d v="2011-01-28T00:00:00"/>
    <n v="1"/>
    <n v="1"/>
    <x v="15"/>
    <b v="0"/>
    <n v="5"/>
    <n v="2"/>
    <n v="0.2"/>
    <n v="54"/>
    <n v="0.13639999999999999"/>
    <n v="0.43"/>
    <n v="0.3881"/>
    <n v="7"/>
    <n v="81"/>
    <n v="88"/>
  </r>
  <r>
    <n v="56"/>
    <d v="2011-01-28T00:00:00"/>
    <n v="1"/>
    <n v="1"/>
    <x v="15"/>
    <b v="0"/>
    <n v="5"/>
    <n v="2"/>
    <n v="0.2"/>
    <n v="55"/>
    <n v="0.16669999999999999"/>
    <n v="0.43"/>
    <n v="0.25369999999999998"/>
    <n v="11"/>
    <n v="33"/>
    <n v="44"/>
  </r>
  <r>
    <n v="57"/>
    <d v="2011-01-28T00:00:00"/>
    <n v="1"/>
    <n v="1"/>
    <x v="15"/>
    <b v="0"/>
    <n v="5"/>
    <n v="2"/>
    <n v="0.2"/>
    <n v="56"/>
    <n v="0.18179999999999999"/>
    <n v="0.4"/>
    <n v="0.32840000000000003"/>
    <n v="10"/>
    <n v="41"/>
    <n v="51"/>
  </r>
  <r>
    <n v="58"/>
    <d v="2011-01-28T00:00:00"/>
    <n v="1"/>
    <n v="1"/>
    <x v="15"/>
    <b v="0"/>
    <n v="5"/>
    <n v="2"/>
    <n v="0.2"/>
    <n v="57"/>
    <n v="0.21210000000000001"/>
    <n v="0.35"/>
    <n v="0.29849999999999999"/>
    <n v="13"/>
    <n v="48"/>
    <n v="61"/>
  </r>
  <r>
    <n v="59"/>
    <d v="2011-01-28T00:00:00"/>
    <n v="1"/>
    <n v="1"/>
    <x v="15"/>
    <b v="0"/>
    <n v="5"/>
    <n v="2"/>
    <n v="0.2"/>
    <n v="58"/>
    <n v="0"/>
    <n v="0.35"/>
    <n v="0.28360000000000002"/>
    <n v="8"/>
    <n v="53"/>
    <n v="61"/>
  </r>
  <r>
    <n v="60"/>
    <d v="2011-01-28T00:00:00"/>
    <n v="1"/>
    <n v="1"/>
    <x v="15"/>
    <b v="0"/>
    <n v="5"/>
    <n v="2"/>
    <n v="0.2"/>
    <n v="59"/>
    <n v="0.2424"/>
    <n v="0.3"/>
    <n v="0.28360000000000002"/>
    <n v="11"/>
    <n v="66"/>
    <n v="77"/>
  </r>
  <r>
    <n v="61"/>
    <d v="2011-01-28T00:00:00"/>
    <n v="1"/>
    <n v="1"/>
    <x v="15"/>
    <b v="0"/>
    <n v="5"/>
    <n v="2"/>
    <n v="0.2"/>
    <n v="60"/>
    <n v="0.2424"/>
    <n v="0.3"/>
    <n v="0.25369999999999998"/>
    <n v="14"/>
    <n v="58"/>
    <n v="72"/>
  </r>
  <r>
    <n v="62"/>
    <d v="2011-01-28T00:00:00"/>
    <n v="1"/>
    <n v="1"/>
    <x v="15"/>
    <b v="0"/>
    <n v="5"/>
    <n v="2"/>
    <n v="0.2"/>
    <n v="61"/>
    <n v="0.2424"/>
    <n v="0.3"/>
    <n v="0.25369999999999998"/>
    <n v="9"/>
    <n v="67"/>
    <n v="76"/>
  </r>
  <r>
    <n v="63"/>
    <d v="2011-01-28T00:00:00"/>
    <n v="1"/>
    <n v="1"/>
    <x v="15"/>
    <b v="0"/>
    <n v="5"/>
    <n v="2"/>
    <n v="0.2"/>
    <n v="62"/>
    <n v="0.2273"/>
    <n v="0.3"/>
    <n v="0.22389999999999999"/>
    <n v="11"/>
    <n v="146"/>
    <n v="157"/>
  </r>
  <r>
    <n v="64"/>
    <d v="2011-01-28T00:00:00"/>
    <n v="1"/>
    <n v="1"/>
    <x v="15"/>
    <b v="0"/>
    <n v="5"/>
    <n v="2"/>
    <n v="0.2"/>
    <n v="63"/>
    <n v="0.2576"/>
    <n v="0.32"/>
    <n v="0.1045"/>
    <n v="9"/>
    <n v="148"/>
    <n v="157"/>
  </r>
  <r>
    <n v="65"/>
    <d v="2011-01-28T00:00:00"/>
    <n v="1"/>
    <n v="1"/>
    <x v="15"/>
    <b v="0"/>
    <n v="5"/>
    <n v="2"/>
    <n v="0.2"/>
    <n v="64"/>
    <n v="0.2576"/>
    <n v="0.47"/>
    <n v="0"/>
    <n v="8"/>
    <n v="102"/>
    <n v="110"/>
  </r>
  <r>
    <n v="66"/>
    <d v="2011-01-28T00:00:00"/>
    <n v="1"/>
    <n v="1"/>
    <x v="15"/>
    <b v="0"/>
    <n v="5"/>
    <n v="2"/>
    <n v="0.2"/>
    <n v="65"/>
    <n v="0"/>
    <n v="0.47"/>
    <n v="0.1045"/>
    <n v="3"/>
    <n v="49"/>
    <n v="52"/>
  </r>
  <r>
    <n v="67"/>
    <d v="2011-01-28T00:00:00"/>
    <n v="1"/>
    <n v="1"/>
    <x v="15"/>
    <b v="0"/>
    <n v="5"/>
    <n v="2"/>
    <n v="0.2"/>
    <n v="66"/>
    <n v="0.19700000000000001"/>
    <n v="0.64"/>
    <n v="0.1343"/>
    <n v="3"/>
    <n v="49"/>
    <n v="52"/>
  </r>
  <r>
    <n v="68"/>
    <d v="2011-01-28T00:00:00"/>
    <n v="1"/>
    <n v="1"/>
    <x v="15"/>
    <b v="0"/>
    <n v="5"/>
    <n v="2"/>
    <n v="0.2"/>
    <n v="67"/>
    <n v="0.1515"/>
    <n v="0.69"/>
    <n v="0.1343"/>
    <n v="0"/>
    <n v="20"/>
    <n v="20"/>
  </r>
  <r>
    <n v="69"/>
    <d v="2011-01-28T00:00:00"/>
    <n v="1"/>
    <n v="1"/>
    <x v="15"/>
    <b v="0"/>
    <n v="5"/>
    <n v="2"/>
    <n v="0.2"/>
    <n v="68"/>
    <n v="0.21210000000000001"/>
    <n v="0.55000000000000004"/>
    <n v="0.1045"/>
    <n v="1"/>
    <n v="11"/>
    <n v="12"/>
  </r>
  <r>
    <n v="70"/>
    <d v="2011-01-28T00:00:00"/>
    <n v="1"/>
    <n v="1"/>
    <x v="15"/>
    <b v="0"/>
    <n v="5"/>
    <n v="2"/>
    <n v="0.2"/>
    <n v="69"/>
    <n v="0"/>
    <n v="0.55000000000000004"/>
    <n v="0.1045"/>
    <n v="0"/>
    <n v="5"/>
    <n v="5"/>
  </r>
  <r>
    <n v="71"/>
    <d v="2011-01-28T00:00:00"/>
    <n v="1"/>
    <n v="1"/>
    <x v="15"/>
    <b v="0"/>
    <n v="5"/>
    <n v="2"/>
    <n v="0.2"/>
    <n v="70"/>
    <n v="0.18179999999999999"/>
    <n v="0.59"/>
    <n v="0.1045"/>
    <n v="0"/>
    <n v="2"/>
    <n v="2"/>
  </r>
  <r>
    <n v="72"/>
    <d v="2011-01-28T00:00:00"/>
    <n v="1"/>
    <n v="1"/>
    <x v="15"/>
    <b v="0"/>
    <n v="5"/>
    <n v="2"/>
    <n v="0.2"/>
    <n v="71"/>
    <n v="0.1515"/>
    <n v="0.63"/>
    <n v="0.1343"/>
    <n v="0"/>
    <n v="1"/>
    <n v="1"/>
  </r>
  <r>
    <n v="73"/>
    <d v="2011-01-28T00:00:00"/>
    <n v="1"/>
    <n v="1"/>
    <x v="15"/>
    <b v="0"/>
    <n v="5"/>
    <n v="2"/>
    <n v="0.2"/>
    <n v="72"/>
    <n v="0.18179999999999999"/>
    <n v="0.63"/>
    <n v="8.9599999999999999E-2"/>
    <n v="0"/>
    <n v="2"/>
    <n v="2"/>
  </r>
  <r>
    <n v="74"/>
    <d v="2011-01-28T00:00:00"/>
    <n v="1"/>
    <n v="1"/>
    <x v="15"/>
    <b v="0"/>
    <n v="5"/>
    <n v="2"/>
    <n v="0.2"/>
    <n v="73"/>
    <n v="0.1515"/>
    <n v="0.68"/>
    <n v="0.1045"/>
    <n v="0"/>
    <n v="4"/>
    <n v="4"/>
  </r>
  <r>
    <n v="75"/>
    <d v="2011-01-28T00:00:00"/>
    <n v="1"/>
    <n v="1"/>
    <x v="15"/>
    <b v="0"/>
    <n v="5"/>
    <n v="2"/>
    <n v="0.2"/>
    <n v="74"/>
    <n v="0.1515"/>
    <n v="0.74"/>
    <n v="0.1045"/>
    <n v="0"/>
    <n v="36"/>
    <n v="36"/>
  </r>
  <r>
    <n v="76"/>
    <d v="2011-01-28T00:00:00"/>
    <n v="1"/>
    <n v="1"/>
    <x v="15"/>
    <b v="0"/>
    <n v="5"/>
    <n v="2"/>
    <n v="0.2"/>
    <n v="75"/>
    <n v="0.1515"/>
    <n v="0.74"/>
    <n v="0.1343"/>
    <n v="2"/>
    <n v="92"/>
    <n v="94"/>
  </r>
  <r>
    <n v="77"/>
    <d v="2011-01-28T00:00:00"/>
    <n v="1"/>
    <n v="1"/>
    <x v="15"/>
    <b v="0"/>
    <n v="5"/>
    <n v="2"/>
    <n v="0.2"/>
    <n v="76"/>
    <n v="0.1515"/>
    <n v="0.69"/>
    <n v="0.16420000000000001"/>
    <n v="2"/>
    <n v="177"/>
    <n v="179"/>
  </r>
  <r>
    <n v="78"/>
    <d v="2011-01-28T00:00:00"/>
    <n v="1"/>
    <n v="1"/>
    <x v="15"/>
    <b v="0"/>
    <n v="5"/>
    <n v="2"/>
    <n v="0.2"/>
    <n v="77"/>
    <n v="0.1515"/>
    <n v="0.64"/>
    <n v="0.22389999999999999"/>
    <n v="2"/>
    <n v="98"/>
    <n v="100"/>
  </r>
  <r>
    <n v="79"/>
    <d v="2011-01-28T00:00:00"/>
    <n v="1"/>
    <n v="1"/>
    <x v="15"/>
    <b v="0"/>
    <n v="5"/>
    <n v="2"/>
    <n v="0.2"/>
    <n v="78"/>
    <n v="0.13639999999999999"/>
    <n v="0.69"/>
    <n v="0.32840000000000003"/>
    <n v="5"/>
    <n v="37"/>
    <n v="42"/>
  </r>
  <r>
    <n v="80"/>
    <d v="2011-01-28T00:00:00"/>
    <n v="1"/>
    <n v="1"/>
    <x v="15"/>
    <b v="0"/>
    <n v="5"/>
    <n v="2"/>
    <n v="0.2"/>
    <n v="79"/>
    <n v="0.21210000000000001"/>
    <n v="0.51"/>
    <n v="0.29849999999999999"/>
    <n v="7"/>
    <n v="50"/>
    <n v="57"/>
  </r>
  <r>
    <n v="81"/>
    <d v="2011-01-28T00:00:00"/>
    <n v="1"/>
    <n v="1"/>
    <x v="15"/>
    <b v="0"/>
    <n v="5"/>
    <n v="2"/>
    <n v="0.2"/>
    <n v="80"/>
    <n v="0.2273"/>
    <n v="0.51"/>
    <n v="0.16420000000000001"/>
    <n v="12"/>
    <n v="66"/>
    <n v="78"/>
  </r>
  <r>
    <n v="82"/>
    <d v="2011-01-28T00:00:00"/>
    <n v="1"/>
    <n v="1"/>
    <x v="15"/>
    <b v="0"/>
    <n v="5"/>
    <n v="2"/>
    <n v="0.2"/>
    <n v="81"/>
    <n v="0.2273"/>
    <n v="0.56000000000000005"/>
    <n v="0.19400000000000001"/>
    <n v="18"/>
    <n v="79"/>
    <n v="97"/>
  </r>
  <r>
    <n v="83"/>
    <d v="2011-01-28T00:00:00"/>
    <n v="1"/>
    <n v="1"/>
    <x v="15"/>
    <b v="0"/>
    <n v="5"/>
    <n v="2"/>
    <n v="0.2"/>
    <n v="82"/>
    <n v="0.2576"/>
    <n v="0.52"/>
    <n v="0.22389999999999999"/>
    <n v="9"/>
    <n v="54"/>
    <n v="63"/>
  </r>
  <r>
    <n v="84"/>
    <d v="2011-01-28T00:00:00"/>
    <n v="1"/>
    <n v="1"/>
    <x v="15"/>
    <b v="0"/>
    <n v="5"/>
    <n v="2"/>
    <n v="0.2"/>
    <n v="83"/>
    <n v="0.2727"/>
    <n v="0.52"/>
    <n v="0.25369999999999998"/>
    <n v="17"/>
    <n v="48"/>
    <n v="65"/>
  </r>
  <r>
    <n v="85"/>
    <d v="2011-01-28T00:00:00"/>
    <n v="1"/>
    <n v="1"/>
    <x v="15"/>
    <b v="0"/>
    <n v="5"/>
    <n v="2"/>
    <n v="0.2"/>
    <n v="84"/>
    <n v="0.28789999999999999"/>
    <n v="0.49"/>
    <n v="0.25369999999999998"/>
    <n v="15"/>
    <n v="68"/>
    <n v="83"/>
  </r>
  <r>
    <n v="86"/>
    <d v="2011-01-28T00:00:00"/>
    <n v="1"/>
    <n v="1"/>
    <x v="15"/>
    <b v="0"/>
    <n v="5"/>
    <n v="2"/>
    <n v="0.2"/>
    <n v="85"/>
    <n v="0.2727"/>
    <n v="0.48"/>
    <n v="0.22389999999999999"/>
    <n v="10"/>
    <n v="202"/>
    <n v="212"/>
  </r>
  <r>
    <n v="87"/>
    <d v="2011-01-28T00:00:00"/>
    <n v="1"/>
    <n v="1"/>
    <x v="15"/>
    <b v="0"/>
    <n v="5"/>
    <n v="2"/>
    <n v="0.2"/>
    <n v="86"/>
    <n v="0.2576"/>
    <n v="0.48"/>
    <n v="0.19400000000000001"/>
    <n v="3"/>
    <n v="179"/>
    <n v="182"/>
  </r>
  <r>
    <n v="88"/>
    <d v="2011-01-28T00:00:00"/>
    <n v="1"/>
    <n v="1"/>
    <x v="15"/>
    <b v="0"/>
    <n v="5"/>
    <n v="2"/>
    <n v="0.2"/>
    <n v="87"/>
    <n v="0.2576"/>
    <n v="0.48"/>
    <n v="0.1045"/>
    <n v="2"/>
    <n v="110"/>
    <n v="112"/>
  </r>
  <r>
    <n v="89"/>
    <d v="2011-01-28T00:00:00"/>
    <n v="1"/>
    <n v="1"/>
    <x v="15"/>
    <b v="0"/>
    <n v="5"/>
    <n v="2"/>
    <n v="0.2"/>
    <n v="88"/>
    <n v="0.2576"/>
    <n v="0.48"/>
    <n v="0.1045"/>
    <n v="1"/>
    <n v="53"/>
    <n v="54"/>
  </r>
  <r>
    <n v="90"/>
    <d v="2011-01-28T00:00:00"/>
    <n v="1"/>
    <n v="1"/>
    <x v="15"/>
    <b v="0"/>
    <n v="5"/>
    <n v="2"/>
    <n v="0.2"/>
    <n v="89"/>
    <n v="0.2727"/>
    <n v="0.64"/>
    <n v="0"/>
    <n v="0"/>
    <n v="48"/>
    <n v="48"/>
  </r>
  <r>
    <n v="91"/>
    <d v="2011-01-28T00:00:00"/>
    <n v="1"/>
    <n v="1"/>
    <x v="15"/>
    <b v="0"/>
    <n v="5"/>
    <n v="2"/>
    <n v="0.2"/>
    <n v="90"/>
    <n v="0.2576"/>
    <n v="0.64"/>
    <n v="8.9599999999999999E-2"/>
    <n v="1"/>
    <n v="34"/>
    <n v="35"/>
  </r>
  <r>
    <n v="92"/>
    <d v="2011-01-28T00:00:00"/>
    <n v="1"/>
    <n v="1"/>
    <x v="15"/>
    <b v="0"/>
    <n v="5"/>
    <n v="2"/>
    <n v="0.2"/>
    <n v="91"/>
    <n v="0.2273"/>
    <n v="0.69"/>
    <n v="8.9599999999999999E-2"/>
    <n v="2"/>
    <n v="9"/>
    <n v="11"/>
  </r>
  <r>
    <n v="93"/>
    <d v="2011-01-28T00:00:00"/>
    <n v="1"/>
    <n v="1"/>
    <x v="15"/>
    <b v="0"/>
    <n v="5"/>
    <n v="2"/>
    <n v="0.2"/>
    <n v="92"/>
    <n v="0.2576"/>
    <n v="0.64"/>
    <n v="0"/>
    <n v="0"/>
    <n v="6"/>
    <n v="6"/>
  </r>
  <r>
    <n v="94"/>
    <d v="2011-01-28T00:00:00"/>
    <n v="1"/>
    <n v="1"/>
    <x v="15"/>
    <b v="0"/>
    <n v="5"/>
    <n v="2"/>
    <n v="0.2"/>
    <n v="93"/>
    <n v="0.19700000000000001"/>
    <n v="0.74"/>
    <n v="8.9599999999999999E-2"/>
    <n v="0"/>
    <n v="6"/>
    <n v="6"/>
  </r>
  <r>
    <n v="95"/>
    <d v="2011-01-28T00:00:00"/>
    <n v="1"/>
    <n v="1"/>
    <x v="15"/>
    <b v="0"/>
    <n v="5"/>
    <n v="2"/>
    <n v="0.2"/>
    <n v="94"/>
    <n v="0.19700000000000001"/>
    <n v="0.74"/>
    <n v="8.9599999999999999E-2"/>
    <n v="0"/>
    <n v="2"/>
    <n v="2"/>
  </r>
  <r>
    <n v="96"/>
    <d v="2011-01-28T00:00:00"/>
    <n v="1"/>
    <n v="1"/>
    <x v="15"/>
    <b v="0"/>
    <n v="5"/>
    <n v="2"/>
    <n v="0.2"/>
    <n v="95"/>
    <n v="0.2273"/>
    <n v="0.48"/>
    <n v="0.22389999999999999"/>
    <n v="0"/>
    <n v="2"/>
    <n v="2"/>
  </r>
  <r>
    <n v="97"/>
    <d v="2011-01-28T00:00:00"/>
    <n v="1"/>
    <n v="1"/>
    <x v="15"/>
    <b v="0"/>
    <n v="5"/>
    <n v="2"/>
    <n v="0.2"/>
    <n v="96"/>
    <n v="0.2273"/>
    <n v="0.47"/>
    <n v="0.16420000000000001"/>
    <n v="0"/>
    <n v="3"/>
    <n v="3"/>
  </r>
  <r>
    <n v="98"/>
    <d v="2011-01-28T00:00:00"/>
    <n v="1"/>
    <n v="1"/>
    <x v="15"/>
    <b v="0"/>
    <n v="5"/>
    <n v="2"/>
    <n v="0.2"/>
    <n v="97"/>
    <n v="0.19700000000000001"/>
    <n v="0.47"/>
    <n v="0.22389999999999999"/>
    <n v="0"/>
    <n v="33"/>
    <n v="33"/>
  </r>
  <r>
    <n v="99"/>
    <d v="2011-01-28T00:00:00"/>
    <n v="1"/>
    <n v="1"/>
    <x v="15"/>
    <b v="0"/>
    <n v="5"/>
    <n v="2"/>
    <n v="0.2"/>
    <n v="98"/>
    <n v="0.18179999999999999"/>
    <n v="0.43"/>
    <n v="0.19400000000000001"/>
    <n v="1"/>
    <n v="87"/>
    <n v="88"/>
  </r>
  <r>
    <n v="100"/>
    <d v="2011-01-28T00:00:00"/>
    <n v="1"/>
    <n v="1"/>
    <x v="15"/>
    <b v="0"/>
    <n v="5"/>
    <n v="2"/>
    <n v="0.2"/>
    <n v="99"/>
    <n v="0.18179999999999999"/>
    <n v="0.4"/>
    <n v="0.29849999999999999"/>
    <n v="3"/>
    <n v="192"/>
    <n v="195"/>
  </r>
  <r>
    <n v="101"/>
    <d v="2011-01-28T00:00:00"/>
    <n v="1"/>
    <n v="1"/>
    <x v="15"/>
    <b v="0"/>
    <n v="5"/>
    <n v="2"/>
    <n v="0.2"/>
    <n v="100"/>
    <n v="0.19700000000000001"/>
    <n v="0.37"/>
    <n v="0.32840000000000003"/>
    <n v="6"/>
    <n v="109"/>
    <n v="115"/>
  </r>
  <r>
    <n v="102"/>
    <d v="2011-01-28T00:00:00"/>
    <n v="1"/>
    <n v="1"/>
    <x v="15"/>
    <b v="0"/>
    <n v="5"/>
    <n v="2"/>
    <n v="0.2"/>
    <n v="101"/>
    <n v="0.19700000000000001"/>
    <n v="0.37"/>
    <n v="0.32840000000000003"/>
    <n v="4"/>
    <n v="53"/>
    <n v="57"/>
  </r>
  <r>
    <n v="103"/>
    <d v="2011-01-28T00:00:00"/>
    <n v="1"/>
    <n v="1"/>
    <x v="15"/>
    <b v="0"/>
    <n v="5"/>
    <n v="2"/>
    <n v="0.2"/>
    <n v="102"/>
    <n v="0.2273"/>
    <n v="0.33"/>
    <n v="0.32840000000000003"/>
    <n v="12"/>
    <n v="34"/>
    <n v="46"/>
  </r>
  <r>
    <n v="104"/>
    <d v="2011-01-28T00:00:00"/>
    <n v="1"/>
    <n v="1"/>
    <x v="15"/>
    <b v="0"/>
    <n v="5"/>
    <n v="2"/>
    <n v="0.2"/>
    <n v="103"/>
    <n v="0.2273"/>
    <n v="0.33"/>
    <n v="0.32840000000000003"/>
    <n v="5"/>
    <n v="74"/>
    <n v="79"/>
  </r>
  <r>
    <n v="105"/>
    <d v="2011-01-28T00:00:00"/>
    <n v="1"/>
    <n v="1"/>
    <x v="15"/>
    <b v="0"/>
    <n v="5"/>
    <n v="2"/>
    <n v="0.2"/>
    <n v="104"/>
    <n v="0.2576"/>
    <n v="0.3"/>
    <n v="0.29849999999999999"/>
    <n v="6"/>
    <n v="65"/>
    <n v="71"/>
  </r>
  <r>
    <n v="106"/>
    <d v="2011-01-28T00:00:00"/>
    <n v="1"/>
    <n v="1"/>
    <x v="15"/>
    <b v="0"/>
    <n v="5"/>
    <n v="2"/>
    <n v="0.2"/>
    <n v="105"/>
    <n v="0.28789999999999999"/>
    <n v="0.28000000000000003"/>
    <n v="0.19400000000000001"/>
    <n v="10"/>
    <n v="52"/>
    <n v="62"/>
  </r>
  <r>
    <n v="107"/>
    <d v="2011-01-28T00:00:00"/>
    <n v="1"/>
    <n v="1"/>
    <x v="15"/>
    <b v="0"/>
    <n v="5"/>
    <n v="2"/>
    <n v="0.2"/>
    <n v="106"/>
    <n v="0.28789999999999999"/>
    <n v="0.28000000000000003"/>
    <n v="0.19400000000000001"/>
    <n v="7"/>
    <n v="55"/>
    <n v="62"/>
  </r>
  <r>
    <n v="108"/>
    <d v="2011-01-28T00:00:00"/>
    <n v="1"/>
    <n v="1"/>
    <x v="15"/>
    <b v="0"/>
    <n v="5"/>
    <n v="2"/>
    <n v="0.2"/>
    <n v="107"/>
    <n v="0.31819999999999998"/>
    <n v="0.28000000000000003"/>
    <n v="8.9599999999999999E-2"/>
    <n v="4"/>
    <n v="85"/>
    <n v="89"/>
  </r>
  <r>
    <n v="109"/>
    <d v="2011-01-28T00:00:00"/>
    <n v="1"/>
    <n v="1"/>
    <x v="15"/>
    <b v="0"/>
    <n v="5"/>
    <n v="2"/>
    <n v="0.2"/>
    <n v="108"/>
    <n v="0.2273"/>
    <n v="0.38"/>
    <n v="0.19400000000000001"/>
    <n v="4"/>
    <n v="186"/>
    <n v="190"/>
  </r>
  <r>
    <n v="110"/>
    <d v="2011-01-28T00:00:00"/>
    <n v="1"/>
    <n v="1"/>
    <x v="15"/>
    <b v="0"/>
    <n v="5"/>
    <n v="2"/>
    <n v="0.2"/>
    <n v="109"/>
    <n v="0.2424"/>
    <n v="0.38"/>
    <n v="0.1343"/>
    <n v="3"/>
    <n v="166"/>
    <n v="169"/>
  </r>
  <r>
    <n v="111"/>
    <d v="2011-01-28T00:00:00"/>
    <n v="1"/>
    <n v="1"/>
    <x v="15"/>
    <b v="0"/>
    <n v="5"/>
    <n v="2"/>
    <n v="0.2"/>
    <n v="110"/>
    <n v="0.2576"/>
    <n v="0.38"/>
    <n v="0.1045"/>
    <n v="5"/>
    <n v="127"/>
    <n v="132"/>
  </r>
  <r>
    <n v="112"/>
    <d v="2011-01-28T00:00:00"/>
    <n v="1"/>
    <n v="1"/>
    <x v="15"/>
    <b v="0"/>
    <n v="5"/>
    <n v="2"/>
    <n v="0.2"/>
    <n v="111"/>
    <n v="0.2273"/>
    <n v="0.47"/>
    <n v="0.16420000000000001"/>
    <n v="7"/>
    <n v="82"/>
    <n v="89"/>
  </r>
  <r>
    <n v="113"/>
    <d v="2011-01-28T00:00:00"/>
    <n v="1"/>
    <n v="1"/>
    <x v="15"/>
    <b v="0"/>
    <n v="5"/>
    <n v="2"/>
    <n v="0.2"/>
    <n v="112"/>
    <n v="0.19700000000000001"/>
    <n v="0.51"/>
    <n v="0.19400000000000001"/>
    <n v="3"/>
    <n v="40"/>
    <n v="43"/>
  </r>
  <r>
    <n v="114"/>
    <d v="2011-01-28T00:00:00"/>
    <n v="1"/>
    <n v="1"/>
    <x v="15"/>
    <b v="0"/>
    <n v="5"/>
    <n v="2"/>
    <n v="0.2"/>
    <n v="113"/>
    <n v="0.19700000000000001"/>
    <n v="0.55000000000000004"/>
    <n v="0.1343"/>
    <n v="1"/>
    <n v="41"/>
    <n v="42"/>
  </r>
  <r>
    <n v="115"/>
    <d v="2011-01-28T00:00:00"/>
    <n v="1"/>
    <n v="1"/>
    <x v="15"/>
    <b v="0"/>
    <n v="5"/>
    <n v="2"/>
    <n v="0.2"/>
    <n v="114"/>
    <n v="0.2576"/>
    <n v="0.47"/>
    <n v="0"/>
    <n v="1"/>
    <n v="18"/>
    <n v="19"/>
  </r>
  <r>
    <n v="116"/>
    <d v="2011-01-28T00:00:00"/>
    <n v="1"/>
    <n v="1"/>
    <x v="15"/>
    <b v="0"/>
    <n v="5"/>
    <n v="2"/>
    <n v="0.2"/>
    <n v="115"/>
    <n v="0.2424"/>
    <n v="0.55000000000000004"/>
    <n v="0"/>
    <n v="0"/>
    <n v="11"/>
    <n v="11"/>
  </r>
  <r>
    <n v="117"/>
    <d v="2011-01-28T00:00:00"/>
    <n v="1"/>
    <n v="1"/>
    <x v="15"/>
    <b v="0"/>
    <n v="5"/>
    <n v="2"/>
    <n v="0.2"/>
    <n v="116"/>
    <n v="0.2273"/>
    <n v="0.64"/>
    <n v="0"/>
    <n v="0"/>
    <n v="4"/>
    <n v="4"/>
  </r>
  <r>
    <n v="118"/>
    <d v="2011-01-28T00:00:00"/>
    <n v="1"/>
    <n v="1"/>
    <x v="15"/>
    <b v="0"/>
    <n v="5"/>
    <n v="2"/>
    <n v="0.2"/>
    <n v="117"/>
    <n v="0.2273"/>
    <n v="0.64"/>
    <n v="0"/>
    <n v="0"/>
    <n v="2"/>
    <n v="2"/>
  </r>
  <r>
    <n v="119"/>
    <d v="2011-01-28T00:00:00"/>
    <n v="1"/>
    <n v="1"/>
    <x v="15"/>
    <b v="0"/>
    <n v="5"/>
    <n v="2"/>
    <n v="0.2"/>
    <n v="118"/>
    <n v="0.19700000000000001"/>
    <n v="0.64"/>
    <n v="8.9599999999999999E-2"/>
    <n v="0"/>
    <n v="1"/>
    <n v="1"/>
  </r>
  <r>
    <n v="120"/>
    <d v="2011-01-28T00:00:00"/>
    <n v="1"/>
    <n v="1"/>
    <x v="15"/>
    <b v="0"/>
    <n v="5"/>
    <n v="2"/>
    <n v="0.2"/>
    <n v="119"/>
    <n v="0.18179999999999999"/>
    <n v="0.69"/>
    <n v="8.9599999999999999E-2"/>
    <n v="0"/>
    <n v="4"/>
    <n v="4"/>
  </r>
  <r>
    <n v="121"/>
    <d v="2011-01-28T00:00:00"/>
    <n v="1"/>
    <n v="1"/>
    <x v="15"/>
    <b v="0"/>
    <n v="5"/>
    <n v="2"/>
    <n v="0.2"/>
    <n v="120"/>
    <n v="0.16669999999999999"/>
    <n v="0.63"/>
    <n v="0.1045"/>
    <n v="0"/>
    <n v="36"/>
    <n v="36"/>
  </r>
  <r>
    <n v="122"/>
    <d v="2011-01-28T00:00:00"/>
    <n v="1"/>
    <n v="1"/>
    <x v="15"/>
    <b v="0"/>
    <n v="5"/>
    <n v="2"/>
    <n v="0.2"/>
    <n v="121"/>
    <n v="0.2273"/>
    <n v="0.59"/>
    <n v="0"/>
    <n v="0"/>
    <n v="95"/>
    <n v="95"/>
  </r>
  <r>
    <n v="123"/>
    <d v="2011-01-28T00:00:00"/>
    <n v="1"/>
    <n v="1"/>
    <x v="15"/>
    <b v="0"/>
    <n v="5"/>
    <n v="2"/>
    <n v="0.2"/>
    <n v="122"/>
    <n v="0.2273"/>
    <n v="0.59"/>
    <n v="0"/>
    <n v="3"/>
    <n v="216"/>
    <n v="219"/>
  </r>
  <r>
    <n v="124"/>
    <d v="2011-01-28T00:00:00"/>
    <n v="1"/>
    <n v="1"/>
    <x v="15"/>
    <b v="0"/>
    <n v="5"/>
    <n v="2"/>
    <n v="0.2"/>
    <n v="123"/>
    <n v="0.2424"/>
    <n v="0.51"/>
    <n v="0"/>
    <n v="6"/>
    <n v="116"/>
    <n v="122"/>
  </r>
  <r>
    <n v="125"/>
    <d v="2011-01-28T00:00:00"/>
    <n v="1"/>
    <n v="1"/>
    <x v="15"/>
    <b v="0"/>
    <n v="5"/>
    <n v="2"/>
    <n v="0.2"/>
    <n v="124"/>
    <n v="0.2576"/>
    <n v="0.47"/>
    <n v="0"/>
    <n v="3"/>
    <n v="42"/>
    <n v="45"/>
  </r>
  <r>
    <n v="126"/>
    <d v="2011-01-28T00:00:00"/>
    <n v="1"/>
    <n v="1"/>
    <x v="15"/>
    <b v="0"/>
    <n v="5"/>
    <n v="2"/>
    <n v="0.2"/>
    <n v="125"/>
    <n v="0.2576"/>
    <n v="0.44"/>
    <n v="8.9599999999999999E-2"/>
    <n v="2"/>
    <n v="57"/>
    <n v="59"/>
  </r>
  <r>
    <n v="127"/>
    <d v="2011-01-28T00:00:00"/>
    <n v="1"/>
    <n v="1"/>
    <x v="15"/>
    <b v="0"/>
    <n v="5"/>
    <n v="2"/>
    <n v="0.2"/>
    <n v="126"/>
    <n v="0.28789999999999999"/>
    <n v="0.35"/>
    <n v="0"/>
    <n v="6"/>
    <n v="78"/>
    <n v="84"/>
  </r>
  <r>
    <n v="128"/>
    <d v="2011-01-28T00:00:00"/>
    <n v="1"/>
    <n v="1"/>
    <x v="15"/>
    <b v="0"/>
    <n v="5"/>
    <n v="2"/>
    <n v="0.2"/>
    <n v="127"/>
    <n v="0.2727"/>
    <n v="0.35"/>
    <n v="0.1045"/>
    <n v="12"/>
    <n v="55"/>
    <n v="67"/>
  </r>
  <r>
    <n v="129"/>
    <d v="2011-01-28T00:00:00"/>
    <n v="1"/>
    <n v="1"/>
    <x v="15"/>
    <b v="0"/>
    <n v="5"/>
    <n v="2"/>
    <n v="0.2"/>
    <n v="128"/>
    <n v="0.2727"/>
    <n v="0.36"/>
    <n v="0.16420000000000001"/>
    <n v="11"/>
    <n v="59"/>
    <n v="70"/>
  </r>
  <r>
    <n v="130"/>
    <d v="2011-01-28T00:00:00"/>
    <n v="1"/>
    <n v="1"/>
    <x v="15"/>
    <b v="0"/>
    <n v="5"/>
    <n v="2"/>
    <n v="0.2"/>
    <n v="129"/>
    <n v="0.2727"/>
    <n v="0.36"/>
    <n v="0"/>
    <n v="8"/>
    <n v="54"/>
    <n v="62"/>
  </r>
  <r>
    <n v="131"/>
    <d v="2011-01-28T00:00:00"/>
    <n v="1"/>
    <n v="1"/>
    <x v="15"/>
    <b v="0"/>
    <n v="5"/>
    <n v="2"/>
    <n v="0.2"/>
    <n v="130"/>
    <n v="0.2576"/>
    <n v="0.38"/>
    <n v="0.16420000000000001"/>
    <n v="12"/>
    <n v="74"/>
    <n v="86"/>
  </r>
  <r>
    <n v="132"/>
    <d v="2011-01-28T00:00:00"/>
    <n v="1"/>
    <n v="1"/>
    <x v="15"/>
    <b v="0"/>
    <n v="5"/>
    <n v="2"/>
    <n v="0.2"/>
    <n v="131"/>
    <n v="0.2273"/>
    <n v="0.51"/>
    <n v="0.16420000000000001"/>
    <n v="9"/>
    <n v="163"/>
    <n v="172"/>
  </r>
  <r>
    <n v="133"/>
    <d v="2011-01-28T00:00:00"/>
    <n v="1"/>
    <n v="1"/>
    <x v="15"/>
    <b v="0"/>
    <n v="5"/>
    <n v="2"/>
    <n v="0.2"/>
    <n v="132"/>
    <n v="0.2273"/>
    <n v="0.51"/>
    <n v="0.1343"/>
    <n v="5"/>
    <n v="158"/>
    <n v="163"/>
  </r>
  <r>
    <n v="134"/>
    <d v="2011-01-28T00:00:00"/>
    <n v="1"/>
    <n v="1"/>
    <x v="15"/>
    <b v="0"/>
    <n v="5"/>
    <n v="2"/>
    <n v="0.2"/>
    <n v="133"/>
    <n v="0.2576"/>
    <n v="0.55000000000000004"/>
    <n v="8.9599999999999999E-2"/>
    <n v="3"/>
    <n v="109"/>
    <n v="112"/>
  </r>
  <r>
    <n v="135"/>
    <d v="2011-01-28T00:00:00"/>
    <n v="1"/>
    <n v="1"/>
    <x v="15"/>
    <b v="0"/>
    <n v="5"/>
    <n v="2"/>
    <n v="0.2"/>
    <n v="134"/>
    <n v="0.21210000000000001"/>
    <n v="0.51"/>
    <n v="0.16420000000000001"/>
    <n v="3"/>
    <n v="66"/>
    <n v="69"/>
  </r>
  <r>
    <n v="136"/>
    <d v="2011-01-28T00:00:00"/>
    <n v="1"/>
    <n v="1"/>
    <x v="15"/>
    <b v="0"/>
    <n v="5"/>
    <n v="2"/>
    <n v="0.2"/>
    <n v="135"/>
    <n v="0.21210000000000001"/>
    <n v="0.55000000000000004"/>
    <n v="0.22389999999999999"/>
    <n v="0"/>
    <n v="48"/>
    <n v="48"/>
  </r>
  <r>
    <n v="137"/>
    <d v="2011-01-28T00:00:00"/>
    <n v="1"/>
    <n v="1"/>
    <x v="15"/>
    <b v="0"/>
    <n v="5"/>
    <n v="2"/>
    <n v="0.2"/>
    <n v="136"/>
    <n v="0.21210000000000001"/>
    <n v="0.51"/>
    <n v="0.28360000000000002"/>
    <n v="1"/>
    <n v="51"/>
    <n v="52"/>
  </r>
  <r>
    <n v="138"/>
    <d v="2011-01-28T00:00:00"/>
    <n v="1"/>
    <n v="1"/>
    <x v="15"/>
    <b v="0"/>
    <n v="5"/>
    <n v="2"/>
    <n v="0.2"/>
    <n v="137"/>
    <n v="0.19700000000000001"/>
    <n v="0.59"/>
    <n v="0.19400000000000001"/>
    <n v="4"/>
    <n v="19"/>
    <n v="23"/>
  </r>
  <r>
    <n v="139"/>
    <d v="2011-01-28T00:00:00"/>
    <n v="1"/>
    <n v="1"/>
    <x v="15"/>
    <b v="0"/>
    <n v="5"/>
    <n v="2"/>
    <n v="0.2"/>
    <n v="138"/>
    <n v="0.19700000000000001"/>
    <n v="0.64"/>
    <n v="0.19400000000000001"/>
    <n v="4"/>
    <n v="13"/>
    <n v="17"/>
  </r>
  <r>
    <n v="140"/>
    <d v="2011-01-28T00:00:00"/>
    <n v="1"/>
    <n v="1"/>
    <x v="15"/>
    <b v="0"/>
    <n v="5"/>
    <n v="2"/>
    <n v="0.2"/>
    <n v="139"/>
    <n v="0.19700000000000001"/>
    <n v="0.69"/>
    <n v="0.22389999999999999"/>
    <n v="2"/>
    <n v="5"/>
    <n v="7"/>
  </r>
  <r>
    <n v="141"/>
    <d v="2011-01-28T00:00:00"/>
    <n v="1"/>
    <n v="1"/>
    <x v="15"/>
    <b v="0"/>
    <n v="5"/>
    <n v="2"/>
    <n v="0.2"/>
    <n v="140"/>
    <n v="0.19700000000000001"/>
    <n v="0.69"/>
    <n v="0.22389999999999999"/>
    <n v="0"/>
    <n v="1"/>
    <n v="1"/>
  </r>
  <r>
    <n v="142"/>
    <d v="2011-01-28T00:00:00"/>
    <n v="1"/>
    <n v="1"/>
    <x v="15"/>
    <b v="0"/>
    <n v="5"/>
    <n v="2"/>
    <n v="0.2"/>
    <n v="141"/>
    <n v="0.21210000000000001"/>
    <n v="0.69"/>
    <n v="0.1343"/>
    <n v="0"/>
    <n v="1"/>
    <n v="1"/>
  </r>
  <r>
    <n v="143"/>
    <d v="2011-01-28T00:00:00"/>
    <n v="1"/>
    <n v="1"/>
    <x v="15"/>
    <b v="0"/>
    <n v="5"/>
    <n v="2"/>
    <n v="0.2"/>
    <n v="142"/>
    <n v="0.2727"/>
    <n v="0.55000000000000004"/>
    <n v="0"/>
    <n v="0"/>
    <n v="5"/>
    <n v="5"/>
  </r>
  <r>
    <n v="144"/>
    <d v="2011-01-28T00:00:00"/>
    <n v="1"/>
    <n v="1"/>
    <x v="15"/>
    <b v="0"/>
    <n v="5"/>
    <n v="2"/>
    <n v="0.2"/>
    <n v="143"/>
    <n v="0.2576"/>
    <n v="0.69"/>
    <n v="0"/>
    <n v="8"/>
    <n v="26"/>
    <n v="34"/>
  </r>
  <r>
    <n v="145"/>
    <d v="2011-01-28T00:00:00"/>
    <n v="1"/>
    <n v="1"/>
    <x v="15"/>
    <b v="0"/>
    <n v="5"/>
    <n v="2"/>
    <n v="0.2"/>
    <n v="144"/>
    <n v="0.21210000000000001"/>
    <n v="0.69"/>
    <n v="0.1343"/>
    <n v="8"/>
    <n v="76"/>
    <n v="84"/>
  </r>
  <r>
    <n v="146"/>
    <d v="2011-01-28T00:00:00"/>
    <n v="1"/>
    <n v="1"/>
    <x v="15"/>
    <b v="0"/>
    <n v="5"/>
    <n v="2"/>
    <n v="0.2"/>
    <n v="145"/>
    <n v="0.19700000000000001"/>
    <n v="0.51"/>
    <n v="0.25369999999999998"/>
    <n v="20"/>
    <n v="190"/>
    <n v="210"/>
  </r>
  <r>
    <n v="147"/>
    <d v="2011-01-28T00:00:00"/>
    <n v="1"/>
    <n v="1"/>
    <x v="15"/>
    <b v="0"/>
    <n v="5"/>
    <n v="2"/>
    <n v="0.2"/>
    <n v="146"/>
    <n v="0.18179999999999999"/>
    <n v="0.47"/>
    <n v="0.29849999999999999"/>
    <n v="9"/>
    <n v="125"/>
    <n v="134"/>
  </r>
  <r>
    <n v="148"/>
    <d v="2011-01-28T00:00:00"/>
    <n v="1"/>
    <n v="1"/>
    <x v="15"/>
    <b v="0"/>
    <n v="5"/>
    <n v="2"/>
    <n v="0.2"/>
    <n v="147"/>
    <n v="0.19700000000000001"/>
    <n v="0.37"/>
    <n v="0.32840000000000003"/>
    <n v="16"/>
    <n v="47"/>
    <n v="63"/>
  </r>
  <r>
    <n v="149"/>
    <d v="2011-01-28T00:00:00"/>
    <n v="1"/>
    <n v="1"/>
    <x v="15"/>
    <b v="0"/>
    <n v="5"/>
    <n v="2"/>
    <n v="0.2"/>
    <n v="148"/>
    <n v="0.19700000000000001"/>
    <n v="0.4"/>
    <n v="0.22389999999999999"/>
    <n v="19"/>
    <n v="48"/>
    <n v="67"/>
  </r>
  <r>
    <n v="150"/>
    <d v="2011-01-28T00:00:00"/>
    <n v="1"/>
    <n v="1"/>
    <x v="15"/>
    <b v="0"/>
    <n v="5"/>
    <n v="2"/>
    <n v="0.2"/>
    <n v="149"/>
    <n v="0.19700000000000001"/>
    <n v="0.37"/>
    <n v="0.25369999999999998"/>
    <n v="9"/>
    <n v="50"/>
    <n v="59"/>
  </r>
  <r>
    <n v="151"/>
    <d v="2011-01-28T00:00:00"/>
    <n v="1"/>
    <n v="1"/>
    <x v="15"/>
    <b v="0"/>
    <n v="5"/>
    <n v="2"/>
    <n v="0.2"/>
    <n v="150"/>
    <n v="0.18179999999999999"/>
    <n v="0.37"/>
    <n v="0.28360000000000002"/>
    <n v="9"/>
    <n v="64"/>
    <n v="73"/>
  </r>
  <r>
    <n v="152"/>
    <d v="2011-01-28T00:00:00"/>
    <n v="1"/>
    <n v="1"/>
    <x v="15"/>
    <b v="0"/>
    <n v="5"/>
    <n v="2"/>
    <n v="0.2"/>
    <n v="151"/>
    <n v="0.19700000000000001"/>
    <n v="0.4"/>
    <n v="0.25369999999999998"/>
    <n v="7"/>
    <n v="43"/>
    <n v="50"/>
  </r>
  <r>
    <n v="153"/>
    <d v="2011-01-28T00:00:00"/>
    <n v="1"/>
    <n v="1"/>
    <x v="15"/>
    <b v="0"/>
    <n v="5"/>
    <n v="2"/>
    <n v="0.2"/>
    <n v="152"/>
    <n v="0.21210000000000001"/>
    <n v="0.37"/>
    <n v="0.16420000000000001"/>
    <n v="9"/>
    <n v="63"/>
    <n v="72"/>
  </r>
  <r>
    <n v="154"/>
    <d v="2011-01-28T00:00:00"/>
    <n v="1"/>
    <n v="1"/>
    <x v="15"/>
    <b v="0"/>
    <n v="5"/>
    <n v="2"/>
    <n v="0.2"/>
    <n v="153"/>
    <n v="0.21210000000000001"/>
    <n v="0.37"/>
    <n v="0.16420000000000001"/>
    <n v="5"/>
    <n v="82"/>
    <n v="87"/>
  </r>
  <r>
    <n v="155"/>
    <d v="2011-01-28T00:00:00"/>
    <n v="1"/>
    <n v="1"/>
    <x v="15"/>
    <b v="0"/>
    <n v="5"/>
    <n v="2"/>
    <n v="0.2"/>
    <n v="154"/>
    <n v="0.2576"/>
    <n v="0.37"/>
    <n v="0"/>
    <n v="9"/>
    <n v="178"/>
    <n v="187"/>
  </r>
  <r>
    <n v="156"/>
    <d v="2011-01-28T00:00:00"/>
    <n v="1"/>
    <n v="1"/>
    <x v="15"/>
    <b v="0"/>
    <n v="5"/>
    <n v="2"/>
    <n v="0.2"/>
    <n v="155"/>
    <n v="0.2273"/>
    <n v="0.4"/>
    <n v="8.9599999999999999E-2"/>
    <n v="7"/>
    <n v="116"/>
    <n v="123"/>
  </r>
  <r>
    <n v="157"/>
    <d v="2011-01-28T00:00:00"/>
    <n v="1"/>
    <n v="1"/>
    <x v="15"/>
    <b v="0"/>
    <n v="5"/>
    <n v="2"/>
    <n v="0.2"/>
    <n v="156"/>
    <n v="0.19700000000000001"/>
    <n v="0.55000000000000004"/>
    <n v="8.9599999999999999E-2"/>
    <n v="3"/>
    <n v="92"/>
    <n v="95"/>
  </r>
  <r>
    <n v="158"/>
    <d v="2011-01-28T00:00:00"/>
    <n v="1"/>
    <n v="1"/>
    <x v="15"/>
    <b v="0"/>
    <n v="5"/>
    <n v="2"/>
    <n v="0.2"/>
    <n v="157"/>
    <n v="0.21210000000000001"/>
    <n v="0.47"/>
    <n v="0.1045"/>
    <n v="1"/>
    <n v="50"/>
    <n v="51"/>
  </r>
  <r>
    <n v="159"/>
    <d v="2011-01-28T00:00:00"/>
    <n v="1"/>
    <n v="1"/>
    <x v="15"/>
    <b v="0"/>
    <n v="5"/>
    <n v="2"/>
    <n v="0.2"/>
    <n v="158"/>
    <n v="0.19700000000000001"/>
    <n v="0.47"/>
    <n v="0.1343"/>
    <n v="0"/>
    <n v="39"/>
    <n v="39"/>
  </r>
  <r>
    <n v="160"/>
    <d v="2011-01-28T00:00:00"/>
    <n v="1"/>
    <n v="1"/>
    <x v="15"/>
    <b v="0"/>
    <n v="5"/>
    <n v="2"/>
    <n v="0.2"/>
    <n v="159"/>
    <n v="0.19700000000000001"/>
    <n v="0.43"/>
    <n v="0.16420000000000001"/>
    <n v="2"/>
    <n v="34"/>
    <n v="36"/>
  </r>
  <r>
    <n v="161"/>
    <d v="2011-01-28T00:00:00"/>
    <n v="1"/>
    <n v="1"/>
    <x v="15"/>
    <b v="0"/>
    <n v="5"/>
    <n v="2"/>
    <n v="0.2"/>
    <n v="160"/>
    <n v="0.19700000000000001"/>
    <n v="0.51"/>
    <n v="0.16420000000000001"/>
    <n v="1"/>
    <n v="14"/>
    <n v="15"/>
  </r>
  <r>
    <n v="162"/>
    <d v="2011-01-28T00:00:00"/>
    <n v="1"/>
    <n v="1"/>
    <x v="15"/>
    <b v="0"/>
    <n v="5"/>
    <n v="2"/>
    <n v="0.2"/>
    <n v="161"/>
    <n v="0.19700000000000001"/>
    <n v="0.51"/>
    <n v="0.16420000000000001"/>
    <n v="1"/>
    <n v="24"/>
    <n v="25"/>
  </r>
  <r>
    <n v="163"/>
    <d v="2011-01-28T00:00:00"/>
    <n v="1"/>
    <n v="1"/>
    <x v="15"/>
    <b v="0"/>
    <n v="5"/>
    <n v="2"/>
    <n v="0.2"/>
    <n v="162"/>
    <n v="0.21210000000000001"/>
    <n v="0.55000000000000004"/>
    <n v="8.9599999999999999E-2"/>
    <n v="1"/>
    <n v="15"/>
    <n v="16"/>
  </r>
  <r>
    <n v="164"/>
    <d v="2011-01-28T00:00:00"/>
    <n v="1"/>
    <n v="1"/>
    <x v="15"/>
    <b v="0"/>
    <n v="5"/>
    <n v="2"/>
    <n v="0.2"/>
    <n v="163"/>
    <n v="0.2424"/>
    <n v="0.55000000000000004"/>
    <n v="0"/>
    <n v="3"/>
    <n v="13"/>
    <n v="16"/>
  </r>
  <r>
    <n v="165"/>
    <d v="2011-01-28T00:00:00"/>
    <n v="1"/>
    <n v="1"/>
    <x v="15"/>
    <b v="0"/>
    <n v="5"/>
    <n v="2"/>
    <n v="0.2"/>
    <n v="164"/>
    <n v="0.19700000000000001"/>
    <n v="0.55000000000000004"/>
    <n v="0.16420000000000001"/>
    <n v="0"/>
    <n v="7"/>
    <n v="7"/>
  </r>
  <r>
    <n v="166"/>
    <d v="2011-01-28T00:00:00"/>
    <n v="1"/>
    <n v="1"/>
    <x v="15"/>
    <b v="0"/>
    <n v="5"/>
    <n v="2"/>
    <n v="0.2"/>
    <n v="165"/>
    <n v="0.19700000000000001"/>
    <n v="0.55000000000000004"/>
    <n v="0.16420000000000001"/>
    <n v="0"/>
    <n v="1"/>
    <n v="1"/>
  </r>
  <r>
    <n v="167"/>
    <d v="2011-01-28T00:00:00"/>
    <n v="1"/>
    <n v="1"/>
    <x v="15"/>
    <b v="0"/>
    <n v="5"/>
    <n v="2"/>
    <n v="0.2"/>
    <n v="166"/>
    <n v="0.16669999999999999"/>
    <n v="0.74"/>
    <n v="0.16420000000000001"/>
    <n v="0"/>
    <n v="5"/>
    <n v="5"/>
  </r>
  <r>
    <n v="168"/>
    <d v="2011-01-28T00:00:00"/>
    <n v="1"/>
    <n v="1"/>
    <x v="15"/>
    <b v="0"/>
    <n v="5"/>
    <n v="2"/>
    <n v="0.2"/>
    <n v="167"/>
    <n v="0.16669999999999999"/>
    <n v="0.74"/>
    <n v="0.16420000000000001"/>
    <n v="0"/>
    <n v="2"/>
    <n v="2"/>
  </r>
  <r>
    <n v="169"/>
    <d v="2011-01-28T00:00:00"/>
    <n v="1"/>
    <n v="1"/>
    <x v="15"/>
    <b v="0"/>
    <n v="5"/>
    <n v="2"/>
    <n v="0.2"/>
    <n v="168"/>
    <n v="0.18179999999999999"/>
    <n v="0.74"/>
    <n v="0.1045"/>
    <n v="1"/>
    <n v="8"/>
    <n v="9"/>
  </r>
  <r>
    <n v="170"/>
    <d v="2011-01-28T00:00:00"/>
    <n v="1"/>
    <n v="1"/>
    <x v="15"/>
    <b v="0"/>
    <n v="5"/>
    <n v="2"/>
    <n v="0.2"/>
    <n v="169"/>
    <n v="0.18179999999999999"/>
    <n v="0.93"/>
    <n v="0.1045"/>
    <n v="0"/>
    <n v="15"/>
    <n v="15"/>
  </r>
  <r>
    <n v="171"/>
    <d v="2011-01-28T00:00:00"/>
    <n v="1"/>
    <n v="1"/>
    <x v="15"/>
    <b v="0"/>
    <n v="5"/>
    <n v="2"/>
    <n v="0.2"/>
    <n v="170"/>
    <n v="0.18179999999999999"/>
    <n v="0.93"/>
    <n v="0.1045"/>
    <n v="0"/>
    <n v="20"/>
    <n v="20"/>
  </r>
  <r>
    <n v="172"/>
    <d v="2011-01-28T00:00:00"/>
    <n v="1"/>
    <n v="1"/>
    <x v="15"/>
    <b v="0"/>
    <n v="5"/>
    <n v="2"/>
    <n v="0.2"/>
    <n v="171"/>
    <n v="0.19700000000000001"/>
    <n v="0.8"/>
    <n v="0.16420000000000001"/>
    <n v="5"/>
    <n v="56"/>
    <n v="61"/>
  </r>
  <r>
    <n v="173"/>
    <d v="2011-01-28T00:00:00"/>
    <n v="1"/>
    <n v="1"/>
    <x v="15"/>
    <b v="0"/>
    <n v="5"/>
    <n v="2"/>
    <n v="0.2"/>
    <n v="172"/>
    <n v="0.18179999999999999"/>
    <n v="0.69"/>
    <n v="0.3881"/>
    <n v="2"/>
    <n v="60"/>
    <n v="62"/>
  </r>
  <r>
    <n v="174"/>
    <d v="2011-01-28T00:00:00"/>
    <n v="1"/>
    <n v="1"/>
    <x v="15"/>
    <b v="0"/>
    <n v="5"/>
    <n v="2"/>
    <n v="0.2"/>
    <n v="173"/>
    <n v="0.18179999999999999"/>
    <n v="0.59"/>
    <n v="0.35820000000000002"/>
    <n v="8"/>
    <n v="90"/>
    <n v="98"/>
  </r>
  <r>
    <n v="175"/>
    <d v="2011-01-28T00:00:00"/>
    <n v="1"/>
    <n v="1"/>
    <x v="15"/>
    <b v="0"/>
    <n v="5"/>
    <n v="2"/>
    <n v="0.2"/>
    <n v="174"/>
    <n v="0.18179999999999999"/>
    <n v="0.44"/>
    <n v="0.32840000000000003"/>
    <n v="7"/>
    <n v="95"/>
    <n v="102"/>
  </r>
  <r>
    <n v="176"/>
    <d v="2011-01-28T00:00:00"/>
    <n v="1"/>
    <n v="1"/>
    <x v="15"/>
    <b v="0"/>
    <n v="5"/>
    <n v="2"/>
    <n v="0.2"/>
    <n v="175"/>
    <n v="0.16669999999999999"/>
    <n v="0.32"/>
    <n v="0.49249999999999999"/>
    <n v="12"/>
    <n v="83"/>
    <n v="95"/>
  </r>
  <r>
    <n v="177"/>
    <d v="2011-01-28T00:00:00"/>
    <n v="1"/>
    <n v="1"/>
    <x v="15"/>
    <b v="0"/>
    <n v="5"/>
    <n v="2"/>
    <n v="0.2"/>
    <n v="176"/>
    <n v="0.16669999999999999"/>
    <n v="0.32"/>
    <n v="0.44779999999999998"/>
    <n v="5"/>
    <n v="69"/>
    <n v="74"/>
  </r>
  <r>
    <n v="178"/>
    <d v="2011-01-28T00:00:00"/>
    <n v="1"/>
    <n v="1"/>
    <x v="15"/>
    <b v="0"/>
    <n v="5"/>
    <n v="2"/>
    <n v="0.2"/>
    <n v="177"/>
    <n v="0.13639999999999999"/>
    <n v="0.28999999999999998"/>
    <n v="0.44779999999999998"/>
    <n v="8"/>
    <n v="68"/>
    <n v="76"/>
  </r>
  <r>
    <n v="179"/>
    <d v="2011-01-28T00:00:00"/>
    <n v="1"/>
    <n v="1"/>
    <x v="15"/>
    <b v="0"/>
    <n v="5"/>
    <n v="2"/>
    <n v="0.2"/>
    <n v="178"/>
    <n v="0.1212"/>
    <n v="0.37"/>
    <n v="0.55220000000000002"/>
    <n v="5"/>
    <n v="64"/>
    <n v="69"/>
  </r>
  <r>
    <n v="180"/>
    <d v="2011-01-28T00:00:00"/>
    <n v="1"/>
    <n v="1"/>
    <x v="15"/>
    <b v="0"/>
    <n v="5"/>
    <n v="2"/>
    <n v="0.2"/>
    <n v="179"/>
    <n v="0.1212"/>
    <n v="0.39"/>
    <n v="0.29849999999999999"/>
    <n v="3"/>
    <n v="52"/>
    <n v="55"/>
  </r>
  <r>
    <n v="181"/>
    <d v="2011-01-28T00:00:00"/>
    <n v="1"/>
    <n v="1"/>
    <x v="15"/>
    <b v="0"/>
    <n v="5"/>
    <n v="2"/>
    <n v="0.2"/>
    <n v="180"/>
    <n v="0.1212"/>
    <n v="0.36"/>
    <n v="0.25369999999999998"/>
    <n v="4"/>
    <n v="26"/>
    <n v="30"/>
  </r>
  <r>
    <n v="182"/>
    <d v="2011-01-28T00:00:00"/>
    <n v="1"/>
    <n v="1"/>
    <x v="15"/>
    <b v="0"/>
    <n v="5"/>
    <n v="2"/>
    <n v="0.2"/>
    <n v="181"/>
    <n v="0.1212"/>
    <n v="0.36"/>
    <n v="0.25369999999999998"/>
    <n v="0"/>
    <n v="28"/>
    <n v="28"/>
  </r>
  <r>
    <n v="183"/>
    <d v="2011-01-28T00:00:00"/>
    <n v="1"/>
    <n v="1"/>
    <x v="15"/>
    <b v="0"/>
    <n v="5"/>
    <n v="2"/>
    <n v="0.2"/>
    <n v="182"/>
    <n v="0.1061"/>
    <n v="0.39"/>
    <n v="0.35820000000000002"/>
    <n v="2"/>
    <n v="35"/>
    <n v="37"/>
  </r>
  <r>
    <n v="184"/>
    <d v="2011-01-28T00:00:00"/>
    <n v="1"/>
    <n v="1"/>
    <x v="15"/>
    <b v="0"/>
    <n v="5"/>
    <n v="2"/>
    <n v="0.2"/>
    <n v="183"/>
    <n v="0.1061"/>
    <n v="0.36"/>
    <n v="0.3881"/>
    <n v="1"/>
    <n v="33"/>
    <n v="34"/>
  </r>
  <r>
    <n v="185"/>
    <d v="2011-01-28T00:00:00"/>
    <n v="1"/>
    <n v="1"/>
    <x v="15"/>
    <b v="0"/>
    <n v="5"/>
    <n v="2"/>
    <n v="0.2"/>
    <n v="184"/>
    <n v="6.0600000000000001E-2"/>
    <n v="0.39"/>
    <n v="0.44779999999999998"/>
    <n v="0"/>
    <n v="22"/>
    <n v="22"/>
  </r>
  <r>
    <n v="186"/>
    <d v="2011-01-28T00:00:00"/>
    <n v="1"/>
    <n v="1"/>
    <x v="15"/>
    <b v="0"/>
    <n v="5"/>
    <n v="2"/>
    <n v="0.2"/>
    <n v="185"/>
    <n v="7.5800000000000006E-2"/>
    <n v="0.42"/>
    <n v="0.3881"/>
    <n v="1"/>
    <n v="24"/>
    <n v="25"/>
  </r>
  <r>
    <n v="187"/>
    <d v="2011-01-28T00:00:00"/>
    <n v="1"/>
    <n v="1"/>
    <x v="15"/>
    <b v="0"/>
    <n v="5"/>
    <n v="2"/>
    <n v="0.2"/>
    <n v="186"/>
    <n v="6.0600000000000001E-2"/>
    <n v="0.42"/>
    <n v="0.4627"/>
    <n v="0"/>
    <n v="12"/>
    <n v="12"/>
  </r>
  <r>
    <n v="188"/>
    <d v="2011-01-28T00:00:00"/>
    <n v="1"/>
    <n v="1"/>
    <x v="15"/>
    <b v="0"/>
    <n v="5"/>
    <n v="2"/>
    <n v="0.2"/>
    <n v="187"/>
    <n v="6.0600000000000001E-2"/>
    <n v="0.46"/>
    <n v="0.4627"/>
    <n v="0"/>
    <n v="11"/>
    <n v="11"/>
  </r>
  <r>
    <n v="189"/>
    <d v="2011-01-28T00:00:00"/>
    <n v="1"/>
    <n v="1"/>
    <x v="15"/>
    <b v="0"/>
    <n v="5"/>
    <n v="2"/>
    <n v="0.2"/>
    <n v="188"/>
    <n v="7.5800000000000006E-2"/>
    <n v="0.46"/>
    <n v="0.41789999999999999"/>
    <n v="0"/>
    <n v="4"/>
    <n v="4"/>
  </r>
  <r>
    <n v="190"/>
    <d v="2011-01-28T00:00:00"/>
    <n v="1"/>
    <n v="1"/>
    <x v="15"/>
    <b v="0"/>
    <n v="5"/>
    <n v="2"/>
    <n v="0.2"/>
    <n v="189"/>
    <n v="9.0899999999999995E-2"/>
    <n v="0.53"/>
    <n v="0.19400000000000001"/>
    <n v="0"/>
    <n v="1"/>
    <n v="1"/>
  </r>
  <r>
    <n v="191"/>
    <d v="2011-01-28T00:00:00"/>
    <n v="1"/>
    <n v="1"/>
    <x v="15"/>
    <b v="0"/>
    <n v="5"/>
    <n v="2"/>
    <n v="0.2"/>
    <n v="190"/>
    <n v="9.0899999999999995E-2"/>
    <n v="0.53"/>
    <n v="0.19400000000000001"/>
    <n v="0"/>
    <n v="1"/>
    <n v="1"/>
  </r>
  <r>
    <n v="192"/>
    <d v="2011-01-28T00:00:00"/>
    <n v="1"/>
    <n v="1"/>
    <x v="15"/>
    <b v="0"/>
    <n v="5"/>
    <n v="2"/>
    <n v="0.2"/>
    <n v="191"/>
    <n v="9.0899999999999995E-2"/>
    <n v="0.49"/>
    <n v="0.28360000000000002"/>
    <n v="0"/>
    <n v="1"/>
    <n v="1"/>
  </r>
  <r>
    <n v="193"/>
    <d v="2011-01-28T00:00:00"/>
    <n v="1"/>
    <n v="1"/>
    <x v="15"/>
    <b v="0"/>
    <n v="5"/>
    <n v="2"/>
    <n v="0.2"/>
    <n v="192"/>
    <n v="9.0899999999999995E-2"/>
    <n v="0.53"/>
    <n v="0.19400000000000001"/>
    <n v="1"/>
    <n v="5"/>
    <n v="6"/>
  </r>
  <r>
    <n v="194"/>
    <d v="2011-01-28T00:00:00"/>
    <n v="1"/>
    <n v="1"/>
    <x v="15"/>
    <b v="0"/>
    <n v="5"/>
    <n v="2"/>
    <n v="0.2"/>
    <n v="193"/>
    <n v="9.0899999999999995E-2"/>
    <n v="0.49"/>
    <n v="0.28360000000000002"/>
    <n v="0"/>
    <n v="10"/>
    <n v="10"/>
  </r>
  <r>
    <n v="195"/>
    <d v="2011-01-28T00:00:00"/>
    <n v="1"/>
    <n v="1"/>
    <x v="15"/>
    <b v="0"/>
    <n v="5"/>
    <n v="2"/>
    <n v="0.2"/>
    <n v="194"/>
    <n v="7.5800000000000006E-2"/>
    <n v="0.46"/>
    <n v="0.52239999999999998"/>
    <n v="0"/>
    <n v="19"/>
    <n v="19"/>
  </r>
  <r>
    <n v="196"/>
    <d v="2011-01-28T00:00:00"/>
    <n v="1"/>
    <n v="1"/>
    <x v="15"/>
    <b v="0"/>
    <n v="5"/>
    <n v="2"/>
    <n v="0.2"/>
    <n v="195"/>
    <n v="0.1061"/>
    <n v="0.43"/>
    <n v="0.3881"/>
    <n v="0"/>
    <n v="49"/>
    <n v="49"/>
  </r>
  <r>
    <n v="197"/>
    <d v="2011-01-28T00:00:00"/>
    <n v="1"/>
    <n v="1"/>
    <x v="15"/>
    <b v="0"/>
    <n v="5"/>
    <n v="2"/>
    <n v="0.2"/>
    <n v="196"/>
    <n v="0.1212"/>
    <n v="0.4"/>
    <n v="0.52239999999999998"/>
    <n v="2"/>
    <n v="47"/>
    <n v="49"/>
  </r>
  <r>
    <n v="198"/>
    <d v="2011-01-28T00:00:00"/>
    <n v="1"/>
    <n v="1"/>
    <x v="15"/>
    <b v="0"/>
    <n v="5"/>
    <n v="2"/>
    <n v="0.2"/>
    <n v="197"/>
    <n v="0.13639999999999999"/>
    <n v="0.37"/>
    <n v="0.44779999999999998"/>
    <n v="4"/>
    <n v="79"/>
    <n v="83"/>
  </r>
  <r>
    <n v="199"/>
    <d v="2011-01-28T00:00:00"/>
    <n v="1"/>
    <n v="1"/>
    <x v="15"/>
    <b v="0"/>
    <n v="5"/>
    <n v="2"/>
    <n v="0.2"/>
    <n v="198"/>
    <n v="0.16669999999999999"/>
    <n v="0.34"/>
    <n v="0.44779999999999998"/>
    <n v="6"/>
    <n v="69"/>
    <n v="75"/>
  </r>
  <r>
    <n v="200"/>
    <d v="2011-01-28T00:00:00"/>
    <n v="1"/>
    <n v="1"/>
    <x v="15"/>
    <b v="0"/>
    <n v="5"/>
    <n v="2"/>
    <n v="0.2"/>
    <n v="199"/>
    <n v="0.18179999999999999"/>
    <n v="0.32"/>
    <n v="0.4627"/>
    <n v="8"/>
    <n v="64"/>
    <n v="72"/>
  </r>
  <r>
    <n v="201"/>
    <d v="2011-01-28T00:00:00"/>
    <n v="1"/>
    <n v="1"/>
    <x v="15"/>
    <b v="0"/>
    <n v="5"/>
    <n v="2"/>
    <n v="0.2"/>
    <n v="200"/>
    <n v="0.19700000000000001"/>
    <n v="0.35"/>
    <n v="0.35820000000000002"/>
    <n v="5"/>
    <n v="77"/>
    <n v="82"/>
  </r>
  <r>
    <n v="202"/>
    <d v="2011-01-28T00:00:00"/>
    <n v="1"/>
    <n v="1"/>
    <x v="15"/>
    <b v="0"/>
    <n v="5"/>
    <n v="2"/>
    <n v="0.2"/>
    <n v="201"/>
    <n v="0.16669999999999999"/>
    <n v="0.34"/>
    <n v="0.44779999999999998"/>
    <n v="13"/>
    <n v="79"/>
    <n v="92"/>
  </r>
  <r>
    <n v="203"/>
    <d v="2011-01-28T00:00:00"/>
    <n v="1"/>
    <n v="1"/>
    <x v="15"/>
    <b v="0"/>
    <n v="5"/>
    <n v="2"/>
    <n v="0.2"/>
    <n v="202"/>
    <n v="0.1515"/>
    <n v="0.37"/>
    <n v="0.3881"/>
    <n v="3"/>
    <n v="59"/>
    <n v="62"/>
  </r>
  <r>
    <n v="204"/>
    <d v="2011-01-28T00:00:00"/>
    <n v="1"/>
    <n v="1"/>
    <x v="15"/>
    <b v="0"/>
    <n v="5"/>
    <n v="2"/>
    <n v="0.2"/>
    <n v="203"/>
    <n v="0.13639999999999999"/>
    <n v="0.4"/>
    <n v="0.32840000000000003"/>
    <n v="4"/>
    <n v="44"/>
    <n v="48"/>
  </r>
  <r>
    <n v="205"/>
    <d v="2011-01-28T00:00:00"/>
    <n v="1"/>
    <n v="1"/>
    <x v="15"/>
    <b v="0"/>
    <n v="5"/>
    <n v="2"/>
    <n v="0.2"/>
    <n v="204"/>
    <n v="0.13639999999999999"/>
    <n v="0.43"/>
    <n v="0.32840000000000003"/>
    <n v="1"/>
    <n v="40"/>
    <n v="41"/>
  </r>
  <r>
    <n v="206"/>
    <d v="2011-01-28T00:00:00"/>
    <n v="1"/>
    <n v="1"/>
    <x v="15"/>
    <b v="0"/>
    <n v="5"/>
    <n v="2"/>
    <n v="0.2"/>
    <n v="205"/>
    <n v="0.1212"/>
    <n v="0.46"/>
    <n v="0.25369999999999998"/>
    <n v="0"/>
    <n v="38"/>
    <n v="38"/>
  </r>
  <r>
    <n v="207"/>
    <d v="2011-01-28T00:00:00"/>
    <n v="1"/>
    <n v="1"/>
    <x v="15"/>
    <b v="0"/>
    <n v="5"/>
    <n v="2"/>
    <n v="0.2"/>
    <n v="206"/>
    <n v="0.1061"/>
    <n v="0.46"/>
    <n v="0.41789999999999999"/>
    <n v="1"/>
    <n v="19"/>
    <n v="20"/>
  </r>
  <r>
    <n v="208"/>
    <d v="2011-01-28T00:00:00"/>
    <n v="1"/>
    <n v="1"/>
    <x v="15"/>
    <b v="0"/>
    <n v="5"/>
    <n v="2"/>
    <n v="0.2"/>
    <n v="207"/>
    <n v="0.1212"/>
    <n v="0.46"/>
    <n v="0.29849999999999999"/>
    <n v="5"/>
    <n v="10"/>
    <n v="15"/>
  </r>
  <r>
    <n v="209"/>
    <d v="2011-01-28T00:00:00"/>
    <n v="1"/>
    <n v="1"/>
    <x v="15"/>
    <b v="0"/>
    <n v="5"/>
    <n v="2"/>
    <n v="0.2"/>
    <n v="208"/>
    <n v="0.13639999999999999"/>
    <n v="0.5"/>
    <n v="0.19400000000000001"/>
    <n v="0"/>
    <n v="6"/>
    <n v="6"/>
  </r>
  <r>
    <n v="210"/>
    <d v="2011-01-28T00:00:00"/>
    <n v="1"/>
    <n v="1"/>
    <x v="15"/>
    <b v="0"/>
    <n v="5"/>
    <n v="2"/>
    <n v="0.2"/>
    <n v="209"/>
    <n v="0.1212"/>
    <n v="0.5"/>
    <n v="0.28360000000000002"/>
    <n v="2"/>
    <n v="3"/>
    <n v="5"/>
  </r>
  <r>
    <n v="211"/>
    <d v="2011-01-28T00:00:00"/>
    <n v="1"/>
    <n v="1"/>
    <x v="15"/>
    <b v="0"/>
    <n v="5"/>
    <n v="2"/>
    <n v="0.2"/>
    <n v="210"/>
    <n v="0.1212"/>
    <n v="0.5"/>
    <n v="0.28360000000000002"/>
    <n v="1"/>
    <n v="0"/>
    <n v="1"/>
  </r>
  <r>
    <n v="212"/>
    <d v="2011-01-28T00:00:00"/>
    <n v="1"/>
    <n v="1"/>
    <x v="15"/>
    <b v="0"/>
    <n v="5"/>
    <n v="2"/>
    <n v="0.2"/>
    <n v="211"/>
    <n v="0.1212"/>
    <n v="0.5"/>
    <n v="0.22389999999999999"/>
    <n v="0"/>
    <n v="3"/>
    <n v="3"/>
  </r>
  <r>
    <n v="213"/>
    <d v="2011-01-28T00:00:00"/>
    <n v="1"/>
    <n v="1"/>
    <x v="15"/>
    <b v="0"/>
    <n v="5"/>
    <n v="2"/>
    <n v="0.2"/>
    <n v="212"/>
    <n v="0.1212"/>
    <n v="0.5"/>
    <n v="0.22389999999999999"/>
    <n v="0"/>
    <n v="1"/>
    <n v="1"/>
  </r>
  <r>
    <n v="214"/>
    <d v="2011-01-28T00:00:00"/>
    <n v="1"/>
    <n v="1"/>
    <x v="15"/>
    <b v="0"/>
    <n v="5"/>
    <n v="2"/>
    <n v="0.2"/>
    <n v="213"/>
    <n v="0.1212"/>
    <n v="0.54"/>
    <n v="0.1343"/>
    <n v="1"/>
    <n v="2"/>
    <n v="3"/>
  </r>
  <r>
    <n v="215"/>
    <d v="2011-01-28T00:00:00"/>
    <n v="1"/>
    <n v="1"/>
    <x v="15"/>
    <b v="0"/>
    <n v="5"/>
    <n v="2"/>
    <n v="0.2"/>
    <n v="214"/>
    <n v="0.1061"/>
    <n v="0.54"/>
    <n v="0.25369999999999998"/>
    <n v="0"/>
    <n v="3"/>
    <n v="3"/>
  </r>
  <r>
    <n v="216"/>
    <d v="2011-01-28T00:00:00"/>
    <n v="1"/>
    <n v="1"/>
    <x v="15"/>
    <b v="0"/>
    <n v="5"/>
    <n v="2"/>
    <n v="0.2"/>
    <n v="215"/>
    <n v="0.1212"/>
    <n v="0.5"/>
    <n v="0.28360000000000002"/>
    <n v="0"/>
    <n v="31"/>
    <n v="31"/>
  </r>
  <r>
    <n v="217"/>
    <d v="2011-01-28T00:00:00"/>
    <n v="1"/>
    <n v="1"/>
    <x v="15"/>
    <b v="0"/>
    <n v="5"/>
    <n v="2"/>
    <n v="0.2"/>
    <n v="216"/>
    <n v="0.1212"/>
    <n v="0.5"/>
    <n v="0.22389999999999999"/>
    <n v="2"/>
    <n v="75"/>
    <n v="77"/>
  </r>
  <r>
    <n v="218"/>
    <d v="2011-01-28T00:00:00"/>
    <n v="1"/>
    <n v="1"/>
    <x v="15"/>
    <b v="0"/>
    <n v="5"/>
    <n v="2"/>
    <n v="0.2"/>
    <n v="217"/>
    <n v="0.1212"/>
    <n v="0.5"/>
    <n v="0.28360000000000002"/>
    <n v="4"/>
    <n v="184"/>
    <n v="188"/>
  </r>
  <r>
    <n v="219"/>
    <d v="2011-01-28T00:00:00"/>
    <n v="1"/>
    <n v="1"/>
    <x v="15"/>
    <b v="0"/>
    <n v="5"/>
    <n v="2"/>
    <n v="0.2"/>
    <n v="218"/>
    <n v="0.1212"/>
    <n v="0.5"/>
    <n v="0.25369999999999998"/>
    <n v="2"/>
    <n v="92"/>
    <n v="94"/>
  </r>
  <r>
    <n v="220"/>
    <d v="2011-01-28T00:00:00"/>
    <n v="1"/>
    <n v="1"/>
    <x v="15"/>
    <b v="0"/>
    <n v="5"/>
    <n v="2"/>
    <n v="0.2"/>
    <n v="219"/>
    <n v="0.1212"/>
    <n v="0.5"/>
    <n v="0.29849999999999999"/>
    <n v="0"/>
    <n v="31"/>
    <n v="31"/>
  </r>
  <r>
    <n v="221"/>
    <d v="2011-01-28T00:00:00"/>
    <n v="1"/>
    <n v="1"/>
    <x v="15"/>
    <b v="0"/>
    <n v="5"/>
    <n v="2"/>
    <n v="0.2"/>
    <n v="220"/>
    <n v="0.13639999999999999"/>
    <n v="0.47"/>
    <n v="0.28360000000000002"/>
    <n v="2"/>
    <n v="28"/>
    <n v="30"/>
  </r>
  <r>
    <n v="222"/>
    <d v="2011-01-28T00:00:00"/>
    <n v="1"/>
    <n v="1"/>
    <x v="15"/>
    <b v="0"/>
    <n v="5"/>
    <n v="2"/>
    <n v="0.2"/>
    <n v="221"/>
    <n v="0.18179999999999999"/>
    <n v="0.4"/>
    <n v="0.28360000000000002"/>
    <n v="5"/>
    <n v="47"/>
    <n v="52"/>
  </r>
  <r>
    <n v="223"/>
    <d v="2011-01-28T00:00:00"/>
    <n v="1"/>
    <n v="1"/>
    <x v="15"/>
    <b v="0"/>
    <n v="5"/>
    <n v="2"/>
    <n v="0.2"/>
    <n v="222"/>
    <n v="0.18179999999999999"/>
    <n v="0.4"/>
    <n v="0.28360000000000002"/>
    <n v="4"/>
    <n v="50"/>
    <n v="54"/>
  </r>
  <r>
    <n v="224"/>
    <d v="2011-01-28T00:00:00"/>
    <n v="1"/>
    <n v="1"/>
    <x v="15"/>
    <b v="0"/>
    <n v="5"/>
    <n v="2"/>
    <n v="0.2"/>
    <n v="223"/>
    <n v="0.19700000000000001"/>
    <n v="0.4"/>
    <n v="0.22389999999999999"/>
    <n v="0"/>
    <n v="47"/>
    <n v="47"/>
  </r>
  <r>
    <n v="225"/>
    <d v="2011-01-28T00:00:00"/>
    <n v="1"/>
    <n v="1"/>
    <x v="15"/>
    <b v="0"/>
    <n v="5"/>
    <n v="2"/>
    <n v="0.2"/>
    <n v="224"/>
    <n v="0.19700000000000001"/>
    <n v="0.4"/>
    <n v="0.22389999999999999"/>
    <n v="2"/>
    <n v="43"/>
    <n v="45"/>
  </r>
  <r>
    <n v="226"/>
    <d v="2011-01-28T00:00:00"/>
    <n v="1"/>
    <n v="1"/>
    <x v="15"/>
    <b v="0"/>
    <n v="5"/>
    <n v="2"/>
    <n v="0.2"/>
    <n v="225"/>
    <n v="0.21210000000000001"/>
    <n v="0.4"/>
    <n v="0.1343"/>
    <n v="4"/>
    <n v="70"/>
    <n v="74"/>
  </r>
  <r>
    <n v="227"/>
    <d v="2011-01-28T00:00:00"/>
    <n v="1"/>
    <n v="1"/>
    <x v="15"/>
    <b v="0"/>
    <n v="5"/>
    <n v="2"/>
    <n v="0.2"/>
    <n v="226"/>
    <n v="0.2273"/>
    <n v="0.4"/>
    <n v="0.1045"/>
    <n v="4"/>
    <n v="174"/>
    <n v="178"/>
  </r>
  <r>
    <n v="228"/>
    <d v="2011-01-28T00:00:00"/>
    <n v="1"/>
    <n v="1"/>
    <x v="15"/>
    <b v="0"/>
    <n v="5"/>
    <n v="2"/>
    <n v="0.2"/>
    <n v="227"/>
    <n v="0.19700000000000001"/>
    <n v="0.4"/>
    <n v="0.22389999999999999"/>
    <n v="1"/>
    <n v="154"/>
    <n v="155"/>
  </r>
  <r>
    <n v="229"/>
    <d v="2011-01-28T00:00:00"/>
    <n v="1"/>
    <n v="1"/>
    <x v="15"/>
    <b v="0"/>
    <n v="5"/>
    <n v="2"/>
    <n v="0.2"/>
    <n v="228"/>
    <n v="0.16669999999999999"/>
    <n v="0.47"/>
    <n v="0.16420000000000001"/>
    <n v="3"/>
    <n v="92"/>
    <n v="95"/>
  </r>
  <r>
    <n v="230"/>
    <d v="2011-01-28T00:00:00"/>
    <n v="1"/>
    <n v="1"/>
    <x v="15"/>
    <b v="0"/>
    <n v="5"/>
    <n v="2"/>
    <n v="0.2"/>
    <n v="229"/>
    <n v="0.16669999999999999"/>
    <n v="0.5"/>
    <n v="0.16420000000000001"/>
    <n v="1"/>
    <n v="73"/>
    <n v="74"/>
  </r>
  <r>
    <n v="231"/>
    <d v="2011-01-28T00:00:00"/>
    <n v="1"/>
    <n v="1"/>
    <x v="15"/>
    <b v="0"/>
    <n v="5"/>
    <n v="2"/>
    <n v="0.2"/>
    <n v="230"/>
    <n v="0.13639999999999999"/>
    <n v="0.59"/>
    <n v="0.19400000000000001"/>
    <n v="1"/>
    <n v="37"/>
    <n v="38"/>
  </r>
  <r>
    <n v="232"/>
    <d v="2011-01-28T00:00:00"/>
    <n v="1"/>
    <n v="1"/>
    <x v="15"/>
    <b v="0"/>
    <n v="5"/>
    <n v="2"/>
    <n v="0.2"/>
    <n v="231"/>
    <n v="0.1515"/>
    <n v="0.59"/>
    <n v="0.16420000000000001"/>
    <n v="2"/>
    <n v="22"/>
    <n v="24"/>
  </r>
  <r>
    <n v="233"/>
    <d v="2011-01-28T00:00:00"/>
    <n v="1"/>
    <n v="1"/>
    <x v="15"/>
    <b v="0"/>
    <n v="5"/>
    <n v="2"/>
    <n v="0.2"/>
    <n v="232"/>
    <n v="0.1515"/>
    <n v="0.59"/>
    <n v="0.16420000000000001"/>
    <n v="0"/>
    <n v="18"/>
    <n v="18"/>
  </r>
  <r>
    <n v="234"/>
    <d v="2011-01-28T00:00:00"/>
    <n v="1"/>
    <n v="1"/>
    <x v="15"/>
    <b v="0"/>
    <n v="5"/>
    <n v="2"/>
    <n v="0.2"/>
    <n v="233"/>
    <n v="0.16669999999999999"/>
    <n v="0.59"/>
    <n v="0.1045"/>
    <n v="2"/>
    <n v="10"/>
    <n v="12"/>
  </r>
  <r>
    <n v="235"/>
    <d v="2011-01-28T00:00:00"/>
    <n v="1"/>
    <n v="1"/>
    <x v="15"/>
    <b v="0"/>
    <n v="5"/>
    <n v="2"/>
    <n v="0.2"/>
    <n v="234"/>
    <n v="0.1515"/>
    <n v="0.59"/>
    <n v="0.16420000000000001"/>
    <n v="0"/>
    <n v="3"/>
    <n v="3"/>
  </r>
  <r>
    <n v="236"/>
    <d v="2011-01-28T00:00:00"/>
    <n v="1"/>
    <n v="1"/>
    <x v="15"/>
    <b v="0"/>
    <n v="5"/>
    <n v="2"/>
    <n v="0.2"/>
    <n v="235"/>
    <n v="0.1515"/>
    <n v="0.55000000000000004"/>
    <n v="0.19400000000000001"/>
    <n v="0"/>
    <n v="3"/>
    <n v="3"/>
  </r>
  <r>
    <n v="237"/>
    <d v="2011-01-28T00:00:00"/>
    <n v="1"/>
    <n v="1"/>
    <x v="15"/>
    <b v="0"/>
    <n v="5"/>
    <n v="2"/>
    <n v="0.2"/>
    <n v="236"/>
    <n v="0.18179999999999999"/>
    <n v="0.55000000000000004"/>
    <n v="0.1343"/>
    <n v="0"/>
    <n v="6"/>
    <n v="6"/>
  </r>
  <r>
    <n v="238"/>
    <d v="2011-01-28T00:00:00"/>
    <n v="1"/>
    <n v="1"/>
    <x v="15"/>
    <b v="0"/>
    <n v="5"/>
    <n v="2"/>
    <n v="0.2"/>
    <n v="237"/>
    <n v="0.18179999999999999"/>
    <n v="0.55000000000000004"/>
    <n v="0.1343"/>
    <n v="0"/>
    <n v="27"/>
    <n v="27"/>
  </r>
  <r>
    <n v="239"/>
    <d v="2011-01-28T00:00:00"/>
    <n v="1"/>
    <n v="1"/>
    <x v="15"/>
    <b v="0"/>
    <n v="5"/>
    <n v="2"/>
    <n v="0.2"/>
    <n v="238"/>
    <n v="0.2273"/>
    <n v="0.55000000000000004"/>
    <n v="0"/>
    <n v="2"/>
    <n v="97"/>
    <n v="99"/>
  </r>
  <r>
    <n v="240"/>
    <d v="2011-01-28T00:00:00"/>
    <n v="1"/>
    <n v="1"/>
    <x v="15"/>
    <b v="0"/>
    <n v="5"/>
    <n v="2"/>
    <n v="0.2"/>
    <n v="239"/>
    <n v="0.21210000000000001"/>
    <n v="0.51"/>
    <n v="8.9599999999999999E-2"/>
    <n v="3"/>
    <n v="214"/>
    <n v="217"/>
  </r>
  <r>
    <n v="241"/>
    <d v="2011-01-28T00:00:00"/>
    <n v="1"/>
    <n v="1"/>
    <x v="15"/>
    <b v="0"/>
    <n v="5"/>
    <n v="2"/>
    <n v="0.2"/>
    <n v="240"/>
    <n v="0.19700000000000001"/>
    <n v="0.51"/>
    <n v="0.16420000000000001"/>
    <n v="3"/>
    <n v="127"/>
    <n v="130"/>
  </r>
  <r>
    <n v="242"/>
    <d v="2011-01-28T00:00:00"/>
    <n v="1"/>
    <n v="1"/>
    <x v="15"/>
    <b v="0"/>
    <n v="5"/>
    <n v="2"/>
    <n v="0.2"/>
    <n v="241"/>
    <n v="0.21210000000000001"/>
    <n v="0.51"/>
    <n v="0.16420000000000001"/>
    <n v="3"/>
    <n v="51"/>
    <n v="54"/>
  </r>
  <r>
    <n v="243"/>
    <d v="2011-01-28T00:00:00"/>
    <n v="1"/>
    <n v="1"/>
    <x v="15"/>
    <b v="0"/>
    <n v="5"/>
    <n v="2"/>
    <n v="0.2"/>
    <n v="242"/>
    <n v="0.21210000000000001"/>
    <n v="0.47"/>
    <n v="0.1343"/>
    <n v="4"/>
    <n v="31"/>
    <n v="35"/>
  </r>
  <r>
    <n v="244"/>
    <d v="2011-01-28T00:00:00"/>
    <n v="1"/>
    <n v="1"/>
    <x v="15"/>
    <b v="0"/>
    <n v="5"/>
    <n v="2"/>
    <n v="0.2"/>
    <n v="243"/>
    <n v="0.2273"/>
    <n v="0.51"/>
    <n v="0.1045"/>
    <n v="2"/>
    <n v="55"/>
    <n v="57"/>
  </r>
  <r>
    <n v="245"/>
    <d v="2011-01-28T00:00:00"/>
    <n v="1"/>
    <n v="1"/>
    <x v="15"/>
    <b v="0"/>
    <n v="5"/>
    <n v="2"/>
    <n v="0.2"/>
    <n v="244"/>
    <n v="0.2273"/>
    <n v="0.59"/>
    <n v="8.9599999999999999E-2"/>
    <n v="6"/>
    <n v="46"/>
    <n v="52"/>
  </r>
  <r>
    <n v="246"/>
    <d v="2011-01-28T00:00:00"/>
    <n v="1"/>
    <n v="1"/>
    <x v="15"/>
    <b v="0"/>
    <n v="5"/>
    <n v="2"/>
    <n v="0.2"/>
    <n v="245"/>
    <n v="0.2273"/>
    <n v="0.59"/>
    <n v="8.9599999999999999E-2"/>
    <n v="3"/>
    <n v="60"/>
    <n v="63"/>
  </r>
  <r>
    <n v="247"/>
    <d v="2011-01-28T00:00:00"/>
    <n v="1"/>
    <n v="1"/>
    <x v="15"/>
    <b v="0"/>
    <n v="5"/>
    <n v="2"/>
    <n v="0.2"/>
    <n v="246"/>
    <n v="0.19700000000000001"/>
    <n v="0.8"/>
    <n v="8.9599999999999999E-2"/>
    <n v="2"/>
    <n v="45"/>
    <n v="47"/>
  </r>
  <r>
    <n v="248"/>
    <d v="2011-01-28T00:00:00"/>
    <n v="1"/>
    <n v="1"/>
    <x v="15"/>
    <b v="0"/>
    <n v="5"/>
    <n v="2"/>
    <n v="0.2"/>
    <n v="247"/>
    <n v="0.1515"/>
    <n v="0.86"/>
    <n v="0.22389999999999999"/>
    <n v="4"/>
    <n v="72"/>
    <n v="76"/>
  </r>
  <r>
    <n v="249"/>
    <d v="2011-01-28T00:00:00"/>
    <n v="1"/>
    <n v="1"/>
    <x v="15"/>
    <b v="0"/>
    <n v="5"/>
    <n v="2"/>
    <n v="0.2"/>
    <n v="248"/>
    <n v="0.1515"/>
    <n v="0.86"/>
    <n v="0.22389999999999999"/>
    <n v="6"/>
    <n v="130"/>
    <n v="136"/>
  </r>
  <r>
    <n v="250"/>
    <d v="2011-01-28T00:00:00"/>
    <n v="1"/>
    <n v="1"/>
    <x v="15"/>
    <b v="0"/>
    <n v="5"/>
    <n v="2"/>
    <n v="0.2"/>
    <n v="249"/>
    <n v="0.18179999999999999"/>
    <n v="0.93"/>
    <n v="0.1045"/>
    <n v="1"/>
    <n v="94"/>
    <n v="95"/>
  </r>
  <r>
    <n v="251"/>
    <d v="2011-01-28T00:00:00"/>
    <n v="1"/>
    <n v="1"/>
    <x v="15"/>
    <b v="0"/>
    <n v="5"/>
    <n v="2"/>
    <n v="0.2"/>
    <n v="250"/>
    <n v="0.2273"/>
    <n v="0.93"/>
    <n v="0"/>
    <n v="0"/>
    <n v="51"/>
    <n v="51"/>
  </r>
  <r>
    <n v="252"/>
    <d v="2011-01-28T00:00:00"/>
    <n v="1"/>
    <n v="1"/>
    <x v="15"/>
    <b v="0"/>
    <n v="5"/>
    <n v="2"/>
    <n v="0.2"/>
    <n v="251"/>
    <n v="0.1515"/>
    <n v="0.93"/>
    <n v="0.19400000000000001"/>
    <n v="0"/>
    <n v="32"/>
    <n v="32"/>
  </r>
  <r>
    <n v="253"/>
    <d v="2011-01-28T00:00:00"/>
    <n v="1"/>
    <n v="1"/>
    <x v="15"/>
    <b v="0"/>
    <n v="5"/>
    <n v="2"/>
    <n v="0.2"/>
    <n v="252"/>
    <n v="0.19700000000000001"/>
    <n v="0.86"/>
    <n v="8.9599999999999999E-2"/>
    <n v="0"/>
    <n v="20"/>
    <n v="20"/>
  </r>
  <r>
    <n v="254"/>
    <d v="2011-01-28T00:00:00"/>
    <n v="1"/>
    <n v="1"/>
    <x v="15"/>
    <b v="0"/>
    <n v="5"/>
    <n v="2"/>
    <n v="0.2"/>
    <n v="253"/>
    <n v="0.18179999999999999"/>
    <n v="0.93"/>
    <n v="0.1045"/>
    <n v="1"/>
    <n v="28"/>
    <n v="29"/>
  </r>
  <r>
    <n v="255"/>
    <d v="2011-01-28T00:00:00"/>
    <n v="1"/>
    <n v="1"/>
    <x v="15"/>
    <b v="0"/>
    <n v="5"/>
    <n v="2"/>
    <n v="0.2"/>
    <n v="254"/>
    <n v="0.19700000000000001"/>
    <n v="0.93"/>
    <n v="8.9599999999999999E-2"/>
    <n v="1"/>
    <n v="18"/>
    <n v="19"/>
  </r>
  <r>
    <n v="256"/>
    <d v="2011-01-28T00:00:00"/>
    <n v="1"/>
    <n v="1"/>
    <x v="15"/>
    <b v="0"/>
    <n v="5"/>
    <n v="2"/>
    <n v="0.2"/>
    <n v="255"/>
    <n v="0.19700000000000001"/>
    <n v="0.86"/>
    <n v="8.9599999999999999E-2"/>
    <n v="0"/>
    <n v="7"/>
    <n v="7"/>
  </r>
  <r>
    <n v="257"/>
    <d v="2011-01-28T00:00:00"/>
    <n v="1"/>
    <n v="1"/>
    <x v="15"/>
    <b v="0"/>
    <n v="5"/>
    <n v="2"/>
    <n v="0.2"/>
    <n v="256"/>
    <n v="0.18179999999999999"/>
    <n v="0.86"/>
    <n v="0.1045"/>
    <n v="0"/>
    <n v="6"/>
    <n v="6"/>
  </r>
  <r>
    <n v="258"/>
    <d v="2011-01-28T00:00:00"/>
    <n v="1"/>
    <n v="1"/>
    <x v="15"/>
    <b v="0"/>
    <n v="5"/>
    <n v="2"/>
    <n v="0.2"/>
    <n v="257"/>
    <n v="0.1515"/>
    <n v="0.86"/>
    <n v="0.1343"/>
    <n v="0"/>
    <n v="1"/>
    <n v="1"/>
  </r>
  <r>
    <n v="259"/>
    <d v="2011-01-28T00:00:00"/>
    <n v="1"/>
    <n v="1"/>
    <x v="15"/>
    <b v="0"/>
    <n v="5"/>
    <n v="2"/>
    <n v="0.2"/>
    <n v="258"/>
    <n v="0.1515"/>
    <n v="0.86"/>
    <n v="0.16420000000000001"/>
    <n v="0"/>
    <n v="5"/>
    <n v="5"/>
  </r>
  <r>
    <n v="260"/>
    <d v="2011-01-28T00:00:00"/>
    <n v="1"/>
    <n v="1"/>
    <x v="15"/>
    <b v="0"/>
    <n v="5"/>
    <n v="2"/>
    <n v="0.2"/>
    <n v="259"/>
    <n v="0.1515"/>
    <n v="0.93"/>
    <n v="0.1343"/>
    <n v="0"/>
    <n v="16"/>
    <n v="16"/>
  </r>
  <r>
    <n v="261"/>
    <d v="2011-01-28T00:00:00"/>
    <n v="1"/>
    <n v="1"/>
    <x v="15"/>
    <b v="0"/>
    <n v="5"/>
    <n v="2"/>
    <n v="0.2"/>
    <n v="260"/>
    <n v="0.1515"/>
    <n v="0.69"/>
    <n v="0.1343"/>
    <n v="0"/>
    <n v="54"/>
    <n v="54"/>
  </r>
  <r>
    <n v="262"/>
    <d v="2011-01-28T00:00:00"/>
    <n v="1"/>
    <n v="1"/>
    <x v="15"/>
    <b v="0"/>
    <n v="5"/>
    <n v="2"/>
    <n v="0.2"/>
    <n v="261"/>
    <n v="0.16669999999999999"/>
    <n v="0.59"/>
    <n v="0.16420000000000001"/>
    <n v="3"/>
    <n v="125"/>
    <n v="128"/>
  </r>
  <r>
    <n v="263"/>
    <d v="2011-01-28T00:00:00"/>
    <n v="1"/>
    <n v="1"/>
    <x v="15"/>
    <b v="0"/>
    <n v="5"/>
    <n v="2"/>
    <n v="0.2"/>
    <n v="262"/>
    <n v="0.13639999999999999"/>
    <n v="0.59"/>
    <n v="0.32840000000000003"/>
    <n v="3"/>
    <n v="78"/>
    <n v="81"/>
  </r>
  <r>
    <n v="264"/>
    <d v="2011-01-28T00:00:00"/>
    <n v="1"/>
    <n v="1"/>
    <x v="15"/>
    <b v="0"/>
    <n v="5"/>
    <n v="2"/>
    <n v="0.2"/>
    <n v="263"/>
    <n v="0.18179999999999999"/>
    <n v="0.55000000000000004"/>
    <n v="0.22389999999999999"/>
    <n v="0"/>
    <n v="39"/>
    <n v="39"/>
  </r>
  <r>
    <n v="265"/>
    <d v="2011-01-28T00:00:00"/>
    <n v="1"/>
    <n v="1"/>
    <x v="15"/>
    <b v="0"/>
    <n v="5"/>
    <n v="2"/>
    <n v="0.2"/>
    <n v="264"/>
    <n v="0.18179999999999999"/>
    <n v="0.51"/>
    <n v="0.3881"/>
    <n v="3"/>
    <n v="32"/>
    <n v="35"/>
  </r>
  <r>
    <n v="266"/>
    <d v="2011-01-28T00:00:00"/>
    <n v="1"/>
    <n v="1"/>
    <x v="15"/>
    <b v="0"/>
    <n v="5"/>
    <n v="2"/>
    <n v="0.2"/>
    <n v="265"/>
    <n v="0.1515"/>
    <n v="0.47"/>
    <n v="0.58209999999999995"/>
    <n v="3"/>
    <n v="52"/>
    <n v="55"/>
  </r>
  <r>
    <n v="267"/>
    <d v="2011-01-28T00:00:00"/>
    <n v="1"/>
    <n v="1"/>
    <x v="15"/>
    <b v="0"/>
    <n v="5"/>
    <n v="2"/>
    <n v="0.2"/>
    <n v="266"/>
    <n v="0.19700000000000001"/>
    <n v="0.44"/>
    <n v="0.35820000000000002"/>
    <n v="0"/>
    <n v="49"/>
    <n v="49"/>
  </r>
  <r>
    <n v="268"/>
    <d v="2011-01-28T00:00:00"/>
    <n v="1"/>
    <n v="1"/>
    <x v="15"/>
    <b v="0"/>
    <n v="5"/>
    <n v="2"/>
    <n v="0.2"/>
    <n v="267"/>
    <n v="0.18179999999999999"/>
    <n v="0.47"/>
    <n v="0.32840000000000003"/>
    <n v="0"/>
    <n v="44"/>
    <n v="44"/>
  </r>
  <r>
    <n v="269"/>
    <d v="2011-01-28T00:00:00"/>
    <n v="1"/>
    <n v="1"/>
    <x v="15"/>
    <b v="0"/>
    <n v="5"/>
    <n v="2"/>
    <n v="0.2"/>
    <n v="268"/>
    <n v="0.16669999999999999"/>
    <n v="0.47"/>
    <n v="0.41789999999999999"/>
    <n v="1"/>
    <n v="48"/>
    <n v="49"/>
  </r>
  <r>
    <n v="270"/>
    <d v="2011-01-28T00:00:00"/>
    <n v="1"/>
    <n v="1"/>
    <x v="15"/>
    <b v="0"/>
    <n v="5"/>
    <n v="2"/>
    <n v="0.2"/>
    <n v="269"/>
    <n v="0.19700000000000001"/>
    <n v="0.44"/>
    <n v="0.32840000000000003"/>
    <n v="5"/>
    <n v="63"/>
    <n v="68"/>
  </r>
  <r>
    <n v="271"/>
    <d v="2011-01-28T00:00:00"/>
    <n v="1"/>
    <n v="1"/>
    <x v="15"/>
    <b v="0"/>
    <n v="5"/>
    <n v="2"/>
    <n v="0.2"/>
    <n v="270"/>
    <n v="0.18179999999999999"/>
    <n v="0.47"/>
    <n v="0.35820000000000002"/>
    <n v="0"/>
    <n v="139"/>
    <n v="139"/>
  </r>
  <r>
    <n v="272"/>
    <d v="2011-01-28T00:00:00"/>
    <n v="1"/>
    <n v="1"/>
    <x v="15"/>
    <b v="0"/>
    <n v="5"/>
    <n v="2"/>
    <n v="0.2"/>
    <n v="271"/>
    <n v="0.1515"/>
    <n v="0.47"/>
    <n v="0.52239999999999998"/>
    <n v="2"/>
    <n v="135"/>
    <n v="137"/>
  </r>
  <r>
    <n v="273"/>
    <d v="2011-01-28T00:00:00"/>
    <n v="1"/>
    <n v="1"/>
    <x v="15"/>
    <b v="0"/>
    <n v="5"/>
    <n v="2"/>
    <n v="0.2"/>
    <n v="272"/>
    <n v="0.1515"/>
    <n v="0.47"/>
    <n v="0.41789999999999999"/>
    <n v="1"/>
    <n v="82"/>
    <n v="83"/>
  </r>
  <r>
    <n v="274"/>
    <d v="2011-01-28T00:00:00"/>
    <n v="1"/>
    <n v="1"/>
    <x v="15"/>
    <b v="0"/>
    <n v="5"/>
    <n v="2"/>
    <n v="0.2"/>
    <n v="273"/>
    <n v="0.13639999999999999"/>
    <n v="0.5"/>
    <n v="0.32840000000000003"/>
    <n v="2"/>
    <n v="54"/>
    <n v="56"/>
  </r>
  <r>
    <n v="275"/>
    <d v="2011-01-28T00:00:00"/>
    <n v="1"/>
    <n v="1"/>
    <x v="15"/>
    <b v="0"/>
    <n v="5"/>
    <n v="2"/>
    <n v="0.2"/>
    <n v="274"/>
    <n v="0.13639999999999999"/>
    <n v="0.55000000000000004"/>
    <n v="0.32840000000000003"/>
    <n v="0"/>
    <n v="57"/>
    <n v="57"/>
  </r>
  <r>
    <n v="276"/>
    <d v="2011-01-28T00:00:00"/>
    <n v="1"/>
    <n v="1"/>
    <x v="15"/>
    <b v="0"/>
    <n v="5"/>
    <n v="2"/>
    <n v="0.2"/>
    <n v="275"/>
    <n v="0.1212"/>
    <n v="0.55000000000000004"/>
    <n v="0.44779999999999998"/>
    <n v="1"/>
    <n v="32"/>
    <n v="33"/>
  </r>
  <r>
    <n v="277"/>
    <d v="2011-01-28T00:00:00"/>
    <n v="1"/>
    <n v="1"/>
    <x v="15"/>
    <b v="0"/>
    <n v="5"/>
    <n v="2"/>
    <n v="0.2"/>
    <n v="276"/>
    <n v="0.1061"/>
    <n v="0.59"/>
    <n v="0.41789999999999999"/>
    <n v="1"/>
    <n v="19"/>
    <n v="20"/>
  </r>
  <r>
    <n v="278"/>
    <d v="2011-01-28T00:00:00"/>
    <n v="1"/>
    <n v="1"/>
    <x v="15"/>
    <b v="0"/>
    <n v="5"/>
    <n v="2"/>
    <n v="0.2"/>
    <n v="277"/>
    <n v="0.1212"/>
    <n v="0.59"/>
    <n v="0.28360000000000002"/>
    <n v="1"/>
    <n v="6"/>
    <n v="7"/>
  </r>
  <r>
    <n v="279"/>
    <d v="2011-01-28T00:00:00"/>
    <n v="1"/>
    <n v="1"/>
    <x v="15"/>
    <b v="0"/>
    <n v="5"/>
    <n v="2"/>
    <n v="0.2"/>
    <n v="278"/>
    <n v="0.1212"/>
    <n v="0.5"/>
    <n v="0.28360000000000002"/>
    <n v="0"/>
    <n v="2"/>
    <n v="2"/>
  </r>
  <r>
    <n v="280"/>
    <d v="2011-01-28T00:00:00"/>
    <n v="1"/>
    <n v="1"/>
    <x v="15"/>
    <b v="0"/>
    <n v="5"/>
    <n v="2"/>
    <n v="0.2"/>
    <n v="279"/>
    <n v="0.1212"/>
    <n v="0.5"/>
    <n v="0.35820000000000002"/>
    <n v="0"/>
    <n v="2"/>
    <n v="2"/>
  </r>
  <r>
    <n v="281"/>
    <d v="2011-01-28T00:00:00"/>
    <n v="1"/>
    <n v="1"/>
    <x v="15"/>
    <b v="0"/>
    <n v="5"/>
    <n v="2"/>
    <n v="0.2"/>
    <n v="280"/>
    <n v="0.1212"/>
    <n v="0.5"/>
    <n v="0.32840000000000003"/>
    <n v="0"/>
    <n v="3"/>
    <n v="3"/>
  </r>
  <r>
    <n v="282"/>
    <d v="2011-01-28T00:00:00"/>
    <n v="1"/>
    <n v="1"/>
    <x v="15"/>
    <b v="0"/>
    <n v="5"/>
    <n v="2"/>
    <n v="0.2"/>
    <n v="281"/>
    <n v="0.1212"/>
    <n v="0.5"/>
    <n v="0.25369999999999998"/>
    <n v="0"/>
    <n v="4"/>
    <n v="4"/>
  </r>
  <r>
    <n v="283"/>
    <d v="2011-01-28T00:00:00"/>
    <n v="1"/>
    <n v="1"/>
    <x v="15"/>
    <b v="0"/>
    <n v="5"/>
    <n v="2"/>
    <n v="0.2"/>
    <n v="282"/>
    <n v="0.1212"/>
    <n v="0.5"/>
    <n v="0.29849999999999999"/>
    <n v="0"/>
    <n v="3"/>
    <n v="3"/>
  </r>
  <r>
    <n v="284"/>
    <d v="2011-01-28T00:00:00"/>
    <n v="1"/>
    <n v="1"/>
    <x v="15"/>
    <b v="0"/>
    <n v="5"/>
    <n v="2"/>
    <n v="0.2"/>
    <n v="283"/>
    <n v="0.1515"/>
    <n v="0.54"/>
    <n v="0.1343"/>
    <n v="0"/>
    <n v="28"/>
    <n v="28"/>
  </r>
  <r>
    <n v="285"/>
    <d v="2011-01-28T00:00:00"/>
    <n v="1"/>
    <n v="1"/>
    <x v="15"/>
    <b v="0"/>
    <n v="5"/>
    <n v="2"/>
    <n v="0.2"/>
    <n v="284"/>
    <n v="0.1515"/>
    <n v="0.54"/>
    <n v="0.1343"/>
    <n v="0"/>
    <n v="72"/>
    <n v="72"/>
  </r>
  <r>
    <n v="286"/>
    <d v="2011-01-28T00:00:00"/>
    <n v="1"/>
    <n v="1"/>
    <x v="15"/>
    <b v="0"/>
    <n v="5"/>
    <n v="2"/>
    <n v="0.2"/>
    <n v="285"/>
    <n v="0.13639999999999999"/>
    <n v="0.5"/>
    <n v="0.19400000000000001"/>
    <n v="5"/>
    <n v="197"/>
    <n v="202"/>
  </r>
  <r>
    <n v="287"/>
    <d v="2011-01-28T00:00:00"/>
    <n v="1"/>
    <n v="1"/>
    <x v="15"/>
    <b v="0"/>
    <n v="5"/>
    <n v="2"/>
    <n v="0.2"/>
    <n v="286"/>
    <n v="0.1212"/>
    <n v="0.5"/>
    <n v="0.32840000000000003"/>
    <n v="2"/>
    <n v="137"/>
    <n v="139"/>
  </r>
  <r>
    <n v="288"/>
    <d v="2011-01-28T00:00:00"/>
    <n v="1"/>
    <n v="1"/>
    <x v="15"/>
    <b v="0"/>
    <n v="5"/>
    <n v="2"/>
    <n v="0.2"/>
    <n v="287"/>
    <n v="0.13639999999999999"/>
    <n v="0.5"/>
    <n v="0.35820000000000002"/>
    <n v="2"/>
    <n v="36"/>
    <n v="38"/>
  </r>
  <r>
    <n v="289"/>
    <d v="2011-01-28T00:00:00"/>
    <n v="1"/>
    <n v="1"/>
    <x v="15"/>
    <b v="0"/>
    <n v="5"/>
    <n v="2"/>
    <n v="0.2"/>
    <n v="288"/>
    <n v="0.16669999999999999"/>
    <n v="0.44"/>
    <n v="0.44779999999999998"/>
    <n v="4"/>
    <n v="33"/>
    <n v="37"/>
  </r>
  <r>
    <n v="290"/>
    <d v="2011-01-28T00:00:00"/>
    <n v="1"/>
    <n v="1"/>
    <x v="15"/>
    <b v="0"/>
    <n v="5"/>
    <n v="2"/>
    <n v="0.2"/>
    <n v="289"/>
    <n v="0.16669999999999999"/>
    <n v="0.44"/>
    <n v="0.41789999999999999"/>
    <n v="3"/>
    <n v="49"/>
    <n v="52"/>
  </r>
  <r>
    <n v="291"/>
    <d v="2011-01-28T00:00:00"/>
    <n v="1"/>
    <n v="1"/>
    <x v="15"/>
    <b v="0"/>
    <n v="5"/>
    <n v="2"/>
    <n v="0.2"/>
    <n v="290"/>
    <n v="0.19700000000000001"/>
    <n v="0.41"/>
    <n v="0.44779999999999998"/>
    <n v="2"/>
    <n v="81"/>
    <n v="83"/>
  </r>
  <r>
    <n v="292"/>
    <d v="2011-01-28T00:00:00"/>
    <n v="1"/>
    <n v="1"/>
    <x v="15"/>
    <b v="0"/>
    <n v="5"/>
    <n v="2"/>
    <n v="0.2"/>
    <n v="291"/>
    <n v="0.19700000000000001"/>
    <n v="0.41"/>
    <n v="0.3881"/>
    <n v="3"/>
    <n v="39"/>
    <n v="42"/>
  </r>
  <r>
    <n v="293"/>
    <d v="2011-01-28T00:00:00"/>
    <n v="1"/>
    <n v="1"/>
    <x v="15"/>
    <b v="0"/>
    <n v="5"/>
    <n v="2"/>
    <n v="0.2"/>
    <n v="292"/>
    <n v="0.21210000000000001"/>
    <n v="0.38"/>
    <n v="0.29849999999999999"/>
    <n v="5"/>
    <n v="55"/>
    <n v="60"/>
  </r>
  <r>
    <n v="294"/>
    <d v="2011-01-28T00:00:00"/>
    <n v="1"/>
    <n v="1"/>
    <x v="15"/>
    <b v="0"/>
    <n v="5"/>
    <n v="2"/>
    <n v="0.2"/>
    <n v="293"/>
    <n v="0.21210000000000001"/>
    <n v="0.38"/>
    <n v="0.35820000000000002"/>
    <n v="2"/>
    <n v="76"/>
    <n v="78"/>
  </r>
  <r>
    <n v="295"/>
    <d v="2011-01-28T00:00:00"/>
    <n v="1"/>
    <n v="1"/>
    <x v="15"/>
    <b v="0"/>
    <n v="5"/>
    <n v="2"/>
    <n v="0.2"/>
    <n v="294"/>
    <n v="0.18179999999999999"/>
    <n v="0.4"/>
    <n v="0.28360000000000002"/>
    <n v="4"/>
    <n v="158"/>
    <n v="162"/>
  </r>
  <r>
    <n v="296"/>
    <d v="2011-01-28T00:00:00"/>
    <n v="1"/>
    <n v="1"/>
    <x v="15"/>
    <b v="0"/>
    <n v="5"/>
    <n v="2"/>
    <n v="0.2"/>
    <n v="295"/>
    <n v="0.18179999999999999"/>
    <n v="0.4"/>
    <n v="0.32840000000000003"/>
    <n v="3"/>
    <n v="141"/>
    <n v="144"/>
  </r>
  <r>
    <n v="297"/>
    <d v="2011-01-28T00:00:00"/>
    <n v="1"/>
    <n v="1"/>
    <x v="15"/>
    <b v="0"/>
    <n v="5"/>
    <n v="2"/>
    <n v="0.2"/>
    <n v="296"/>
    <n v="0.1515"/>
    <n v="0.47"/>
    <n v="0.25369999999999998"/>
    <n v="1"/>
    <n v="98"/>
    <n v="99"/>
  </r>
  <r>
    <n v="298"/>
    <d v="2011-01-28T00:00:00"/>
    <n v="1"/>
    <n v="1"/>
    <x v="15"/>
    <b v="0"/>
    <n v="5"/>
    <n v="2"/>
    <n v="0.2"/>
    <n v="297"/>
    <n v="0.1515"/>
    <n v="0.47"/>
    <n v="0.22389999999999999"/>
    <n v="0"/>
    <n v="64"/>
    <n v="64"/>
  </r>
  <r>
    <n v="299"/>
    <d v="2011-01-28T00:00:00"/>
    <n v="1"/>
    <n v="1"/>
    <x v="15"/>
    <b v="0"/>
    <n v="5"/>
    <n v="2"/>
    <n v="0.2"/>
    <n v="298"/>
    <n v="0.1212"/>
    <n v="0.46"/>
    <n v="0.29849999999999999"/>
    <n v="0"/>
    <n v="40"/>
    <n v="40"/>
  </r>
  <r>
    <n v="300"/>
    <d v="2011-01-28T00:00:00"/>
    <n v="1"/>
    <n v="1"/>
    <x v="15"/>
    <b v="0"/>
    <n v="5"/>
    <n v="2"/>
    <n v="0.2"/>
    <n v="299"/>
    <n v="0.1212"/>
    <n v="0.46"/>
    <n v="0.32840000000000003"/>
    <n v="0"/>
    <n v="30"/>
    <n v="30"/>
  </r>
  <r>
    <n v="301"/>
    <d v="2011-01-28T00:00:00"/>
    <n v="1"/>
    <n v="1"/>
    <x v="15"/>
    <b v="0"/>
    <n v="5"/>
    <n v="2"/>
    <n v="0.2"/>
    <n v="300"/>
    <n v="0.13639999999999999"/>
    <n v="0.5"/>
    <n v="0.19400000000000001"/>
    <n v="1"/>
    <n v="14"/>
    <n v="15"/>
  </r>
  <r>
    <n v="302"/>
    <d v="2011-01-28T00:00:00"/>
    <n v="1"/>
    <n v="1"/>
    <x v="15"/>
    <b v="0"/>
    <n v="5"/>
    <n v="2"/>
    <n v="0.2"/>
    <n v="301"/>
    <n v="0.13639999999999999"/>
    <n v="0.5"/>
    <n v="0.19400000000000001"/>
    <n v="0"/>
    <n v="14"/>
    <n v="14"/>
  </r>
  <r>
    <n v="303"/>
    <d v="2011-01-28T00:00:00"/>
    <n v="1"/>
    <n v="1"/>
    <x v="15"/>
    <b v="0"/>
    <n v="5"/>
    <n v="2"/>
    <n v="0.2"/>
    <n v="302"/>
    <n v="0.1212"/>
    <n v="0.54"/>
    <n v="0.16420000000000001"/>
    <n v="0"/>
    <n v="5"/>
    <n v="5"/>
  </r>
  <r>
    <n v="304"/>
    <d v="2011-01-28T00:00:00"/>
    <n v="1"/>
    <n v="1"/>
    <x v="15"/>
    <b v="0"/>
    <n v="5"/>
    <n v="2"/>
    <n v="0.2"/>
    <n v="303"/>
    <n v="0.1212"/>
    <n v="0.54"/>
    <n v="0.1343"/>
    <n v="0"/>
    <n v="1"/>
    <n v="1"/>
  </r>
  <r>
    <n v="305"/>
    <d v="2011-01-28T00:00:00"/>
    <n v="1"/>
    <n v="1"/>
    <x v="15"/>
    <b v="0"/>
    <n v="5"/>
    <n v="2"/>
    <n v="0.2"/>
    <n v="304"/>
    <n v="0.13639999999999999"/>
    <n v="0.54"/>
    <n v="0.1045"/>
    <n v="0"/>
    <n v="1"/>
    <n v="1"/>
  </r>
  <r>
    <n v="306"/>
    <d v="2011-01-28T00:00:00"/>
    <n v="1"/>
    <n v="1"/>
    <x v="15"/>
    <b v="0"/>
    <n v="5"/>
    <n v="2"/>
    <n v="0.2"/>
    <n v="305"/>
    <n v="0.13639999999999999"/>
    <n v="0.54"/>
    <n v="8.9599999999999999E-2"/>
    <n v="0"/>
    <n v="8"/>
    <n v="8"/>
  </r>
  <r>
    <n v="307"/>
    <d v="2011-01-28T00:00:00"/>
    <n v="1"/>
    <n v="1"/>
    <x v="15"/>
    <b v="0"/>
    <n v="5"/>
    <n v="2"/>
    <n v="0.2"/>
    <n v="306"/>
    <n v="0.18179999999999999"/>
    <n v="0.54"/>
    <n v="0"/>
    <n v="0"/>
    <n v="17"/>
    <n v="17"/>
  </r>
  <r>
    <n v="308"/>
    <d v="2011-01-28T00:00:00"/>
    <n v="1"/>
    <n v="1"/>
    <x v="15"/>
    <b v="0"/>
    <n v="5"/>
    <n v="2"/>
    <n v="0.2"/>
    <n v="307"/>
    <n v="0.1212"/>
    <n v="0.74"/>
    <n v="0.16420000000000001"/>
    <n v="0"/>
    <n v="70"/>
    <n v="70"/>
  </r>
  <r>
    <n v="309"/>
    <d v="2011-01-28T00:00:00"/>
    <n v="1"/>
    <n v="1"/>
    <x v="15"/>
    <b v="0"/>
    <n v="5"/>
    <n v="2"/>
    <n v="0.2"/>
    <n v="308"/>
    <n v="0.16669999999999999"/>
    <n v="0.68"/>
    <n v="0"/>
    <n v="2"/>
    <n v="156"/>
    <n v="158"/>
  </r>
  <r>
    <n v="310"/>
    <d v="2011-01-28T00:00:00"/>
    <n v="1"/>
    <n v="1"/>
    <x v="15"/>
    <b v="0"/>
    <n v="5"/>
    <n v="2"/>
    <n v="0.2"/>
    <n v="309"/>
    <n v="0.1515"/>
    <n v="0.69"/>
    <n v="0.1343"/>
    <n v="0"/>
    <n v="117"/>
    <n v="117"/>
  </r>
  <r>
    <n v="311"/>
    <d v="2011-01-28T00:00:00"/>
    <n v="1"/>
    <n v="1"/>
    <x v="15"/>
    <b v="0"/>
    <n v="5"/>
    <n v="2"/>
    <n v="0.2"/>
    <n v="310"/>
    <n v="0.18179999999999999"/>
    <n v="0.55000000000000004"/>
    <n v="0.19400000000000001"/>
    <n v="4"/>
    <n v="40"/>
    <n v="44"/>
  </r>
  <r>
    <n v="312"/>
    <d v="2011-01-28T00:00:00"/>
    <n v="1"/>
    <n v="1"/>
    <x v="15"/>
    <b v="0"/>
    <n v="5"/>
    <n v="2"/>
    <n v="0.2"/>
    <n v="311"/>
    <n v="0.16669999999999999"/>
    <n v="0.51"/>
    <n v="0.28360000000000002"/>
    <n v="6"/>
    <n v="47"/>
    <n v="53"/>
  </r>
  <r>
    <n v="313"/>
    <d v="2011-01-28T00:00:00"/>
    <n v="1"/>
    <n v="1"/>
    <x v="15"/>
    <b v="0"/>
    <n v="5"/>
    <n v="2"/>
    <n v="0.2"/>
    <n v="312"/>
    <n v="0.19700000000000001"/>
    <n v="0.44"/>
    <n v="0.25369999999999998"/>
    <n v="2"/>
    <n v="59"/>
    <n v="61"/>
  </r>
  <r>
    <n v="314"/>
    <d v="2011-01-28T00:00:00"/>
    <n v="1"/>
    <n v="1"/>
    <x v="15"/>
    <b v="0"/>
    <n v="5"/>
    <n v="2"/>
    <n v="0.2"/>
    <n v="313"/>
    <n v="0.19700000000000001"/>
    <n v="0.37"/>
    <n v="0.3881"/>
    <n v="4"/>
    <n v="73"/>
    <n v="77"/>
  </r>
  <r>
    <n v="315"/>
    <d v="2011-01-28T00:00:00"/>
    <n v="1"/>
    <n v="1"/>
    <x v="15"/>
    <b v="0"/>
    <n v="5"/>
    <n v="2"/>
    <n v="0.2"/>
    <n v="314"/>
    <n v="0.21210000000000001"/>
    <n v="0.41"/>
    <n v="0.28360000000000002"/>
    <n v="5"/>
    <n v="59"/>
    <n v="64"/>
  </r>
  <r>
    <n v="316"/>
    <d v="2011-01-28T00:00:00"/>
    <n v="1"/>
    <n v="1"/>
    <x v="15"/>
    <b v="0"/>
    <n v="5"/>
    <n v="2"/>
    <n v="0.2"/>
    <n v="315"/>
    <n v="0.2424"/>
    <n v="0.38"/>
    <n v="0.16420000000000001"/>
    <n v="9"/>
    <n v="59"/>
    <n v="68"/>
  </r>
  <r>
    <n v="317"/>
    <d v="2011-01-28T00:00:00"/>
    <n v="1"/>
    <n v="1"/>
    <x v="15"/>
    <b v="0"/>
    <n v="5"/>
    <n v="2"/>
    <n v="0.2"/>
    <n v="316"/>
    <n v="0.2424"/>
    <n v="0.41"/>
    <n v="0.1045"/>
    <n v="3"/>
    <n v="87"/>
    <n v="90"/>
  </r>
  <r>
    <n v="318"/>
    <d v="2011-01-28T00:00:00"/>
    <n v="1"/>
    <n v="1"/>
    <x v="15"/>
    <b v="0"/>
    <n v="5"/>
    <n v="2"/>
    <n v="0.2"/>
    <n v="317"/>
    <n v="0.2273"/>
    <n v="0.41"/>
    <n v="0.16420000000000001"/>
    <n v="4"/>
    <n v="155"/>
    <n v="159"/>
  </r>
  <r>
    <n v="319"/>
    <d v="2011-01-28T00:00:00"/>
    <n v="1"/>
    <n v="1"/>
    <x v="15"/>
    <b v="0"/>
    <n v="5"/>
    <n v="2"/>
    <n v="0.2"/>
    <n v="318"/>
    <n v="0.2576"/>
    <n v="0.47"/>
    <n v="0"/>
    <n v="5"/>
    <n v="134"/>
    <n v="139"/>
  </r>
  <r>
    <n v="320"/>
    <d v="2011-01-28T00:00:00"/>
    <n v="1"/>
    <n v="1"/>
    <x v="15"/>
    <b v="0"/>
    <n v="5"/>
    <n v="2"/>
    <n v="0.2"/>
    <n v="319"/>
    <n v="0.19700000000000001"/>
    <n v="0.59"/>
    <n v="8.9599999999999999E-2"/>
    <n v="3"/>
    <n v="89"/>
    <n v="92"/>
  </r>
  <r>
    <n v="321"/>
    <d v="2011-01-28T00:00:00"/>
    <n v="1"/>
    <n v="1"/>
    <x v="15"/>
    <b v="0"/>
    <n v="5"/>
    <n v="2"/>
    <n v="0.2"/>
    <n v="320"/>
    <n v="0.2424"/>
    <n v="0.59"/>
    <n v="0"/>
    <n v="0"/>
    <n v="68"/>
    <n v="68"/>
  </r>
  <r>
    <n v="322"/>
    <d v="2011-01-28T00:00:00"/>
    <n v="1"/>
    <n v="1"/>
    <x v="15"/>
    <b v="0"/>
    <n v="5"/>
    <n v="2"/>
    <n v="0.2"/>
    <n v="321"/>
    <n v="0.2273"/>
    <n v="0.69"/>
    <n v="0"/>
    <n v="4"/>
    <n v="48"/>
    <n v="52"/>
  </r>
  <r>
    <n v="323"/>
    <d v="2011-01-28T00:00:00"/>
    <n v="1"/>
    <n v="1"/>
    <x v="15"/>
    <b v="0"/>
    <n v="5"/>
    <n v="2"/>
    <n v="0.2"/>
    <n v="322"/>
    <n v="0.2273"/>
    <n v="0.69"/>
    <n v="0"/>
    <n v="2"/>
    <n v="34"/>
    <n v="36"/>
  </r>
  <r>
    <n v="324"/>
    <d v="2011-01-28T00:00:00"/>
    <n v="1"/>
    <n v="1"/>
    <x v="15"/>
    <b v="0"/>
    <n v="5"/>
    <n v="2"/>
    <n v="0.2"/>
    <n v="323"/>
    <n v="0.2424"/>
    <n v="0.55000000000000004"/>
    <n v="0"/>
    <n v="1"/>
    <n v="26"/>
    <n v="27"/>
  </r>
  <r>
    <n v="325"/>
    <d v="2011-01-28T00:00:00"/>
    <n v="1"/>
    <n v="1"/>
    <x v="15"/>
    <b v="0"/>
    <n v="5"/>
    <n v="2"/>
    <n v="0.2"/>
    <n v="324"/>
    <n v="0.2424"/>
    <n v="0.55000000000000004"/>
    <n v="0"/>
    <n v="3"/>
    <n v="25"/>
    <n v="28"/>
  </r>
  <r>
    <n v="326"/>
    <d v="2011-01-28T00:00:00"/>
    <n v="1"/>
    <n v="1"/>
    <x v="15"/>
    <b v="0"/>
    <n v="5"/>
    <n v="2"/>
    <n v="0.2"/>
    <n v="325"/>
    <n v="0.19700000000000001"/>
    <n v="0.59"/>
    <n v="8.9599999999999999E-2"/>
    <n v="2"/>
    <n v="18"/>
    <n v="20"/>
  </r>
  <r>
    <n v="327"/>
    <d v="2011-01-28T00:00:00"/>
    <n v="1"/>
    <n v="1"/>
    <x v="15"/>
    <b v="0"/>
    <n v="5"/>
    <n v="2"/>
    <n v="0.2"/>
    <n v="326"/>
    <n v="0.19700000000000001"/>
    <n v="0.59"/>
    <n v="8.9599999999999999E-2"/>
    <n v="0"/>
    <n v="12"/>
    <n v="12"/>
  </r>
  <r>
    <n v="328"/>
    <d v="2011-01-28T00:00:00"/>
    <n v="1"/>
    <n v="1"/>
    <x v="15"/>
    <b v="0"/>
    <n v="5"/>
    <n v="2"/>
    <n v="0.2"/>
    <n v="327"/>
    <n v="0.2273"/>
    <n v="0.59"/>
    <n v="0"/>
    <n v="1"/>
    <n v="7"/>
    <n v="8"/>
  </r>
  <r>
    <n v="329"/>
    <d v="2011-01-28T00:00:00"/>
    <n v="1"/>
    <n v="1"/>
    <x v="15"/>
    <b v="0"/>
    <n v="5"/>
    <n v="2"/>
    <n v="0.2"/>
    <n v="328"/>
    <n v="0.2273"/>
    <n v="0.59"/>
    <n v="0"/>
    <n v="0"/>
    <n v="5"/>
    <n v="5"/>
  </r>
  <r>
    <n v="330"/>
    <d v="2011-01-28T00:00:00"/>
    <n v="1"/>
    <n v="1"/>
    <x v="15"/>
    <b v="0"/>
    <n v="5"/>
    <n v="2"/>
    <n v="0.2"/>
    <n v="329"/>
    <n v="0.2273"/>
    <n v="0.59"/>
    <n v="0"/>
    <n v="0"/>
    <n v="1"/>
    <n v="1"/>
  </r>
  <r>
    <n v="331"/>
    <d v="2011-01-28T00:00:00"/>
    <n v="1"/>
    <n v="1"/>
    <x v="15"/>
    <b v="0"/>
    <n v="5"/>
    <n v="2"/>
    <n v="0.2"/>
    <n v="330"/>
    <n v="0.16669999999999999"/>
    <n v="0.63"/>
    <n v="0.1045"/>
    <n v="1"/>
    <n v="2"/>
    <n v="3"/>
  </r>
  <r>
    <n v="332"/>
    <d v="2011-01-28T00:00:00"/>
    <n v="1"/>
    <n v="1"/>
    <x v="15"/>
    <b v="0"/>
    <n v="5"/>
    <n v="2"/>
    <n v="0.2"/>
    <n v="331"/>
    <n v="0.21210000000000001"/>
    <n v="0.63"/>
    <n v="0"/>
    <n v="1"/>
    <n v="9"/>
    <n v="10"/>
  </r>
  <r>
    <n v="333"/>
    <d v="2011-01-28T00:00:00"/>
    <n v="1"/>
    <n v="1"/>
    <x v="15"/>
    <b v="0"/>
    <n v="5"/>
    <n v="2"/>
    <n v="0.2"/>
    <n v="332"/>
    <n v="0.1515"/>
    <n v="0.63"/>
    <n v="0.1343"/>
    <n v="1"/>
    <n v="22"/>
    <n v="23"/>
  </r>
  <r>
    <n v="334"/>
    <d v="2011-01-28T00:00:00"/>
    <n v="1"/>
    <n v="1"/>
    <x v="15"/>
    <b v="0"/>
    <n v="5"/>
    <n v="2"/>
    <n v="0.2"/>
    <n v="333"/>
    <n v="0.18179999999999999"/>
    <n v="0.64"/>
    <n v="0.1343"/>
    <n v="2"/>
    <n v="31"/>
    <n v="33"/>
  </r>
  <r>
    <n v="335"/>
    <d v="2011-01-28T00:00:00"/>
    <n v="1"/>
    <n v="1"/>
    <x v="15"/>
    <b v="0"/>
    <n v="5"/>
    <n v="2"/>
    <n v="0.2"/>
    <n v="334"/>
    <n v="0.19700000000000001"/>
    <n v="0.59"/>
    <n v="0.16420000000000001"/>
    <n v="2"/>
    <n v="57"/>
    <n v="59"/>
  </r>
  <r>
    <n v="336"/>
    <d v="2011-01-28T00:00:00"/>
    <n v="1"/>
    <n v="1"/>
    <x v="15"/>
    <b v="0"/>
    <n v="5"/>
    <n v="2"/>
    <n v="0.2"/>
    <n v="335"/>
    <n v="0.19700000000000001"/>
    <n v="0.55000000000000004"/>
    <n v="0.22389999999999999"/>
    <n v="18"/>
    <n v="54"/>
    <n v="72"/>
  </r>
  <r>
    <n v="337"/>
    <d v="2011-01-28T00:00:00"/>
    <n v="1"/>
    <n v="1"/>
    <x v="15"/>
    <b v="0"/>
    <n v="5"/>
    <n v="2"/>
    <n v="0.2"/>
    <n v="336"/>
    <n v="0.2273"/>
    <n v="0.48"/>
    <n v="0.22389999999999999"/>
    <n v="15"/>
    <n v="74"/>
    <n v="89"/>
  </r>
  <r>
    <n v="338"/>
    <d v="2011-01-28T00:00:00"/>
    <n v="1"/>
    <n v="1"/>
    <x v="15"/>
    <b v="0"/>
    <n v="5"/>
    <n v="2"/>
    <n v="0.2"/>
    <n v="337"/>
    <n v="0.2576"/>
    <n v="0.38"/>
    <n v="0.29849999999999999"/>
    <n v="21"/>
    <n v="80"/>
    <n v="101"/>
  </r>
  <r>
    <n v="339"/>
    <d v="2011-01-28T00:00:00"/>
    <n v="1"/>
    <n v="1"/>
    <x v="15"/>
    <b v="0"/>
    <n v="5"/>
    <n v="2"/>
    <n v="0.2"/>
    <n v="338"/>
    <n v="0.28789999999999999"/>
    <n v="0.39"/>
    <n v="0.28360000000000002"/>
    <n v="26"/>
    <n v="92"/>
    <n v="118"/>
  </r>
  <r>
    <n v="340"/>
    <d v="2011-01-28T00:00:00"/>
    <n v="1"/>
    <n v="1"/>
    <x v="15"/>
    <b v="0"/>
    <n v="5"/>
    <n v="2"/>
    <n v="0.2"/>
    <n v="339"/>
    <n v="0.31819999999999998"/>
    <n v="0.36"/>
    <n v="0.19400000000000001"/>
    <n v="21"/>
    <n v="108"/>
    <n v="129"/>
  </r>
  <r>
    <n v="341"/>
    <d v="2011-01-28T00:00:00"/>
    <n v="1"/>
    <n v="1"/>
    <x v="15"/>
    <b v="0"/>
    <n v="5"/>
    <n v="2"/>
    <n v="0.2"/>
    <n v="340"/>
    <n v="0.33329999999999999"/>
    <n v="0.34"/>
    <n v="0.19400000000000001"/>
    <n v="33"/>
    <n v="95"/>
    <n v="128"/>
  </r>
  <r>
    <n v="342"/>
    <d v="2011-01-28T00:00:00"/>
    <n v="1"/>
    <n v="1"/>
    <x v="15"/>
    <b v="0"/>
    <n v="5"/>
    <n v="2"/>
    <n v="0.2"/>
    <n v="341"/>
    <n v="0.30299999999999999"/>
    <n v="0.36"/>
    <n v="0.28360000000000002"/>
    <n v="29"/>
    <n v="54"/>
    <n v="83"/>
  </r>
  <r>
    <n v="343"/>
    <d v="2011-01-28T00:00:00"/>
    <n v="1"/>
    <n v="1"/>
    <x v="15"/>
    <b v="0"/>
    <n v="5"/>
    <n v="2"/>
    <n v="0.2"/>
    <n v="342"/>
    <n v="0.28789999999999999"/>
    <n v="0.45"/>
    <n v="0.25369999999999998"/>
    <n v="15"/>
    <n v="69"/>
    <n v="84"/>
  </r>
  <r>
    <n v="344"/>
    <d v="2011-01-28T00:00:00"/>
    <n v="1"/>
    <n v="1"/>
    <x v="15"/>
    <b v="0"/>
    <n v="5"/>
    <n v="2"/>
    <n v="0.2"/>
    <n v="343"/>
    <n v="0.30299999999999999"/>
    <n v="0.39"/>
    <n v="0.25369999999999998"/>
    <n v="14"/>
    <n v="60"/>
    <n v="74"/>
  </r>
  <r>
    <n v="345"/>
    <d v="2011-01-28T00:00:00"/>
    <n v="1"/>
    <n v="1"/>
    <x v="15"/>
    <b v="0"/>
    <n v="5"/>
    <n v="2"/>
    <n v="0.2"/>
    <n v="344"/>
    <n v="0.30299999999999999"/>
    <n v="0.39"/>
    <n v="0.25369999999999998"/>
    <n v="6"/>
    <n v="35"/>
    <n v="41"/>
  </r>
  <r>
    <n v="346"/>
    <d v="2011-01-28T00:00:00"/>
    <n v="1"/>
    <n v="1"/>
    <x v="15"/>
    <b v="0"/>
    <n v="5"/>
    <n v="2"/>
    <n v="0.2"/>
    <n v="345"/>
    <n v="0.30299999999999999"/>
    <n v="0.39"/>
    <n v="0.22389999999999999"/>
    <n v="6"/>
    <n v="51"/>
    <n v="57"/>
  </r>
  <r>
    <n v="347"/>
    <d v="2011-01-28T00:00:00"/>
    <n v="1"/>
    <n v="1"/>
    <x v="15"/>
    <b v="0"/>
    <n v="5"/>
    <n v="2"/>
    <n v="0.2"/>
    <n v="346"/>
    <n v="0.31819999999999998"/>
    <n v="0.42"/>
    <n v="0.1045"/>
    <n v="0"/>
    <n v="26"/>
    <n v="26"/>
  </r>
  <r>
    <n v="348"/>
    <d v="2011-01-28T00:00:00"/>
    <n v="1"/>
    <n v="1"/>
    <x v="15"/>
    <b v="0"/>
    <n v="5"/>
    <n v="2"/>
    <n v="0.2"/>
    <n v="347"/>
    <n v="0.28789999999999999"/>
    <n v="0.45"/>
    <n v="0.28360000000000002"/>
    <n v="5"/>
    <n v="39"/>
    <n v="44"/>
  </r>
  <r>
    <n v="349"/>
    <d v="2011-01-28T00:00:00"/>
    <n v="1"/>
    <n v="1"/>
    <x v="15"/>
    <b v="0"/>
    <n v="5"/>
    <n v="2"/>
    <n v="0.2"/>
    <n v="348"/>
    <n v="0.30299999999999999"/>
    <n v="0.56000000000000005"/>
    <n v="0"/>
    <n v="6"/>
    <n v="33"/>
    <n v="39"/>
  </r>
  <r>
    <n v="350"/>
    <d v="2011-01-28T00:00:00"/>
    <n v="1"/>
    <n v="1"/>
    <x v="15"/>
    <b v="0"/>
    <n v="5"/>
    <n v="2"/>
    <n v="0.2"/>
    <n v="349"/>
    <n v="0.2727"/>
    <n v="0.56000000000000005"/>
    <n v="0.1343"/>
    <n v="4"/>
    <n v="19"/>
    <n v="23"/>
  </r>
  <r>
    <n v="351"/>
    <d v="2011-01-28T00:00:00"/>
    <n v="1"/>
    <n v="1"/>
    <x v="15"/>
    <b v="0"/>
    <n v="5"/>
    <n v="2"/>
    <n v="0.2"/>
    <n v="350"/>
    <n v="0.28789999999999999"/>
    <n v="0.56000000000000005"/>
    <n v="8.9599999999999999E-2"/>
    <n v="3"/>
    <n v="13"/>
    <n v="16"/>
  </r>
  <r>
    <n v="352"/>
    <d v="2011-01-28T00:00:00"/>
    <n v="1"/>
    <n v="1"/>
    <x v="15"/>
    <b v="0"/>
    <n v="5"/>
    <n v="2"/>
    <n v="0.2"/>
    <n v="351"/>
    <n v="0.2727"/>
    <n v="0.69"/>
    <n v="0"/>
    <n v="9"/>
    <n v="6"/>
    <n v="15"/>
  </r>
  <r>
    <n v="353"/>
    <d v="2011-01-28T00:00:00"/>
    <n v="1"/>
    <n v="1"/>
    <x v="15"/>
    <b v="0"/>
    <n v="5"/>
    <n v="2"/>
    <n v="0.2"/>
    <n v="352"/>
    <n v="0.2576"/>
    <n v="0.56000000000000005"/>
    <n v="0.16420000000000001"/>
    <n v="0"/>
    <n v="1"/>
    <n v="1"/>
  </r>
  <r>
    <n v="354"/>
    <d v="2011-01-28T00:00:00"/>
    <n v="1"/>
    <n v="1"/>
    <x v="15"/>
    <b v="0"/>
    <n v="5"/>
    <n v="2"/>
    <n v="0.2"/>
    <n v="353"/>
    <n v="0.2576"/>
    <n v="0.56000000000000005"/>
    <n v="0.16420000000000001"/>
    <n v="1"/>
    <n v="1"/>
    <n v="2"/>
  </r>
  <r>
    <n v="355"/>
    <d v="2011-01-28T00:00:00"/>
    <n v="1"/>
    <n v="1"/>
    <x v="15"/>
    <b v="0"/>
    <n v="5"/>
    <n v="2"/>
    <n v="0.2"/>
    <n v="354"/>
    <n v="0.2576"/>
    <n v="0.56000000000000005"/>
    <n v="0.16420000000000001"/>
    <n v="0"/>
    <n v="1"/>
    <n v="1"/>
  </r>
  <r>
    <n v="356"/>
    <d v="2011-01-28T00:00:00"/>
    <n v="1"/>
    <n v="1"/>
    <x v="15"/>
    <b v="0"/>
    <n v="5"/>
    <n v="2"/>
    <n v="0.2"/>
    <n v="355"/>
    <n v="0.21210000000000001"/>
    <n v="0.56000000000000005"/>
    <n v="0.29849999999999999"/>
    <n v="0"/>
    <n v="3"/>
    <n v="3"/>
  </r>
  <r>
    <n v="357"/>
    <d v="2011-01-28T00:00:00"/>
    <n v="1"/>
    <n v="1"/>
    <x v="15"/>
    <b v="0"/>
    <n v="5"/>
    <n v="2"/>
    <n v="0.2"/>
    <n v="356"/>
    <n v="0.21210000000000001"/>
    <n v="0.55000000000000004"/>
    <n v="0.28360000000000002"/>
    <n v="0"/>
    <n v="18"/>
    <n v="18"/>
  </r>
  <r>
    <n v="358"/>
    <d v="2011-01-28T00:00:00"/>
    <n v="1"/>
    <n v="1"/>
    <x v="15"/>
    <b v="0"/>
    <n v="5"/>
    <n v="2"/>
    <n v="0.2"/>
    <n v="357"/>
    <n v="0.21210000000000001"/>
    <n v="0.51"/>
    <n v="0.25369999999999998"/>
    <n v="3"/>
    <n v="29"/>
    <n v="32"/>
  </r>
  <r>
    <n v="359"/>
    <d v="2011-01-28T00:00:00"/>
    <n v="1"/>
    <n v="1"/>
    <x v="15"/>
    <b v="0"/>
    <n v="5"/>
    <n v="2"/>
    <n v="0.2"/>
    <n v="358"/>
    <n v="0.21210000000000001"/>
    <n v="0.51"/>
    <n v="0.28360000000000002"/>
    <n v="8"/>
    <n v="71"/>
    <n v="79"/>
  </r>
  <r>
    <n v="360"/>
    <d v="2011-01-28T00:00:00"/>
    <n v="1"/>
    <n v="1"/>
    <x v="15"/>
    <b v="0"/>
    <n v="5"/>
    <n v="2"/>
    <n v="0.2"/>
    <n v="359"/>
    <n v="0.2273"/>
    <n v="0.44"/>
    <n v="0.25369999999999998"/>
    <n v="23"/>
    <n v="70"/>
    <n v="93"/>
  </r>
  <r>
    <n v="361"/>
    <d v="2011-01-28T00:00:00"/>
    <n v="1"/>
    <n v="1"/>
    <x v="15"/>
    <b v="0"/>
    <n v="5"/>
    <n v="2"/>
    <n v="0.2"/>
    <n v="360"/>
    <n v="0.21210000000000001"/>
    <n v="0.41"/>
    <n v="0.28360000000000002"/>
    <n v="29"/>
    <n v="75"/>
    <n v="104"/>
  </r>
  <r>
    <n v="362"/>
    <d v="2011-01-28T00:00:00"/>
    <n v="1"/>
    <n v="1"/>
    <x v="15"/>
    <b v="0"/>
    <n v="5"/>
    <n v="2"/>
    <n v="0.2"/>
    <n v="361"/>
    <n v="0.2273"/>
    <n v="0.35"/>
    <n v="0.29849999999999999"/>
    <n v="23"/>
    <n v="95"/>
    <n v="118"/>
  </r>
  <r>
    <n v="363"/>
    <d v="2011-01-28T00:00:00"/>
    <n v="1"/>
    <n v="1"/>
    <x v="15"/>
    <b v="0"/>
    <n v="5"/>
    <n v="2"/>
    <n v="0.2"/>
    <n v="362"/>
    <n v="0.2727"/>
    <n v="0.36"/>
    <n v="0.25369999999999998"/>
    <n v="22"/>
    <n v="69"/>
    <n v="91"/>
  </r>
  <r>
    <n v="364"/>
    <d v="2011-01-28T00:00:00"/>
    <n v="1"/>
    <n v="1"/>
    <x v="15"/>
    <b v="0"/>
    <n v="5"/>
    <n v="2"/>
    <n v="0.2"/>
    <n v="363"/>
    <n v="0.2424"/>
    <n v="0.38"/>
    <n v="0.25369999999999998"/>
    <n v="35"/>
    <n v="78"/>
    <n v="113"/>
  </r>
  <r>
    <n v="365"/>
    <d v="2011-01-28T00:00:00"/>
    <n v="1"/>
    <n v="1"/>
    <x v="15"/>
    <b v="0"/>
    <n v="5"/>
    <n v="2"/>
    <n v="0.2"/>
    <n v="364"/>
    <n v="0.2273"/>
    <n v="0.38"/>
    <n v="0.22389999999999999"/>
    <n v="22"/>
    <n v="77"/>
    <n v="99"/>
  </r>
  <r>
    <n v="366"/>
    <d v="2011-01-28T00:00:00"/>
    <n v="1"/>
    <n v="1"/>
    <x v="15"/>
    <b v="0"/>
    <n v="5"/>
    <n v="2"/>
    <n v="0.2"/>
    <n v="365"/>
    <n v="0.21210000000000001"/>
    <n v="0.37"/>
    <n v="0.25369999999999998"/>
    <n v="23"/>
    <n v="82"/>
    <n v="105"/>
  </r>
  <r>
    <n v="367"/>
    <d v="2011-01-28T00:00:00"/>
    <n v="1"/>
    <n v="1"/>
    <x v="15"/>
    <b v="0"/>
    <n v="5"/>
    <n v="2"/>
    <n v="0.2"/>
    <n v="366"/>
    <n v="0.21210000000000001"/>
    <n v="0.4"/>
    <n v="0.16420000000000001"/>
    <n v="11"/>
    <n v="56"/>
    <n v="67"/>
  </r>
  <r>
    <n v="368"/>
    <d v="2011-01-28T00:00:00"/>
    <n v="1"/>
    <n v="1"/>
    <x v="15"/>
    <b v="0"/>
    <n v="5"/>
    <n v="2"/>
    <n v="0.2"/>
    <n v="367"/>
    <n v="0.19700000000000001"/>
    <n v="0.47"/>
    <n v="0.1343"/>
    <n v="14"/>
    <n v="47"/>
    <n v="61"/>
  </r>
  <r>
    <n v="369"/>
    <d v="2011-01-28T00:00:00"/>
    <n v="1"/>
    <n v="1"/>
    <x v="15"/>
    <b v="0"/>
    <n v="5"/>
    <n v="2"/>
    <n v="0.2"/>
    <n v="368"/>
    <n v="0.19700000000000001"/>
    <n v="0.47"/>
    <n v="0.16420000000000001"/>
    <n v="7"/>
    <n v="50"/>
    <n v="57"/>
  </r>
  <r>
    <n v="370"/>
    <d v="2011-01-28T00:00:00"/>
    <n v="1"/>
    <n v="1"/>
    <x v="15"/>
    <b v="0"/>
    <n v="5"/>
    <n v="2"/>
    <n v="0.2"/>
    <n v="369"/>
    <n v="0.19700000000000001"/>
    <n v="0.51"/>
    <n v="0.16420000000000001"/>
    <n v="6"/>
    <n v="22"/>
    <n v="28"/>
  </r>
  <r>
    <n v="371"/>
    <d v="2011-01-28T00:00:00"/>
    <n v="1"/>
    <n v="1"/>
    <x v="15"/>
    <b v="0"/>
    <n v="5"/>
    <n v="2"/>
    <n v="0.2"/>
    <n v="370"/>
    <n v="0.21210000000000001"/>
    <n v="0.49"/>
    <n v="0.1343"/>
    <n v="2"/>
    <n v="19"/>
    <n v="21"/>
  </r>
  <r>
    <n v="372"/>
    <d v="2011-01-28T00:00:00"/>
    <n v="1"/>
    <n v="1"/>
    <x v="15"/>
    <b v="0"/>
    <n v="5"/>
    <n v="2"/>
    <n v="0.2"/>
    <n v="371"/>
    <n v="0.2273"/>
    <n v="0.4"/>
    <n v="0.1045"/>
    <n v="0"/>
    <n v="18"/>
    <n v="18"/>
  </r>
  <r>
    <n v="373"/>
    <d v="2011-01-28T00:00:00"/>
    <n v="1"/>
    <n v="1"/>
    <x v="15"/>
    <b v="0"/>
    <n v="5"/>
    <n v="2"/>
    <n v="0.2"/>
    <n v="372"/>
    <n v="0.19700000000000001"/>
    <n v="0.47"/>
    <n v="0.22389999999999999"/>
    <n v="1"/>
    <n v="16"/>
    <n v="17"/>
  </r>
  <r>
    <n v="374"/>
    <d v="2011-01-28T00:00:00"/>
    <n v="1"/>
    <n v="1"/>
    <x v="15"/>
    <b v="0"/>
    <n v="5"/>
    <n v="2"/>
    <n v="0.2"/>
    <n v="373"/>
    <n v="0.19700000000000001"/>
    <n v="0.44"/>
    <n v="0.19400000000000001"/>
    <n v="1"/>
    <n v="15"/>
    <n v="16"/>
  </r>
  <r>
    <n v="375"/>
    <d v="2011-01-28T00:00:00"/>
    <n v="1"/>
    <n v="1"/>
    <x v="15"/>
    <b v="0"/>
    <n v="5"/>
    <n v="2"/>
    <n v="0.2"/>
    <n v="374"/>
    <n v="0.16669999999999999"/>
    <n v="0.43"/>
    <n v="0.25369999999999998"/>
    <n v="0"/>
    <n v="8"/>
    <n v="8"/>
  </r>
  <r>
    <n v="376"/>
    <d v="2011-01-28T00:00:00"/>
    <n v="1"/>
    <n v="1"/>
    <x v="15"/>
    <b v="0"/>
    <n v="5"/>
    <n v="2"/>
    <n v="0.2"/>
    <n v="375"/>
    <n v="0.18179999999999999"/>
    <n v="0.43"/>
    <n v="0.19400000000000001"/>
    <n v="0"/>
    <n v="2"/>
    <n v="2"/>
  </r>
  <r>
    <n v="377"/>
    <d v="2011-01-28T00:00:00"/>
    <n v="1"/>
    <n v="1"/>
    <x v="15"/>
    <b v="0"/>
    <n v="5"/>
    <n v="2"/>
    <n v="0.2"/>
    <n v="376"/>
    <n v="0.19700000000000001"/>
    <n v="0.43"/>
    <n v="0.1343"/>
    <n v="1"/>
    <n v="2"/>
    <n v="3"/>
  </r>
  <r>
    <n v="378"/>
    <d v="2011-01-28T00:00:00"/>
    <n v="1"/>
    <n v="1"/>
    <x v="15"/>
    <b v="0"/>
    <n v="5"/>
    <n v="2"/>
    <n v="0.2"/>
    <n v="377"/>
    <n v="0.19700000000000001"/>
    <n v="0.43"/>
    <n v="0.16420000000000001"/>
    <n v="0"/>
    <n v="1"/>
    <n v="1"/>
  </r>
  <r>
    <n v="379"/>
    <d v="2011-01-28T00:00:00"/>
    <n v="1"/>
    <n v="1"/>
    <x v="15"/>
    <b v="0"/>
    <n v="5"/>
    <n v="2"/>
    <n v="0.2"/>
    <n v="378"/>
    <n v="0.18179999999999999"/>
    <n v="0.43"/>
    <n v="0.19400000000000001"/>
    <n v="0"/>
    <n v="5"/>
    <n v="5"/>
  </r>
  <r>
    <n v="380"/>
    <d v="2011-01-28T00:00:00"/>
    <n v="1"/>
    <n v="1"/>
    <x v="15"/>
    <b v="0"/>
    <n v="5"/>
    <n v="2"/>
    <n v="0.2"/>
    <n v="379"/>
    <n v="0.18179999999999999"/>
    <n v="0.5"/>
    <n v="0.1343"/>
    <n v="4"/>
    <n v="9"/>
    <n v="13"/>
  </r>
  <r>
    <n v="381"/>
    <d v="2011-01-28T00:00:00"/>
    <n v="1"/>
    <n v="1"/>
    <x v="15"/>
    <b v="0"/>
    <n v="5"/>
    <n v="2"/>
    <n v="0.2"/>
    <n v="380"/>
    <n v="0.1515"/>
    <n v="0.47"/>
    <n v="0.22389999999999999"/>
    <n v="3"/>
    <n v="30"/>
    <n v="33"/>
  </r>
  <r>
    <n v="382"/>
    <d v="2011-01-28T00:00:00"/>
    <n v="1"/>
    <n v="1"/>
    <x v="15"/>
    <b v="0"/>
    <n v="5"/>
    <n v="2"/>
    <n v="0.2"/>
    <n v="381"/>
    <n v="0.1515"/>
    <n v="0.47"/>
    <n v="0.22389999999999999"/>
    <n v="8"/>
    <n v="39"/>
    <n v="47"/>
  </r>
  <r>
    <n v="383"/>
    <d v="2011-01-28T00:00:00"/>
    <n v="1"/>
    <n v="1"/>
    <x v="15"/>
    <b v="0"/>
    <n v="5"/>
    <n v="2"/>
    <n v="0.2"/>
    <n v="382"/>
    <n v="0.1515"/>
    <n v="0.5"/>
    <n v="0.25369999999999998"/>
    <n v="7"/>
    <n v="50"/>
    <n v="57"/>
  </r>
  <r>
    <n v="384"/>
    <d v="2011-01-28T00:00:00"/>
    <n v="1"/>
    <n v="1"/>
    <x v="15"/>
    <b v="0"/>
    <n v="5"/>
    <n v="2"/>
    <n v="0.2"/>
    <n v="383"/>
    <n v="0.1515"/>
    <n v="0.55000000000000004"/>
    <n v="0.19400000000000001"/>
    <n v="9"/>
    <n v="55"/>
    <n v="64"/>
  </r>
  <r>
    <n v="385"/>
    <d v="2011-01-28T00:00:00"/>
    <n v="1"/>
    <n v="1"/>
    <x v="15"/>
    <b v="0"/>
    <n v="5"/>
    <n v="2"/>
    <n v="0.2"/>
    <n v="384"/>
    <n v="0.19700000000000001"/>
    <n v="0.47"/>
    <n v="0.1343"/>
    <n v="10"/>
    <n v="70"/>
    <n v="80"/>
  </r>
  <r>
    <n v="386"/>
    <d v="2011-01-28T00:00:00"/>
    <n v="1"/>
    <n v="1"/>
    <x v="15"/>
    <b v="0"/>
    <n v="5"/>
    <n v="2"/>
    <n v="0.2"/>
    <n v="385"/>
    <n v="0.19700000000000001"/>
    <n v="0.47"/>
    <n v="0.1343"/>
    <n v="13"/>
    <n v="80"/>
    <n v="93"/>
  </r>
  <r>
    <n v="387"/>
    <d v="2011-01-28T00:00:00"/>
    <n v="1"/>
    <n v="1"/>
    <x v="15"/>
    <b v="0"/>
    <n v="5"/>
    <n v="2"/>
    <n v="0.2"/>
    <n v="386"/>
    <n v="0.21210000000000001"/>
    <n v="0.43"/>
    <n v="0.1045"/>
    <n v="12"/>
    <n v="74"/>
    <n v="86"/>
  </r>
  <r>
    <n v="388"/>
    <d v="2011-01-28T00:00:00"/>
    <n v="1"/>
    <n v="1"/>
    <x v="15"/>
    <b v="0"/>
    <n v="5"/>
    <n v="2"/>
    <n v="0.2"/>
    <n v="387"/>
    <n v="0.21210000000000001"/>
    <n v="0.47"/>
    <n v="0.16420000000000001"/>
    <n v="21"/>
    <n v="72"/>
    <n v="93"/>
  </r>
  <r>
    <n v="389"/>
    <d v="2011-01-28T00:00:00"/>
    <n v="1"/>
    <n v="1"/>
    <x v="15"/>
    <b v="0"/>
    <n v="5"/>
    <n v="2"/>
    <n v="0.2"/>
    <n v="388"/>
    <n v="0.21210000000000001"/>
    <n v="0.47"/>
    <n v="0.16420000000000001"/>
    <n v="6"/>
    <n v="76"/>
    <n v="82"/>
  </r>
  <r>
    <n v="390"/>
    <d v="2011-01-28T00:00:00"/>
    <n v="1"/>
    <n v="1"/>
    <x v="15"/>
    <b v="0"/>
    <n v="5"/>
    <n v="2"/>
    <n v="0.2"/>
    <n v="389"/>
    <n v="0.19700000000000001"/>
    <n v="0.51"/>
    <n v="0.19400000000000001"/>
    <n v="4"/>
    <n v="67"/>
    <n v="71"/>
  </r>
  <r>
    <n v="391"/>
    <d v="2011-01-28T00:00:00"/>
    <n v="1"/>
    <n v="1"/>
    <x v="15"/>
    <b v="0"/>
    <n v="5"/>
    <n v="2"/>
    <n v="0.2"/>
    <n v="390"/>
    <n v="0.16669999999999999"/>
    <n v="0.55000000000000004"/>
    <n v="0.25369999999999998"/>
    <n v="7"/>
    <n v="85"/>
    <n v="92"/>
  </r>
  <r>
    <n v="392"/>
    <d v="2011-01-28T00:00:00"/>
    <n v="1"/>
    <n v="1"/>
    <x v="15"/>
    <b v="0"/>
    <n v="5"/>
    <n v="2"/>
    <n v="0.2"/>
    <n v="391"/>
    <n v="0.18179999999999999"/>
    <n v="0.59"/>
    <n v="0.19400000000000001"/>
    <n v="2"/>
    <n v="58"/>
    <n v="60"/>
  </r>
  <r>
    <n v="393"/>
    <d v="2011-01-28T00:00:00"/>
    <n v="1"/>
    <n v="1"/>
    <x v="15"/>
    <b v="0"/>
    <n v="5"/>
    <n v="2"/>
    <n v="0.2"/>
    <n v="392"/>
    <n v="0.1515"/>
    <n v="0.8"/>
    <n v="0.19400000000000001"/>
    <n v="4"/>
    <n v="29"/>
    <n v="33"/>
  </r>
  <r>
    <n v="394"/>
    <d v="2011-01-28T00:00:00"/>
    <n v="1"/>
    <n v="1"/>
    <x v="15"/>
    <b v="0"/>
    <n v="5"/>
    <n v="2"/>
    <n v="0.2"/>
    <n v="393"/>
    <n v="0.1515"/>
    <n v="0.8"/>
    <n v="0.19400000000000001"/>
    <n v="3"/>
    <n v="24"/>
    <n v="27"/>
  </r>
  <r>
    <n v="395"/>
    <d v="2011-01-28T00:00:00"/>
    <n v="1"/>
    <n v="1"/>
    <x v="15"/>
    <b v="0"/>
    <n v="5"/>
    <n v="2"/>
    <n v="0.2"/>
    <n v="394"/>
    <n v="0.1212"/>
    <n v="0.93"/>
    <n v="0.25369999999999998"/>
    <n v="0"/>
    <n v="13"/>
    <n v="13"/>
  </r>
  <r>
    <n v="396"/>
    <d v="2011-01-28T00:00:00"/>
    <n v="1"/>
    <n v="1"/>
    <x v="15"/>
    <b v="0"/>
    <n v="5"/>
    <n v="2"/>
    <n v="0.2"/>
    <n v="395"/>
    <n v="0.13639999999999999"/>
    <n v="0.86"/>
    <n v="0.28360000000000002"/>
    <n v="1"/>
    <n v="3"/>
    <n v="4"/>
  </r>
  <r>
    <n v="397"/>
    <d v="2011-01-28T00:00:00"/>
    <n v="1"/>
    <n v="1"/>
    <x v="15"/>
    <b v="0"/>
    <n v="5"/>
    <n v="2"/>
    <n v="0.2"/>
    <n v="396"/>
    <n v="0.18179999999999999"/>
    <n v="0.86"/>
    <n v="0.32840000000000003"/>
    <n v="0"/>
    <n v="3"/>
    <n v="3"/>
  </r>
  <r>
    <n v="398"/>
    <d v="2011-01-28T00:00:00"/>
    <n v="1"/>
    <n v="1"/>
    <x v="15"/>
    <b v="0"/>
    <n v="5"/>
    <n v="2"/>
    <n v="0.2"/>
    <n v="397"/>
    <n v="0.19700000000000001"/>
    <n v="0.86"/>
    <n v="0.22389999999999999"/>
    <n v="0"/>
    <n v="22"/>
    <n v="22"/>
  </r>
  <r>
    <n v="399"/>
    <d v="2011-01-28T00:00:00"/>
    <n v="1"/>
    <n v="1"/>
    <x v="15"/>
    <b v="0"/>
    <n v="5"/>
    <n v="2"/>
    <n v="0.2"/>
    <n v="398"/>
    <n v="0.2273"/>
    <n v="0.8"/>
    <n v="0.16420000000000001"/>
    <n v="2"/>
    <n v="26"/>
    <n v="28"/>
  </r>
  <r>
    <n v="400"/>
    <d v="2011-01-28T00:00:00"/>
    <n v="1"/>
    <n v="1"/>
    <x v="15"/>
    <b v="0"/>
    <n v="5"/>
    <n v="2"/>
    <n v="0.2"/>
    <n v="399"/>
    <n v="0.2273"/>
    <n v="0.87"/>
    <n v="0.16420000000000001"/>
    <n v="3"/>
    <n v="32"/>
    <n v="35"/>
  </r>
  <r>
    <n v="401"/>
    <d v="2011-01-28T00:00:00"/>
    <n v="1"/>
    <n v="1"/>
    <x v="15"/>
    <b v="0"/>
    <n v="5"/>
    <n v="2"/>
    <n v="0.2"/>
    <n v="400"/>
    <n v="0.2273"/>
    <n v="0.87"/>
    <n v="0.19400000000000001"/>
    <n v="0"/>
    <n v="61"/>
    <n v="61"/>
  </r>
  <r>
    <n v="402"/>
    <d v="2011-01-28T00:00:00"/>
    <n v="1"/>
    <n v="1"/>
    <x v="15"/>
    <b v="0"/>
    <n v="5"/>
    <n v="2"/>
    <n v="0.2"/>
    <n v="401"/>
    <n v="0.2273"/>
    <n v="0.82"/>
    <n v="0.19400000000000001"/>
    <n v="1"/>
    <n v="124"/>
    <n v="125"/>
  </r>
  <r>
    <n v="403"/>
    <d v="2011-01-28T00:00:00"/>
    <n v="1"/>
    <n v="1"/>
    <x v="15"/>
    <b v="0"/>
    <n v="5"/>
    <n v="2"/>
    <n v="0.2"/>
    <n v="402"/>
    <n v="0.2273"/>
    <n v="0.8"/>
    <n v="0.16420000000000001"/>
    <n v="1"/>
    <n v="132"/>
    <n v="133"/>
  </r>
  <r>
    <n v="404"/>
    <d v="2011-01-28T00:00:00"/>
    <n v="1"/>
    <n v="1"/>
    <x v="15"/>
    <b v="0"/>
    <n v="5"/>
    <n v="2"/>
    <n v="0.2"/>
    <n v="403"/>
    <n v="0.2273"/>
    <n v="0.8"/>
    <n v="0.1343"/>
    <n v="1"/>
    <n v="98"/>
    <n v="99"/>
  </r>
  <r>
    <n v="405"/>
    <d v="2011-01-28T00:00:00"/>
    <n v="1"/>
    <n v="1"/>
    <x v="15"/>
    <b v="0"/>
    <n v="5"/>
    <n v="2"/>
    <n v="0.2"/>
    <n v="404"/>
    <n v="0.2727"/>
    <n v="0.87"/>
    <n v="0"/>
    <n v="0"/>
    <n v="83"/>
    <n v="83"/>
  </r>
  <r>
    <n v="406"/>
    <d v="2011-01-28T00:00:00"/>
    <n v="1"/>
    <n v="1"/>
    <x v="15"/>
    <b v="0"/>
    <n v="5"/>
    <n v="2"/>
    <n v="0.2"/>
    <n v="405"/>
    <n v="0.2424"/>
    <n v="0.93"/>
    <n v="0.1045"/>
    <n v="0"/>
    <n v="41"/>
    <n v="41"/>
  </r>
  <r>
    <n v="407"/>
    <d v="2011-01-28T00:00:00"/>
    <n v="1"/>
    <n v="1"/>
    <x v="15"/>
    <b v="0"/>
    <n v="5"/>
    <n v="2"/>
    <n v="0.2"/>
    <n v="406"/>
    <n v="0.2576"/>
    <n v="0.93"/>
    <n v="8.9599999999999999E-2"/>
    <n v="0"/>
    <n v="33"/>
    <n v="33"/>
  </r>
  <r>
    <n v="408"/>
    <d v="2011-01-28T00:00:00"/>
    <n v="1"/>
    <n v="1"/>
    <x v="15"/>
    <b v="0"/>
    <n v="5"/>
    <n v="2"/>
    <n v="0.2"/>
    <n v="407"/>
    <n v="0.2727"/>
    <n v="0.93"/>
    <n v="0"/>
    <n v="1"/>
    <n v="19"/>
    <n v="20"/>
  </r>
  <r>
    <n v="409"/>
    <d v="2011-01-28T00:00:00"/>
    <n v="1"/>
    <n v="1"/>
    <x v="15"/>
    <b v="0"/>
    <n v="5"/>
    <n v="2"/>
    <n v="0.2"/>
    <n v="408"/>
    <n v="0.2727"/>
    <n v="0.93"/>
    <n v="0"/>
    <n v="0"/>
    <n v="3"/>
    <n v="3"/>
  </r>
  <r>
    <n v="410"/>
    <d v="2011-01-28T00:00:00"/>
    <n v="1"/>
    <n v="1"/>
    <x v="15"/>
    <b v="0"/>
    <n v="5"/>
    <n v="2"/>
    <n v="0.2"/>
    <n v="409"/>
    <n v="0.2273"/>
    <n v="0.93"/>
    <n v="0.1343"/>
    <n v="1"/>
    <n v="6"/>
    <n v="7"/>
  </r>
  <r>
    <n v="411"/>
    <d v="2011-01-28T00:00:00"/>
    <n v="1"/>
    <n v="1"/>
    <x v="15"/>
    <b v="0"/>
    <n v="5"/>
    <n v="2"/>
    <n v="0.2"/>
    <n v="410"/>
    <n v="0.2273"/>
    <n v="0.93"/>
    <n v="0.1343"/>
    <n v="0"/>
    <n v="3"/>
    <n v="3"/>
  </r>
  <r>
    <n v="412"/>
    <d v="2011-01-28T00:00:00"/>
    <n v="1"/>
    <n v="1"/>
    <x v="15"/>
    <b v="0"/>
    <n v="5"/>
    <n v="2"/>
    <n v="0.2"/>
    <n v="411"/>
    <n v="0.2273"/>
    <n v="0.93"/>
    <n v="0.1343"/>
    <n v="1"/>
    <n v="1"/>
    <n v="2"/>
  </r>
  <r>
    <n v="413"/>
    <d v="2011-01-28T00:00:00"/>
    <n v="1"/>
    <n v="1"/>
    <x v="15"/>
    <b v="0"/>
    <n v="5"/>
    <n v="2"/>
    <n v="0.2"/>
    <n v="412"/>
    <n v="0.2576"/>
    <n v="0.93"/>
    <n v="8.9599999999999999E-2"/>
    <n v="0"/>
    <n v="7"/>
    <n v="7"/>
  </r>
  <r>
    <n v="414"/>
    <d v="2011-01-28T00:00:00"/>
    <n v="1"/>
    <n v="1"/>
    <x v="15"/>
    <b v="0"/>
    <n v="5"/>
    <n v="2"/>
    <n v="0.2"/>
    <n v="413"/>
    <n v="0.2576"/>
    <n v="0.93"/>
    <n v="8.9599999999999999E-2"/>
    <n v="0"/>
    <n v="32"/>
    <n v="32"/>
  </r>
  <r>
    <n v="415"/>
    <d v="2011-01-28T00:00:00"/>
    <n v="1"/>
    <n v="1"/>
    <x v="15"/>
    <b v="0"/>
    <n v="5"/>
    <n v="2"/>
    <n v="0.2"/>
    <n v="414"/>
    <n v="0.2576"/>
    <n v="0.92"/>
    <n v="0.1045"/>
    <n v="1"/>
    <n v="89"/>
    <n v="90"/>
  </r>
  <r>
    <n v="416"/>
    <d v="2011-01-28T00:00:00"/>
    <n v="1"/>
    <n v="1"/>
    <x v="15"/>
    <b v="0"/>
    <n v="5"/>
    <n v="2"/>
    <n v="0.2"/>
    <n v="415"/>
    <n v="0.2576"/>
    <n v="0.93"/>
    <n v="0.1045"/>
    <n v="1"/>
    <n v="196"/>
    <n v="197"/>
  </r>
  <r>
    <n v="417"/>
    <d v="2011-01-28T00:00:00"/>
    <n v="1"/>
    <n v="1"/>
    <x v="15"/>
    <b v="0"/>
    <n v="5"/>
    <n v="2"/>
    <n v="0.2"/>
    <n v="416"/>
    <n v="0.2576"/>
    <n v="0.93"/>
    <n v="0.1045"/>
    <n v="2"/>
    <n v="107"/>
    <n v="109"/>
  </r>
  <r>
    <n v="418"/>
    <d v="2011-01-28T00:00:00"/>
    <n v="1"/>
    <n v="1"/>
    <x v="15"/>
    <b v="0"/>
    <n v="5"/>
    <n v="2"/>
    <n v="0.2"/>
    <n v="417"/>
    <n v="0.2727"/>
    <n v="0.93"/>
    <n v="0.1343"/>
    <n v="1"/>
    <n v="46"/>
    <n v="47"/>
  </r>
  <r>
    <n v="419"/>
    <d v="2011-01-28T00:00:00"/>
    <n v="1"/>
    <n v="1"/>
    <x v="15"/>
    <b v="0"/>
    <n v="5"/>
    <n v="2"/>
    <n v="0.2"/>
    <n v="418"/>
    <n v="0.30299999999999999"/>
    <n v="0.87"/>
    <n v="8.9599999999999999E-2"/>
    <n v="5"/>
    <n v="47"/>
    <n v="52"/>
  </r>
  <r>
    <n v="420"/>
    <d v="2011-01-28T00:00:00"/>
    <n v="1"/>
    <n v="1"/>
    <x v="15"/>
    <b v="0"/>
    <n v="5"/>
    <n v="2"/>
    <n v="0.2"/>
    <n v="419"/>
    <n v="0.31819999999999998"/>
    <n v="0.81"/>
    <n v="8.9599999999999999E-2"/>
    <n v="5"/>
    <n v="65"/>
    <n v="70"/>
  </r>
  <r>
    <n v="421"/>
    <d v="2011-01-28T00:00:00"/>
    <n v="1"/>
    <n v="1"/>
    <x v="15"/>
    <b v="0"/>
    <n v="5"/>
    <n v="2"/>
    <n v="0.2"/>
    <n v="420"/>
    <n v="0.40910000000000002"/>
    <n v="0.62"/>
    <n v="0.28360000000000002"/>
    <n v="11"/>
    <n v="67"/>
    <n v="78"/>
  </r>
  <r>
    <n v="422"/>
    <d v="2011-01-28T00:00:00"/>
    <n v="1"/>
    <n v="1"/>
    <x v="15"/>
    <b v="0"/>
    <n v="5"/>
    <n v="2"/>
    <n v="0.2"/>
    <n v="421"/>
    <n v="0.40910000000000002"/>
    <n v="0.57999999999999996"/>
    <n v="0.25369999999999998"/>
    <n v="7"/>
    <n v="68"/>
    <n v="75"/>
  </r>
  <r>
    <n v="423"/>
    <d v="2011-01-28T00:00:00"/>
    <n v="1"/>
    <n v="1"/>
    <x v="15"/>
    <b v="0"/>
    <n v="5"/>
    <n v="2"/>
    <n v="0.2"/>
    <n v="422"/>
    <n v="0.40910000000000002"/>
    <n v="0.54"/>
    <n v="0.28360000000000002"/>
    <n v="4"/>
    <n v="78"/>
    <n v="82"/>
  </r>
  <r>
    <n v="424"/>
    <d v="2011-01-28T00:00:00"/>
    <n v="1"/>
    <n v="1"/>
    <x v="15"/>
    <b v="0"/>
    <n v="5"/>
    <n v="2"/>
    <n v="0.2"/>
    <n v="423"/>
    <n v="0.39389999999999997"/>
    <n v="0.57999999999999996"/>
    <n v="0.3881"/>
    <n v="10"/>
    <n v="94"/>
    <n v="104"/>
  </r>
  <r>
    <n v="425"/>
    <d v="2011-01-28T00:00:00"/>
    <n v="1"/>
    <n v="1"/>
    <x v="15"/>
    <b v="0"/>
    <n v="5"/>
    <n v="2"/>
    <n v="0.2"/>
    <n v="424"/>
    <n v="0.33329999999999999"/>
    <n v="0.56999999999999995"/>
    <n v="0.32840000000000003"/>
    <n v="7"/>
    <n v="190"/>
    <n v="197"/>
  </r>
  <r>
    <n v="426"/>
    <d v="2011-01-28T00:00:00"/>
    <n v="1"/>
    <n v="1"/>
    <x v="15"/>
    <b v="0"/>
    <n v="5"/>
    <n v="2"/>
    <n v="0.2"/>
    <n v="425"/>
    <n v="0.31819999999999998"/>
    <n v="0.61"/>
    <n v="0.28360000000000002"/>
    <n v="5"/>
    <n v="156"/>
    <n v="161"/>
  </r>
  <r>
    <n v="427"/>
    <d v="2011-01-28T00:00:00"/>
    <n v="1"/>
    <n v="1"/>
    <x v="15"/>
    <b v="0"/>
    <n v="5"/>
    <n v="2"/>
    <n v="0.2"/>
    <n v="426"/>
    <n v="0.28789999999999999"/>
    <n v="0.56999999999999995"/>
    <n v="0.41789999999999999"/>
    <n v="4"/>
    <n v="108"/>
    <n v="112"/>
  </r>
  <r>
    <n v="428"/>
    <d v="2011-01-28T00:00:00"/>
    <n v="1"/>
    <n v="1"/>
    <x v="15"/>
    <b v="0"/>
    <n v="5"/>
    <n v="2"/>
    <n v="0.2"/>
    <n v="427"/>
    <n v="0.30299999999999999"/>
    <n v="0.49"/>
    <n v="0.29849999999999999"/>
    <n v="2"/>
    <n v="74"/>
    <n v="76"/>
  </r>
  <r>
    <n v="429"/>
    <d v="2011-01-28T00:00:00"/>
    <n v="1"/>
    <n v="1"/>
    <x v="15"/>
    <b v="0"/>
    <n v="5"/>
    <n v="2"/>
    <n v="0.2"/>
    <n v="428"/>
    <n v="0.28789999999999999"/>
    <n v="0.49"/>
    <n v="0.41789999999999999"/>
    <n v="4"/>
    <n v="55"/>
    <n v="59"/>
  </r>
  <r>
    <n v="430"/>
    <d v="2011-01-28T00:00:00"/>
    <n v="1"/>
    <n v="1"/>
    <x v="15"/>
    <b v="0"/>
    <n v="5"/>
    <n v="2"/>
    <n v="0.2"/>
    <n v="429"/>
    <n v="0.30299999999999999"/>
    <n v="0.52"/>
    <n v="0.16420000000000001"/>
    <n v="6"/>
    <n v="53"/>
    <n v="59"/>
  </r>
  <r>
    <n v="431"/>
    <d v="2011-01-28T00:00:00"/>
    <n v="1"/>
    <n v="1"/>
    <x v="15"/>
    <b v="0"/>
    <n v="5"/>
    <n v="2"/>
    <n v="0.2"/>
    <n v="430"/>
    <n v="0.2727"/>
    <n v="0.52"/>
    <n v="0.4627"/>
    <n v="1"/>
    <n v="27"/>
    <n v="28"/>
  </r>
  <r>
    <n v="432"/>
    <d v="2011-01-28T00:00:00"/>
    <n v="1"/>
    <n v="1"/>
    <x v="15"/>
    <b v="0"/>
    <n v="5"/>
    <n v="2"/>
    <n v="0.2"/>
    <n v="431"/>
    <n v="0.2273"/>
    <n v="0.56000000000000005"/>
    <n v="0.3881"/>
    <n v="5"/>
    <n v="8"/>
    <n v="13"/>
  </r>
  <r>
    <n v="433"/>
    <d v="2011-01-28T00:00:00"/>
    <n v="1"/>
    <n v="1"/>
    <x v="15"/>
    <b v="0"/>
    <n v="5"/>
    <n v="2"/>
    <n v="0.2"/>
    <n v="432"/>
    <n v="0.2727"/>
    <n v="0.56000000000000005"/>
    <n v="0"/>
    <n v="2"/>
    <n v="3"/>
    <n v="5"/>
  </r>
  <r>
    <n v="434"/>
    <d v="2011-01-28T00:00:00"/>
    <n v="1"/>
    <n v="1"/>
    <x v="15"/>
    <b v="0"/>
    <n v="5"/>
    <n v="2"/>
    <n v="0.2"/>
    <n v="433"/>
    <n v="0.2727"/>
    <n v="0.56000000000000005"/>
    <n v="0"/>
    <n v="0"/>
    <n v="2"/>
    <n v="2"/>
  </r>
  <r>
    <n v="435"/>
    <d v="2011-01-28T00:00:00"/>
    <n v="1"/>
    <n v="1"/>
    <x v="15"/>
    <b v="0"/>
    <n v="5"/>
    <n v="2"/>
    <n v="0.2"/>
    <n v="434"/>
    <n v="0.2576"/>
    <n v="0.56000000000000005"/>
    <n v="0.16420000000000001"/>
    <n v="0"/>
    <n v="1"/>
    <n v="1"/>
  </r>
  <r>
    <n v="436"/>
    <d v="2011-01-28T00:00:00"/>
    <n v="1"/>
    <n v="1"/>
    <x v="15"/>
    <b v="0"/>
    <n v="5"/>
    <n v="2"/>
    <n v="0.2"/>
    <n v="435"/>
    <n v="0.2576"/>
    <n v="0.56000000000000005"/>
    <n v="0.16420000000000001"/>
    <n v="0"/>
    <n v="1"/>
    <n v="1"/>
  </r>
  <r>
    <n v="437"/>
    <d v="2011-01-28T00:00:00"/>
    <n v="1"/>
    <n v="1"/>
    <x v="15"/>
    <b v="0"/>
    <n v="5"/>
    <n v="2"/>
    <n v="0.2"/>
    <n v="436"/>
    <n v="0.2273"/>
    <n v="0.6"/>
    <n v="0.22389999999999999"/>
    <n v="0"/>
    <n v="6"/>
    <n v="6"/>
  </r>
  <r>
    <n v="438"/>
    <d v="2011-01-28T00:00:00"/>
    <n v="1"/>
    <n v="1"/>
    <x v="15"/>
    <b v="0"/>
    <n v="5"/>
    <n v="2"/>
    <n v="0.2"/>
    <n v="437"/>
    <n v="0.21210000000000001"/>
    <n v="0.6"/>
    <n v="0.22389999999999999"/>
    <n v="0"/>
    <n v="35"/>
    <n v="35"/>
  </r>
  <r>
    <n v="439"/>
    <d v="2011-01-28T00:00:00"/>
    <n v="1"/>
    <n v="1"/>
    <x v="15"/>
    <b v="0"/>
    <n v="5"/>
    <n v="2"/>
    <n v="0.2"/>
    <n v="438"/>
    <n v="0.21210000000000001"/>
    <n v="0.55000000000000004"/>
    <n v="0.22389999999999999"/>
    <n v="1"/>
    <n v="100"/>
    <n v="101"/>
  </r>
  <r>
    <n v="440"/>
    <d v="2011-01-28T00:00:00"/>
    <n v="1"/>
    <n v="1"/>
    <x v="15"/>
    <b v="0"/>
    <n v="5"/>
    <n v="2"/>
    <n v="0.2"/>
    <n v="439"/>
    <n v="0.21210000000000001"/>
    <n v="0.55000000000000004"/>
    <n v="0.28360000000000002"/>
    <n v="2"/>
    <n v="247"/>
    <n v="249"/>
  </r>
  <r>
    <n v="441"/>
    <d v="2011-01-28T00:00:00"/>
    <n v="1"/>
    <n v="1"/>
    <x v="15"/>
    <b v="0"/>
    <n v="5"/>
    <n v="2"/>
    <n v="0.2"/>
    <n v="440"/>
    <n v="0.2273"/>
    <n v="0.52"/>
    <n v="0.22389999999999999"/>
    <n v="3"/>
    <n v="140"/>
    <n v="143"/>
  </r>
  <r>
    <n v="442"/>
    <d v="2011-01-28T00:00:00"/>
    <n v="1"/>
    <n v="1"/>
    <x v="15"/>
    <b v="0"/>
    <n v="5"/>
    <n v="2"/>
    <n v="0.2"/>
    <n v="441"/>
    <n v="0.2273"/>
    <n v="0.48"/>
    <n v="0.29849999999999999"/>
    <n v="1"/>
    <n v="56"/>
    <n v="57"/>
  </r>
  <r>
    <n v="443"/>
    <d v="2011-01-28T00:00:00"/>
    <n v="1"/>
    <n v="1"/>
    <x v="15"/>
    <b v="0"/>
    <n v="5"/>
    <n v="2"/>
    <n v="0.2"/>
    <n v="442"/>
    <n v="0.2727"/>
    <n v="0.45"/>
    <n v="0.16420000000000001"/>
    <n v="5"/>
    <n v="63"/>
    <n v="68"/>
  </r>
  <r>
    <n v="444"/>
    <d v="2011-01-28T00:00:00"/>
    <n v="1"/>
    <n v="1"/>
    <x v="15"/>
    <b v="0"/>
    <n v="5"/>
    <n v="2"/>
    <n v="0.2"/>
    <n v="443"/>
    <n v="0.33329999999999999"/>
    <n v="0.42"/>
    <n v="0"/>
    <n v="7"/>
    <n v="77"/>
    <n v="84"/>
  </r>
  <r>
    <n v="445"/>
    <d v="2011-01-28T00:00:00"/>
    <n v="1"/>
    <n v="1"/>
    <x v="15"/>
    <b v="0"/>
    <n v="5"/>
    <n v="2"/>
    <n v="0.2"/>
    <n v="444"/>
    <n v="0.28789999999999999"/>
    <n v="0.45"/>
    <n v="0.1045"/>
    <n v="12"/>
    <n v="86"/>
    <n v="98"/>
  </r>
  <r>
    <n v="446"/>
    <d v="2011-01-28T00:00:00"/>
    <n v="1"/>
    <n v="1"/>
    <x v="15"/>
    <b v="0"/>
    <n v="5"/>
    <n v="2"/>
    <n v="0.2"/>
    <n v="445"/>
    <n v="0.30299999999999999"/>
    <n v="0.45"/>
    <n v="0.1343"/>
    <n v="6"/>
    <n v="75"/>
    <n v="81"/>
  </r>
  <r>
    <n v="447"/>
    <d v="2011-01-28T00:00:00"/>
    <n v="1"/>
    <n v="1"/>
    <x v="15"/>
    <b v="0"/>
    <n v="5"/>
    <n v="2"/>
    <n v="0.2"/>
    <n v="446"/>
    <n v="0.31819999999999998"/>
    <n v="0.45"/>
    <n v="0.19400000000000001"/>
    <n v="8"/>
    <n v="62"/>
    <n v="70"/>
  </r>
  <r>
    <n v="448"/>
    <d v="2011-01-28T00:00:00"/>
    <n v="1"/>
    <n v="1"/>
    <x v="15"/>
    <b v="0"/>
    <n v="5"/>
    <n v="2"/>
    <n v="0.2"/>
    <n v="447"/>
    <n v="0.30299999999999999"/>
    <n v="0.49"/>
    <n v="0.1343"/>
    <n v="8"/>
    <n v="83"/>
    <n v="91"/>
  </r>
  <r>
    <n v="449"/>
    <d v="2011-01-28T00:00:00"/>
    <n v="1"/>
    <n v="1"/>
    <x v="15"/>
    <b v="0"/>
    <n v="5"/>
    <n v="2"/>
    <n v="0.2"/>
    <n v="448"/>
    <n v="0.31819999999999998"/>
    <n v="0.49"/>
    <n v="0.1045"/>
    <n v="8"/>
    <n v="207"/>
    <n v="215"/>
  </r>
  <r>
    <n v="450"/>
    <d v="2011-01-28T00:00:00"/>
    <n v="1"/>
    <n v="1"/>
    <x v="15"/>
    <b v="0"/>
    <n v="5"/>
    <n v="2"/>
    <n v="0.2"/>
    <n v="449"/>
    <n v="0.2576"/>
    <n v="0.56000000000000005"/>
    <n v="0.19400000000000001"/>
    <n v="1"/>
    <n v="184"/>
    <n v="185"/>
  </r>
  <r>
    <n v="451"/>
    <d v="2011-01-28T00:00:00"/>
    <n v="1"/>
    <n v="1"/>
    <x v="15"/>
    <b v="0"/>
    <n v="5"/>
    <n v="2"/>
    <n v="0.2"/>
    <n v="450"/>
    <n v="0.2273"/>
    <n v="0.56000000000000005"/>
    <n v="0.32840000000000003"/>
    <n v="6"/>
    <n v="146"/>
    <n v="152"/>
  </r>
  <r>
    <n v="452"/>
    <d v="2011-01-28T00:00:00"/>
    <n v="1"/>
    <n v="1"/>
    <x v="15"/>
    <b v="0"/>
    <n v="5"/>
    <n v="2"/>
    <n v="0.2"/>
    <n v="451"/>
    <n v="0.2424"/>
    <n v="0.6"/>
    <n v="0.28360000000000002"/>
    <n v="2"/>
    <n v="124"/>
    <n v="126"/>
  </r>
  <r>
    <n v="453"/>
    <d v="2011-01-28T00:00:00"/>
    <n v="1"/>
    <n v="1"/>
    <x v="15"/>
    <b v="0"/>
    <n v="5"/>
    <n v="2"/>
    <n v="0.2"/>
    <n v="452"/>
    <n v="0.2273"/>
    <n v="0.6"/>
    <n v="0.25369999999999998"/>
    <n v="3"/>
    <n v="54"/>
    <n v="57"/>
  </r>
  <r>
    <n v="454"/>
    <d v="2011-01-28T00:00:00"/>
    <n v="1"/>
    <n v="1"/>
    <x v="15"/>
    <b v="0"/>
    <n v="5"/>
    <n v="2"/>
    <n v="0.2"/>
    <n v="453"/>
    <n v="0.21210000000000001"/>
    <n v="0.65"/>
    <n v="0.28360000000000002"/>
    <n v="0"/>
    <n v="56"/>
    <n v="56"/>
  </r>
  <r>
    <n v="455"/>
    <d v="2011-01-28T00:00:00"/>
    <n v="1"/>
    <n v="1"/>
    <x v="15"/>
    <b v="0"/>
    <n v="5"/>
    <n v="2"/>
    <n v="0.2"/>
    <n v="454"/>
    <n v="0.21210000000000001"/>
    <n v="0.65"/>
    <n v="0.32840000000000003"/>
    <n v="3"/>
    <n v="28"/>
    <n v="31"/>
  </r>
  <r>
    <n v="456"/>
    <d v="2011-01-28T00:00:00"/>
    <n v="1"/>
    <n v="1"/>
    <x v="15"/>
    <b v="0"/>
    <n v="5"/>
    <n v="2"/>
    <n v="0.2"/>
    <n v="455"/>
    <n v="0.2273"/>
    <n v="0.7"/>
    <n v="0.25369999999999998"/>
    <n v="1"/>
    <n v="20"/>
    <n v="21"/>
  </r>
  <r>
    <n v="457"/>
    <d v="2011-01-28T00:00:00"/>
    <n v="1"/>
    <n v="1"/>
    <x v="15"/>
    <b v="0"/>
    <n v="5"/>
    <n v="2"/>
    <n v="0.2"/>
    <n v="456"/>
    <n v="0.2273"/>
    <n v="0.7"/>
    <n v="0.25369999999999998"/>
    <n v="0"/>
    <n v="6"/>
    <n v="6"/>
  </r>
  <r>
    <n v="458"/>
    <d v="2011-01-28T00:00:00"/>
    <n v="1"/>
    <n v="1"/>
    <x v="15"/>
    <b v="0"/>
    <n v="5"/>
    <n v="2"/>
    <n v="0.2"/>
    <n v="457"/>
    <n v="0.2424"/>
    <n v="0.75"/>
    <n v="0.16420000000000001"/>
    <n v="0"/>
    <n v="2"/>
    <n v="2"/>
  </r>
  <r>
    <n v="459"/>
    <d v="2011-01-28T00:00:00"/>
    <n v="1"/>
    <n v="1"/>
    <x v="15"/>
    <b v="0"/>
    <n v="5"/>
    <n v="2"/>
    <n v="0.2"/>
    <n v="458"/>
    <n v="0.21210000000000001"/>
    <n v="0.8"/>
    <n v="0.29849999999999999"/>
    <n v="0"/>
    <n v="1"/>
    <n v="1"/>
  </r>
  <r>
    <n v="460"/>
    <d v="2011-01-28T00:00:00"/>
    <n v="1"/>
    <n v="1"/>
    <x v="15"/>
    <b v="0"/>
    <n v="5"/>
    <n v="2"/>
    <n v="0.2"/>
    <n v="459"/>
    <n v="0.2576"/>
    <n v="0.87"/>
    <n v="8.9599999999999999E-2"/>
    <n v="0"/>
    <n v="1"/>
    <n v="1"/>
  </r>
  <r>
    <n v="461"/>
    <d v="2011-01-28T00:00:00"/>
    <n v="1"/>
    <n v="1"/>
    <x v="15"/>
    <b v="0"/>
    <n v="5"/>
    <n v="2"/>
    <n v="0.2"/>
    <n v="460"/>
    <n v="0.19700000000000001"/>
    <n v="0.6"/>
    <n v="0.41789999999999999"/>
    <n v="1"/>
    <n v="4"/>
    <n v="5"/>
  </r>
  <r>
    <n v="462"/>
    <d v="2011-01-28T00:00:00"/>
    <n v="1"/>
    <n v="1"/>
    <x v="15"/>
    <b v="0"/>
    <n v="5"/>
    <n v="2"/>
    <n v="0.2"/>
    <n v="461"/>
    <n v="0.21210000000000001"/>
    <n v="0.55000000000000004"/>
    <n v="0.25369999999999998"/>
    <n v="0"/>
    <n v="27"/>
    <n v="27"/>
  </r>
  <r>
    <n v="463"/>
    <d v="2011-01-28T00:00:00"/>
    <n v="1"/>
    <n v="1"/>
    <x v="15"/>
    <b v="0"/>
    <n v="5"/>
    <n v="2"/>
    <n v="0.2"/>
    <n v="462"/>
    <n v="0.18179999999999999"/>
    <n v="0.51"/>
    <n v="0.28360000000000002"/>
    <n v="2"/>
    <n v="66"/>
    <n v="68"/>
  </r>
  <r>
    <n v="464"/>
    <d v="2011-01-28T00:00:00"/>
    <n v="1"/>
    <n v="1"/>
    <x v="15"/>
    <b v="0"/>
    <n v="5"/>
    <n v="2"/>
    <n v="0.2"/>
    <n v="463"/>
    <n v="0.18179999999999999"/>
    <n v="0.47"/>
    <n v="0.32840000000000003"/>
    <n v="7"/>
    <n v="210"/>
    <n v="217"/>
  </r>
  <r>
    <n v="465"/>
    <d v="2011-01-28T00:00:00"/>
    <n v="1"/>
    <n v="1"/>
    <x v="15"/>
    <b v="0"/>
    <n v="5"/>
    <n v="2"/>
    <n v="0.2"/>
    <n v="464"/>
    <n v="0.18179999999999999"/>
    <n v="0.51"/>
    <n v="0.35820000000000002"/>
    <n v="7"/>
    <n v="159"/>
    <n v="166"/>
  </r>
  <r>
    <n v="466"/>
    <d v="2011-01-28T00:00:00"/>
    <n v="1"/>
    <n v="1"/>
    <x v="15"/>
    <b v="0"/>
    <n v="5"/>
    <n v="2"/>
    <n v="0.2"/>
    <n v="465"/>
    <n v="0.16669999999999999"/>
    <n v="0.47"/>
    <n v="0.4627"/>
    <n v="6"/>
    <n v="57"/>
    <n v="63"/>
  </r>
  <r>
    <n v="467"/>
    <d v="2011-01-28T00:00:00"/>
    <n v="1"/>
    <n v="1"/>
    <x v="15"/>
    <b v="0"/>
    <n v="5"/>
    <n v="2"/>
    <n v="0.2"/>
    <n v="466"/>
    <n v="0.18179999999999999"/>
    <n v="0.41"/>
    <n v="0.4627"/>
    <n v="6"/>
    <n v="53"/>
    <n v="59"/>
  </r>
  <r>
    <n v="468"/>
    <d v="2011-01-28T00:00:00"/>
    <n v="1"/>
    <n v="1"/>
    <x v="15"/>
    <b v="0"/>
    <n v="5"/>
    <n v="2"/>
    <n v="0.2"/>
    <n v="467"/>
    <n v="0.18179999999999999"/>
    <n v="0.27"/>
    <n v="0.58209999999999995"/>
    <n v="11"/>
    <n v="67"/>
    <n v="78"/>
  </r>
  <r>
    <n v="469"/>
    <d v="2011-01-28T00:00:00"/>
    <n v="1"/>
    <n v="1"/>
    <x v="15"/>
    <b v="0"/>
    <n v="5"/>
    <n v="2"/>
    <n v="0.2"/>
    <n v="468"/>
    <n v="0.1515"/>
    <n v="0.21"/>
    <n v="0.58209999999999995"/>
    <n v="8"/>
    <n v="65"/>
    <n v="73"/>
  </r>
  <r>
    <n v="470"/>
    <d v="2011-01-28T00:00:00"/>
    <n v="1"/>
    <n v="1"/>
    <x v="15"/>
    <b v="0"/>
    <n v="5"/>
    <n v="2"/>
    <n v="0.2"/>
    <n v="469"/>
    <n v="0.1515"/>
    <n v="0.25"/>
    <n v="0.52239999999999998"/>
    <n v="6"/>
    <n v="56"/>
    <n v="62"/>
  </r>
  <r>
    <n v="471"/>
    <d v="2011-01-28T00:00:00"/>
    <n v="1"/>
    <n v="1"/>
    <x v="15"/>
    <b v="0"/>
    <n v="5"/>
    <n v="2"/>
    <n v="0.2"/>
    <n v="470"/>
    <n v="0.1212"/>
    <n v="0.26"/>
    <n v="0.44779999999999998"/>
    <n v="4"/>
    <n v="61"/>
    <n v="65"/>
  </r>
  <r>
    <n v="472"/>
    <d v="2011-01-28T00:00:00"/>
    <n v="1"/>
    <n v="1"/>
    <x v="15"/>
    <b v="0"/>
    <n v="5"/>
    <n v="2"/>
    <n v="0.2"/>
    <n v="471"/>
    <n v="0.13639999999999999"/>
    <n v="0.26"/>
    <n v="0.35820000000000002"/>
    <n v="0"/>
    <n v="97"/>
    <n v="97"/>
  </r>
  <r>
    <n v="473"/>
    <d v="2011-01-28T00:00:00"/>
    <n v="1"/>
    <n v="1"/>
    <x v="15"/>
    <b v="0"/>
    <n v="5"/>
    <n v="2"/>
    <n v="0.2"/>
    <n v="472"/>
    <n v="0.1212"/>
    <n v="0.28000000000000003"/>
    <n v="0.35820000000000002"/>
    <n v="10"/>
    <n v="151"/>
    <n v="161"/>
  </r>
  <r>
    <n v="474"/>
    <d v="2011-01-28T00:00:00"/>
    <n v="1"/>
    <n v="1"/>
    <x v="15"/>
    <b v="0"/>
    <n v="5"/>
    <n v="2"/>
    <n v="0.2"/>
    <n v="473"/>
    <n v="0.1212"/>
    <n v="0.3"/>
    <n v="0.25369999999999998"/>
    <n v="1"/>
    <n v="119"/>
    <n v="120"/>
  </r>
  <r>
    <n v="475"/>
    <d v="2011-01-28T00:00:00"/>
    <n v="1"/>
    <n v="1"/>
    <x v="15"/>
    <b v="0"/>
    <n v="5"/>
    <n v="2"/>
    <n v="0.2"/>
    <n v="474"/>
    <n v="0.1061"/>
    <n v="0.3"/>
    <n v="0.32840000000000003"/>
    <n v="3"/>
    <n v="93"/>
    <n v="96"/>
  </r>
  <r>
    <n v="476"/>
    <d v="2011-01-28T00:00:00"/>
    <n v="1"/>
    <n v="1"/>
    <x v="15"/>
    <b v="0"/>
    <n v="5"/>
    <n v="2"/>
    <n v="0.2"/>
    <n v="475"/>
    <n v="7.5800000000000006E-2"/>
    <n v="0.33"/>
    <n v="0.41789999999999999"/>
    <n v="1"/>
    <n v="52"/>
    <n v="53"/>
  </r>
  <r>
    <n v="477"/>
    <d v="2011-01-28T00:00:00"/>
    <n v="1"/>
    <n v="1"/>
    <x v="15"/>
    <b v="0"/>
    <n v="5"/>
    <n v="2"/>
    <n v="0.2"/>
    <n v="476"/>
    <n v="7.5800000000000006E-2"/>
    <n v="0.38"/>
    <n v="0.28360000000000002"/>
    <n v="0"/>
    <n v="41"/>
    <n v="41"/>
  </r>
  <r>
    <n v="478"/>
    <d v="2011-01-28T00:00:00"/>
    <n v="1"/>
    <n v="1"/>
    <x v="15"/>
    <b v="0"/>
    <n v="5"/>
    <n v="2"/>
    <n v="0.2"/>
    <n v="477"/>
    <n v="3.0300000000000001E-2"/>
    <n v="0.41"/>
    <n v="0.3881"/>
    <n v="1"/>
    <n v="33"/>
    <n v="34"/>
  </r>
  <r>
    <n v="479"/>
    <d v="2011-01-28T00:00:00"/>
    <n v="1"/>
    <n v="1"/>
    <x v="15"/>
    <b v="0"/>
    <n v="5"/>
    <n v="2"/>
    <n v="0.2"/>
    <n v="478"/>
    <n v="4.5499999999999999E-2"/>
    <n v="0.38"/>
    <n v="0.32840000000000003"/>
    <n v="0"/>
    <n v="27"/>
    <n v="27"/>
  </r>
  <r>
    <n v="480"/>
    <d v="2011-01-28T00:00:00"/>
    <n v="1"/>
    <n v="1"/>
    <x v="15"/>
    <b v="0"/>
    <n v="5"/>
    <n v="2"/>
    <n v="0.2"/>
    <n v="479"/>
    <n v="3.0300000000000001E-2"/>
    <n v="0.45"/>
    <n v="0.25369999999999998"/>
    <n v="0"/>
    <n v="13"/>
    <n v="13"/>
  </r>
  <r>
    <n v="481"/>
    <d v="2011-01-28T00:00:00"/>
    <n v="1"/>
    <n v="1"/>
    <x v="15"/>
    <b v="0"/>
    <n v="5"/>
    <n v="2"/>
    <n v="0.2"/>
    <n v="480"/>
    <n v="0"/>
    <n v="0.41"/>
    <n v="0.3881"/>
    <n v="3"/>
    <n v="9"/>
    <n v="12"/>
  </r>
  <r>
    <n v="482"/>
    <d v="2011-01-28T00:00:00"/>
    <n v="1"/>
    <n v="1"/>
    <x v="15"/>
    <b v="0"/>
    <n v="5"/>
    <n v="2"/>
    <n v="0.2"/>
    <n v="481"/>
    <n v="3.0300000000000001E-2"/>
    <n v="0.41"/>
    <n v="0.25369999999999998"/>
    <n v="0"/>
    <n v="11"/>
    <n v="11"/>
  </r>
  <r>
    <n v="483"/>
    <d v="2011-01-28T00:00:00"/>
    <n v="1"/>
    <n v="1"/>
    <x v="15"/>
    <b v="0"/>
    <n v="5"/>
    <n v="2"/>
    <n v="0.2"/>
    <n v="482"/>
    <n v="3.0300000000000001E-2"/>
    <n v="0.41"/>
    <n v="0.28360000000000002"/>
    <n v="1"/>
    <n v="6"/>
    <n v="7"/>
  </r>
  <r>
    <n v="484"/>
    <d v="2011-01-28T00:00:00"/>
    <n v="1"/>
    <n v="1"/>
    <x v="15"/>
    <b v="0"/>
    <n v="5"/>
    <n v="2"/>
    <n v="0.2"/>
    <n v="483"/>
    <n v="1.52E-2"/>
    <n v="0.48"/>
    <n v="0.29849999999999999"/>
    <n v="0"/>
    <n v="3"/>
    <n v="3"/>
  </r>
  <r>
    <n v="485"/>
    <d v="2011-01-28T00:00:00"/>
    <n v="1"/>
    <n v="1"/>
    <x v="15"/>
    <b v="0"/>
    <n v="5"/>
    <n v="2"/>
    <n v="0.2"/>
    <n v="484"/>
    <n v="3.0300000000000001E-2"/>
    <n v="0.44"/>
    <n v="0.22389999999999999"/>
    <n v="0"/>
    <n v="2"/>
    <n v="2"/>
  </r>
  <r>
    <n v="486"/>
    <d v="2011-01-28T00:00:00"/>
    <n v="1"/>
    <n v="1"/>
    <x v="15"/>
    <b v="0"/>
    <n v="5"/>
    <n v="2"/>
    <n v="0.2"/>
    <n v="485"/>
    <n v="1.52E-2"/>
    <n v="0.44"/>
    <n v="0.28360000000000002"/>
    <n v="0"/>
    <n v="8"/>
    <n v="8"/>
  </r>
  <r>
    <n v="487"/>
    <d v="2011-01-28T00:00:00"/>
    <n v="1"/>
    <n v="1"/>
    <x v="15"/>
    <b v="0"/>
    <n v="5"/>
    <n v="2"/>
    <n v="0.2"/>
    <n v="486"/>
    <n v="0"/>
    <n v="0.44"/>
    <n v="0.32840000000000003"/>
    <n v="1"/>
    <n v="26"/>
    <n v="27"/>
  </r>
  <r>
    <n v="488"/>
    <d v="2011-01-28T00:00:00"/>
    <n v="1"/>
    <n v="1"/>
    <x v="15"/>
    <b v="0"/>
    <n v="5"/>
    <n v="2"/>
    <n v="0.2"/>
    <n v="487"/>
    <n v="3.0300000000000001E-2"/>
    <n v="0.41"/>
    <n v="0.25369999999999998"/>
    <n v="3"/>
    <n v="37"/>
    <n v="40"/>
  </r>
  <r>
    <n v="489"/>
    <d v="2011-01-28T00:00:00"/>
    <n v="1"/>
    <n v="1"/>
    <x v="15"/>
    <b v="0"/>
    <n v="5"/>
    <n v="2"/>
    <n v="0.2"/>
    <n v="488"/>
    <n v="6.0600000000000001E-2"/>
    <n v="0.41"/>
    <n v="0.16420000000000001"/>
    <n v="3"/>
    <n v="50"/>
    <n v="53"/>
  </r>
  <r>
    <n v="490"/>
    <d v="2011-01-28T00:00:00"/>
    <n v="1"/>
    <n v="1"/>
    <x v="15"/>
    <b v="0"/>
    <n v="5"/>
    <n v="2"/>
    <n v="0.2"/>
    <n v="489"/>
    <n v="7.5800000000000006E-2"/>
    <n v="0.38"/>
    <n v="0.1343"/>
    <n v="4"/>
    <n v="59"/>
    <n v="63"/>
  </r>
  <r>
    <n v="491"/>
    <d v="2011-01-28T00:00:00"/>
    <n v="1"/>
    <n v="1"/>
    <x v="15"/>
    <b v="0"/>
    <n v="5"/>
    <n v="2"/>
    <n v="0.2"/>
    <n v="490"/>
    <n v="0.1061"/>
    <n v="0.38"/>
    <n v="0.1045"/>
    <n v="10"/>
    <n v="60"/>
    <n v="70"/>
  </r>
  <r>
    <n v="492"/>
    <d v="2011-01-28T00:00:00"/>
    <n v="1"/>
    <n v="1"/>
    <x v="15"/>
    <b v="0"/>
    <n v="5"/>
    <n v="2"/>
    <n v="0.2"/>
    <n v="491"/>
    <n v="0.16669999999999999"/>
    <n v="0.35"/>
    <n v="0"/>
    <n v="12"/>
    <n v="72"/>
    <n v="84"/>
  </r>
  <r>
    <n v="493"/>
    <d v="2011-01-28T00:00:00"/>
    <n v="1"/>
    <n v="1"/>
    <x v="15"/>
    <b v="0"/>
    <n v="5"/>
    <n v="2"/>
    <n v="0.2"/>
    <n v="492"/>
    <n v="0.13639999999999999"/>
    <n v="0.33"/>
    <n v="0.1045"/>
    <n v="11"/>
    <n v="64"/>
    <n v="75"/>
  </r>
  <r>
    <n v="494"/>
    <d v="2011-01-28T00:00:00"/>
    <n v="1"/>
    <n v="1"/>
    <x v="15"/>
    <b v="0"/>
    <n v="5"/>
    <n v="2"/>
    <n v="0.2"/>
    <n v="493"/>
    <n v="0.1515"/>
    <n v="0.28000000000000003"/>
    <n v="0"/>
    <n v="10"/>
    <n v="93"/>
    <n v="103"/>
  </r>
  <r>
    <n v="495"/>
    <d v="2011-01-28T00:00:00"/>
    <n v="1"/>
    <n v="1"/>
    <x v="15"/>
    <b v="0"/>
    <n v="5"/>
    <n v="2"/>
    <n v="0.2"/>
    <n v="494"/>
    <n v="0.13639999999999999"/>
    <n v="0.28000000000000003"/>
    <n v="0.19400000000000001"/>
    <n v="11"/>
    <n v="72"/>
    <n v="83"/>
  </r>
  <r>
    <n v="496"/>
    <d v="2011-01-28T00:00:00"/>
    <n v="1"/>
    <n v="1"/>
    <x v="15"/>
    <b v="0"/>
    <n v="5"/>
    <n v="2"/>
    <n v="0.2"/>
    <n v="495"/>
    <n v="0.19700000000000001"/>
    <n v="0.28000000000000003"/>
    <n v="0"/>
    <n v="8"/>
    <n v="59"/>
    <n v="67"/>
  </r>
  <r>
    <n v="497"/>
    <d v="2011-01-28T00:00:00"/>
    <n v="1"/>
    <n v="1"/>
    <x v="15"/>
    <b v="0"/>
    <n v="5"/>
    <n v="2"/>
    <n v="0.2"/>
    <n v="496"/>
    <n v="9.0899999999999995E-2"/>
    <n v="0.35"/>
    <n v="0.19400000000000001"/>
    <n v="0"/>
    <n v="54"/>
    <n v="54"/>
  </r>
  <r>
    <n v="498"/>
    <d v="2011-01-28T00:00:00"/>
    <n v="1"/>
    <n v="1"/>
    <x v="15"/>
    <b v="0"/>
    <n v="5"/>
    <n v="2"/>
    <n v="0.2"/>
    <n v="497"/>
    <n v="0.1061"/>
    <n v="0.35"/>
    <n v="0.1343"/>
    <n v="6"/>
    <n v="53"/>
    <n v="59"/>
  </r>
  <r>
    <n v="499"/>
    <d v="2011-01-28T00:00:00"/>
    <n v="1"/>
    <n v="1"/>
    <x v="15"/>
    <b v="0"/>
    <n v="5"/>
    <n v="2"/>
    <n v="0.2"/>
    <n v="498"/>
    <n v="7.5800000000000006E-2"/>
    <n v="0.45"/>
    <n v="0.16420000000000001"/>
    <n v="1"/>
    <n v="44"/>
    <n v="45"/>
  </r>
  <r>
    <n v="500"/>
    <d v="2011-01-28T00:00:00"/>
    <n v="1"/>
    <n v="1"/>
    <x v="15"/>
    <b v="0"/>
    <n v="5"/>
    <n v="2"/>
    <n v="0.2"/>
    <n v="499"/>
    <n v="0.1061"/>
    <n v="0.41"/>
    <n v="8.9599999999999999E-2"/>
    <n v="0"/>
    <n v="39"/>
    <n v="39"/>
  </r>
  <r>
    <n v="501"/>
    <d v="2011-01-28T00:00:00"/>
    <n v="1"/>
    <n v="1"/>
    <x v="15"/>
    <b v="0"/>
    <n v="5"/>
    <n v="2"/>
    <n v="0.2"/>
    <n v="500"/>
    <n v="0.1515"/>
    <n v="0.49"/>
    <n v="0"/>
    <n v="7"/>
    <n v="23"/>
    <n v="30"/>
  </r>
  <r>
    <n v="502"/>
    <d v="2011-01-28T00:00:00"/>
    <n v="1"/>
    <n v="1"/>
    <x v="15"/>
    <b v="0"/>
    <n v="5"/>
    <n v="2"/>
    <n v="0.2"/>
    <n v="501"/>
    <n v="7.5800000000000006E-2"/>
    <n v="0.56999999999999995"/>
    <n v="0.1045"/>
    <n v="2"/>
    <n v="31"/>
    <n v="33"/>
  </r>
  <r>
    <n v="503"/>
    <d v="2011-01-28T00:00:00"/>
    <n v="1"/>
    <n v="1"/>
    <x v="15"/>
    <b v="0"/>
    <n v="5"/>
    <n v="2"/>
    <n v="0.2"/>
    <n v="502"/>
    <n v="7.5800000000000006E-2"/>
    <n v="0.56999999999999995"/>
    <n v="0.1045"/>
    <n v="2"/>
    <n v="20"/>
    <n v="22"/>
  </r>
  <r>
    <n v="504"/>
    <d v="2011-01-28T00:00:00"/>
    <n v="1"/>
    <n v="1"/>
    <x v="15"/>
    <b v="0"/>
    <n v="5"/>
    <n v="2"/>
    <n v="0.2"/>
    <n v="503"/>
    <n v="7.5800000000000006E-2"/>
    <n v="0.56999999999999995"/>
    <n v="0.1045"/>
    <n v="1"/>
    <n v="12"/>
    <n v="13"/>
  </r>
  <r>
    <n v="505"/>
    <d v="2011-01-28T00:00:00"/>
    <n v="1"/>
    <n v="1"/>
    <x v="15"/>
    <b v="0"/>
    <n v="5"/>
    <n v="2"/>
    <n v="0.2"/>
    <n v="504"/>
    <n v="6.0600000000000001E-2"/>
    <n v="0.62"/>
    <n v="0.1343"/>
    <n v="3"/>
    <n v="15"/>
    <n v="18"/>
  </r>
  <r>
    <n v="506"/>
    <d v="2011-01-28T00:00:00"/>
    <n v="1"/>
    <n v="1"/>
    <x v="15"/>
    <b v="0"/>
    <n v="5"/>
    <n v="2"/>
    <n v="0.2"/>
    <n v="505"/>
    <n v="6.0600000000000001E-2"/>
    <n v="0.62"/>
    <n v="0.1343"/>
    <n v="1"/>
    <n v="4"/>
    <n v="5"/>
  </r>
  <r>
    <n v="507"/>
    <d v="2011-01-28T00:00:00"/>
    <n v="1"/>
    <n v="1"/>
    <x v="15"/>
    <b v="0"/>
    <n v="5"/>
    <n v="2"/>
    <n v="0.2"/>
    <n v="506"/>
    <n v="7.5800000000000006E-2"/>
    <n v="0.56999999999999995"/>
    <n v="0.1045"/>
    <n v="0"/>
    <n v="3"/>
    <n v="3"/>
  </r>
  <r>
    <n v="508"/>
    <d v="2011-01-28T00:00:00"/>
    <n v="1"/>
    <n v="1"/>
    <x v="15"/>
    <b v="0"/>
    <n v="5"/>
    <n v="2"/>
    <n v="0.2"/>
    <n v="507"/>
    <n v="7.5800000000000006E-2"/>
    <n v="0.56999999999999995"/>
    <n v="0.1045"/>
    <n v="0"/>
    <n v="1"/>
    <n v="1"/>
  </r>
  <r>
    <n v="509"/>
    <d v="2011-01-28T00:00:00"/>
    <n v="1"/>
    <n v="1"/>
    <x v="15"/>
    <b v="0"/>
    <n v="5"/>
    <n v="2"/>
    <n v="0.2"/>
    <n v="508"/>
    <n v="0.1061"/>
    <n v="0.57999999999999996"/>
    <n v="0.16420000000000001"/>
    <n v="1"/>
    <n v="1"/>
    <n v="2"/>
  </r>
  <r>
    <n v="510"/>
    <d v="2011-01-28T00:00:00"/>
    <n v="1"/>
    <n v="1"/>
    <x v="15"/>
    <b v="0"/>
    <n v="5"/>
    <n v="2"/>
    <n v="0.2"/>
    <n v="509"/>
    <n v="7.5800000000000006E-2"/>
    <n v="0.62"/>
    <n v="0.16420000000000001"/>
    <n v="2"/>
    <n v="17"/>
    <n v="19"/>
  </r>
  <r>
    <n v="511"/>
    <d v="2011-01-28T00:00:00"/>
    <n v="1"/>
    <n v="1"/>
    <x v="15"/>
    <b v="0"/>
    <n v="5"/>
    <n v="2"/>
    <n v="0.2"/>
    <n v="510"/>
    <n v="7.5800000000000006E-2"/>
    <n v="0.54"/>
    <n v="0.35820000000000002"/>
    <n v="3"/>
    <n v="25"/>
    <n v="28"/>
  </r>
  <r>
    <n v="512"/>
    <d v="2011-01-28T00:00:00"/>
    <n v="1"/>
    <n v="1"/>
    <x v="15"/>
    <b v="0"/>
    <n v="5"/>
    <n v="2"/>
    <n v="0.2"/>
    <n v="511"/>
    <n v="0.1061"/>
    <n v="0.46"/>
    <n v="0.3881"/>
    <n v="7"/>
    <n v="51"/>
    <n v="58"/>
  </r>
  <r>
    <n v="513"/>
    <d v="2011-01-28T00:00:00"/>
    <n v="1"/>
    <n v="1"/>
    <x v="15"/>
    <b v="0"/>
    <n v="5"/>
    <n v="2"/>
    <n v="0.2"/>
    <n v="512"/>
    <n v="0.13639999999999999"/>
    <n v="0.43"/>
    <n v="0.22389999999999999"/>
    <n v="22"/>
    <n v="77"/>
    <n v="99"/>
  </r>
  <r>
    <n v="514"/>
    <d v="2011-01-28T00:00:00"/>
    <n v="1"/>
    <n v="1"/>
    <x v="15"/>
    <b v="0"/>
    <n v="5"/>
    <n v="2"/>
    <n v="0.2"/>
    <n v="513"/>
    <n v="0.1212"/>
    <n v="0.37"/>
    <n v="0.4627"/>
    <n v="24"/>
    <n v="92"/>
    <n v="116"/>
  </r>
  <r>
    <n v="515"/>
    <d v="2011-01-28T00:00:00"/>
    <n v="1"/>
    <n v="1"/>
    <x v="15"/>
    <b v="0"/>
    <n v="5"/>
    <n v="2"/>
    <n v="0.2"/>
    <n v="514"/>
    <n v="0.1061"/>
    <n v="0.33"/>
    <n v="0.3881"/>
    <n v="12"/>
    <n v="75"/>
    <n v="87"/>
  </r>
  <r>
    <n v="516"/>
    <d v="2011-01-28T00:00:00"/>
    <n v="1"/>
    <n v="1"/>
    <x v="15"/>
    <b v="0"/>
    <n v="5"/>
    <n v="2"/>
    <n v="0.2"/>
    <n v="515"/>
    <n v="0.13639999999999999"/>
    <n v="0.28000000000000003"/>
    <n v="0.35820000000000002"/>
    <n v="17"/>
    <n v="93"/>
    <n v="110"/>
  </r>
  <r>
    <n v="517"/>
    <d v="2011-01-28T00:00:00"/>
    <n v="1"/>
    <n v="1"/>
    <x v="15"/>
    <b v="0"/>
    <n v="5"/>
    <n v="2"/>
    <n v="0.2"/>
    <n v="516"/>
    <n v="0.13639999999999999"/>
    <n v="0.28000000000000003"/>
    <n v="0.35820000000000002"/>
    <n v="13"/>
    <n v="64"/>
    <n v="77"/>
  </r>
  <r>
    <n v="518"/>
    <d v="2011-01-28T00:00:00"/>
    <n v="1"/>
    <n v="1"/>
    <x v="15"/>
    <b v="0"/>
    <n v="5"/>
    <n v="2"/>
    <n v="0.2"/>
    <n v="517"/>
    <n v="0.13639999999999999"/>
    <n v="0.26"/>
    <n v="0.32840000000000003"/>
    <n v="9"/>
    <n v="56"/>
    <n v="65"/>
  </r>
  <r>
    <n v="519"/>
    <d v="2011-01-28T00:00:00"/>
    <n v="1"/>
    <n v="1"/>
    <x v="15"/>
    <b v="0"/>
    <n v="5"/>
    <n v="2"/>
    <n v="0.2"/>
    <n v="518"/>
    <n v="0.1061"/>
    <n v="0.26"/>
    <n v="0.3881"/>
    <n v="5"/>
    <n v="50"/>
    <n v="55"/>
  </r>
  <r>
    <n v="520"/>
    <d v="2011-01-28T00:00:00"/>
    <n v="1"/>
    <n v="1"/>
    <x v="15"/>
    <b v="0"/>
    <n v="5"/>
    <n v="2"/>
    <n v="0.2"/>
    <n v="519"/>
    <n v="0.1212"/>
    <n v="0.3"/>
    <n v="0.25369999999999998"/>
    <n v="5"/>
    <n v="44"/>
    <n v="49"/>
  </r>
  <r>
    <n v="521"/>
    <d v="2011-01-28T00:00:00"/>
    <n v="1"/>
    <n v="1"/>
    <x v="15"/>
    <b v="0"/>
    <n v="5"/>
    <n v="2"/>
    <n v="0.2"/>
    <n v="520"/>
    <n v="0.1212"/>
    <n v="0.3"/>
    <n v="0.28360000000000002"/>
    <n v="5"/>
    <n v="45"/>
    <n v="50"/>
  </r>
  <r>
    <n v="522"/>
    <d v="2011-01-28T00:00:00"/>
    <n v="1"/>
    <n v="1"/>
    <x v="15"/>
    <b v="0"/>
    <n v="5"/>
    <n v="2"/>
    <n v="0.2"/>
    <n v="521"/>
    <n v="0.1061"/>
    <n v="0.36"/>
    <n v="0.25369999999999998"/>
    <n v="4"/>
    <n v="31"/>
    <n v="35"/>
  </r>
  <r>
    <n v="523"/>
    <d v="2011-01-28T00:00:00"/>
    <n v="1"/>
    <n v="1"/>
    <x v="15"/>
    <b v="0"/>
    <n v="5"/>
    <n v="2"/>
    <n v="0.2"/>
    <n v="522"/>
    <n v="0.1061"/>
    <n v="0.36"/>
    <n v="0.19400000000000001"/>
    <n v="5"/>
    <n v="20"/>
    <n v="25"/>
  </r>
  <r>
    <n v="524"/>
    <d v="2011-01-28T00:00:00"/>
    <n v="1"/>
    <n v="1"/>
    <x v="15"/>
    <b v="0"/>
    <n v="5"/>
    <n v="2"/>
    <n v="0.2"/>
    <n v="523"/>
    <n v="9.0899999999999995E-2"/>
    <n v="0.38"/>
    <n v="0.19400000000000001"/>
    <n v="5"/>
    <n v="23"/>
    <n v="28"/>
  </r>
  <r>
    <n v="525"/>
    <d v="2011-01-28T00:00:00"/>
    <n v="1"/>
    <n v="1"/>
    <x v="15"/>
    <b v="0"/>
    <n v="5"/>
    <n v="2"/>
    <n v="0.2"/>
    <n v="524"/>
    <n v="6.0600000000000001E-2"/>
    <n v="0.41"/>
    <n v="0.22389999999999999"/>
    <n v="4"/>
    <n v="17"/>
    <n v="21"/>
  </r>
  <r>
    <n v="526"/>
    <d v="2011-01-28T00:00:00"/>
    <n v="1"/>
    <n v="1"/>
    <x v="15"/>
    <b v="0"/>
    <n v="5"/>
    <n v="2"/>
    <n v="0.2"/>
    <n v="525"/>
    <n v="6.0600000000000001E-2"/>
    <n v="0.41"/>
    <n v="0.19400000000000001"/>
    <n v="0"/>
    <n v="7"/>
    <n v="7"/>
  </r>
  <r>
    <n v="527"/>
    <d v="2011-01-28T00:00:00"/>
    <n v="1"/>
    <n v="1"/>
    <x v="15"/>
    <b v="0"/>
    <n v="5"/>
    <n v="2"/>
    <n v="0.2"/>
    <n v="526"/>
    <n v="4.5499999999999999E-2"/>
    <n v="0.45"/>
    <n v="0.19400000000000001"/>
    <n v="0"/>
    <n v="1"/>
    <n v="1"/>
  </r>
  <r>
    <n v="528"/>
    <d v="2011-01-28T00:00:00"/>
    <n v="1"/>
    <n v="1"/>
    <x v="15"/>
    <b v="0"/>
    <n v="5"/>
    <n v="2"/>
    <n v="0.2"/>
    <n v="527"/>
    <n v="3.0300000000000001E-2"/>
    <n v="0.45"/>
    <n v="0.25369999999999998"/>
    <n v="0"/>
    <n v="1"/>
    <n v="1"/>
  </r>
  <r>
    <n v="529"/>
    <d v="2011-01-28T00:00:00"/>
    <n v="1"/>
    <n v="1"/>
    <x v="15"/>
    <b v="0"/>
    <n v="5"/>
    <n v="2"/>
    <n v="0.2"/>
    <n v="528"/>
    <n v="6.0600000000000001E-2"/>
    <n v="0.48"/>
    <n v="0.1343"/>
    <n v="0"/>
    <n v="1"/>
    <n v="1"/>
  </r>
  <r>
    <n v="530"/>
    <d v="2011-01-28T00:00:00"/>
    <n v="1"/>
    <n v="1"/>
    <x v="15"/>
    <b v="0"/>
    <n v="5"/>
    <n v="2"/>
    <n v="0.2"/>
    <n v="529"/>
    <n v="6.0600000000000001E-2"/>
    <n v="0.48"/>
    <n v="0.1343"/>
    <n v="0"/>
    <n v="5"/>
    <n v="5"/>
  </r>
  <r>
    <n v="531"/>
    <d v="2011-01-28T00:00:00"/>
    <n v="1"/>
    <n v="1"/>
    <x v="15"/>
    <b v="0"/>
    <n v="5"/>
    <n v="2"/>
    <n v="0.2"/>
    <n v="530"/>
    <n v="7.5800000000000006E-2"/>
    <n v="0.48"/>
    <n v="8.9599999999999999E-2"/>
    <n v="0"/>
    <n v="15"/>
    <n v="15"/>
  </r>
  <r>
    <n v="532"/>
    <d v="2011-01-28T00:00:00"/>
    <n v="1"/>
    <n v="1"/>
    <x v="15"/>
    <b v="0"/>
    <n v="5"/>
    <n v="2"/>
    <n v="0.2"/>
    <n v="531"/>
    <n v="0.1212"/>
    <n v="0.48"/>
    <n v="0"/>
    <n v="5"/>
    <n v="79"/>
    <n v="84"/>
  </r>
  <r>
    <n v="533"/>
    <d v="2011-01-28T00:00:00"/>
    <n v="1"/>
    <n v="1"/>
    <x v="15"/>
    <b v="0"/>
    <n v="5"/>
    <n v="2"/>
    <n v="0.2"/>
    <n v="532"/>
    <n v="0.13639999999999999"/>
    <n v="0.49"/>
    <n v="0"/>
    <n v="6"/>
    <n v="171"/>
    <n v="177"/>
  </r>
  <r>
    <n v="534"/>
    <d v="2011-01-28T00:00:00"/>
    <n v="1"/>
    <n v="1"/>
    <x v="15"/>
    <b v="0"/>
    <n v="5"/>
    <n v="2"/>
    <n v="0.2"/>
    <n v="533"/>
    <n v="0.1515"/>
    <n v="0.41"/>
    <n v="0"/>
    <n v="4"/>
    <n v="98"/>
    <n v="102"/>
  </r>
  <r>
    <n v="535"/>
    <d v="2011-01-28T00:00:00"/>
    <n v="1"/>
    <n v="1"/>
    <x v="15"/>
    <b v="0"/>
    <n v="5"/>
    <n v="2"/>
    <n v="0.2"/>
    <n v="534"/>
    <n v="0.13639999999999999"/>
    <n v="0.42"/>
    <n v="0"/>
    <n v="6"/>
    <n v="34"/>
    <n v="40"/>
  </r>
  <r>
    <n v="536"/>
    <d v="2011-01-28T00:00:00"/>
    <n v="1"/>
    <n v="1"/>
    <x v="15"/>
    <b v="0"/>
    <n v="5"/>
    <n v="2"/>
    <n v="0.2"/>
    <n v="535"/>
    <n v="0.1212"/>
    <n v="0.46"/>
    <n v="0.1343"/>
    <n v="3"/>
    <n v="43"/>
    <n v="46"/>
  </r>
  <r>
    <n v="537"/>
    <d v="2011-01-28T00:00:00"/>
    <n v="1"/>
    <n v="1"/>
    <x v="15"/>
    <b v="0"/>
    <n v="5"/>
    <n v="2"/>
    <n v="0.2"/>
    <n v="536"/>
    <n v="0.13639999999999999"/>
    <n v="0.42"/>
    <n v="0.19400000000000001"/>
    <n v="11"/>
    <n v="52"/>
    <n v="63"/>
  </r>
  <r>
    <n v="538"/>
    <d v="2011-01-28T00:00:00"/>
    <n v="1"/>
    <n v="1"/>
    <x v="15"/>
    <b v="0"/>
    <n v="5"/>
    <n v="2"/>
    <n v="0.2"/>
    <n v="537"/>
    <n v="0.13639999999999999"/>
    <n v="0.43"/>
    <n v="0.22389999999999999"/>
    <n v="6"/>
    <n v="54"/>
    <n v="60"/>
  </r>
  <r>
    <n v="539"/>
    <d v="2011-01-28T00:00:00"/>
    <n v="1"/>
    <n v="1"/>
    <x v="15"/>
    <b v="0"/>
    <n v="5"/>
    <n v="2"/>
    <n v="0.2"/>
    <n v="538"/>
    <n v="0.13639999999999999"/>
    <n v="0.46"/>
    <n v="0.22389999999999999"/>
    <n v="2"/>
    <n v="43"/>
    <n v="45"/>
  </r>
  <r>
    <n v="540"/>
    <d v="2011-01-28T00:00:00"/>
    <n v="1"/>
    <n v="1"/>
    <x v="15"/>
    <b v="0"/>
    <n v="5"/>
    <n v="2"/>
    <n v="0.2"/>
    <n v="539"/>
    <n v="0.16669999999999999"/>
    <n v="0.4"/>
    <n v="0.16420000000000001"/>
    <n v="7"/>
    <n v="50"/>
    <n v="57"/>
  </r>
  <r>
    <n v="541"/>
    <d v="2011-01-28T00:00:00"/>
    <n v="1"/>
    <n v="1"/>
    <x v="15"/>
    <b v="0"/>
    <n v="5"/>
    <n v="2"/>
    <n v="0.2"/>
    <n v="540"/>
    <n v="0.1515"/>
    <n v="0.47"/>
    <n v="0.25369999999999998"/>
    <n v="4"/>
    <n v="66"/>
    <n v="70"/>
  </r>
  <r>
    <n v="542"/>
    <d v="2011-01-28T00:00:00"/>
    <n v="1"/>
    <n v="1"/>
    <x v="15"/>
    <b v="0"/>
    <n v="5"/>
    <n v="2"/>
    <n v="0.2"/>
    <n v="541"/>
    <n v="0.1212"/>
    <n v="0.5"/>
    <n v="0.25369999999999998"/>
    <n v="6"/>
    <n v="178"/>
    <n v="184"/>
  </r>
  <r>
    <n v="543"/>
    <d v="2011-01-28T00:00:00"/>
    <n v="1"/>
    <n v="1"/>
    <x v="15"/>
    <b v="0"/>
    <n v="5"/>
    <n v="2"/>
    <n v="0.2"/>
    <n v="542"/>
    <n v="0.13639999999999999"/>
    <n v="0.59"/>
    <n v="0.19400000000000001"/>
    <n v="8"/>
    <n v="145"/>
    <n v="153"/>
  </r>
  <r>
    <n v="544"/>
    <d v="2011-01-28T00:00:00"/>
    <n v="1"/>
    <n v="1"/>
    <x v="15"/>
    <b v="0"/>
    <n v="5"/>
    <n v="2"/>
    <n v="0.2"/>
    <n v="543"/>
    <n v="0.1515"/>
    <n v="0.54"/>
    <n v="0.16420000000000001"/>
    <n v="5"/>
    <n v="101"/>
    <n v="106"/>
  </r>
  <r>
    <n v="545"/>
    <d v="2011-01-28T00:00:00"/>
    <n v="1"/>
    <n v="1"/>
    <x v="15"/>
    <b v="0"/>
    <n v="5"/>
    <n v="2"/>
    <n v="0.2"/>
    <n v="544"/>
    <n v="0.13639999999999999"/>
    <n v="0.59"/>
    <n v="0.19400000000000001"/>
    <n v="1"/>
    <n v="80"/>
    <n v="81"/>
  </r>
  <r>
    <n v="546"/>
    <d v="2011-01-28T00:00:00"/>
    <n v="1"/>
    <n v="1"/>
    <x v="15"/>
    <b v="0"/>
    <n v="5"/>
    <n v="2"/>
    <n v="0.2"/>
    <n v="545"/>
    <n v="0.1515"/>
    <n v="0.63"/>
    <n v="0.16420000000000001"/>
    <n v="6"/>
    <n v="53"/>
    <n v="59"/>
  </r>
  <r>
    <n v="547"/>
    <d v="2011-01-28T00:00:00"/>
    <n v="1"/>
    <n v="1"/>
    <x v="15"/>
    <b v="0"/>
    <n v="5"/>
    <n v="2"/>
    <n v="0.2"/>
    <n v="546"/>
    <n v="0.13639999999999999"/>
    <n v="0.63"/>
    <n v="0.22389999999999999"/>
    <n v="3"/>
    <n v="32"/>
    <n v="35"/>
  </r>
  <r>
    <n v="548"/>
    <d v="2011-01-28T00:00:00"/>
    <n v="1"/>
    <n v="1"/>
    <x v="15"/>
    <b v="0"/>
    <n v="5"/>
    <n v="2"/>
    <n v="0.2"/>
    <n v="547"/>
    <n v="0.1515"/>
    <n v="0.64"/>
    <n v="0.25369999999999998"/>
    <n v="3"/>
    <n v="21"/>
    <n v="24"/>
  </r>
  <r>
    <n v="549"/>
    <d v="2011-01-28T00:00:00"/>
    <n v="1"/>
    <n v="1"/>
    <x v="15"/>
    <b v="0"/>
    <n v="5"/>
    <n v="2"/>
    <n v="0.2"/>
    <n v="548"/>
    <n v="0.13639999999999999"/>
    <n v="0.69"/>
    <n v="0.28360000000000002"/>
    <n v="3"/>
    <n v="6"/>
    <n v="9"/>
  </r>
  <r>
    <n v="550"/>
    <d v="2011-01-28T00:00:00"/>
    <n v="1"/>
    <n v="1"/>
    <x v="15"/>
    <b v="0"/>
    <n v="5"/>
    <n v="2"/>
    <n v="0.2"/>
    <n v="549"/>
    <n v="0.16669999999999999"/>
    <n v="0.69"/>
    <n v="0.16420000000000001"/>
    <n v="0"/>
    <n v="5"/>
    <n v="5"/>
  </r>
  <r>
    <n v="551"/>
    <d v="2011-01-28T00:00:00"/>
    <n v="1"/>
    <n v="1"/>
    <x v="15"/>
    <b v="0"/>
    <n v="5"/>
    <n v="2"/>
    <n v="0.2"/>
    <n v="550"/>
    <n v="0.1515"/>
    <n v="0.69"/>
    <n v="0.22389999999999999"/>
    <n v="0"/>
    <n v="2"/>
    <n v="2"/>
  </r>
  <r>
    <n v="552"/>
    <d v="2011-01-28T00:00:00"/>
    <n v="1"/>
    <n v="1"/>
    <x v="15"/>
    <b v="0"/>
    <n v="5"/>
    <n v="2"/>
    <n v="0.2"/>
    <n v="551"/>
    <n v="0.16669999999999999"/>
    <n v="0.74"/>
    <n v="0.1045"/>
    <n v="0"/>
    <n v="1"/>
    <n v="1"/>
  </r>
  <r>
    <n v="553"/>
    <d v="2011-01-28T00:00:00"/>
    <n v="1"/>
    <n v="1"/>
    <x v="15"/>
    <b v="0"/>
    <n v="5"/>
    <n v="2"/>
    <n v="0.2"/>
    <n v="552"/>
    <n v="0.13639999999999999"/>
    <n v="0.74"/>
    <n v="0.22389999999999999"/>
    <n v="0"/>
    <n v="9"/>
    <n v="9"/>
  </r>
  <r>
    <n v="554"/>
    <d v="2011-01-28T00:00:00"/>
    <n v="1"/>
    <n v="1"/>
    <x v="15"/>
    <b v="0"/>
    <n v="5"/>
    <n v="2"/>
    <n v="0.2"/>
    <n v="553"/>
    <n v="0.18179999999999999"/>
    <n v="0.74"/>
    <n v="0.1045"/>
    <n v="1"/>
    <n v="35"/>
    <n v="36"/>
  </r>
  <r>
    <n v="555"/>
    <d v="2011-01-28T00:00:00"/>
    <n v="1"/>
    <n v="1"/>
    <x v="15"/>
    <b v="0"/>
    <n v="5"/>
    <n v="2"/>
    <n v="0.2"/>
    <n v="554"/>
    <n v="0.1515"/>
    <n v="0.74"/>
    <n v="0.22389999999999999"/>
    <n v="5"/>
    <n v="103"/>
    <n v="108"/>
  </r>
  <r>
    <n v="556"/>
    <d v="2011-01-28T00:00:00"/>
    <n v="1"/>
    <n v="1"/>
    <x v="15"/>
    <b v="0"/>
    <n v="5"/>
    <n v="2"/>
    <n v="0.2"/>
    <n v="555"/>
    <n v="0.18179999999999999"/>
    <n v="0.74"/>
    <n v="0.1343"/>
    <n v="5"/>
    <n v="233"/>
    <n v="238"/>
  </r>
  <r>
    <n v="557"/>
    <d v="2011-01-28T00:00:00"/>
    <n v="1"/>
    <n v="1"/>
    <x v="15"/>
    <b v="0"/>
    <n v="5"/>
    <n v="2"/>
    <n v="0.2"/>
    <n v="556"/>
    <n v="0.2273"/>
    <n v="0.64"/>
    <n v="8.9599999999999999E-2"/>
    <n v="10"/>
    <n v="134"/>
    <n v="144"/>
  </r>
  <r>
    <n v="558"/>
    <d v="2011-01-28T00:00:00"/>
    <n v="1"/>
    <n v="1"/>
    <x v="15"/>
    <b v="0"/>
    <n v="5"/>
    <n v="2"/>
    <n v="0.2"/>
    <n v="557"/>
    <n v="0.2424"/>
    <n v="0.6"/>
    <n v="0.1045"/>
    <n v="6"/>
    <n v="49"/>
    <n v="55"/>
  </r>
  <r>
    <n v="559"/>
    <d v="2011-01-28T00:00:00"/>
    <n v="1"/>
    <n v="1"/>
    <x v="15"/>
    <b v="0"/>
    <n v="5"/>
    <n v="2"/>
    <n v="0.2"/>
    <n v="558"/>
    <n v="0.2424"/>
    <n v="0.6"/>
    <n v="0.1343"/>
    <n v="6"/>
    <n v="55"/>
    <n v="61"/>
  </r>
  <r>
    <n v="560"/>
    <d v="2011-01-28T00:00:00"/>
    <n v="1"/>
    <n v="1"/>
    <x v="15"/>
    <b v="0"/>
    <n v="5"/>
    <n v="2"/>
    <n v="0.2"/>
    <n v="559"/>
    <n v="0.28789999999999999"/>
    <n v="0.56000000000000005"/>
    <n v="8.9599999999999999E-2"/>
    <n v="21"/>
    <n v="85"/>
    <n v="106"/>
  </r>
  <r>
    <n v="561"/>
    <d v="2011-01-28T00:00:00"/>
    <n v="1"/>
    <n v="1"/>
    <x v="15"/>
    <b v="0"/>
    <n v="5"/>
    <n v="2"/>
    <n v="0.2"/>
    <n v="560"/>
    <n v="0.2727"/>
    <n v="0.56000000000000005"/>
    <n v="0.1343"/>
    <n v="21"/>
    <n v="72"/>
    <n v="93"/>
  </r>
  <r>
    <n v="562"/>
    <d v="2011-01-28T00:00:00"/>
    <n v="1"/>
    <n v="1"/>
    <x v="15"/>
    <b v="0"/>
    <n v="5"/>
    <n v="2"/>
    <n v="0.2"/>
    <n v="561"/>
    <n v="0.33329999999999999"/>
    <n v="0.45"/>
    <n v="0"/>
    <n v="11"/>
    <n v="57"/>
    <n v="68"/>
  </r>
  <r>
    <n v="563"/>
    <d v="2011-01-28T00:00:00"/>
    <n v="1"/>
    <n v="1"/>
    <x v="15"/>
    <b v="0"/>
    <n v="5"/>
    <n v="2"/>
    <n v="0.2"/>
    <n v="562"/>
    <n v="0.34849999999999998"/>
    <n v="0.42"/>
    <n v="0"/>
    <n v="21"/>
    <n v="63"/>
    <n v="84"/>
  </r>
  <r>
    <n v="564"/>
    <d v="2011-01-28T00:00:00"/>
    <n v="1"/>
    <n v="1"/>
    <x v="15"/>
    <b v="0"/>
    <n v="5"/>
    <n v="2"/>
    <n v="0.2"/>
    <n v="563"/>
    <n v="0.34849999999999998"/>
    <n v="0.42"/>
    <n v="0"/>
    <n v="14"/>
    <n v="102"/>
    <n v="116"/>
  </r>
  <r>
    <n v="565"/>
    <d v="2011-01-28T00:00:00"/>
    <n v="1"/>
    <n v="1"/>
    <x v="15"/>
    <b v="0"/>
    <n v="5"/>
    <n v="2"/>
    <n v="0.2"/>
    <n v="564"/>
    <n v="0.33329999999999999"/>
    <n v="0.45"/>
    <n v="0"/>
    <n v="14"/>
    <n v="208"/>
    <n v="222"/>
  </r>
  <r>
    <n v="566"/>
    <d v="2011-01-28T00:00:00"/>
    <n v="1"/>
    <n v="1"/>
    <x v="15"/>
    <b v="0"/>
    <n v="5"/>
    <n v="2"/>
    <n v="0.2"/>
    <n v="565"/>
    <n v="0.31819999999999998"/>
    <n v="0.49"/>
    <n v="8.9599999999999999E-2"/>
    <n v="7"/>
    <n v="218"/>
    <n v="225"/>
  </r>
  <r>
    <n v="567"/>
    <d v="2011-01-28T00:00:00"/>
    <n v="1"/>
    <n v="1"/>
    <x v="15"/>
    <b v="0"/>
    <n v="5"/>
    <n v="2"/>
    <n v="0.2"/>
    <n v="566"/>
    <n v="0.2576"/>
    <n v="0.65"/>
    <n v="0.16420000000000001"/>
    <n v="13"/>
    <n v="133"/>
    <n v="146"/>
  </r>
  <r>
    <n v="568"/>
    <d v="2011-01-28T00:00:00"/>
    <n v="1"/>
    <n v="1"/>
    <x v="15"/>
    <b v="0"/>
    <n v="5"/>
    <n v="2"/>
    <n v="0.2"/>
    <n v="567"/>
    <n v="0.2273"/>
    <n v="0.65"/>
    <n v="0.19400000000000001"/>
    <n v="16"/>
    <n v="103"/>
    <n v="119"/>
  </r>
  <r>
    <n v="569"/>
    <d v="2011-01-28T00:00:00"/>
    <n v="1"/>
    <n v="1"/>
    <x v="15"/>
    <b v="0"/>
    <n v="5"/>
    <n v="2"/>
    <n v="0.2"/>
    <n v="568"/>
    <n v="0.2273"/>
    <n v="0.65"/>
    <n v="0.19400000000000001"/>
    <n v="5"/>
    <n v="40"/>
    <n v="45"/>
  </r>
  <r>
    <n v="570"/>
    <d v="2011-01-28T00:00:00"/>
    <n v="1"/>
    <n v="1"/>
    <x v="15"/>
    <b v="0"/>
    <n v="5"/>
    <n v="2"/>
    <n v="0.2"/>
    <n v="569"/>
    <n v="0.2273"/>
    <n v="0.64"/>
    <n v="0.16420000000000001"/>
    <n v="4"/>
    <n v="49"/>
    <n v="53"/>
  </r>
  <r>
    <n v="571"/>
    <d v="2011-01-28T00:00:00"/>
    <n v="1"/>
    <n v="1"/>
    <x v="15"/>
    <b v="0"/>
    <n v="5"/>
    <n v="2"/>
    <n v="0.2"/>
    <n v="570"/>
    <n v="0.2273"/>
    <n v="0.64"/>
    <n v="0.16420000000000001"/>
    <n v="3"/>
    <n v="37"/>
    <n v="40"/>
  </r>
  <r>
    <n v="572"/>
    <d v="2011-01-28T00:00:00"/>
    <n v="1"/>
    <n v="1"/>
    <x v="15"/>
    <b v="0"/>
    <n v="5"/>
    <n v="2"/>
    <n v="0.2"/>
    <n v="571"/>
    <n v="0.2273"/>
    <n v="0.69"/>
    <n v="0.1343"/>
    <n v="3"/>
    <n v="14"/>
    <n v="17"/>
  </r>
  <r>
    <n v="573"/>
    <d v="2011-01-28T00:00:00"/>
    <n v="1"/>
    <n v="1"/>
    <x v="15"/>
    <b v="0"/>
    <n v="5"/>
    <n v="2"/>
    <n v="0.2"/>
    <n v="572"/>
    <n v="0.2424"/>
    <n v="0.65"/>
    <n v="0.1343"/>
    <n v="0"/>
    <n v="5"/>
    <n v="5"/>
  </r>
  <r>
    <n v="574"/>
    <d v="2011-01-28T00:00:00"/>
    <n v="1"/>
    <n v="1"/>
    <x v="15"/>
    <b v="0"/>
    <n v="5"/>
    <n v="2"/>
    <n v="0.2"/>
    <n v="573"/>
    <n v="0.2273"/>
    <n v="0.69"/>
    <n v="0.19400000000000001"/>
    <n v="3"/>
    <n v="7"/>
    <n v="10"/>
  </r>
  <r>
    <n v="575"/>
    <d v="2011-01-28T00:00:00"/>
    <n v="1"/>
    <n v="1"/>
    <x v="15"/>
    <b v="0"/>
    <n v="5"/>
    <n v="2"/>
    <n v="0.2"/>
    <n v="574"/>
    <n v="0.18179999999999999"/>
    <n v="0.86"/>
    <n v="0.28360000000000002"/>
    <n v="0"/>
    <n v="1"/>
    <n v="1"/>
  </r>
  <r>
    <n v="576"/>
    <d v="2011-01-28T00:00:00"/>
    <n v="1"/>
    <n v="1"/>
    <x v="15"/>
    <b v="0"/>
    <n v="5"/>
    <n v="2"/>
    <n v="0.2"/>
    <n v="575"/>
    <n v="0.18179999999999999"/>
    <n v="0.86"/>
    <n v="0.28360000000000002"/>
    <n v="0"/>
    <n v="8"/>
    <n v="8"/>
  </r>
  <r>
    <n v="577"/>
    <d v="2011-01-28T00:00:00"/>
    <n v="1"/>
    <n v="1"/>
    <x v="15"/>
    <b v="0"/>
    <n v="5"/>
    <n v="2"/>
    <n v="0.2"/>
    <n v="576"/>
    <n v="0.21210000000000001"/>
    <n v="0.87"/>
    <n v="0.29849999999999999"/>
    <n v="1"/>
    <n v="29"/>
    <n v="30"/>
  </r>
  <r>
    <n v="578"/>
    <d v="2011-01-28T00:00:00"/>
    <n v="1"/>
    <n v="1"/>
    <x v="15"/>
    <b v="0"/>
    <n v="5"/>
    <n v="2"/>
    <n v="0.2"/>
    <n v="577"/>
    <n v="0.21210000000000001"/>
    <n v="0.87"/>
    <n v="0.29849999999999999"/>
    <n v="3"/>
    <n v="69"/>
    <n v="72"/>
  </r>
  <r>
    <n v="579"/>
    <d v="2011-01-28T00:00:00"/>
    <n v="1"/>
    <n v="1"/>
    <x v="15"/>
    <b v="0"/>
    <n v="5"/>
    <n v="2"/>
    <n v="0.2"/>
    <n v="578"/>
    <n v="0.21210000000000001"/>
    <n v="0.87"/>
    <n v="0.29849999999999999"/>
    <n v="3"/>
    <n v="55"/>
    <n v="58"/>
  </r>
  <r>
    <n v="580"/>
    <d v="2011-01-28T00:00:00"/>
    <n v="1"/>
    <n v="1"/>
    <x v="15"/>
    <b v="0"/>
    <n v="5"/>
    <n v="2"/>
    <n v="0.2"/>
    <n v="579"/>
    <n v="0.21210000000000001"/>
    <n v="0.93"/>
    <n v="0.28360000000000002"/>
    <n v="2"/>
    <n v="26"/>
    <n v="28"/>
  </r>
  <r>
    <n v="581"/>
    <d v="2011-01-28T00:00:00"/>
    <n v="1"/>
    <n v="1"/>
    <x v="15"/>
    <b v="0"/>
    <n v="5"/>
    <n v="2"/>
    <n v="0.2"/>
    <n v="580"/>
    <n v="0.19700000000000001"/>
    <n v="0.93"/>
    <n v="0.32840000000000003"/>
    <n v="6"/>
    <n v="35"/>
    <n v="41"/>
  </r>
  <r>
    <n v="582"/>
    <d v="2011-01-28T00:00:00"/>
    <n v="1"/>
    <n v="1"/>
    <x v="15"/>
    <b v="0"/>
    <n v="5"/>
    <n v="2"/>
    <n v="0.2"/>
    <n v="581"/>
    <n v="0.19700000000000001"/>
    <n v="0.93"/>
    <n v="0.32840000000000003"/>
    <n v="7"/>
    <n v="41"/>
    <n v="48"/>
  </r>
  <r>
    <n v="583"/>
    <d v="2011-01-28T00:00:00"/>
    <n v="1"/>
    <n v="1"/>
    <x v="15"/>
    <b v="0"/>
    <n v="5"/>
    <n v="2"/>
    <n v="0.2"/>
    <n v="582"/>
    <n v="0.19700000000000001"/>
    <n v="0.93"/>
    <n v="0.32840000000000003"/>
    <n v="4"/>
    <n v="43"/>
    <n v="47"/>
  </r>
  <r>
    <n v="584"/>
    <d v="2011-01-28T00:00:00"/>
    <n v="1"/>
    <n v="1"/>
    <x v="15"/>
    <b v="0"/>
    <n v="5"/>
    <n v="2"/>
    <n v="0.2"/>
    <n v="583"/>
    <n v="0.19700000000000001"/>
    <n v="0.93"/>
    <n v="0.35820000000000002"/>
    <n v="0"/>
    <n v="36"/>
    <n v="36"/>
  </r>
  <r>
    <n v="585"/>
    <d v="2011-01-28T00:00:00"/>
    <n v="1"/>
    <n v="1"/>
    <x v="15"/>
    <b v="0"/>
    <n v="5"/>
    <n v="2"/>
    <n v="0.2"/>
    <n v="584"/>
    <n v="0.18179999999999999"/>
    <n v="0.93"/>
    <n v="0.4627"/>
    <n v="1"/>
    <n v="42"/>
    <n v="43"/>
  </r>
  <r>
    <n v="586"/>
    <d v="2011-01-28T00:00:00"/>
    <n v="1"/>
    <n v="1"/>
    <x v="15"/>
    <b v="0"/>
    <n v="5"/>
    <n v="2"/>
    <n v="0.2"/>
    <n v="585"/>
    <n v="0.19700000000000001"/>
    <n v="0.93"/>
    <n v="0.32840000000000003"/>
    <n v="1"/>
    <n v="35"/>
    <n v="36"/>
  </r>
  <r>
    <n v="587"/>
    <d v="2011-01-28T00:00:00"/>
    <n v="1"/>
    <n v="1"/>
    <x v="15"/>
    <b v="0"/>
    <n v="5"/>
    <n v="2"/>
    <n v="0.2"/>
    <n v="586"/>
    <n v="0.18179999999999999"/>
    <n v="0.93"/>
    <n v="0.35820000000000002"/>
    <n v="0"/>
    <n v="26"/>
    <n v="26"/>
  </r>
  <r>
    <n v="588"/>
    <d v="2011-01-28T00:00:00"/>
    <n v="1"/>
    <n v="1"/>
    <x v="15"/>
    <b v="0"/>
    <n v="5"/>
    <n v="2"/>
    <n v="0.2"/>
    <n v="587"/>
    <n v="0.2273"/>
    <n v="0.55000000000000004"/>
    <n v="0.19400000000000001"/>
    <n v="1"/>
    <n v="23"/>
    <n v="24"/>
  </r>
  <r>
    <n v="589"/>
    <d v="2011-01-28T00:00:00"/>
    <n v="1"/>
    <n v="1"/>
    <x v="15"/>
    <b v="0"/>
    <n v="5"/>
    <n v="2"/>
    <n v="0.2"/>
    <n v="588"/>
    <n v="0.2424"/>
    <n v="0.55000000000000004"/>
    <n v="0.1045"/>
    <n v="2"/>
    <n v="82"/>
    <n v="84"/>
  </r>
  <r>
    <n v="590"/>
    <d v="2011-01-28T00:00:00"/>
    <n v="1"/>
    <n v="1"/>
    <x v="15"/>
    <b v="0"/>
    <n v="5"/>
    <n v="2"/>
    <n v="0.2"/>
    <n v="589"/>
    <n v="0.2273"/>
    <n v="0.69"/>
    <n v="8.9599999999999999E-2"/>
    <n v="3"/>
    <n v="101"/>
    <n v="104"/>
  </r>
  <r>
    <n v="591"/>
    <d v="2011-01-28T00:00:00"/>
    <n v="1"/>
    <n v="1"/>
    <x v="15"/>
    <b v="0"/>
    <n v="5"/>
    <n v="2"/>
    <n v="0.2"/>
    <n v="590"/>
    <n v="0.2273"/>
    <n v="0.69"/>
    <n v="8.9599999999999999E-2"/>
    <n v="3"/>
    <n v="76"/>
    <n v="79"/>
  </r>
  <r>
    <n v="592"/>
    <d v="2011-01-28T00:00:00"/>
    <n v="1"/>
    <n v="1"/>
    <x v="15"/>
    <b v="0"/>
    <n v="5"/>
    <n v="2"/>
    <n v="0.2"/>
    <n v="591"/>
    <n v="0.21210000000000001"/>
    <n v="0.74"/>
    <n v="8.9599999999999999E-2"/>
    <n v="4"/>
    <n v="55"/>
    <n v="59"/>
  </r>
  <r>
    <n v="593"/>
    <d v="2011-01-28T00:00:00"/>
    <n v="1"/>
    <n v="1"/>
    <x v="15"/>
    <b v="0"/>
    <n v="5"/>
    <n v="2"/>
    <n v="0.2"/>
    <n v="592"/>
    <n v="0.21210000000000001"/>
    <n v="0.74"/>
    <n v="8.9599999999999999E-2"/>
    <n v="2"/>
    <n v="36"/>
    <n v="38"/>
  </r>
  <r>
    <n v="594"/>
    <d v="2011-01-28T00:00:00"/>
    <n v="1"/>
    <n v="1"/>
    <x v="15"/>
    <b v="0"/>
    <n v="5"/>
    <n v="2"/>
    <n v="0.2"/>
    <n v="593"/>
    <n v="0.21210000000000001"/>
    <n v="0.74"/>
    <n v="8.9599999999999999E-2"/>
    <n v="0"/>
    <n v="27"/>
    <n v="27"/>
  </r>
  <r>
    <n v="595"/>
    <d v="2011-01-28T00:00:00"/>
    <n v="1"/>
    <n v="1"/>
    <x v="15"/>
    <b v="0"/>
    <n v="5"/>
    <n v="2"/>
    <n v="0.2"/>
    <n v="594"/>
    <n v="0.19700000000000001"/>
    <n v="0.8"/>
    <n v="0.16420000000000001"/>
    <n v="0"/>
    <n v="16"/>
    <n v="16"/>
  </r>
  <r>
    <n v="596"/>
    <d v="2011-01-28T00:00:00"/>
    <n v="1"/>
    <n v="1"/>
    <x v="15"/>
    <b v="0"/>
    <n v="5"/>
    <n v="2"/>
    <n v="0.2"/>
    <n v="595"/>
    <n v="0.21210000000000001"/>
    <n v="0.75"/>
    <n v="0.1343"/>
    <n v="0"/>
    <n v="9"/>
    <n v="9"/>
  </r>
  <r>
    <n v="597"/>
    <d v="2011-01-28T00:00:00"/>
    <n v="1"/>
    <n v="1"/>
    <x v="15"/>
    <b v="0"/>
    <n v="5"/>
    <n v="2"/>
    <n v="0.2"/>
    <n v="596"/>
    <n v="0.21210000000000001"/>
    <n v="0.75"/>
    <n v="0.1343"/>
    <n v="1"/>
    <n v="2"/>
    <n v="3"/>
  </r>
  <r>
    <n v="598"/>
    <d v="2011-01-28T00:00:00"/>
    <n v="1"/>
    <n v="1"/>
    <x v="15"/>
    <b v="0"/>
    <n v="5"/>
    <n v="2"/>
    <n v="0.2"/>
    <n v="597"/>
    <n v="0.21210000000000001"/>
    <n v="0.75"/>
    <n v="0.16420000000000001"/>
    <n v="0"/>
    <n v="2"/>
    <n v="2"/>
  </r>
  <r>
    <n v="599"/>
    <d v="2011-01-28T00:00:00"/>
    <n v="1"/>
    <n v="1"/>
    <x v="15"/>
    <b v="0"/>
    <n v="5"/>
    <n v="2"/>
    <n v="0.2"/>
    <n v="598"/>
    <n v="0.2273"/>
    <n v="0.75"/>
    <n v="0.1045"/>
    <n v="1"/>
    <n v="0"/>
    <n v="1"/>
  </r>
  <r>
    <n v="600"/>
    <d v="2011-01-28T00:00:00"/>
    <n v="1"/>
    <n v="1"/>
    <x v="15"/>
    <b v="0"/>
    <n v="5"/>
    <n v="2"/>
    <n v="0.2"/>
    <n v="599"/>
    <n v="0.21210000000000001"/>
    <n v="0.8"/>
    <n v="0.1045"/>
    <n v="0"/>
    <n v="4"/>
    <n v="4"/>
  </r>
  <r>
    <n v="601"/>
    <d v="2011-01-28T00:00:00"/>
    <n v="1"/>
    <n v="1"/>
    <x v="15"/>
    <b v="0"/>
    <n v="5"/>
    <n v="2"/>
    <n v="0.2"/>
    <n v="600"/>
    <n v="0.19700000000000001"/>
    <n v="0.8"/>
    <n v="0.1343"/>
    <n v="0"/>
    <n v="16"/>
    <n v="16"/>
  </r>
  <r>
    <n v="602"/>
    <d v="2011-01-28T00:00:00"/>
    <n v="1"/>
    <n v="1"/>
    <x v="15"/>
    <b v="0"/>
    <n v="5"/>
    <n v="2"/>
    <n v="0.2"/>
    <n v="601"/>
    <n v="0.19700000000000001"/>
    <n v="0.86"/>
    <n v="8.9599999999999999E-2"/>
    <n v="2"/>
    <n v="58"/>
    <n v="60"/>
  </r>
  <r>
    <n v="603"/>
    <d v="2011-01-28T00:00:00"/>
    <n v="1"/>
    <n v="1"/>
    <x v="15"/>
    <b v="0"/>
    <n v="5"/>
    <n v="2"/>
    <n v="0.2"/>
    <n v="602"/>
    <n v="0.19700000000000001"/>
    <n v="0.86"/>
    <n v="8.9599999999999999E-2"/>
    <n v="2"/>
    <n v="155"/>
    <n v="157"/>
  </r>
  <r>
    <n v="604"/>
    <d v="2011-01-28T00:00:00"/>
    <n v="1"/>
    <n v="1"/>
    <x v="15"/>
    <b v="0"/>
    <n v="5"/>
    <n v="2"/>
    <n v="0.2"/>
    <n v="603"/>
    <n v="0.21210000000000001"/>
    <n v="0.86"/>
    <n v="8.9599999999999999E-2"/>
    <n v="6"/>
    <n v="95"/>
    <n v="101"/>
  </r>
  <r>
    <n v="605"/>
    <d v="2011-01-28T00:00:00"/>
    <n v="1"/>
    <n v="1"/>
    <x v="15"/>
    <b v="0"/>
    <n v="5"/>
    <n v="2"/>
    <n v="0.2"/>
    <n v="604"/>
    <n v="0.21210000000000001"/>
    <n v="0.86"/>
    <n v="0.1045"/>
    <n v="0"/>
    <n v="49"/>
    <n v="49"/>
  </r>
  <r>
    <n v="606"/>
    <d v="2011-01-28T00:00:00"/>
    <n v="1"/>
    <n v="1"/>
    <x v="15"/>
    <b v="0"/>
    <n v="5"/>
    <n v="2"/>
    <n v="0.2"/>
    <n v="605"/>
    <n v="0.21210000000000001"/>
    <n v="0.93"/>
    <n v="0.1045"/>
    <n v="0"/>
    <n v="30"/>
    <n v="30"/>
  </r>
  <r>
    <n v="607"/>
    <d v="2011-01-28T00:00:00"/>
    <n v="1"/>
    <n v="1"/>
    <x v="15"/>
    <b v="0"/>
    <n v="5"/>
    <n v="2"/>
    <n v="0.2"/>
    <n v="606"/>
    <n v="0.21210000000000001"/>
    <n v="0.93"/>
    <n v="0.1045"/>
    <n v="1"/>
    <n v="28"/>
    <n v="29"/>
  </r>
  <r>
    <n v="608"/>
    <d v="2011-01-28T00:00:00"/>
    <n v="1"/>
    <n v="1"/>
    <x v="15"/>
    <b v="0"/>
    <n v="5"/>
    <n v="2"/>
    <n v="0.2"/>
    <n v="607"/>
    <n v="0.21210000000000001"/>
    <n v="0.93"/>
    <n v="0.1045"/>
    <n v="0"/>
    <n v="31"/>
    <n v="31"/>
  </r>
  <r>
    <n v="609"/>
    <d v="2011-01-28T00:00:00"/>
    <n v="1"/>
    <n v="1"/>
    <x v="15"/>
    <b v="0"/>
    <n v="5"/>
    <n v="2"/>
    <n v="0.2"/>
    <n v="608"/>
    <n v="0.2727"/>
    <n v="0.8"/>
    <n v="0"/>
    <n v="2"/>
    <n v="36"/>
    <n v="38"/>
  </r>
  <r>
    <n v="610"/>
    <d v="2011-01-28T00:00:00"/>
    <n v="1"/>
    <n v="1"/>
    <x v="15"/>
    <b v="0"/>
    <n v="5"/>
    <n v="2"/>
    <n v="0.2"/>
    <n v="609"/>
    <n v="0.2576"/>
    <n v="0.86"/>
    <n v="0"/>
    <n v="1"/>
    <n v="40"/>
    <n v="41"/>
  </r>
  <r>
    <n v="611"/>
    <d v="2011-01-28T00:00:00"/>
    <n v="1"/>
    <n v="1"/>
    <x v="15"/>
    <b v="0"/>
    <n v="5"/>
    <n v="2"/>
    <n v="0.2"/>
    <n v="0"/>
    <n v="0"/>
    <n v="0"/>
    <n v="0"/>
    <n v="0"/>
    <n v="0"/>
    <n v="0"/>
  </r>
  <r>
    <m/>
    <m/>
    <m/>
    <m/>
    <x v="24"/>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11057-F78B-4587-969A-2F27A1B870E2}"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r">
  <location ref="A7:C33" firstHeaderRow="0" firstDataRow="1" firstDataCol="1"/>
  <pivotFields count="16">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items count="9">
        <item x="1"/>
        <item x="2"/>
        <item x="3"/>
        <item x="4"/>
        <item x="5"/>
        <item x="6"/>
        <item x="0"/>
        <item x="7"/>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dataField="1" showAll="0"/>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vg. of rental" fld="15" subtotal="average" baseField="4" baseItem="0"/>
    <dataField name="total rental" fld="15" baseField="4"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910ED7-6BDB-4449-8061-D740FFC212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asons">
  <location ref="A7:C9" firstHeaderRow="0" firstDataRow="1" firstDataCol="1"/>
  <pivotFields count="16">
    <pivotField showAll="0"/>
    <pivotField showAll="0"/>
    <pivotField axis="axisRow" showAll="0">
      <items count="2">
        <item x="0"/>
        <item t="default"/>
      </items>
    </pivotField>
    <pivotField showAll="0">
      <items count="2">
        <item x="0"/>
        <item t="default"/>
      </items>
    </pivotField>
    <pivotField showAll="0"/>
    <pivotField showAll="0"/>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showAll="0"/>
    <pivotField dataField="1" showAll="0">
      <items count="167">
        <item x="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Fields count="1">
    <field x="2"/>
  </rowFields>
  <rowItems count="2">
    <i>
      <x/>
    </i>
    <i t="grand">
      <x/>
    </i>
  </rowItems>
  <colFields count="1">
    <field x="-2"/>
  </colFields>
  <colItems count="2">
    <i>
      <x/>
    </i>
    <i i="1">
      <x v="1"/>
    </i>
  </colItems>
  <dataFields count="2">
    <dataField name="Average of rental" fld="15" subtotal="average" baseField="2" baseItem="0"/>
    <dataField name="Total rental" fld="15" baseField="2" baseItem="0"/>
  </dataFields>
  <formats count="3">
    <format dxfId="123">
      <pivotArea dataOnly="0" fieldPosition="0">
        <references count="1">
          <reference field="2" count="0"/>
        </references>
      </pivotArea>
    </format>
    <format dxfId="122">
      <pivotArea grandRow="1" outline="0" collapsedLevelsAreSubtotals="1" fieldPosition="0"/>
    </format>
    <format dxfId="121">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9E3B12-4912-472C-A5A2-C78F215F42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eather ">
  <location ref="A7:C31" firstHeaderRow="0" firstDataRow="1" firstDataCol="1"/>
  <pivotFields count="16">
    <pivotField showAll="0"/>
    <pivotField showAll="0"/>
    <pivotField showAll="0"/>
    <pivotField showAll="0"/>
    <pivotField showAll="0"/>
    <pivotField showAll="0">
      <items count="3">
        <item x="0"/>
        <item x="1"/>
        <item t="default"/>
      </items>
    </pivotField>
    <pivotField showAll="0">
      <items count="8">
        <item x="1"/>
        <item x="2"/>
        <item x="3"/>
        <item x="4"/>
        <item x="5"/>
        <item h="1" x="6"/>
        <item h="1" x="0"/>
        <item t="default"/>
      </items>
    </pivotField>
    <pivotField showAll="0">
      <items count="5">
        <item x="0"/>
        <item x="1"/>
        <item x="2"/>
        <item x="3"/>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showAll="0"/>
    <pivotField dataField="1" showAll="0">
      <items count="167">
        <item x="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Fields count="1">
    <field x="8"/>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Average of cnt" fld="15" subtotal="average" baseField="7" baseItem="2"/>
    <dataField name="Sum of cnt" fld="15"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57384-9D0C-4690-873F-6596F446F2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easons">
  <location ref="A7:D32" firstHeaderRow="0" firstDataRow="1" firstDataCol="1"/>
  <pivotFields count="16">
    <pivotField showAll="0"/>
    <pivotField showAll="0"/>
    <pivotField showAll="0">
      <items count="2">
        <item x="0"/>
        <item t="default"/>
      </items>
    </pivotField>
    <pivotField showAll="0">
      <items count="2">
        <item x="0"/>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dataFiel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Average of casual" fld="13" subtotal="average" baseField="0" baseItem="0"/>
    <dataField name="Average of registered" fld="14" subtotal="average" baseField="0" baseItem="0"/>
    <dataField name="Sum of cnt" fld="15" baseField="0" baseItem="0"/>
  </dataFields>
  <formats count="4">
    <format dxfId="120">
      <pivotArea collapsedLevelsAreSubtotals="1" fieldPosition="0">
        <references count="1">
          <reference field="4" count="0"/>
        </references>
      </pivotArea>
    </format>
    <format dxfId="119">
      <pivotArea dataOnly="0" labelOnly="1" fieldPosition="0">
        <references count="1">
          <reference field="4" count="0"/>
        </references>
      </pivotArea>
    </format>
    <format dxfId="87">
      <pivotArea collapsedLevelsAreSubtotals="1" fieldPosition="0">
        <references count="1">
          <reference field="4" count="0"/>
        </references>
      </pivotArea>
    </format>
    <format dxfId="86">
      <pivotArea dataOnly="0" labelOnly="1" fieldPosition="0">
        <references count="1">
          <reference field="4" count="0"/>
        </references>
      </pivotArea>
    </format>
  </format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6F6763-5054-45E9-B8B5-439FE2AC1F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emp.">
  <location ref="A7:C31" firstHeaderRow="0" firstDataRow="1" firstDataCol="1"/>
  <pivotFields count="16">
    <pivotField showAll="0"/>
    <pivotField showAll="0"/>
    <pivotField showAll="0">
      <items count="2">
        <item x="0"/>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5">
        <item x="0"/>
        <item x="1"/>
        <item x="2"/>
        <item x="3"/>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showAll="0"/>
    <pivotField dataField="1" showAll="0">
      <items count="167">
        <item h="1" x="165"/>
        <item x="4"/>
        <item x="5"/>
        <item x="6"/>
        <item h="1" x="48"/>
        <item h="1" x="36"/>
        <item h="1" x="24"/>
        <item h="1" x="85"/>
        <item h="1" x="7"/>
        <item h="1" x="23"/>
        <item h="1" x="98"/>
        <item h="1" x="62"/>
        <item h="1" x="47"/>
        <item h="1" x="3"/>
        <item h="1" x="8"/>
        <item h="1" x="93"/>
        <item h="1" x="0"/>
        <item h="1" x="22"/>
        <item h="1" x="109"/>
        <item h="1" x="75"/>
        <item h="1" x="25"/>
        <item h="1" x="137"/>
        <item h="1" x="34"/>
        <item h="1" x="84"/>
        <item h="1" x="108"/>
        <item h="1" x="94"/>
        <item h="1" x="132"/>
        <item h="1" x="110"/>
        <item h="1" x="20"/>
        <item h="1" x="115"/>
        <item h="1" x="33"/>
        <item h="1" x="35"/>
        <item h="1" x="2"/>
        <item h="1" x="63"/>
        <item h="1" x="19"/>
        <item h="1" x="17"/>
        <item h="1" x="9"/>
        <item h="1" x="18"/>
        <item h="1" x="103"/>
        <item h="1" x="21"/>
        <item h="1" x="1"/>
        <item h="1" x="102"/>
        <item h="1" x="51"/>
        <item h="1" x="74"/>
        <item h="1" x="40"/>
        <item h="1" x="79"/>
        <item h="1" x="66"/>
        <item h="1" x="105"/>
        <item h="1" x="61"/>
        <item h="1" x="99"/>
        <item h="1" x="89"/>
        <item h="1" x="41"/>
        <item h="1" x="46"/>
        <item h="1" x="26"/>
        <item h="1" x="60"/>
        <item h="1" x="97"/>
        <item h="1" x="10"/>
        <item h="1" x="52"/>
        <item h="1" x="154"/>
        <item h="1" x="29"/>
        <item h="1" x="122"/>
        <item h="1" x="42"/>
        <item h="1" x="69"/>
        <item h="1" x="55"/>
        <item h="1" x="37"/>
        <item h="1" x="32"/>
        <item h="1" x="16"/>
        <item h="1" x="118"/>
        <item h="1" x="83"/>
        <item h="1" x="27"/>
        <item h="1" x="68"/>
        <item h="1" x="44"/>
        <item h="1" x="88"/>
        <item h="1" x="30"/>
        <item h="1" x="28"/>
        <item h="1" x="31"/>
        <item h="1" x="43"/>
        <item h="1" x="53"/>
        <item h="1" x="67"/>
        <item h="1" x="138"/>
        <item h="1" x="117"/>
        <item h="1" x="100"/>
        <item h="1" x="56"/>
        <item h="1" x="11"/>
        <item h="1" x="80"/>
        <item h="1" x="90"/>
        <item h="1" x="39"/>
        <item h="1" x="70"/>
        <item h="1" x="127"/>
        <item h="1" x="134"/>
        <item h="1" x="101"/>
        <item h="1" x="15"/>
        <item h="1" x="12"/>
        <item h="1" x="76"/>
        <item h="1" x="152"/>
        <item h="1" x="54"/>
        <item h="1" x="95"/>
        <item h="1" x="111"/>
        <item h="1" x="50"/>
        <item h="1" x="129"/>
        <item h="1" x="96"/>
        <item h="1" x="153"/>
        <item h="1" x="133"/>
        <item h="1" x="136"/>
        <item h="1" x="13"/>
        <item h="1" x="159"/>
        <item h="1" x="142"/>
        <item h="1" x="14"/>
        <item h="1" x="59"/>
        <item h="1" x="135"/>
        <item h="1" x="65"/>
        <item h="1" x="155"/>
        <item h="1" x="126"/>
        <item h="1" x="130"/>
        <item h="1" x="164"/>
        <item h="1" x="151"/>
        <item h="1" x="78"/>
        <item h="1" x="92"/>
        <item h="1" x="139"/>
        <item h="1" x="149"/>
        <item h="1" x="116"/>
        <item h="1" x="131"/>
        <item h="1" x="113"/>
        <item h="1" x="73"/>
        <item h="1" x="140"/>
        <item h="1" x="87"/>
        <item h="1" x="114"/>
        <item h="1" x="120"/>
        <item h="1" x="119"/>
        <item h="1" x="145"/>
        <item h="1" x="124"/>
        <item h="1" x="163"/>
        <item h="1" x="148"/>
        <item h="1" x="158"/>
        <item h="1" x="38"/>
        <item h="1" x="107"/>
        <item h="1" x="45"/>
        <item h="1" x="125"/>
        <item h="1" x="128"/>
        <item h="1" x="143"/>
        <item h="1" x="123"/>
        <item h="1" x="82"/>
        <item h="1" x="150"/>
        <item h="1" x="72"/>
        <item h="1" x="81"/>
        <item h="1" x="156"/>
        <item h="1" x="106"/>
        <item h="1" x="49"/>
        <item h="1" x="58"/>
        <item h="1" x="157"/>
        <item h="1" x="147"/>
        <item h="1" x="91"/>
        <item h="1" x="104"/>
        <item h="1" x="71"/>
        <item h="1" x="64"/>
        <item h="1" x="141"/>
        <item h="1" x="121"/>
        <item h="1" x="86"/>
        <item h="1" x="57"/>
        <item h="1" x="146"/>
        <item h="1" x="112"/>
        <item h="1" x="77"/>
        <item h="1" x="161"/>
        <item h="1" x="162"/>
        <item h="1" x="160"/>
        <item h="1" x="144"/>
        <item t="default"/>
      </items>
    </pivotField>
  </pivotFields>
  <rowFields count="1">
    <field x="8"/>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Avg. rental" fld="15" subtotal="average" baseField="8" baseItem="0"/>
    <dataField name="ToTal rental" fld="15" baseField="8" baseItem="9"/>
  </dataFields>
  <formats count="2">
    <format dxfId="118">
      <pivotArea dataOnly="0" fieldPosition="0">
        <references count="1">
          <reference field="8" count="1">
            <x v="9"/>
          </reference>
        </references>
      </pivotArea>
    </format>
    <format dxfId="117">
      <pivotArea dataOnly="0" fieldPosition="0">
        <references count="1">
          <reference field="8" count="1">
            <x v="9"/>
          </reference>
        </references>
      </pivotArea>
    </format>
  </format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722D5F-41CC-4D90-B559-1A4B54C3B37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hr">
  <location ref="A6:H31" firstHeaderRow="0" firstDataRow="1" firstDataCol="1"/>
  <pivotFields count="17">
    <pivotField showAll="0"/>
    <pivotField showAll="0"/>
    <pivotField showAll="0">
      <items count="2">
        <item x="0"/>
        <item t="default"/>
      </items>
    </pivotField>
    <pivotField showAll="0">
      <items count="3">
        <item x="0"/>
        <item x="1"/>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x="1"/>
        <item x="2"/>
        <item x="3"/>
        <item t="default"/>
      </items>
    </pivotField>
    <pivotField dataField="1"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items count="193">
        <item x="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91"/>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7">
    <i>
      <x/>
    </i>
    <i i="1">
      <x v="1"/>
    </i>
    <i i="2">
      <x v="2"/>
    </i>
    <i i="3">
      <x v="3"/>
    </i>
    <i i="4">
      <x v="4"/>
    </i>
    <i i="5">
      <x v="5"/>
    </i>
    <i i="6">
      <x v="6"/>
    </i>
  </colItems>
  <dataFields count="7">
    <dataField name="Avge of rental" fld="15" subtotal="average" baseField="4" baseItem="0" numFmtId="2"/>
    <dataField name="Total rental" fld="15" baseField="4" baseItem="0"/>
    <dataField name="Min of rental" fld="15" subtotal="min" baseField="4" baseItem="0"/>
    <dataField name="Max of rental" fld="15" subtotal="max" baseField="4" baseItem="0"/>
    <dataField name="Average of casual" fld="13" subtotal="average" baseField="4" baseItem="0" numFmtId="2"/>
    <dataField name="Average of registered" fld="14" subtotal="average" baseField="4" baseItem="0" numFmtId="2"/>
    <dataField name="Average of temp" fld="8" subtotal="average" baseField="4" baseItem="0" numFmtId="2"/>
  </dataFields>
  <formats count="8">
    <format dxfId="95">
      <pivotArea outline="0" collapsedLevelsAreSubtotals="1" fieldPosition="0">
        <references count="1">
          <reference field="4294967294" count="1" selected="0">
            <x v="0"/>
          </reference>
        </references>
      </pivotArea>
    </format>
    <format dxfId="94">
      <pivotArea dataOnly="0" labelOnly="1" outline="0" fieldPosition="0">
        <references count="1">
          <reference field="4294967294" count="1">
            <x v="0"/>
          </reference>
        </references>
      </pivotArea>
    </format>
    <format dxfId="93">
      <pivotArea outline="0" collapsedLevelsAreSubtotals="1" fieldPosition="0">
        <references count="1">
          <reference field="4294967294" count="1" selected="0">
            <x v="4"/>
          </reference>
        </references>
      </pivotArea>
    </format>
    <format dxfId="92">
      <pivotArea dataOnly="0" labelOnly="1" outline="0" fieldPosition="0">
        <references count="1">
          <reference field="4294967294" count="1">
            <x v="4"/>
          </reference>
        </references>
      </pivotArea>
    </format>
    <format dxfId="91">
      <pivotArea outline="0" collapsedLevelsAreSubtotals="1" fieldPosition="0">
        <references count="1">
          <reference field="4294967294" count="1" selected="0">
            <x v="5"/>
          </reference>
        </references>
      </pivotArea>
    </format>
    <format dxfId="90">
      <pivotArea dataOnly="0" labelOnly="1" outline="0" fieldPosition="0">
        <references count="1">
          <reference field="4294967294" count="1">
            <x v="5"/>
          </reference>
        </references>
      </pivotArea>
    </format>
    <format dxfId="89">
      <pivotArea outline="0" collapsedLevelsAreSubtotals="1" fieldPosition="0">
        <references count="1">
          <reference field="4294967294" count="1" selected="0">
            <x v="6"/>
          </reference>
        </references>
      </pivotArea>
    </format>
    <format dxfId="88">
      <pivotArea dataOnly="0" labelOnly="1" outline="0" fieldPosition="0">
        <references count="1">
          <reference field="4294967294" count="1">
            <x v="6"/>
          </reference>
        </references>
      </pivotArea>
    </format>
  </formats>
  <chartFormats count="1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5"/>
          </reference>
        </references>
      </pivotArea>
    </chartFormat>
    <chartFormat chart="0" format="7" series="1">
      <pivotArea type="data" outline="0" fieldPosition="0">
        <references count="1">
          <reference field="4294967294" count="1" selected="0">
            <x v="6"/>
          </reference>
        </references>
      </pivotArea>
    </chartFormat>
    <chartFormat chart="6" format="15"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1"/>
          </reference>
        </references>
      </pivotArea>
    </chartFormat>
    <chartFormat chart="6" format="17" series="1">
      <pivotArea type="data" outline="0" fieldPosition="0">
        <references count="1">
          <reference field="4294967294" count="1" selected="0">
            <x v="2"/>
          </reference>
        </references>
      </pivotArea>
    </chartFormat>
    <chartFormat chart="6" format="18" series="1">
      <pivotArea type="data" outline="0" fieldPosition="0">
        <references count="1">
          <reference field="4294967294" count="1" selected="0">
            <x v="3"/>
          </reference>
        </references>
      </pivotArea>
    </chartFormat>
    <chartFormat chart="6" format="19" series="1">
      <pivotArea type="data" outline="0" fieldPosition="0">
        <references count="1">
          <reference field="4294967294" count="1" selected="0">
            <x v="4"/>
          </reference>
        </references>
      </pivotArea>
    </chartFormat>
    <chartFormat chart="6" format="20" series="1">
      <pivotArea type="data" outline="0" fieldPosition="0">
        <references count="1">
          <reference field="4294967294" count="1" selected="0">
            <x v="5"/>
          </reference>
        </references>
      </pivotArea>
    </chartFormat>
    <chartFormat chart="6" format="21"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CA115F-0051-4602-8CF1-53DC2AED783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ay type">
  <location ref="A7:E10" firstHeaderRow="0" firstDataRow="1" firstDataCol="1"/>
  <pivotFields count="17">
    <pivotField showAll="0"/>
    <pivotField showAll="0"/>
    <pivotField showAll="0">
      <items count="2">
        <item x="0"/>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x="1"/>
        <item x="2"/>
        <item x="3"/>
        <item t="default"/>
      </items>
    </pivotField>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items count="193">
        <item x="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91"/>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axis="axisRow" showAll="0">
      <items count="3">
        <item x="1"/>
        <item x="0"/>
        <item t="default"/>
      </items>
    </pivotField>
  </pivotFields>
  <rowFields count="1">
    <field x="16"/>
  </rowFields>
  <rowItems count="3">
    <i>
      <x/>
    </i>
    <i>
      <x v="1"/>
    </i>
    <i t="grand">
      <x/>
    </i>
  </rowItems>
  <colFields count="1">
    <field x="-2"/>
  </colFields>
  <colItems count="4">
    <i>
      <x/>
    </i>
    <i i="1">
      <x v="1"/>
    </i>
    <i i="2">
      <x v="2"/>
    </i>
    <i i="3">
      <x v="3"/>
    </i>
  </colItems>
  <dataFields count="4">
    <dataField name="Average rental" fld="15" subtotal="average" baseField="16" baseItem="0"/>
    <dataField name="Total rental" fld="15" baseField="16" baseItem="0"/>
    <dataField name="Average of casual" fld="13" subtotal="average" baseField="16" baseItem="0"/>
    <dataField name="Average of registered" fld="14" subtotal="average" baseField="16"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2"/>
          </reference>
        </references>
      </pivotArea>
    </chartFormat>
    <chartFormat chart="11"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5E1940-883B-4D9F-B245-E95E4241855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hifts">
  <location ref="A7:E13" firstHeaderRow="0" firstDataRow="1" firstDataCol="1"/>
  <pivotFields count="18">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items count="6">
        <item x="0"/>
        <item x="1"/>
        <item x="2"/>
        <item x="3"/>
        <item x="4"/>
        <item t="default"/>
      </items>
    </pivotField>
    <pivotField showAll="0">
      <items count="25">
        <item x="22"/>
        <item x="21"/>
        <item x="20"/>
        <item x="19"/>
        <item x="18"/>
        <item x="16"/>
        <item x="14"/>
        <item x="13"/>
        <item x="15"/>
        <item x="2"/>
        <item x="1"/>
        <item x="0"/>
        <item x="12"/>
        <item x="17"/>
        <item x="11"/>
        <item x="3"/>
        <item x="10"/>
        <item x="5"/>
        <item x="4"/>
        <item x="9"/>
        <item x="6"/>
        <item x="8"/>
        <item x="7"/>
        <item x="23"/>
        <item t="default"/>
      </items>
    </pivotField>
    <pivotField showAll="0"/>
    <pivotField showAll="0"/>
    <pivotField showAll="0"/>
    <pivotField showAll="0"/>
    <pivotField dataField="1" showAll="0"/>
    <pivotField dataField="1" showAll="0"/>
    <pivotField dataField="1" showAll="0"/>
    <pivotField showAll="0">
      <items count="4">
        <item x="1"/>
        <item x="0"/>
        <item x="2"/>
        <item t="default"/>
      </items>
    </pivotField>
    <pivotField axis="axisRow" showAll="0">
      <items count="6">
        <item x="1"/>
        <item x="2"/>
        <item x="0"/>
        <item x="3"/>
        <item x="4"/>
        <item t="default"/>
      </items>
    </pivotField>
  </pivotFields>
  <rowFields count="1">
    <field x="17"/>
  </rowFields>
  <rowItems count="6">
    <i>
      <x/>
    </i>
    <i>
      <x v="1"/>
    </i>
    <i>
      <x v="2"/>
    </i>
    <i>
      <x v="3"/>
    </i>
    <i>
      <x v="4"/>
    </i>
    <i t="grand">
      <x/>
    </i>
  </rowItems>
  <colFields count="1">
    <field x="-2"/>
  </colFields>
  <colItems count="4">
    <i>
      <x/>
    </i>
    <i i="1">
      <x v="1"/>
    </i>
    <i i="2">
      <x v="2"/>
    </i>
    <i i="3">
      <x v="3"/>
    </i>
  </colItems>
  <dataFields count="4">
    <dataField name="Average of rental" fld="15" subtotal="average" baseField="17" baseItem="0"/>
    <dataField name="Average of registered" fld="14" subtotal="average" baseField="17" baseItem="0"/>
    <dataField name="Total sales" fld="15" baseField="17" baseItem="0"/>
    <dataField name="Average of casual" fld="13" subtotal="average" baseField="17" baseItem="0"/>
  </dataFields>
  <chartFormats count="16">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 chart="0" format="14" series="1">
      <pivotArea type="data" outline="0" fieldPosition="0">
        <references count="1">
          <reference field="4294967294" count="1" selected="0">
            <x v="2"/>
          </reference>
        </references>
      </pivotArea>
    </chartFormat>
    <chartFormat chart="0" format="15" series="1">
      <pivotArea type="data" outline="0" fieldPosition="0">
        <references count="1">
          <reference field="4294967294" count="1" selected="0">
            <x v="3"/>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2"/>
          </reference>
        </references>
      </pivotArea>
    </chartFormat>
    <chartFormat chart="11" format="7" series="1">
      <pivotArea type="data" outline="0" fieldPosition="0">
        <references count="1">
          <reference field="4294967294" count="1" selected="0">
            <x v="3"/>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2"/>
          </reference>
        </references>
      </pivotArea>
    </chartFormat>
    <chartFormat chart="1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4A7D0C-8042-416E-8C02-65EA289DBB5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Temperature">
  <location ref="A6:C30" firstHeaderRow="0" firstDataRow="1" firstDataCol="1"/>
  <pivotFields count="17">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showAll="0">
      <items count="193">
        <item x="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91"/>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s>
  <rowFields count="1">
    <field x="8"/>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Average of casual" fld="13" subtotal="average" baseField="8" baseItem="0" numFmtId="2"/>
    <dataField name="Average of registered" fld="14" subtotal="average" baseField="8" baseItem="0" numFmtId="2"/>
  </dataFields>
  <formats count="4">
    <format dxfId="85">
      <pivotArea outline="0" collapsedLevelsAreSubtotals="1" fieldPosition="0">
        <references count="1">
          <reference field="4294967294" count="1" selected="0">
            <x v="0"/>
          </reference>
        </references>
      </pivotArea>
    </format>
    <format dxfId="84">
      <pivotArea dataOnly="0" labelOnly="1" outline="0" fieldPosition="0">
        <references count="1">
          <reference field="4294967294" count="1">
            <x v="0"/>
          </reference>
        </references>
      </pivotArea>
    </format>
    <format dxfId="83">
      <pivotArea outline="0" collapsedLevelsAreSubtotals="1" fieldPosition="0">
        <references count="1">
          <reference field="4294967294" count="1" selected="0">
            <x v="1"/>
          </reference>
        </references>
      </pivotArea>
    </format>
    <format dxfId="82">
      <pivotArea dataOnly="0" labelOnly="1" outline="0" fieldPosition="0">
        <references count="1">
          <reference field="4294967294" count="1">
            <x v="1"/>
          </reference>
        </references>
      </pivotArea>
    </format>
  </format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61DC9B-E519-41B8-8967-32367F94024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Weather Name">
  <location ref="A7:E13" firstHeaderRow="0" firstDataRow="1" firstDataCol="1"/>
  <pivotFields count="19">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items count="4">
        <item x="1"/>
        <item x="0"/>
        <item x="2"/>
        <item t="default"/>
      </items>
    </pivotField>
    <pivotField showAll="0">
      <items count="6">
        <item x="1"/>
        <item x="2"/>
        <item x="0"/>
        <item x="3"/>
        <item x="4"/>
        <item t="default"/>
      </items>
    </pivotField>
    <pivotField axis="axisRow" showAll="0">
      <items count="6">
        <item x="0"/>
        <item x="3"/>
        <item x="2"/>
        <item x="1"/>
        <item x="4"/>
        <item t="default"/>
      </items>
    </pivotField>
  </pivotFields>
  <rowFields count="1">
    <field x="18"/>
  </rowFields>
  <rowItems count="6">
    <i>
      <x/>
    </i>
    <i>
      <x v="1"/>
    </i>
    <i>
      <x v="2"/>
    </i>
    <i>
      <x v="3"/>
    </i>
    <i>
      <x v="4"/>
    </i>
    <i t="grand">
      <x/>
    </i>
  </rowItems>
  <colFields count="1">
    <field x="-2"/>
  </colFields>
  <colItems count="4">
    <i>
      <x/>
    </i>
    <i i="1">
      <x v="1"/>
    </i>
    <i i="2">
      <x v="2"/>
    </i>
    <i i="3">
      <x v="3"/>
    </i>
  </colItems>
  <dataFields count="4">
    <dataField name="Average of Rental" fld="15" subtotal="average" baseField="18" baseItem="0"/>
    <dataField name="ToTal Rental" fld="15" baseField="18" baseItem="0"/>
    <dataField name="Average of casual" fld="13" subtotal="average" baseField="18" baseItem="0"/>
    <dataField name="Average of registered" fld="14" subtotal="average" baseField="18"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2"/>
          </reference>
        </references>
      </pivotArea>
    </chartFormat>
    <chartFormat chart="8" format="7" series="1">
      <pivotArea type="data" outline="0" fieldPosition="0">
        <references count="1">
          <reference field="4294967294" count="1" selected="0">
            <x v="3"/>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2"/>
          </reference>
        </references>
      </pivotArea>
    </chartFormat>
    <chartFormat chart="17"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DA17BAD-8F42-4EDB-B222-E4BE0320159C}" autoFormatId="16" applyNumberFormats="0" applyBorderFormats="0" applyFontFormats="0" applyPatternFormats="0" applyAlignmentFormats="0" applyWidthHeightFormats="0">
  <queryTableRefresh nextId="18">
    <queryTableFields count="16">
      <queryTableField id="1" name="instant" tableColumnId="1"/>
      <queryTableField id="2" name="dteday" tableColumnId="2"/>
      <queryTableField id="3" name="season" tableColumnId="3"/>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Unnamed: 0" tableColumnId="11"/>
      <queryTableField id="12" name="atemp" tableColumnId="12"/>
      <queryTableField id="13" name="hum" tableColumnId="13"/>
      <queryTableField id="14" name="windspeed" tableColumnId="14"/>
      <queryTableField id="15" name="casual" tableColumnId="15"/>
      <queryTableField id="16" name="registered" tableColumnId="16"/>
      <queryTableField id="17" name="cnt" tableColumnId="17"/>
    </queryTableFields>
    <queryTableDeletedFields count="1">
      <deletedField name="y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7490E19-3C57-4386-A1E1-40F5029488E7}" autoFormatId="16" applyNumberFormats="0" applyBorderFormats="0" applyFontFormats="0" applyPatternFormats="0" applyAlignmentFormats="0" applyWidthHeightFormats="0">
  <queryTableRefresh nextId="20" unboundColumnsRight="3">
    <queryTableFields count="19">
      <queryTableField id="1" name="instant" tableColumnId="1"/>
      <queryTableField id="2" name="dteday" tableColumnId="2"/>
      <queryTableField id="3" name="season" tableColumnId="3"/>
      <queryTableField id="4" name="mnth" tableColumnId="4"/>
      <queryTableField id="5" name="hr" tableColumnId="5"/>
      <queryTableField id="6" name="holiday" tableColumnId="6"/>
      <queryTableField id="7" name="weekday" tableColumnId="7"/>
      <queryTableField id="8" name="weathersit" tableColumnId="8"/>
      <queryTableField id="9" name="temp" tableColumnId="9"/>
      <queryTableField id="10" name="Unnamed: 0"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D30BF052-7735-4457-B658-9CD0069853B0}" sourceName="season">
  <pivotTables>
    <pivotTable tabId="18" name="PivotTable3"/>
  </pivotTables>
  <data>
    <tabular pivotCacheId="1580661499">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2" xr10:uid="{1779304F-6515-404D-8B70-8667B05D55BC}" sourceName="mnth">
  <pivotTables>
    <pivotTable tabId="18" name="PivotTable3"/>
  </pivotTables>
  <data>
    <tabular pivotCacheId="1580661499">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1" xr10:uid="{3189F976-D6F5-4C9F-A06D-F13B29607406}" sourceName="weathersit">
  <pivotTables>
    <pivotTable tabId="18" name="PivotTable3"/>
  </pivotTables>
  <data>
    <tabular pivotCacheId="1580661499">
      <items count="5">
        <i x="0" s="1"/>
        <i x="1" s="1"/>
        <i x="2"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s1" xr10:uid="{6DD3E324-32CF-4265-93CA-ED604BEA6CB7}" sourceName="Weekend/weekdays">
  <pivotTables>
    <pivotTable tabId="18" name="PivotTable3"/>
  </pivotTables>
  <data>
    <tabular pivotCacheId="1580661499">
      <items count="3">
        <i x="1" s="1"/>
        <i x="0"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BF1ED258-4C78-4856-9EB3-FE73305C954A}" sourceName="season">
  <pivotTables>
    <pivotTable tabId="16" name="PivotTable1"/>
    <pivotTable tabId="23" name="PivotTable1"/>
  </pivotTables>
  <data>
    <tabular pivotCacheId="1806630992">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3" xr10:uid="{3DD832D0-7FA8-4907-86F7-B06136179BD5}" sourceName="mnth">
  <pivotTables>
    <pivotTable tabId="16" name="PivotTable1"/>
    <pivotTable tabId="23" name="PivotTable1"/>
  </pivotTables>
  <data>
    <tabular pivotCacheId="1806630992">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2" xr10:uid="{46F05A55-6758-4D7E-9A28-D2B5364BB1C2}" sourceName="weathersit">
  <pivotTables>
    <pivotTable tabId="16" name="PivotTable1"/>
    <pivotTable tabId="23" name="PivotTable1"/>
  </pivotTables>
  <data>
    <tabular pivotCacheId="1806630992">
      <items count="4">
        <i x="0" s="1"/>
        <i x="1" s="1"/>
        <i x="2"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3" xr10:uid="{7E467B44-E03D-45A7-9977-3DB4CBE8388D}" sourceName="season">
  <pivotTables>
    <pivotTable tabId="19" name="PivotTable4"/>
  </pivotTables>
  <data>
    <tabular pivotCacheId="148828133">
      <items count="2">
        <i x="0" s="1"/>
        <i x="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_Time_period" xr10:uid="{552EC040-D6F3-492E-BD1E-234326C2DF09}" sourceName="hr/Time period">
  <pivotTables>
    <pivotTable tabId="19" name="PivotTable4"/>
  </pivotTables>
  <data>
    <tabular pivotCacheId="148828133">
      <items count="5">
        <i x="1" s="1"/>
        <i x="2" s="1"/>
        <i x="0" s="1"/>
        <i x="3" s="1"/>
        <i x="4"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Name" xr10:uid="{C531C0A4-ACD6-4EC3-90FC-32C4DCF354F9}" sourceName="Weather Name">
  <pivotTables>
    <pivotTable tabId="19" name="PivotTable4"/>
  </pivotTables>
  <data>
    <tabular pivotCacheId="148828133">
      <items count="5">
        <i x="0" s="1"/>
        <i x="3" s="1"/>
        <i x="2" s="1"/>
        <i x="1" s="1"/>
        <i x="4"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BFB0D3F5-B351-4B0E-9F61-6C020DFECC0E}" sourceName="holiday">
  <pivotTables>
    <pivotTable tabId="9" name="PivotTable4"/>
  </pivotTables>
  <data>
    <tabular pivotCacheId="1957582578">
      <items count="2">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1" xr10:uid="{9C530C22-A992-4CC2-9C64-C1873ED56C7F}" sourceName="weekday">
  <pivotTables>
    <pivotTable tabId="10" name="PivotTable5"/>
  </pivotTables>
  <data>
    <tabular pivotCacheId="1957582578">
      <items count="7">
        <i x="1" s="1"/>
        <i x="2" s="1"/>
        <i x="3" s="1"/>
        <i x="4" s="1"/>
        <i x="5" s="1"/>
        <i x="6"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2" xr10:uid="{1D4C9452-BDEB-4317-B08C-3F4437944AFC}" sourceName="temp">
  <pivotTables>
    <pivotTable tabId="10" name="PivotTable5"/>
  </pivotTables>
  <data>
    <tabular pivotCacheId="1957582578">
      <items count="23">
        <i x="22" s="1"/>
        <i x="21" s="1"/>
        <i x="20" s="1"/>
        <i x="19" s="1"/>
        <i x="18" s="1"/>
        <i x="16" s="1"/>
        <i x="14" s="1"/>
        <i x="13" s="1"/>
        <i x="15" s="1"/>
        <i x="2" s="1"/>
        <i x="1" s="1"/>
        <i x="0" s="1"/>
        <i x="12" s="1"/>
        <i x="17" s="1"/>
        <i x="11" s="1"/>
        <i x="3" s="1"/>
        <i x="10" s="1"/>
        <i x="5" s="1"/>
        <i x="4" s="1"/>
        <i x="9" s="1"/>
        <i x="6" s="1"/>
        <i x="8" s="1"/>
        <i x="7"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AED0A64C-EB14-4A4F-9B3E-F466577D3671}" sourceName="season">
  <pivotTables>
    <pivotTable tabId="11" name="PivotTable6"/>
  </pivotTables>
  <data>
    <tabular pivotCacheId="1957582578">
      <items count="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BE5EA352-8E7B-4D91-898F-5ECEF8E7C818}" sourceName="weathersit">
  <pivotTables>
    <pivotTable tabId="11" name="PivotTable6"/>
  </pivotTables>
  <data>
    <tabular pivotCacheId="1957582578">
      <items count="4">
        <i x="0" s="1"/>
        <i x="1" s="1"/>
        <i x="2" s="1"/>
        <i x="3"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490F28C8-BA46-45B8-8A13-88DABFE5BDC0}" sourceName="hr">
  <pivotTables>
    <pivotTable tabId="11" name="PivotTable6"/>
  </pivotTables>
  <data>
    <tabular pivotCacheId="195758257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3" xr10:uid="{92104200-CAA1-4CC9-9F6A-3E18521F2539}" sourceName="weathersit">
  <pivotTables>
    <pivotTable tabId="10" name="PivotTable5"/>
  </pivotTables>
  <data>
    <tabular pivotCacheId="1957582578">
      <items count="4">
        <i x="0" s="1"/>
        <i x="1" s="1"/>
        <i x="2"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4" xr10:uid="{148A5FCF-7C68-4B55-B6DC-D2DB97920F4B}" sourceName="weathersit">
  <pivotTables>
    <pivotTable tabId="9" name="PivotTable4"/>
  </pivotTables>
  <data>
    <tabular pivotCacheId="1957582578">
      <items count="4">
        <i x="0" s="1"/>
        <i x="1" s="1"/>
        <i x="2" s="1"/>
        <i x="3"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C22594BA-F368-4933-BBA0-EC421C7D489D}" sourceName="weekday">
  <pivotTables>
    <pivotTable tabId="9" name="PivotTable4"/>
  </pivotTables>
  <data>
    <tabular pivotCacheId="1957582578">
      <items count="7">
        <i x="1" s="1"/>
        <i x="2" s="1"/>
        <i x="3" s="1"/>
        <i x="4" s="1"/>
        <i x="5" s="1"/>
        <i x="6"/>
        <i x="0"/>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2" xr10:uid="{6B3C3502-107C-4FCE-B32F-A549C7098753}" sourceName="weekday">
  <pivotTables>
    <pivotTable tabId="7" name="PivotTable2"/>
  </pivotTables>
  <data>
    <tabular pivotCacheId="1957582578">
      <items count="7">
        <i x="1" s="1"/>
        <i x="2" s="1"/>
        <i x="3" s="1"/>
        <i x="4" s="1"/>
        <i x="5" s="1"/>
        <i x="6"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5" xr10:uid="{54025B1A-4751-43BE-8D2D-C1321E68D3C1}" sourceName="weathersit">
  <pivotTables>
    <pivotTable tabId="7" name="PivotTable2"/>
  </pivotTables>
  <data>
    <tabular pivotCacheId="1957582578">
      <items count="4">
        <i x="0" s="1"/>
        <i x="1" s="1"/>
        <i x="2" s="1"/>
        <i x="3"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3" xr10:uid="{C7C230DD-EC49-40C5-B97E-7EEC45ADABA8}" sourceName="weekday">
  <pivotTables>
    <pivotTable tabId="21" name="PivotTable6"/>
  </pivotTables>
  <data>
    <tabular pivotCacheId="1330147598">
      <items count="8">
        <i x="1" s="1"/>
        <i x="2" s="1"/>
        <i x="3" s="1"/>
        <i x="4" s="1"/>
        <i x="5" s="1"/>
        <i x="6" s="1"/>
        <i x="0" s="1"/>
        <i x="7"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6" xr10:uid="{1B695583-7F5A-4B62-99D8-0D36EC998DFF}" sourceName="weathersit">
  <pivotTables>
    <pivotTable tabId="21" name="PivotTable6"/>
  </pivotTables>
  <data>
    <tabular pivotCacheId="1330147598">
      <items count="5">
        <i x="0" s="1"/>
        <i x="1" s="1"/>
        <i x="2" s="1"/>
        <i x="3" s="1"/>
        <i x="4"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s2" xr10:uid="{839BC276-E793-490D-8C62-3329D0E383F0}" sourceName="Weekend/weekdays">
  <pivotTables>
    <pivotTable tabId="19" name="PivotTable4"/>
  </pivotTables>
  <data>
    <tabular pivotCacheId="148828133">
      <items count="3">
        <i x="1" s="1"/>
        <i x="0" s="1"/>
        <i x="2" s="1" nd="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FEF2D96C-0F37-44B0-847E-BFC97F430421}" sourceName="temp">
  <pivotTables>
    <pivotTable tabId="18" name="PivotTable3"/>
  </pivotTables>
  <data>
    <tabular pivotCacheId="1580661499">
      <items count="24">
        <i x="22" s="1"/>
        <i x="21" s="1"/>
        <i x="20" s="1"/>
        <i x="19" s="1"/>
        <i x="18" s="1"/>
        <i x="16" s="1"/>
        <i x="14" s="1"/>
        <i x="13" s="1"/>
        <i x="15" s="1"/>
        <i x="2" s="1"/>
        <i x="1" s="1"/>
        <i x="0" s="1"/>
        <i x="12" s="1"/>
        <i x="17" s="1"/>
        <i x="11" s="1"/>
        <i x="3" s="1"/>
        <i x="10" s="1"/>
        <i x="5" s="1"/>
        <i x="4" s="1"/>
        <i x="9" s="1"/>
        <i x="6" s="1"/>
        <i x="8" s="1"/>
        <i x="7" s="1"/>
        <i x="23" s="1" nd="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_Time_period1" xr10:uid="{F8B6C258-1299-4BD1-9477-C151A302731C}" sourceName="hr/Time period">
  <pivotTables>
    <pivotTable tabId="18" name="PivotTable3"/>
  </pivotTables>
  <data>
    <tabular pivotCacheId="1580661499">
      <items count="5">
        <i x="1" s="1"/>
        <i x="2" s="1"/>
        <i x="0" s="1"/>
        <i x="3" s="1"/>
        <i x="4" s="1" nd="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1" xr10:uid="{B4B5BF96-9908-4AFC-A571-A3715F60A9E5}" sourceName="hr">
  <pivotTables>
    <pivotTable tabId="23" name="PivotTable1"/>
    <pivotTable tabId="16" name="PivotTable1"/>
    <pivotTable tabId="32" name="PivotTable3"/>
  </pivotTables>
  <data>
    <tabular pivotCacheId="1806630992">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 xr10:uid="{53C4D8BE-0B66-4463-928F-62D9B1121B75}" sourceName="cnt">
  <pivotTables>
    <pivotTable tabId="23" name="PivotTable1"/>
    <pivotTable tabId="16" name="PivotTable1"/>
    <pivotTable tabId="32" name="PivotTable3"/>
  </pivotTables>
  <data>
    <tabular pivotCacheId="1806630992">
      <items count="192">
        <i x="165" s="1"/>
        <i x="4" s="1"/>
        <i x="5" s="1"/>
        <i x="6" s="1"/>
        <i x="48" s="1"/>
        <i x="36" s="1"/>
        <i x="24" s="1"/>
        <i x="85" s="1"/>
        <i x="7" s="1"/>
        <i x="23" s="1"/>
        <i x="98" s="1"/>
        <i x="62" s="1"/>
        <i x="47" s="1"/>
        <i x="3" s="1"/>
        <i x="8" s="1"/>
        <i x="93" s="1"/>
        <i x="0" s="1"/>
        <i x="22" s="1"/>
        <i x="109" s="1"/>
        <i x="75" s="1"/>
        <i x="25" s="1"/>
        <i x="137" s="1"/>
        <i x="34" s="1"/>
        <i x="84" s="1"/>
        <i x="108" s="1"/>
        <i x="94"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0" s="1"/>
        <i x="16" s="1"/>
        <i x="118" s="1"/>
        <i x="83" s="1"/>
        <i x="27" s="1"/>
        <i x="68" s="1"/>
        <i x="44" s="1"/>
        <i x="88" s="1"/>
        <i x="30" s="1"/>
        <i x="28" s="1"/>
        <i x="31" s="1"/>
        <i x="43" s="1"/>
        <i x="53" s="1"/>
        <i x="67" s="1"/>
        <i x="138" s="1"/>
        <i x="117" s="1"/>
        <i x="100" s="1"/>
        <i x="56" s="1"/>
        <i x="11" s="1"/>
        <i x="80" s="1"/>
        <i x="90" s="1"/>
        <i x="39" s="1"/>
        <i x="70" s="1"/>
        <i x="127" s="1"/>
        <i x="134" s="1"/>
        <i x="101" s="1"/>
        <i x="15" s="1"/>
        <i x="12" s="1"/>
        <i x="76" s="1"/>
        <i x="152" s="1"/>
        <i x="54" s="1"/>
        <i x="95" s="1"/>
        <i x="111" s="1"/>
        <i x="50" s="1"/>
        <i x="129" s="1"/>
        <i x="96" s="1"/>
        <i x="153" s="1"/>
        <i x="133" s="1"/>
        <i x="136" s="1"/>
        <i x="13" s="1"/>
        <i x="166" s="1"/>
        <i x="159" s="1"/>
        <i x="142" s="1"/>
        <i x="14" s="1"/>
        <i x="168" s="1"/>
        <i x="59" s="1"/>
        <i x="135" s="1"/>
        <i x="181" s="1"/>
        <i x="65" s="1"/>
        <i x="155" s="1"/>
        <i x="126" s="1"/>
        <i x="130" s="1"/>
        <i x="164" s="1"/>
        <i x="151" s="1"/>
        <i x="178" s="1"/>
        <i x="78" s="1"/>
        <i x="92" s="1"/>
        <i x="139" s="1"/>
        <i x="149" s="1"/>
        <i x="175" s="1"/>
        <i x="116" s="1"/>
        <i x="131" s="1"/>
        <i x="113" s="1"/>
        <i x="73" s="1"/>
        <i x="140" s="1"/>
        <i x="87" s="1"/>
        <i x="169" s="1"/>
        <i x="114" s="1"/>
        <i x="120" s="1"/>
        <i x="119" s="1"/>
        <i x="188" s="1"/>
        <i x="145" s="1"/>
        <i x="124" s="1"/>
        <i x="190" s="1"/>
        <i x="163" s="1"/>
        <i x="173" s="1"/>
        <i x="191" s="1"/>
        <i x="148" s="1"/>
        <i x="158" s="1"/>
        <i x="38" s="1"/>
        <i x="107" s="1"/>
        <i x="167" s="1"/>
        <i x="45" s="1"/>
        <i x="125" s="1"/>
        <i x="128" s="1"/>
        <i x="187" s="1"/>
        <i x="143" s="1"/>
        <i x="123" s="1"/>
        <i x="82" s="1"/>
        <i x="186" s="1"/>
        <i x="150" s="1"/>
        <i x="171" s="1"/>
        <i x="72" s="1"/>
        <i x="185" s="1"/>
        <i x="81" s="1"/>
        <i x="177" s="1"/>
        <i x="172" s="1"/>
        <i x="170" s="1"/>
        <i x="156" s="1"/>
        <i x="106" s="1"/>
        <i x="49" s="1"/>
        <i x="58" s="1"/>
        <i x="157" s="1"/>
        <i x="147" s="1"/>
        <i x="91" s="1"/>
        <i x="104" s="1"/>
        <i x="71" s="1"/>
        <i x="64" s="1"/>
        <i x="141" s="1"/>
        <i x="184" s="1"/>
        <i x="121" s="1"/>
        <i x="176" s="1"/>
        <i x="86" s="1"/>
        <i x="189" s="1"/>
        <i x="57" s="1"/>
        <i x="146" s="1"/>
        <i x="182" s="1"/>
        <i x="112" s="1"/>
        <i x="77" s="1"/>
        <i x="174" s="1"/>
        <i x="161" s="1"/>
        <i x="162" s="1"/>
        <i x="179" s="1"/>
        <i x="160" s="1"/>
        <i x="183" s="1"/>
        <i x="144" s="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 xr10:uid="{40631324-BB7D-463E-B1DE-5AE70937DD98}" sourceName="casual">
  <pivotTables>
    <pivotTable tabId="32" name="PivotTable3"/>
    <pivotTable tabId="23" name="PivotTable1"/>
    <pivotTable tabId="16" name="PivotTable1"/>
  </pivotTables>
  <data>
    <tabular pivotCacheId="1806630992">
      <items count="42">
        <i x="3" s="1"/>
        <i x="5" s="1"/>
        <i x="4" s="1"/>
        <i x="0" s="1"/>
        <i x="17" s="1"/>
        <i x="2" s="1"/>
        <i x="15" s="1"/>
        <i x="18" s="1"/>
        <i x="1" s="1"/>
        <i x="14" s="1"/>
        <i x="22" s="1"/>
        <i x="16" s="1"/>
        <i x="6" s="1"/>
        <i x="23" s="1"/>
        <i x="24" s="1"/>
        <i x="13" s="1"/>
        <i x="19" s="1"/>
        <i x="26" s="1"/>
        <i x="25" s="1"/>
        <i x="21" s="1"/>
        <i x="20" s="1"/>
        <i x="27" s="1"/>
        <i x="30" s="1"/>
        <i x="29" s="1"/>
        <i x="31" s="1"/>
        <i x="7" s="1"/>
        <i x="37" s="1"/>
        <i x="32" s="1"/>
        <i x="8" s="1"/>
        <i x="36" s="1"/>
        <i x="38" s="1"/>
        <i x="28" s="1"/>
        <i x="10" s="1"/>
        <i x="11" s="1"/>
        <i x="12" s="1"/>
        <i x="35" s="1"/>
        <i x="9" s="1"/>
        <i x="33" s="1"/>
        <i x="41" s="1"/>
        <i x="34" s="1"/>
        <i x="39" s="1"/>
        <i x="40" s="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3DE84A23-8C53-44C6-BF61-2FE1DEC63A4F}" sourceName="registered">
  <pivotTables>
    <pivotTable tabId="32" name="PivotTable3"/>
    <pivotTable tabId="23" name="PivotTable1"/>
    <pivotTable tabId="16" name="PivotTable1"/>
  </pivotTables>
  <data>
    <tabular pivotCacheId="1806630992">
      <items count="186">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74" s="1"/>
        <i x="66" s="1"/>
        <i x="132" s="1"/>
        <i x="61" s="1"/>
        <i x="150" s="1"/>
        <i x="121" s="1"/>
        <i x="92" s="1"/>
        <i x="162" s="1"/>
        <i x="50" s="1"/>
        <i x="139" s="1"/>
        <i x="111" s="1"/>
        <i x="73" s="1"/>
        <i x="184" s="1"/>
        <i x="106" s="1"/>
        <i x="52" s="1"/>
        <i x="175" s="1"/>
        <i x="129" s="1"/>
        <i x="143" s="1"/>
        <i x="46" s="1"/>
        <i x="145" s="1"/>
        <i x="151" s="1"/>
        <i x="157" s="1"/>
        <i x="183" s="1"/>
        <i x="128" s="1"/>
        <i x="123" s="1"/>
        <i x="63" s="1"/>
        <i x="59" s="1"/>
        <i x="179" s="1"/>
        <i x="153" s="1"/>
        <i x="181" s="1"/>
        <i x="154" s="1"/>
        <i x="166" s="1"/>
        <i x="75" s="1"/>
        <i x="118" s="1"/>
        <i x="138" s="1"/>
        <i x="177" s="1"/>
        <i x="182" s="1"/>
        <i x="168" s="1"/>
        <i x="125" s="1"/>
        <i x="85" s="1"/>
        <i x="165" s="1"/>
        <i x="69" s="1"/>
        <i x="170" s="1"/>
        <i x="110" s="1"/>
        <i x="126" s="1"/>
        <i x="149" s="1"/>
        <i x="120" s="1"/>
        <i x="113" s="1"/>
        <i x="115" s="1"/>
        <i x="112" s="1"/>
        <i x="131" s="1"/>
        <i x="116" s="1"/>
        <i x="142" s="1"/>
        <i x="44" s="1"/>
        <i x="185" s="1"/>
        <i x="45" s="1"/>
        <i x="137" s="1"/>
        <i x="164" s="1"/>
        <i x="37" s="1"/>
        <i x="105" s="1"/>
        <i x="119" s="1"/>
        <i x="117" s="1"/>
        <i x="172" s="1"/>
        <i x="81" s="1"/>
        <i x="136" s="1"/>
        <i x="80" s="1"/>
        <i x="156" s="1"/>
        <i x="68" s="1"/>
        <i x="173" s="1"/>
        <i x="160" s="1"/>
        <i x="141" s="1"/>
        <i x="155" s="1"/>
        <i x="176" s="1"/>
        <i x="104" s="1"/>
        <i x="159" s="1"/>
        <i x="51" s="1"/>
        <i x="86" s="1"/>
        <i x="58" s="1"/>
        <i x="152" s="1"/>
        <i x="158" s="1"/>
        <i x="103" s="1"/>
        <i x="67" s="1"/>
        <i x="84" s="1"/>
        <i x="62" s="1"/>
        <i x="180" s="1"/>
        <i x="163" s="1"/>
        <i x="127" s="1"/>
        <i x="114" s="1"/>
        <i x="171" s="1"/>
        <i x="57" s="1"/>
        <i x="134" s="1"/>
        <i x="147" s="1"/>
        <i x="135" s="1"/>
        <i x="178" s="1"/>
        <i x="107" s="1"/>
        <i x="74" s="1"/>
        <i x="161" s="1"/>
        <i x="148" s="1"/>
        <i x="167" s="1"/>
        <i x="146" s="1"/>
        <i x="169" s="1"/>
        <i x="1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3" xr10:uid="{89155F35-5905-40FA-84F8-D3B89E6BF5C7}" cache="Slicer_weekday3" caption="weekday" rowHeight="209550"/>
  <slicer name="weathersit 6" xr10:uid="{7617EA82-CD61-4DE0-ABF9-91AE574F8AC5}" cache="Slicer_weathersit6" caption="weathersit"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2" xr10:uid="{F446BDB7-0558-4D4E-A2F2-3BF92B42CA10}" cache="Slicer_weekday2" caption="weekday" rowHeight="209550"/>
  <slicer name="weathersit 5" xr10:uid="{2130F2CF-34ED-4C9D-88F2-008419A9EAC0}" cache="Slicer_weathersit5" caption="weathersit"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liday" xr10:uid="{0D392263-5E75-4249-9B63-4736FF896711}" cache="Slicer_holiday" caption="holiday" rowHeight="209550"/>
  <slicer name="weathersit 4" xr10:uid="{60040AF0-289F-492A-8DB4-A1F7940A895F}" cache="Slicer_weathersit4" caption="weathersit" rowHeight="209550"/>
  <slicer name="weekday" xr10:uid="{F5534384-166E-4CB8-B791-A49CA4D50678}" cache="Slicer_weekday" caption="weekday"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74B4DF76-B7B0-4A7C-80C0-DBC6C2C858F8}" cache="Slicer_weekday1" caption="weekday" rowHeight="209550"/>
  <slicer name="temp 3" xr10:uid="{E3DEB962-149D-4FFE-99ED-6B79FF7316D8}" cache="Slicer_temp2" caption="temp" rowHeight="209550"/>
  <slicer name="weathersit 1" xr10:uid="{C76508E0-E7BF-4339-A3EB-454C0A11E108}" cache="Slicer_weathersit3" caption="weathersit"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2F2B566-916D-49A1-AE46-EDDD3020B235}" cache="Slicer_season" caption="season" rowHeight="209550"/>
  <slicer name="weathersit" xr10:uid="{C5785B9B-25DA-4D81-A5B8-A76D1EDBD915}" cache="Slicer_weathersit" caption="weathersit" rowHeight="209550"/>
  <slicer name="hr" xr10:uid="{FB3BA2E8-25FA-4108-9A55-ACB075807DBB}" cache="Slicer_hr" caption="hr" startItem="7" rowHeight="2095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1" xr10:uid="{4D0C6B23-F2D9-4F1C-BF91-98F0D123DCA7}" cache="Slicer_hr1" caption="hr" startItem="9" rowHeight="209550"/>
  <slicer name="cnt" xr10:uid="{AD0622A9-FF26-43DD-A1D5-541299760408}" cache="Slicer_cnt" caption="cnt" rowHeight="2095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2D16BBE8-AA73-428C-BEC9-C2899527811E}" cache="Slicer_season2" caption="season" rowHeight="209550"/>
  <slicer name="mnth 3" xr10:uid="{D80A0C18-B9C5-47A6-9161-CEBD94FAF654}" cache="Slicer_mnth3" caption="mnth" rowHeight="209550"/>
  <slicer name="weathersit 3" xr10:uid="{619814C4-16C6-4985-A5CD-7680E02F00C7}" cache="Slicer_weathersit2" caption="weathersit" rowHeight="2095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8B4C7D41-A224-42AF-89DE-7760A42D51AC}" cache="Slicer_season1" caption="season" rowHeight="209550"/>
  <slicer name="mnth 2" xr10:uid="{20248AD4-5C88-4DCA-B92F-25ADF8D5735A}" cache="Slicer_mnth2" caption="mnth" rowHeight="209550"/>
  <slicer name="weathersit 2" xr10:uid="{777BEE0A-EF22-4897-8DFA-FF7F9B454CD4}" cache="Slicer_weathersit1" caption="weathersit" rowHeight="209550"/>
  <slicer name="Weekend/weekdays 1" xr10:uid="{206C0CA9-C133-4712-B634-0381EEDDC0D9}" cache="Slicer_Weekend_weekdays1" caption="Weekend/weekdays" rowHeight="2095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ual" xr10:uid="{09BB406A-D74A-4CE9-B081-F4BF98A614B9}" cache="Slicer_casual" caption="casual" rowHeight="209550"/>
  <slicer name="registered" xr10:uid="{4A1F76F9-24FA-470E-A1C2-79C2A34142A2}" cache="Slicer_registered" caption="registered" rowHeight="2095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A496AA1A-7D05-4C56-9949-BBD970000A44}" cache="Slicer_season3" caption="season" rowHeight="209550"/>
  <slicer name="hr/Time period" xr10:uid="{9D8FBE43-7009-4CD0-8B28-2739DD743C12}" cache="Slicer_hr_Time_period" caption="hr/Time period" rowHeight="209550"/>
  <slicer name="Weather Name" xr10:uid="{6565654E-70A3-4806-A78A-EEA4DB07F248}" cache="Slicer_Weather_Name" caption="Weather Name" rowHeight="209550"/>
  <slicer name="Weekend/weekdays" xr10:uid="{D7CBA340-3714-40E6-BBF5-07537C8B16BB}" cache="Slicer_Weekend_weekdays2" caption="Weekend/weekdays" rowHeight="2095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9F6B3562-20E1-4ED2-BE07-CD1359E9FDFE}" cache="Slicer_season1" caption="season" rowHeight="209550"/>
  <slicer name="weathersit 7" xr10:uid="{721F2159-F2BD-48A6-A9C0-126FD73C0222}" cache="Slicer_weathersit1" caption="weathersit" rowHeight="209550"/>
  <slicer name="Weekend/weekdays 2" xr10:uid="{14A3899C-2321-4B53-B144-148B4965C533}" cache="Slicer_Weekend_weekdays1" caption="Weekend/weekdays" rowHeight="209550"/>
  <slicer name="temp" xr10:uid="{5F2D3194-23E2-4597-B467-EA8F26E8921E}" cache="Slicer_temp" caption="temp" rowHeight="209550"/>
  <slicer name="hr/Time period 1" xr10:uid="{C3B211D1-D648-47E9-B688-AA973BD2F71A}" cache="Slicer_hr_Time_period1" caption="hr/Time period" rowHeight="2095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108207-3321-4A26-8504-D89F90996AF4}" name="dataset_1" displayName="dataset_1" ref="A1:J611" totalsRowShown="0" headerRowDxfId="147" dataDxfId="146">
  <autoFilter ref="A1:J611" xr:uid="{88108207-3321-4A26-8504-D89F90996AF4}"/>
  <tableColumns count="10">
    <tableColumn id="1" xr3:uid="{7AFE0CB7-7D50-4CD2-A266-7243799BEC00}" name="instant" dataDxfId="145"/>
    <tableColumn id="2" xr3:uid="{E529A824-9754-4C30-A79B-8B7A3E2024AC}" name="dteday" dataDxfId="144"/>
    <tableColumn id="3" xr3:uid="{687B367A-AD34-40A5-AE78-C4BD5EB87682}" name="season" dataDxfId="143"/>
    <tableColumn id="4" xr3:uid="{7224E24F-8A5C-47F0-B9E0-A33FA39F96BE}" name="yr" dataDxfId="142"/>
    <tableColumn id="5" xr3:uid="{9DB55A2D-FE84-49AC-900E-BEFC671840F6}" name="mnth" dataDxfId="141"/>
    <tableColumn id="6" xr3:uid="{E3BC139D-CB44-47ED-8147-06A4925C06CF}" name="hr" dataDxfId="140"/>
    <tableColumn id="7" xr3:uid="{48C8BC51-817A-4076-883A-6FB3AC54C6E1}" name="holiday" dataDxfId="139"/>
    <tableColumn id="8" xr3:uid="{C905B2CF-6B7D-4073-99B2-09626F18EA8D}" name="weekday" dataDxfId="138"/>
    <tableColumn id="9" xr3:uid="{14021824-F79A-4FE8-9F7A-CF2315A319F8}" name="weathersit" dataDxfId="137"/>
    <tableColumn id="10" xr3:uid="{C358C340-FEFF-47C2-88C1-7255E06C3F15}" name="temp" dataDxfId="13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CA0073-E3DE-43F6-8E45-A14355C040E0}" name="dataset_2" displayName="dataset_2" ref="A1:H611" totalsRowShown="0" headerRowDxfId="135" dataDxfId="134">
  <autoFilter ref="A1:H611" xr:uid="{E3CA0073-E3DE-43F6-8E45-A14355C040E0}"/>
  <tableColumns count="8">
    <tableColumn id="1" xr3:uid="{DE6AFFDD-4EAC-47A5-A0CA-CAA25173B161}" name="Unnamed: 0" dataDxfId="133"/>
    <tableColumn id="2" xr3:uid="{8CE38AA8-CCBD-4504-B3B2-B26FC9D971FA}" name="instant" dataDxfId="132"/>
    <tableColumn id="3" xr3:uid="{36C1600C-6C6C-4EE8-9CB8-0DDA52D435B1}" name="atemp" dataDxfId="131"/>
    <tableColumn id="4" xr3:uid="{11E1E794-45E9-4B33-93DF-C7EB2FA141AF}" name="hum" dataDxfId="130"/>
    <tableColumn id="5" xr3:uid="{0A08312B-CCA7-45DD-B6E0-010943658207}" name="windspeed" dataDxfId="129"/>
    <tableColumn id="6" xr3:uid="{4EEF4EE4-80F7-4DF0-80FA-DFB91D9DFED4}" name="casual" dataDxfId="128"/>
    <tableColumn id="7" xr3:uid="{0E37B7F0-CFA4-4D94-9970-0959A430A0B5}" name="registered" dataDxfId="127"/>
    <tableColumn id="8" xr3:uid="{FAD494AD-100B-4F76-B808-7B472FA63BCD}" name="cnt" dataDxfId="12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F6C48-6962-4825-99B7-ACDDC37F2FE9}" name="Query2" displayName="Query2" ref="A1:P1222" tableType="queryTable" totalsRowShown="0" headerRowDxfId="125">
  <autoFilter ref="A1:P1222" xr:uid="{66CF6C48-6962-4825-99B7-ACDDC37F2FE9}"/>
  <tableColumns count="16">
    <tableColumn id="1" xr3:uid="{DFCBB42B-A65D-457E-B756-343072973B30}" uniqueName="1" name="instant" queryTableFieldId="1"/>
    <tableColumn id="2" xr3:uid="{0595A805-9DF0-42A3-B811-D15F34A66496}" uniqueName="2" name="dteday" queryTableFieldId="2" dataDxfId="124"/>
    <tableColumn id="3" xr3:uid="{226BD535-BE4D-4917-B74D-82A63D07ACDD}" uniqueName="3" name="season" queryTableFieldId="3"/>
    <tableColumn id="5" xr3:uid="{305A91FE-6108-413C-A3B0-421086113F59}" uniqueName="5" name="mnth" queryTableFieldId="5"/>
    <tableColumn id="6" xr3:uid="{90D29F2C-8DEA-410A-9D7C-B1EDA90ACF75}" uniqueName="6" name="hr" queryTableFieldId="6"/>
    <tableColumn id="7" xr3:uid="{AE21F8E9-7C59-4429-B497-2E6610426675}" uniqueName="7" name="holiday" queryTableFieldId="7"/>
    <tableColumn id="8" xr3:uid="{DDEAEBD8-2540-48C2-95BE-CD034ADD8610}" uniqueName="8" name="weekday" queryTableFieldId="8"/>
    <tableColumn id="9" xr3:uid="{6D3AD2DD-6676-4823-9F85-9C71612FAF0E}" uniqueName="9" name="weathersit" queryTableFieldId="9"/>
    <tableColumn id="10" xr3:uid="{0CF2269C-97D5-4903-BF08-7EB0F1AC0A1C}" uniqueName="10" name="temp" queryTableFieldId="10"/>
    <tableColumn id="11" xr3:uid="{99A1F472-7842-434E-8C2B-F9741DEE9EA1}" uniqueName="11" name="Unnamed: 0" queryTableFieldId="11"/>
    <tableColumn id="12" xr3:uid="{5CBC7587-7ABF-462C-88FB-E5EC828183EF}" uniqueName="12" name="atemp" queryTableFieldId="12"/>
    <tableColumn id="13" xr3:uid="{E8A6C67F-5233-4475-AAAD-7A2FD8A0337C}" uniqueName="13" name="hum" queryTableFieldId="13"/>
    <tableColumn id="14" xr3:uid="{712D2D1A-8E78-404A-B78A-06343EF32442}" uniqueName="14" name="windspeed" queryTableFieldId="14"/>
    <tableColumn id="15" xr3:uid="{BD555596-0FE1-43D6-8017-C8714DFAA658}" uniqueName="15" name="casual" queryTableFieldId="15"/>
    <tableColumn id="16" xr3:uid="{6471CC27-DEE7-47B8-9A35-E4D81D92E022}" uniqueName="16" name="registered" queryTableFieldId="16"/>
    <tableColumn id="17" xr3:uid="{9E1E9D19-C936-4953-872C-B6B2A42CBE64}" uniqueName="17" name="cnt" queryTableFieldId="1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A55B5D-59B7-4637-A1DF-3DE53476BA0F}" name="Table6" displayName="Table6" ref="A1:O391" totalsRowShown="0" headerRowDxfId="116" dataDxfId="115" headerRowCellStyle="Normal 2" dataCellStyle="Normal 2">
  <autoFilter ref="A1:O391" xr:uid="{FCA55B5D-59B7-4637-A1DF-3DE53476BA0F}"/>
  <tableColumns count="15">
    <tableColumn id="1" xr3:uid="{DEDE9F1D-0D07-4BBD-B442-D4DA268896B2}" name="instant" dataDxfId="114" dataCellStyle="Normal 2"/>
    <tableColumn id="2" xr3:uid="{B2000850-0154-45B7-9598-F359662E013B}" name="dteday" dataDxfId="113" dataCellStyle="Normal 2"/>
    <tableColumn id="3" xr3:uid="{BEDD1CE1-D13B-4B44-800E-C356E9898844}" name="season" dataDxfId="112" dataCellStyle="Normal 2"/>
    <tableColumn id="5" xr3:uid="{9EDF5B7D-CEFD-4C57-9662-FD7407C5EC59}" name="mnth" dataDxfId="111" dataCellStyle="Normal 2"/>
    <tableColumn id="6" xr3:uid="{74E5E38D-8CCC-4D23-9112-40450A7CFCB7}" name="hr" dataDxfId="110" dataCellStyle="Normal 2"/>
    <tableColumn id="7" xr3:uid="{D54A38C1-EA97-46A0-8729-E9453B33AACA}" name="holiday" dataDxfId="109" dataCellStyle="Normal 2"/>
    <tableColumn id="8" xr3:uid="{C5FE0AC0-1F88-4633-96D3-AB630D23D576}" name="weekday" dataDxfId="108" dataCellStyle="Normal 2"/>
    <tableColumn id="9" xr3:uid="{686E84A8-9288-4F0E-8869-ABE81ADFA0BB}" name="weathersit" dataDxfId="107" dataCellStyle="Normal 2"/>
    <tableColumn id="10" xr3:uid="{E4826F50-92AC-406E-A087-1F1D4DBBA6A2}" name="temp" dataDxfId="106" dataCellStyle="Normal 2"/>
    <tableColumn id="11" xr3:uid="{92E5F995-B098-4747-B903-8714B6DCCB29}" name="atemp" dataDxfId="105" dataCellStyle="Normal 2"/>
    <tableColumn id="12" xr3:uid="{F52441F0-3838-4AFA-B586-8DDB1BC7FA34}" name="hum" dataDxfId="104" dataCellStyle="Normal 2"/>
    <tableColumn id="13" xr3:uid="{506E9ABF-FC8A-48F2-ABEE-1A1C7AA65F98}" name="windspeed" dataDxfId="103" dataCellStyle="Normal 2"/>
    <tableColumn id="14" xr3:uid="{64374D6F-5ACA-4B2C-80FB-FF943AAFD094}" name="casual" dataDxfId="102" dataCellStyle="Normal 2"/>
    <tableColumn id="15" xr3:uid="{DBBE56E6-CA6E-4CDD-8B4A-1F70821B42FC}" name="registered" dataDxfId="101" dataCellStyle="Normal 2"/>
    <tableColumn id="16" xr3:uid="{4B1369AD-1B97-41EA-AA1E-DAC1897A4B3C}" name="cnt" dataDxfId="100"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2E6CAB-547F-4DE7-9DDE-CA1D4AEC6B4B}" name="Query3" displayName="Query3" ref="A1:S1612" tableType="queryTable" totalsRowShown="0">
  <autoFilter ref="A1:S1612" xr:uid="{E42E6CAB-547F-4DE7-9DDE-CA1D4AEC6B4B}"/>
  <tableColumns count="19">
    <tableColumn id="1" xr3:uid="{48ADA8F2-45AA-4601-BA1B-D8C616E28E6F}" uniqueName="1" name="instant" queryTableFieldId="1"/>
    <tableColumn id="2" xr3:uid="{4BE23884-B1E3-4330-AB81-5F5B663D37D0}" uniqueName="2" name="dteday" queryTableFieldId="2" dataDxfId="99"/>
    <tableColumn id="3" xr3:uid="{11FF4577-6182-437A-A791-7572AFE8F411}" uniqueName="3" name="season" queryTableFieldId="3"/>
    <tableColumn id="4" xr3:uid="{51EBC422-2E92-4A20-A9AF-A48B963F884C}" uniqueName="4" name="mnth" queryTableFieldId="4"/>
    <tableColumn id="5" xr3:uid="{DCB0F4C1-2239-46BD-8827-91CB9B672A98}" uniqueName="5" name="hr" queryTableFieldId="5"/>
    <tableColumn id="6" xr3:uid="{470F891F-72E0-4518-8477-AA268CAA6BDD}" uniqueName="6" name="holiday" queryTableFieldId="6"/>
    <tableColumn id="7" xr3:uid="{99EF4DC6-2602-442F-86B1-4E6E5A1B84C5}" uniqueName="7" name="weekday" queryTableFieldId="7"/>
    <tableColumn id="8" xr3:uid="{20A85D69-7D62-4B82-9CB4-AC3AEEA0830F}" uniqueName="8" name="weathersit" queryTableFieldId="8"/>
    <tableColumn id="9" xr3:uid="{68B6DDFF-D687-4A95-83C6-CEB7D2FDD6D9}" uniqueName="9" name="temp" queryTableFieldId="9"/>
    <tableColumn id="10" xr3:uid="{CC8FC97F-BDDE-4FED-88BB-DDD3B26B48B0}" uniqueName="10" name="Unnamed: 0" queryTableFieldId="10"/>
    <tableColumn id="11" xr3:uid="{ED0C2D83-6C12-4829-9118-CEDA4F8C22BC}" uniqueName="11" name="atemp" queryTableFieldId="11"/>
    <tableColumn id="12" xr3:uid="{6130FDAA-6B49-4A3F-96A7-9A6F499CE23B}" uniqueName="12" name="hum" queryTableFieldId="12"/>
    <tableColumn id="13" xr3:uid="{269389C2-F383-4344-BF72-8C2B2486AD6F}" uniqueName="13" name="windspeed" queryTableFieldId="13"/>
    <tableColumn id="14" xr3:uid="{EFA39B77-1DD6-4218-BE77-17F06D3D835E}" uniqueName="14" name="casual" queryTableFieldId="14"/>
    <tableColumn id="15" xr3:uid="{D6EB18F6-826F-4ABF-B65A-1A867870ED62}" uniqueName="15" name="registered" queryTableFieldId="15"/>
    <tableColumn id="16" xr3:uid="{73F8E70C-5EA2-453C-9491-398B071DDFE7}" uniqueName="16" name="cnt" queryTableFieldId="16"/>
    <tableColumn id="17" xr3:uid="{1BE7AB7E-5926-464C-B459-152F46D53667}" uniqueName="17" name="Weekend/weekdays" queryTableFieldId="17" dataDxfId="98">
      <calculatedColumnFormula>IF(G2&gt;=5,"Weekends","Weekdays")</calculatedColumnFormula>
    </tableColumn>
    <tableColumn id="18" xr3:uid="{B584A5EF-A156-47EA-B26D-4CD21CBE38D4}" uniqueName="18" name="hr/Time period" queryTableFieldId="18" dataDxfId="97">
      <calculatedColumnFormula>IF(E2&lt;12,"Morning",IF(E2&lt;16,"Afternoon",IF(E2&lt;21,"Evening","Night")))</calculatedColumnFormula>
    </tableColumn>
    <tableColumn id="19" xr3:uid="{7CD7FDAD-3732-468B-A714-2238FA8BA16E}" uniqueName="19" name="Weather Name" queryTableFieldId="19" dataDxfId="96">
      <calculatedColumnFormula>IF(H2=1,"Clear",IF(H2=2,"Mist",IF(H2=3,"Light Snow/Rain","Heavy Rain/Snow")))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611"/>
  <sheetViews>
    <sheetView workbookViewId="0">
      <selection activeCell="L11" sqref="L11"/>
    </sheetView>
  </sheetViews>
  <sheetFormatPr defaultColWidth="12.6640625" defaultRowHeight="15.75" customHeight="1" x14ac:dyDescent="0.25"/>
  <cols>
    <col min="9" max="9" width="14.44140625" customWidth="1"/>
  </cols>
  <sheetData>
    <row r="1" spans="1:13" x14ac:dyDescent="0.25">
      <c r="A1" s="4" t="s">
        <v>0</v>
      </c>
      <c r="B1" s="4" t="s">
        <v>1</v>
      </c>
      <c r="C1" s="4" t="s">
        <v>2</v>
      </c>
      <c r="D1" s="4" t="s">
        <v>3</v>
      </c>
      <c r="E1" s="4" t="s">
        <v>4</v>
      </c>
      <c r="F1" s="4" t="s">
        <v>5</v>
      </c>
      <c r="G1" s="4" t="s">
        <v>6</v>
      </c>
      <c r="H1" s="4" t="s">
        <v>7</v>
      </c>
      <c r="I1" s="4" t="s">
        <v>8</v>
      </c>
      <c r="J1" s="4" t="s">
        <v>9</v>
      </c>
    </row>
    <row r="2" spans="1:13" x14ac:dyDescent="0.25">
      <c r="A2" s="1">
        <v>1</v>
      </c>
      <c r="B2" s="2">
        <v>40544</v>
      </c>
      <c r="C2" s="1">
        <v>1</v>
      </c>
      <c r="D2" s="1">
        <v>0</v>
      </c>
      <c r="E2" s="1">
        <v>1</v>
      </c>
      <c r="F2" s="1">
        <v>0</v>
      </c>
      <c r="G2" s="1" t="b">
        <v>0</v>
      </c>
      <c r="H2" s="1">
        <v>6</v>
      </c>
      <c r="I2" s="1">
        <v>1</v>
      </c>
      <c r="J2" s="1">
        <v>0.24</v>
      </c>
    </row>
    <row r="3" spans="1:13" x14ac:dyDescent="0.25">
      <c r="A3" s="1">
        <v>2</v>
      </c>
      <c r="B3" s="2">
        <v>40544</v>
      </c>
      <c r="C3" s="1">
        <v>1</v>
      </c>
      <c r="D3" s="1">
        <v>0</v>
      </c>
      <c r="E3" s="1">
        <v>1</v>
      </c>
      <c r="F3" s="1">
        <v>1</v>
      </c>
      <c r="G3" s="1" t="b">
        <v>0</v>
      </c>
      <c r="H3" s="1">
        <v>6</v>
      </c>
      <c r="I3" s="1">
        <v>1</v>
      </c>
      <c r="J3" s="1">
        <v>0.22</v>
      </c>
    </row>
    <row r="4" spans="1:13" x14ac:dyDescent="0.25">
      <c r="A4" s="1">
        <v>3</v>
      </c>
      <c r="B4" s="2">
        <v>40544</v>
      </c>
      <c r="C4" s="1">
        <v>1</v>
      </c>
      <c r="D4" s="1">
        <v>0</v>
      </c>
      <c r="E4" s="1">
        <v>1</v>
      </c>
      <c r="F4" s="1">
        <v>2</v>
      </c>
      <c r="G4" s="1" t="b">
        <v>0</v>
      </c>
      <c r="H4" s="1">
        <v>6</v>
      </c>
      <c r="I4" s="1">
        <v>1</v>
      </c>
      <c r="J4" s="1">
        <v>0.22</v>
      </c>
    </row>
    <row r="5" spans="1:13" x14ac:dyDescent="0.25">
      <c r="A5" s="1">
        <v>4</v>
      </c>
      <c r="B5" s="2">
        <v>40544</v>
      </c>
      <c r="C5" s="1">
        <v>1</v>
      </c>
      <c r="D5" s="1">
        <v>0</v>
      </c>
      <c r="E5" s="1">
        <v>1</v>
      </c>
      <c r="F5" s="1">
        <v>3</v>
      </c>
      <c r="G5" s="1" t="b">
        <v>0</v>
      </c>
      <c r="H5" s="1">
        <v>6</v>
      </c>
      <c r="I5" s="1">
        <v>1</v>
      </c>
      <c r="J5" s="1">
        <v>0.24</v>
      </c>
      <c r="M5" s="3"/>
    </row>
    <row r="6" spans="1:13" x14ac:dyDescent="0.25">
      <c r="A6" s="1">
        <v>5</v>
      </c>
      <c r="B6" s="2">
        <v>40544</v>
      </c>
      <c r="C6" s="1">
        <v>1</v>
      </c>
      <c r="D6" s="1">
        <v>0</v>
      </c>
      <c r="E6" s="1">
        <v>1</v>
      </c>
      <c r="F6" s="1">
        <v>4</v>
      </c>
      <c r="G6" s="1" t="b">
        <v>0</v>
      </c>
      <c r="H6" s="1">
        <v>6</v>
      </c>
      <c r="I6" s="1">
        <v>1</v>
      </c>
      <c r="J6" s="1">
        <v>0.24</v>
      </c>
    </row>
    <row r="7" spans="1:13" x14ac:dyDescent="0.25">
      <c r="A7" s="1">
        <v>6</v>
      </c>
      <c r="B7" s="2">
        <v>40544</v>
      </c>
      <c r="C7" s="1">
        <v>1</v>
      </c>
      <c r="D7" s="1">
        <v>0</v>
      </c>
      <c r="E7" s="1">
        <v>1</v>
      </c>
      <c r="F7" s="1">
        <v>5</v>
      </c>
      <c r="G7" s="1" t="b">
        <v>0</v>
      </c>
      <c r="H7" s="1">
        <v>6</v>
      </c>
      <c r="I7" s="1">
        <v>2</v>
      </c>
      <c r="J7" s="1">
        <v>0.24</v>
      </c>
    </row>
    <row r="8" spans="1:13" x14ac:dyDescent="0.25">
      <c r="A8" s="1">
        <v>7</v>
      </c>
      <c r="B8" s="2">
        <v>40544</v>
      </c>
      <c r="C8" s="1">
        <v>1</v>
      </c>
      <c r="D8" s="1">
        <v>0</v>
      </c>
      <c r="E8" s="1">
        <v>1</v>
      </c>
      <c r="F8" s="1">
        <v>6</v>
      </c>
      <c r="G8" s="1" t="b">
        <v>0</v>
      </c>
      <c r="H8" s="1">
        <v>6</v>
      </c>
      <c r="I8" s="1">
        <v>1</v>
      </c>
      <c r="J8" s="1">
        <v>0.22</v>
      </c>
    </row>
    <row r="9" spans="1:13" x14ac:dyDescent="0.25">
      <c r="A9" s="1">
        <v>8</v>
      </c>
      <c r="B9" s="2">
        <v>40544</v>
      </c>
      <c r="C9" s="1">
        <v>1</v>
      </c>
      <c r="D9" s="1">
        <v>0</v>
      </c>
      <c r="E9" s="1">
        <v>1</v>
      </c>
      <c r="F9" s="1">
        <v>7</v>
      </c>
      <c r="G9" s="1" t="b">
        <v>0</v>
      </c>
      <c r="H9" s="1">
        <v>6</v>
      </c>
      <c r="I9" s="1">
        <v>1</v>
      </c>
      <c r="J9" s="1">
        <v>0.2</v>
      </c>
    </row>
    <row r="10" spans="1:13" x14ac:dyDescent="0.25">
      <c r="A10" s="1">
        <v>9</v>
      </c>
      <c r="B10" s="2">
        <v>40544</v>
      </c>
      <c r="C10" s="1">
        <v>1</v>
      </c>
      <c r="D10" s="1">
        <v>0</v>
      </c>
      <c r="E10" s="1">
        <v>1</v>
      </c>
      <c r="F10" s="1">
        <v>8</v>
      </c>
      <c r="G10" s="1" t="b">
        <v>0</v>
      </c>
      <c r="H10" s="1">
        <v>6</v>
      </c>
      <c r="I10" s="1">
        <v>1</v>
      </c>
      <c r="J10" s="1">
        <v>0.24</v>
      </c>
    </row>
    <row r="11" spans="1:13" x14ac:dyDescent="0.25">
      <c r="A11" s="1">
        <v>10</v>
      </c>
      <c r="B11" s="2">
        <v>40544</v>
      </c>
      <c r="C11" s="1">
        <v>1</v>
      </c>
      <c r="D11" s="1">
        <v>0</v>
      </c>
      <c r="E11" s="1">
        <v>1</v>
      </c>
      <c r="F11" s="1">
        <v>9</v>
      </c>
      <c r="G11" s="1" t="b">
        <v>0</v>
      </c>
      <c r="H11" s="1">
        <v>6</v>
      </c>
      <c r="I11" s="1">
        <v>1</v>
      </c>
      <c r="J11" s="1">
        <v>0.32</v>
      </c>
    </row>
    <row r="12" spans="1:13" x14ac:dyDescent="0.25">
      <c r="A12" s="1">
        <v>11</v>
      </c>
      <c r="B12" s="2">
        <v>40544</v>
      </c>
      <c r="C12" s="1">
        <v>1</v>
      </c>
      <c r="D12" s="1">
        <v>0</v>
      </c>
      <c r="E12" s="1">
        <v>1</v>
      </c>
      <c r="F12" s="1">
        <v>10</v>
      </c>
      <c r="G12" s="1" t="b">
        <v>0</v>
      </c>
      <c r="H12" s="1">
        <v>6</v>
      </c>
      <c r="I12" s="1">
        <v>1</v>
      </c>
      <c r="J12" s="1">
        <v>0.38</v>
      </c>
    </row>
    <row r="13" spans="1:13" x14ac:dyDescent="0.25">
      <c r="A13" s="1">
        <v>12</v>
      </c>
      <c r="B13" s="2">
        <v>40544</v>
      </c>
      <c r="C13" s="1">
        <v>1</v>
      </c>
      <c r="D13" s="1">
        <v>0</v>
      </c>
      <c r="E13" s="1">
        <v>1</v>
      </c>
      <c r="F13" s="1">
        <v>11</v>
      </c>
      <c r="G13" s="1" t="b">
        <v>0</v>
      </c>
      <c r="H13" s="1">
        <v>6</v>
      </c>
      <c r="I13" s="1">
        <v>1</v>
      </c>
      <c r="J13" s="1">
        <v>0.36</v>
      </c>
    </row>
    <row r="14" spans="1:13" x14ac:dyDescent="0.25">
      <c r="A14" s="1">
        <v>13</v>
      </c>
      <c r="B14" s="2">
        <v>40544</v>
      </c>
      <c r="C14" s="1">
        <v>1</v>
      </c>
      <c r="D14" s="1">
        <v>0</v>
      </c>
      <c r="E14" s="1">
        <v>1</v>
      </c>
      <c r="F14" s="1">
        <v>12</v>
      </c>
      <c r="G14" s="1" t="b">
        <v>0</v>
      </c>
      <c r="H14" s="1">
        <v>6</v>
      </c>
      <c r="I14" s="1">
        <v>1</v>
      </c>
      <c r="J14" s="1">
        <v>0.42</v>
      </c>
    </row>
    <row r="15" spans="1:13" x14ac:dyDescent="0.25">
      <c r="A15" s="1">
        <v>14</v>
      </c>
      <c r="B15" s="2">
        <v>40544</v>
      </c>
      <c r="C15" s="1">
        <v>1</v>
      </c>
      <c r="D15" s="1">
        <v>0</v>
      </c>
      <c r="E15" s="1">
        <v>1</v>
      </c>
      <c r="F15" s="1">
        <v>13</v>
      </c>
      <c r="G15" s="1" t="b">
        <v>0</v>
      </c>
      <c r="H15" s="1">
        <v>6</v>
      </c>
      <c r="I15" s="1">
        <v>2</v>
      </c>
      <c r="J15" s="1">
        <v>0.46</v>
      </c>
    </row>
    <row r="16" spans="1:13" x14ac:dyDescent="0.25">
      <c r="A16" s="1">
        <v>15</v>
      </c>
      <c r="B16" s="2">
        <v>40544</v>
      </c>
      <c r="C16" s="1">
        <v>1</v>
      </c>
      <c r="D16" s="1">
        <v>0</v>
      </c>
      <c r="E16" s="1">
        <v>1</v>
      </c>
      <c r="F16" s="1">
        <v>14</v>
      </c>
      <c r="G16" s="1" t="b">
        <v>0</v>
      </c>
      <c r="H16" s="1">
        <v>6</v>
      </c>
      <c r="I16" s="1">
        <v>2</v>
      </c>
      <c r="J16" s="1">
        <v>0.46</v>
      </c>
    </row>
    <row r="17" spans="1:10" x14ac:dyDescent="0.25">
      <c r="A17" s="1">
        <v>16</v>
      </c>
      <c r="B17" s="2">
        <v>40544</v>
      </c>
      <c r="C17" s="1">
        <v>1</v>
      </c>
      <c r="D17" s="1">
        <v>0</v>
      </c>
      <c r="E17" s="1">
        <v>1</v>
      </c>
      <c r="F17" s="1">
        <v>15</v>
      </c>
      <c r="G17" s="1" t="b">
        <v>0</v>
      </c>
      <c r="H17" s="1">
        <v>6</v>
      </c>
      <c r="I17" s="1">
        <v>2</v>
      </c>
      <c r="J17" s="1">
        <v>0.44</v>
      </c>
    </row>
    <row r="18" spans="1:10" x14ac:dyDescent="0.25">
      <c r="A18" s="1">
        <v>17</v>
      </c>
      <c r="B18" s="2">
        <v>40544</v>
      </c>
      <c r="C18" s="1">
        <v>1</v>
      </c>
      <c r="D18" s="1">
        <v>0</v>
      </c>
      <c r="E18" s="1">
        <v>1</v>
      </c>
      <c r="F18" s="1">
        <v>16</v>
      </c>
      <c r="G18" s="1" t="b">
        <v>0</v>
      </c>
      <c r="H18" s="1">
        <v>6</v>
      </c>
      <c r="I18" s="1">
        <v>2</v>
      </c>
      <c r="J18" s="1">
        <v>0.42</v>
      </c>
    </row>
    <row r="19" spans="1:10" x14ac:dyDescent="0.25">
      <c r="A19" s="1">
        <v>18</v>
      </c>
      <c r="B19" s="2">
        <v>40544</v>
      </c>
      <c r="C19" s="1">
        <v>1</v>
      </c>
      <c r="D19" s="1">
        <v>0</v>
      </c>
      <c r="E19" s="1">
        <v>1</v>
      </c>
      <c r="F19" s="1">
        <v>17</v>
      </c>
      <c r="G19" s="1" t="b">
        <v>0</v>
      </c>
      <c r="H19" s="1">
        <v>6</v>
      </c>
      <c r="I19" s="1">
        <v>2</v>
      </c>
      <c r="J19" s="1">
        <v>0.44</v>
      </c>
    </row>
    <row r="20" spans="1:10" x14ac:dyDescent="0.25">
      <c r="A20" s="1">
        <v>19</v>
      </c>
      <c r="B20" s="2">
        <v>40544</v>
      </c>
      <c r="C20" s="1">
        <v>1</v>
      </c>
      <c r="D20" s="1">
        <v>0</v>
      </c>
      <c r="E20" s="1">
        <v>1</v>
      </c>
      <c r="F20" s="1">
        <v>18</v>
      </c>
      <c r="G20" s="1" t="b">
        <v>0</v>
      </c>
      <c r="H20" s="1">
        <v>6</v>
      </c>
      <c r="I20" s="1">
        <v>3</v>
      </c>
      <c r="J20" s="1">
        <v>0.42</v>
      </c>
    </row>
    <row r="21" spans="1:10" x14ac:dyDescent="0.25">
      <c r="A21" s="1">
        <v>20</v>
      </c>
      <c r="B21" s="2">
        <v>40544</v>
      </c>
      <c r="C21" s="1">
        <v>1</v>
      </c>
      <c r="D21" s="1">
        <v>0</v>
      </c>
      <c r="E21" s="1">
        <v>1</v>
      </c>
      <c r="F21" s="1">
        <v>19</v>
      </c>
      <c r="G21" s="1" t="b">
        <v>0</v>
      </c>
      <c r="H21" s="1">
        <v>6</v>
      </c>
      <c r="I21" s="1">
        <v>3</v>
      </c>
      <c r="J21" s="1">
        <v>0.42</v>
      </c>
    </row>
    <row r="22" spans="1:10" x14ac:dyDescent="0.25">
      <c r="A22" s="1">
        <v>21</v>
      </c>
      <c r="B22" s="2">
        <v>40544</v>
      </c>
      <c r="C22" s="1">
        <v>1</v>
      </c>
      <c r="D22" s="1">
        <v>0</v>
      </c>
      <c r="E22" s="1">
        <v>1</v>
      </c>
      <c r="F22" s="1">
        <v>20</v>
      </c>
      <c r="G22" s="1" t="b">
        <v>0</v>
      </c>
      <c r="H22" s="1">
        <v>6</v>
      </c>
      <c r="I22" s="1">
        <v>2</v>
      </c>
      <c r="J22" s="1">
        <v>0.4</v>
      </c>
    </row>
    <row r="23" spans="1:10" x14ac:dyDescent="0.25">
      <c r="A23" s="1">
        <v>22</v>
      </c>
      <c r="B23" s="2">
        <v>40544</v>
      </c>
      <c r="C23" s="1">
        <v>1</v>
      </c>
      <c r="D23" s="1">
        <v>0</v>
      </c>
      <c r="E23" s="1">
        <v>1</v>
      </c>
      <c r="F23" s="1">
        <v>21</v>
      </c>
      <c r="G23" s="1" t="b">
        <v>0</v>
      </c>
      <c r="H23" s="1">
        <v>6</v>
      </c>
      <c r="I23" s="1">
        <v>2</v>
      </c>
      <c r="J23" s="1">
        <v>0.4</v>
      </c>
    </row>
    <row r="24" spans="1:10" x14ac:dyDescent="0.25">
      <c r="A24" s="1">
        <v>23</v>
      </c>
      <c r="B24" s="2">
        <v>40544</v>
      </c>
      <c r="C24" s="1">
        <v>1</v>
      </c>
      <c r="D24" s="1">
        <v>0</v>
      </c>
      <c r="E24" s="1">
        <v>1</v>
      </c>
      <c r="F24" s="1">
        <v>22</v>
      </c>
      <c r="G24" s="1" t="b">
        <v>0</v>
      </c>
      <c r="H24" s="1">
        <v>6</v>
      </c>
      <c r="I24" s="1">
        <v>2</v>
      </c>
      <c r="J24" s="1">
        <v>0.4</v>
      </c>
    </row>
    <row r="25" spans="1:10" x14ac:dyDescent="0.25">
      <c r="A25" s="1">
        <v>24</v>
      </c>
      <c r="B25" s="2">
        <v>40544</v>
      </c>
      <c r="C25" s="1">
        <v>1</v>
      </c>
      <c r="D25" s="1">
        <v>0</v>
      </c>
      <c r="E25" s="1">
        <v>1</v>
      </c>
      <c r="F25" s="1">
        <v>23</v>
      </c>
      <c r="G25" s="1" t="b">
        <v>0</v>
      </c>
      <c r="H25" s="1">
        <v>6</v>
      </c>
      <c r="I25" s="1">
        <v>2</v>
      </c>
      <c r="J25" s="1">
        <v>0.46</v>
      </c>
    </row>
    <row r="26" spans="1:10" x14ac:dyDescent="0.25">
      <c r="A26" s="1">
        <v>25</v>
      </c>
      <c r="B26" s="2">
        <v>40545</v>
      </c>
      <c r="C26" s="1">
        <v>1</v>
      </c>
      <c r="D26" s="1">
        <v>0</v>
      </c>
      <c r="E26" s="1">
        <v>1</v>
      </c>
      <c r="F26" s="1">
        <v>0</v>
      </c>
      <c r="G26" s="1" t="b">
        <v>0</v>
      </c>
      <c r="H26" s="1">
        <v>0</v>
      </c>
      <c r="I26" s="1">
        <v>2</v>
      </c>
      <c r="J26" s="1">
        <v>0.46</v>
      </c>
    </row>
    <row r="27" spans="1:10" x14ac:dyDescent="0.25">
      <c r="A27" s="1">
        <v>26</v>
      </c>
      <c r="B27" s="2">
        <v>40545</v>
      </c>
      <c r="C27" s="1">
        <v>1</v>
      </c>
      <c r="D27" s="1">
        <v>0</v>
      </c>
      <c r="E27" s="1">
        <v>1</v>
      </c>
      <c r="F27" s="1">
        <v>1</v>
      </c>
      <c r="G27" s="1" t="b">
        <v>0</v>
      </c>
      <c r="H27" s="1">
        <v>0</v>
      </c>
      <c r="I27" s="1">
        <v>2</v>
      </c>
      <c r="J27" s="1">
        <v>0.44</v>
      </c>
    </row>
    <row r="28" spans="1:10" x14ac:dyDescent="0.25">
      <c r="A28" s="1">
        <v>27</v>
      </c>
      <c r="B28" s="2">
        <v>40545</v>
      </c>
      <c r="C28" s="1">
        <v>1</v>
      </c>
      <c r="D28" s="1">
        <v>0</v>
      </c>
      <c r="E28" s="1">
        <v>1</v>
      </c>
      <c r="F28" s="1">
        <v>2</v>
      </c>
      <c r="G28" s="1" t="b">
        <v>0</v>
      </c>
      <c r="H28" s="1">
        <v>0</v>
      </c>
      <c r="I28" s="1">
        <v>2</v>
      </c>
      <c r="J28" s="1">
        <v>0.42</v>
      </c>
    </row>
    <row r="29" spans="1:10" x14ac:dyDescent="0.25">
      <c r="A29" s="1">
        <v>28</v>
      </c>
      <c r="B29" s="2">
        <v>40545</v>
      </c>
      <c r="C29" s="1">
        <v>1</v>
      </c>
      <c r="D29" s="1">
        <v>0</v>
      </c>
      <c r="E29" s="1">
        <v>1</v>
      </c>
      <c r="F29" s="1">
        <v>3</v>
      </c>
      <c r="G29" s="1" t="b">
        <v>0</v>
      </c>
      <c r="H29" s="1">
        <v>0</v>
      </c>
      <c r="I29" s="1">
        <v>2</v>
      </c>
      <c r="J29" s="1">
        <v>0.46</v>
      </c>
    </row>
    <row r="30" spans="1:10" x14ac:dyDescent="0.25">
      <c r="A30" s="1">
        <v>29</v>
      </c>
      <c r="B30" s="2">
        <v>40545</v>
      </c>
      <c r="C30" s="1">
        <v>1</v>
      </c>
      <c r="D30" s="1">
        <v>0</v>
      </c>
      <c r="E30" s="1">
        <v>1</v>
      </c>
      <c r="F30" s="1">
        <v>4</v>
      </c>
      <c r="G30" s="1" t="b">
        <v>0</v>
      </c>
      <c r="H30" s="1">
        <v>0</v>
      </c>
      <c r="I30" s="1">
        <v>2</v>
      </c>
      <c r="J30" s="1">
        <v>0.46</v>
      </c>
    </row>
    <row r="31" spans="1:10" x14ac:dyDescent="0.25">
      <c r="A31" s="1">
        <v>30</v>
      </c>
      <c r="B31" s="2">
        <v>40545</v>
      </c>
      <c r="C31" s="1">
        <v>1</v>
      </c>
      <c r="D31" s="1">
        <v>0</v>
      </c>
      <c r="E31" s="1">
        <v>1</v>
      </c>
      <c r="F31" s="1">
        <v>6</v>
      </c>
      <c r="G31" s="1" t="b">
        <v>0</v>
      </c>
      <c r="H31" s="1">
        <v>0</v>
      </c>
      <c r="I31" s="1">
        <v>3</v>
      </c>
      <c r="J31" s="1">
        <v>0.42</v>
      </c>
    </row>
    <row r="32" spans="1:10" x14ac:dyDescent="0.25">
      <c r="A32" s="1">
        <v>31</v>
      </c>
      <c r="B32" s="2">
        <v>40545</v>
      </c>
      <c r="C32" s="1">
        <v>1</v>
      </c>
      <c r="D32" s="1">
        <v>0</v>
      </c>
      <c r="E32" s="1">
        <v>1</v>
      </c>
      <c r="F32" s="1">
        <v>7</v>
      </c>
      <c r="G32" s="1" t="b">
        <v>0</v>
      </c>
      <c r="H32" s="1">
        <v>0</v>
      </c>
      <c r="I32" s="1">
        <v>2</v>
      </c>
      <c r="J32" s="1">
        <v>0.4</v>
      </c>
    </row>
    <row r="33" spans="1:10" x14ac:dyDescent="0.25">
      <c r="A33" s="1">
        <v>32</v>
      </c>
      <c r="B33" s="2">
        <v>40545</v>
      </c>
      <c r="C33" s="1">
        <v>1</v>
      </c>
      <c r="D33" s="1">
        <v>0</v>
      </c>
      <c r="E33" s="1">
        <v>1</v>
      </c>
      <c r="F33" s="1">
        <v>8</v>
      </c>
      <c r="G33" s="1" t="b">
        <v>0</v>
      </c>
      <c r="H33" s="1">
        <v>0</v>
      </c>
      <c r="I33" s="1">
        <v>3</v>
      </c>
      <c r="J33" s="1">
        <v>0.4</v>
      </c>
    </row>
    <row r="34" spans="1:10" x14ac:dyDescent="0.25">
      <c r="A34" s="1">
        <v>33</v>
      </c>
      <c r="B34" s="2">
        <v>40545</v>
      </c>
      <c r="C34" s="1">
        <v>1</v>
      </c>
      <c r="D34" s="1">
        <v>0</v>
      </c>
      <c r="E34" s="1">
        <v>1</v>
      </c>
      <c r="F34" s="1">
        <v>9</v>
      </c>
      <c r="G34" s="1" t="b">
        <v>0</v>
      </c>
      <c r="H34" s="1">
        <v>0</v>
      </c>
      <c r="I34" s="1">
        <v>2</v>
      </c>
      <c r="J34" s="1">
        <v>0.38</v>
      </c>
    </row>
    <row r="35" spans="1:10" x14ac:dyDescent="0.25">
      <c r="A35" s="1">
        <v>34</v>
      </c>
      <c r="B35" s="2">
        <v>40545</v>
      </c>
      <c r="C35" s="1">
        <v>1</v>
      </c>
      <c r="D35" s="1">
        <v>0</v>
      </c>
      <c r="E35" s="1">
        <v>1</v>
      </c>
      <c r="F35" s="1">
        <v>10</v>
      </c>
      <c r="G35" s="1" t="b">
        <v>0</v>
      </c>
      <c r="H35" s="1">
        <v>0</v>
      </c>
      <c r="I35" s="1">
        <v>2</v>
      </c>
      <c r="J35" s="1">
        <v>0.36</v>
      </c>
    </row>
    <row r="36" spans="1:10" x14ac:dyDescent="0.25">
      <c r="A36" s="1">
        <v>35</v>
      </c>
      <c r="B36" s="2">
        <v>40545</v>
      </c>
      <c r="C36" s="1">
        <v>1</v>
      </c>
      <c r="D36" s="1">
        <v>0</v>
      </c>
      <c r="E36" s="1">
        <v>1</v>
      </c>
      <c r="F36" s="1">
        <v>11</v>
      </c>
      <c r="G36" s="1" t="b">
        <v>0</v>
      </c>
      <c r="H36" s="1">
        <v>0</v>
      </c>
      <c r="I36" s="1">
        <v>2</v>
      </c>
      <c r="J36" s="1">
        <v>0.36</v>
      </c>
    </row>
    <row r="37" spans="1:10" x14ac:dyDescent="0.25">
      <c r="A37" s="1">
        <v>36</v>
      </c>
      <c r="B37" s="2">
        <v>40545</v>
      </c>
      <c r="C37" s="1">
        <v>1</v>
      </c>
      <c r="D37" s="1">
        <v>0</v>
      </c>
      <c r="E37" s="1">
        <v>1</v>
      </c>
      <c r="F37" s="1">
        <v>12</v>
      </c>
      <c r="G37" s="1" t="b">
        <v>0</v>
      </c>
      <c r="H37" s="1">
        <v>0</v>
      </c>
      <c r="I37" s="1">
        <v>2</v>
      </c>
      <c r="J37" s="1">
        <v>0.36</v>
      </c>
    </row>
    <row r="38" spans="1:10" x14ac:dyDescent="0.25">
      <c r="A38" s="1">
        <v>37</v>
      </c>
      <c r="B38" s="2">
        <v>40545</v>
      </c>
      <c r="C38" s="1">
        <v>1</v>
      </c>
      <c r="D38" s="1">
        <v>0</v>
      </c>
      <c r="E38" s="1">
        <v>1</v>
      </c>
      <c r="F38" s="1">
        <v>13</v>
      </c>
      <c r="G38" s="1" t="b">
        <v>0</v>
      </c>
      <c r="H38" s="1">
        <v>0</v>
      </c>
      <c r="I38" s="1">
        <v>2</v>
      </c>
      <c r="J38" s="1">
        <v>0.36</v>
      </c>
    </row>
    <row r="39" spans="1:10" x14ac:dyDescent="0.25">
      <c r="A39" s="1">
        <v>38</v>
      </c>
      <c r="B39" s="2">
        <v>40545</v>
      </c>
      <c r="C39" s="1">
        <v>1</v>
      </c>
      <c r="D39" s="1">
        <v>0</v>
      </c>
      <c r="E39" s="1">
        <v>1</v>
      </c>
      <c r="F39" s="1">
        <v>14</v>
      </c>
      <c r="G39" s="1" t="b">
        <v>0</v>
      </c>
      <c r="H39" s="1">
        <v>0</v>
      </c>
      <c r="I39" s="1">
        <v>3</v>
      </c>
      <c r="J39" s="1">
        <v>0.36</v>
      </c>
    </row>
    <row r="40" spans="1:10" x14ac:dyDescent="0.25">
      <c r="A40" s="1">
        <v>39</v>
      </c>
      <c r="B40" s="2">
        <v>40545</v>
      </c>
      <c r="C40" s="1">
        <v>1</v>
      </c>
      <c r="D40" s="1">
        <v>0</v>
      </c>
      <c r="E40" s="1">
        <v>1</v>
      </c>
      <c r="F40" s="1">
        <v>15</v>
      </c>
      <c r="G40" s="1" t="b">
        <v>0</v>
      </c>
      <c r="H40" s="1">
        <v>0</v>
      </c>
      <c r="I40" s="1">
        <v>3</v>
      </c>
      <c r="J40" s="1">
        <v>0.34</v>
      </c>
    </row>
    <row r="41" spans="1:10" x14ac:dyDescent="0.25">
      <c r="A41" s="1">
        <v>40</v>
      </c>
      <c r="B41" s="2">
        <v>40545</v>
      </c>
      <c r="C41" s="1">
        <v>1</v>
      </c>
      <c r="D41" s="1">
        <v>0</v>
      </c>
      <c r="E41" s="1">
        <v>1</v>
      </c>
      <c r="F41" s="1">
        <v>16</v>
      </c>
      <c r="G41" s="1" t="b">
        <v>0</v>
      </c>
      <c r="H41" s="1">
        <v>0</v>
      </c>
      <c r="I41" s="1">
        <v>3</v>
      </c>
      <c r="J41" s="1">
        <v>0.34</v>
      </c>
    </row>
    <row r="42" spans="1:10" x14ac:dyDescent="0.25">
      <c r="A42" s="1">
        <v>41</v>
      </c>
      <c r="B42" s="2">
        <v>40545</v>
      </c>
      <c r="C42" s="1">
        <v>1</v>
      </c>
      <c r="D42" s="1">
        <v>0</v>
      </c>
      <c r="E42" s="1">
        <v>1</v>
      </c>
      <c r="F42" s="1">
        <v>17</v>
      </c>
      <c r="G42" s="1" t="b">
        <v>0</v>
      </c>
      <c r="H42" s="1">
        <v>0</v>
      </c>
      <c r="I42" s="1">
        <v>1</v>
      </c>
      <c r="J42" s="1">
        <v>0.34</v>
      </c>
    </row>
    <row r="43" spans="1:10" x14ac:dyDescent="0.25">
      <c r="A43" s="1">
        <v>42</v>
      </c>
      <c r="B43" s="2">
        <v>40545</v>
      </c>
      <c r="C43" s="1">
        <v>1</v>
      </c>
      <c r="D43" s="1">
        <v>0</v>
      </c>
      <c r="E43" s="1">
        <v>1</v>
      </c>
      <c r="F43" s="1">
        <v>18</v>
      </c>
      <c r="G43" s="1" t="b">
        <v>0</v>
      </c>
      <c r="H43" s="1">
        <v>0</v>
      </c>
      <c r="I43" s="1">
        <v>2</v>
      </c>
      <c r="J43" s="1">
        <v>0.36</v>
      </c>
    </row>
    <row r="44" spans="1:10" x14ac:dyDescent="0.25">
      <c r="A44" s="1">
        <v>43</v>
      </c>
      <c r="B44" s="2">
        <v>40545</v>
      </c>
      <c r="C44" s="1">
        <v>1</v>
      </c>
      <c r="D44" s="1">
        <v>0</v>
      </c>
      <c r="E44" s="1">
        <v>1</v>
      </c>
      <c r="F44" s="1">
        <v>19</v>
      </c>
      <c r="G44" s="1" t="b">
        <v>0</v>
      </c>
      <c r="H44" s="1">
        <v>0</v>
      </c>
      <c r="I44" s="1">
        <v>1</v>
      </c>
      <c r="J44" s="1">
        <v>0.32</v>
      </c>
    </row>
    <row r="45" spans="1:10" x14ac:dyDescent="0.25">
      <c r="A45" s="1">
        <v>44</v>
      </c>
      <c r="B45" s="2">
        <v>40545</v>
      </c>
      <c r="C45" s="1">
        <v>1</v>
      </c>
      <c r="D45" s="1">
        <v>0</v>
      </c>
      <c r="E45" s="1">
        <v>1</v>
      </c>
      <c r="F45" s="1">
        <v>20</v>
      </c>
      <c r="G45" s="1" t="b">
        <v>0</v>
      </c>
      <c r="H45" s="1">
        <v>0</v>
      </c>
      <c r="I45" s="1">
        <v>1</v>
      </c>
      <c r="J45" s="1">
        <v>0.3</v>
      </c>
    </row>
    <row r="46" spans="1:10" x14ac:dyDescent="0.25">
      <c r="A46" s="1">
        <v>45</v>
      </c>
      <c r="B46" s="2">
        <v>40545</v>
      </c>
      <c r="C46" s="1">
        <v>1</v>
      </c>
      <c r="D46" s="1">
        <v>0</v>
      </c>
      <c r="E46" s="1">
        <v>1</v>
      </c>
      <c r="F46" s="1">
        <v>21</v>
      </c>
      <c r="G46" s="1" t="b">
        <v>0</v>
      </c>
      <c r="H46" s="1">
        <v>0</v>
      </c>
      <c r="I46" s="1">
        <v>1</v>
      </c>
      <c r="J46" s="1">
        <v>0.26</v>
      </c>
    </row>
    <row r="47" spans="1:10" x14ac:dyDescent="0.25">
      <c r="A47" s="1">
        <v>46</v>
      </c>
      <c r="B47" s="2">
        <v>40545</v>
      </c>
      <c r="C47" s="1">
        <v>1</v>
      </c>
      <c r="D47" s="1">
        <v>0</v>
      </c>
      <c r="E47" s="1">
        <v>1</v>
      </c>
      <c r="F47" s="1">
        <v>22</v>
      </c>
      <c r="G47" s="1" t="b">
        <v>0</v>
      </c>
      <c r="H47" s="1">
        <v>0</v>
      </c>
      <c r="I47" s="1">
        <v>1</v>
      </c>
      <c r="J47" s="1">
        <v>0.24</v>
      </c>
    </row>
    <row r="48" spans="1:10" x14ac:dyDescent="0.25">
      <c r="A48" s="1">
        <v>47</v>
      </c>
      <c r="B48" s="2">
        <v>40545</v>
      </c>
      <c r="C48" s="1">
        <v>1</v>
      </c>
      <c r="D48" s="1">
        <v>0</v>
      </c>
      <c r="E48" s="1">
        <v>1</v>
      </c>
      <c r="F48" s="1">
        <v>23</v>
      </c>
      <c r="G48" s="1" t="b">
        <v>0</v>
      </c>
      <c r="H48" s="1">
        <v>0</v>
      </c>
      <c r="I48" s="1">
        <v>1</v>
      </c>
      <c r="J48" s="1">
        <v>0.22</v>
      </c>
    </row>
    <row r="49" spans="1:10" x14ac:dyDescent="0.25">
      <c r="A49" s="1">
        <v>48</v>
      </c>
      <c r="B49" s="2">
        <v>40546</v>
      </c>
      <c r="C49" s="1">
        <v>1</v>
      </c>
      <c r="D49" s="1">
        <v>0</v>
      </c>
      <c r="E49" s="1">
        <v>1</v>
      </c>
      <c r="F49" s="1">
        <v>0</v>
      </c>
      <c r="G49" s="1" t="b">
        <v>0</v>
      </c>
      <c r="H49" s="1">
        <v>1</v>
      </c>
      <c r="I49" s="1">
        <v>1</v>
      </c>
      <c r="J49" s="1">
        <v>0.22</v>
      </c>
    </row>
    <row r="50" spans="1:10" x14ac:dyDescent="0.25">
      <c r="A50" s="1">
        <v>49</v>
      </c>
      <c r="B50" s="2">
        <v>40546</v>
      </c>
      <c r="C50" s="1">
        <v>1</v>
      </c>
      <c r="D50" s="1">
        <v>0</v>
      </c>
      <c r="E50" s="1">
        <v>1</v>
      </c>
      <c r="F50" s="1">
        <v>1</v>
      </c>
      <c r="G50" s="1" t="b">
        <v>0</v>
      </c>
      <c r="H50" s="1">
        <v>1</v>
      </c>
      <c r="I50" s="1">
        <v>1</v>
      </c>
      <c r="J50" s="1">
        <v>0.2</v>
      </c>
    </row>
    <row r="51" spans="1:10" x14ac:dyDescent="0.25">
      <c r="A51" s="1">
        <v>50</v>
      </c>
      <c r="B51" s="2">
        <v>40546</v>
      </c>
      <c r="C51" s="1">
        <v>1</v>
      </c>
      <c r="D51" s="1">
        <v>0</v>
      </c>
      <c r="E51" s="1">
        <v>1</v>
      </c>
      <c r="F51" s="1">
        <v>4</v>
      </c>
      <c r="G51" s="1" t="b">
        <v>0</v>
      </c>
      <c r="H51" s="1">
        <v>1</v>
      </c>
      <c r="I51" s="1">
        <v>1</v>
      </c>
      <c r="J51" s="1">
        <v>0.16</v>
      </c>
    </row>
    <row r="52" spans="1:10" x14ac:dyDescent="0.25">
      <c r="A52" s="1">
        <v>51</v>
      </c>
      <c r="B52" s="2">
        <v>40546</v>
      </c>
      <c r="C52" s="1">
        <v>1</v>
      </c>
      <c r="D52" s="1">
        <v>0</v>
      </c>
      <c r="E52" s="1">
        <v>1</v>
      </c>
      <c r="F52" s="1">
        <v>5</v>
      </c>
      <c r="G52" s="1" t="b">
        <v>0</v>
      </c>
      <c r="H52" s="1">
        <v>1</v>
      </c>
      <c r="I52" s="1">
        <v>1</v>
      </c>
      <c r="J52" s="1">
        <v>0.16</v>
      </c>
    </row>
    <row r="53" spans="1:10" x14ac:dyDescent="0.25">
      <c r="A53" s="1">
        <v>52</v>
      </c>
      <c r="B53" s="2">
        <v>40546</v>
      </c>
      <c r="C53" s="1">
        <v>1</v>
      </c>
      <c r="D53" s="1">
        <v>0</v>
      </c>
      <c r="E53" s="1">
        <v>1</v>
      </c>
      <c r="F53" s="1">
        <v>6</v>
      </c>
      <c r="G53" s="1" t="b">
        <v>0</v>
      </c>
      <c r="H53" s="1">
        <v>1</v>
      </c>
      <c r="I53" s="1">
        <v>1</v>
      </c>
      <c r="J53" s="1">
        <v>0.14000000000000001</v>
      </c>
    </row>
    <row r="54" spans="1:10" x14ac:dyDescent="0.25">
      <c r="A54" s="1">
        <v>53</v>
      </c>
      <c r="B54" s="2">
        <v>40546</v>
      </c>
      <c r="C54" s="1">
        <v>1</v>
      </c>
      <c r="D54" s="1">
        <v>0</v>
      </c>
      <c r="E54" s="1">
        <v>1</v>
      </c>
      <c r="F54" s="1">
        <v>7</v>
      </c>
      <c r="G54" s="1" t="b">
        <v>0</v>
      </c>
      <c r="H54" s="1">
        <v>1</v>
      </c>
      <c r="I54" s="1">
        <v>1</v>
      </c>
      <c r="J54" s="1">
        <v>0.14000000000000001</v>
      </c>
    </row>
    <row r="55" spans="1:10" x14ac:dyDescent="0.25">
      <c r="A55" s="1">
        <v>54</v>
      </c>
      <c r="B55" s="2">
        <v>40546</v>
      </c>
      <c r="C55" s="1">
        <v>1</v>
      </c>
      <c r="D55" s="1">
        <v>0</v>
      </c>
      <c r="E55" s="1">
        <v>1</v>
      </c>
      <c r="F55" s="1">
        <v>8</v>
      </c>
      <c r="G55" s="1" t="b">
        <v>0</v>
      </c>
      <c r="H55" s="1">
        <v>1</v>
      </c>
      <c r="I55" s="1">
        <v>1</v>
      </c>
      <c r="J55" s="1">
        <v>0.14000000000000001</v>
      </c>
    </row>
    <row r="56" spans="1:10" x14ac:dyDescent="0.25">
      <c r="A56" s="1">
        <v>55</v>
      </c>
      <c r="B56" s="2">
        <v>40546</v>
      </c>
      <c r="C56" s="1">
        <v>1</v>
      </c>
      <c r="D56" s="1">
        <v>0</v>
      </c>
      <c r="E56" s="1">
        <v>1</v>
      </c>
      <c r="F56" s="1">
        <v>9</v>
      </c>
      <c r="G56" s="1" t="b">
        <v>0</v>
      </c>
      <c r="H56" s="1">
        <v>1</v>
      </c>
      <c r="I56" s="1">
        <v>1</v>
      </c>
      <c r="J56" s="1">
        <v>0.16</v>
      </c>
    </row>
    <row r="57" spans="1:10" x14ac:dyDescent="0.25">
      <c r="A57" s="1">
        <v>56</v>
      </c>
      <c r="B57" s="2">
        <v>40546</v>
      </c>
      <c r="C57" s="1">
        <v>1</v>
      </c>
      <c r="D57" s="1">
        <v>0</v>
      </c>
      <c r="E57" s="1">
        <v>1</v>
      </c>
      <c r="F57" s="1">
        <v>10</v>
      </c>
      <c r="G57" s="1" t="b">
        <v>0</v>
      </c>
      <c r="H57" s="1">
        <v>1</v>
      </c>
      <c r="I57" s="1">
        <v>1</v>
      </c>
      <c r="J57" s="1">
        <v>0.18</v>
      </c>
    </row>
    <row r="58" spans="1:10" x14ac:dyDescent="0.25">
      <c r="A58" s="1">
        <v>57</v>
      </c>
      <c r="B58" s="2">
        <v>40546</v>
      </c>
      <c r="C58" s="1">
        <v>1</v>
      </c>
      <c r="D58" s="1">
        <v>0</v>
      </c>
      <c r="E58" s="1">
        <v>1</v>
      </c>
      <c r="F58" s="1">
        <v>11</v>
      </c>
      <c r="G58" s="1" t="b">
        <v>0</v>
      </c>
      <c r="H58" s="1">
        <v>1</v>
      </c>
      <c r="I58" s="1">
        <v>1</v>
      </c>
      <c r="J58" s="1">
        <v>0.2</v>
      </c>
    </row>
    <row r="59" spans="1:10" x14ac:dyDescent="0.25">
      <c r="A59" s="1">
        <v>58</v>
      </c>
      <c r="B59" s="2">
        <v>40546</v>
      </c>
      <c r="C59" s="1">
        <v>1</v>
      </c>
      <c r="D59" s="1">
        <v>0</v>
      </c>
      <c r="E59" s="1">
        <v>1</v>
      </c>
      <c r="F59" s="1">
        <v>12</v>
      </c>
      <c r="G59" s="1" t="b">
        <v>0</v>
      </c>
      <c r="H59" s="1">
        <v>1</v>
      </c>
      <c r="I59" s="1">
        <v>1</v>
      </c>
      <c r="J59" s="1">
        <v>0.22</v>
      </c>
    </row>
    <row r="60" spans="1:10" x14ac:dyDescent="0.25">
      <c r="A60" s="1">
        <v>59</v>
      </c>
      <c r="B60" s="2">
        <v>40546</v>
      </c>
      <c r="C60" s="1">
        <v>1</v>
      </c>
      <c r="D60" s="1">
        <v>0</v>
      </c>
      <c r="E60" s="1">
        <v>1</v>
      </c>
      <c r="F60" s="1">
        <v>13</v>
      </c>
      <c r="G60" s="1" t="b">
        <v>0</v>
      </c>
      <c r="H60" s="1">
        <v>1</v>
      </c>
      <c r="I60" s="1">
        <v>1</v>
      </c>
      <c r="J60" s="1">
        <v>0.24</v>
      </c>
    </row>
    <row r="61" spans="1:10" x14ac:dyDescent="0.25">
      <c r="A61" s="1">
        <v>60</v>
      </c>
      <c r="B61" s="2">
        <v>40546</v>
      </c>
      <c r="C61" s="1">
        <v>1</v>
      </c>
      <c r="D61" s="1">
        <v>0</v>
      </c>
      <c r="E61" s="1">
        <v>1</v>
      </c>
      <c r="F61" s="1">
        <v>14</v>
      </c>
      <c r="G61" s="1" t="b">
        <v>0</v>
      </c>
      <c r="H61" s="1">
        <v>1</v>
      </c>
      <c r="I61" s="1">
        <v>1</v>
      </c>
      <c r="J61" s="1">
        <v>0.26</v>
      </c>
    </row>
    <row r="62" spans="1:10" x14ac:dyDescent="0.25">
      <c r="A62" s="1">
        <v>61</v>
      </c>
      <c r="B62" s="2">
        <v>40546</v>
      </c>
      <c r="C62" s="1">
        <v>1</v>
      </c>
      <c r="D62" s="1">
        <v>0</v>
      </c>
      <c r="E62" s="1">
        <v>1</v>
      </c>
      <c r="F62" s="1">
        <v>15</v>
      </c>
      <c r="G62" s="1" t="b">
        <v>0</v>
      </c>
      <c r="H62" s="1">
        <v>1</v>
      </c>
      <c r="I62" s="1">
        <v>1</v>
      </c>
      <c r="J62" s="1">
        <v>0.26</v>
      </c>
    </row>
    <row r="63" spans="1:10" x14ac:dyDescent="0.25">
      <c r="A63" s="1">
        <v>62</v>
      </c>
      <c r="B63" s="2">
        <v>40546</v>
      </c>
      <c r="C63" s="1">
        <v>1</v>
      </c>
      <c r="D63" s="1">
        <v>0</v>
      </c>
      <c r="E63" s="1">
        <v>1</v>
      </c>
      <c r="F63" s="1">
        <v>16</v>
      </c>
      <c r="G63" s="1" t="b">
        <v>0</v>
      </c>
      <c r="H63" s="1">
        <v>1</v>
      </c>
      <c r="I63" s="1">
        <v>1</v>
      </c>
      <c r="J63" s="1">
        <v>0.26</v>
      </c>
    </row>
    <row r="64" spans="1:10" x14ac:dyDescent="0.25">
      <c r="A64" s="1">
        <v>63</v>
      </c>
      <c r="B64" s="2">
        <v>40546</v>
      </c>
      <c r="C64" s="1">
        <v>1</v>
      </c>
      <c r="D64" s="1">
        <v>0</v>
      </c>
      <c r="E64" s="1">
        <v>1</v>
      </c>
      <c r="F64" s="1">
        <v>17</v>
      </c>
      <c r="G64" s="1" t="b">
        <v>0</v>
      </c>
      <c r="H64" s="1">
        <v>1</v>
      </c>
      <c r="I64" s="1">
        <v>1</v>
      </c>
      <c r="J64" s="1">
        <v>0.24</v>
      </c>
    </row>
    <row r="65" spans="1:10" x14ac:dyDescent="0.25">
      <c r="A65" s="1">
        <v>64</v>
      </c>
      <c r="B65" s="2">
        <v>40546</v>
      </c>
      <c r="C65" s="1">
        <v>1</v>
      </c>
      <c r="D65" s="1">
        <v>0</v>
      </c>
      <c r="E65" s="1">
        <v>1</v>
      </c>
      <c r="F65" s="1">
        <v>18</v>
      </c>
      <c r="G65" s="1" t="b">
        <v>0</v>
      </c>
      <c r="H65" s="1">
        <v>1</v>
      </c>
      <c r="I65" s="1">
        <v>1</v>
      </c>
      <c r="J65" s="1">
        <v>0.24</v>
      </c>
    </row>
    <row r="66" spans="1:10" x14ac:dyDescent="0.25">
      <c r="A66" s="1">
        <v>65</v>
      </c>
      <c r="B66" s="2">
        <v>40546</v>
      </c>
      <c r="C66" s="1">
        <v>1</v>
      </c>
      <c r="D66" s="1">
        <v>0</v>
      </c>
      <c r="E66" s="1">
        <v>1</v>
      </c>
      <c r="F66" s="1">
        <v>19</v>
      </c>
      <c r="G66" s="1" t="b">
        <v>0</v>
      </c>
      <c r="H66" s="1">
        <v>1</v>
      </c>
      <c r="I66" s="1">
        <v>1</v>
      </c>
      <c r="J66" s="1">
        <v>0.2</v>
      </c>
    </row>
    <row r="67" spans="1:10" x14ac:dyDescent="0.25">
      <c r="A67" s="1">
        <v>66</v>
      </c>
      <c r="B67" s="2">
        <v>40546</v>
      </c>
      <c r="C67" s="1">
        <v>1</v>
      </c>
      <c r="D67" s="1">
        <v>0</v>
      </c>
      <c r="E67" s="1">
        <v>1</v>
      </c>
      <c r="F67" s="1">
        <v>20</v>
      </c>
      <c r="G67" s="1" t="b">
        <v>0</v>
      </c>
      <c r="H67" s="1">
        <v>1</v>
      </c>
      <c r="I67" s="1">
        <v>1</v>
      </c>
      <c r="J67" s="1">
        <v>0.2</v>
      </c>
    </row>
    <row r="68" spans="1:10" x14ac:dyDescent="0.25">
      <c r="A68" s="1">
        <v>67</v>
      </c>
      <c r="B68" s="2">
        <v>40546</v>
      </c>
      <c r="C68" s="1">
        <v>1</v>
      </c>
      <c r="D68" s="1">
        <v>0</v>
      </c>
      <c r="E68" s="1">
        <v>1</v>
      </c>
      <c r="F68" s="1">
        <v>21</v>
      </c>
      <c r="G68" s="1" t="b">
        <v>0</v>
      </c>
      <c r="H68" s="1">
        <v>1</v>
      </c>
      <c r="I68" s="1">
        <v>1</v>
      </c>
      <c r="J68" s="1">
        <v>0.18</v>
      </c>
    </row>
    <row r="69" spans="1:10" x14ac:dyDescent="0.25">
      <c r="A69" s="1">
        <v>68</v>
      </c>
      <c r="B69" s="2">
        <v>40546</v>
      </c>
      <c r="C69" s="1">
        <v>1</v>
      </c>
      <c r="D69" s="1">
        <v>0</v>
      </c>
      <c r="E69" s="1">
        <v>1</v>
      </c>
      <c r="F69" s="1">
        <v>22</v>
      </c>
      <c r="G69" s="1" t="b">
        <v>0</v>
      </c>
      <c r="H69" s="1">
        <v>1</v>
      </c>
      <c r="I69" s="1">
        <v>1</v>
      </c>
      <c r="J69" s="1">
        <v>0.14000000000000001</v>
      </c>
    </row>
    <row r="70" spans="1:10" x14ac:dyDescent="0.25">
      <c r="A70" s="1">
        <v>69</v>
      </c>
      <c r="B70" s="2">
        <v>40546</v>
      </c>
      <c r="C70" s="1">
        <v>1</v>
      </c>
      <c r="D70" s="1">
        <v>0</v>
      </c>
      <c r="E70" s="1">
        <v>1</v>
      </c>
      <c r="F70" s="1">
        <v>23</v>
      </c>
      <c r="G70" s="1" t="b">
        <v>0</v>
      </c>
      <c r="H70" s="1">
        <v>1</v>
      </c>
      <c r="I70" s="1">
        <v>1</v>
      </c>
      <c r="J70" s="1">
        <v>0.18</v>
      </c>
    </row>
    <row r="71" spans="1:10" x14ac:dyDescent="0.25">
      <c r="A71" s="1">
        <v>70</v>
      </c>
      <c r="B71" s="2">
        <v>40547</v>
      </c>
      <c r="C71" s="1">
        <v>1</v>
      </c>
      <c r="D71" s="1">
        <v>0</v>
      </c>
      <c r="E71" s="1">
        <v>1</v>
      </c>
      <c r="F71" s="1">
        <v>0</v>
      </c>
      <c r="G71" s="1" t="b">
        <v>0</v>
      </c>
      <c r="H71" s="1">
        <v>2</v>
      </c>
      <c r="I71" s="1">
        <v>1</v>
      </c>
      <c r="J71" s="1">
        <v>0.16</v>
      </c>
    </row>
    <row r="72" spans="1:10" x14ac:dyDescent="0.25">
      <c r="A72" s="1">
        <v>71</v>
      </c>
      <c r="B72" s="2">
        <v>40547</v>
      </c>
      <c r="C72" s="1">
        <v>1</v>
      </c>
      <c r="D72" s="1">
        <v>0</v>
      </c>
      <c r="E72" s="1">
        <v>1</v>
      </c>
      <c r="F72" s="1">
        <v>1</v>
      </c>
      <c r="G72" s="1" t="b">
        <v>0</v>
      </c>
      <c r="H72" s="1">
        <v>2</v>
      </c>
      <c r="I72" s="1">
        <v>1</v>
      </c>
      <c r="J72" s="1">
        <v>0.16</v>
      </c>
    </row>
    <row r="73" spans="1:10" x14ac:dyDescent="0.25">
      <c r="A73" s="1">
        <v>72</v>
      </c>
      <c r="B73" s="2">
        <v>40547</v>
      </c>
      <c r="C73" s="1">
        <v>1</v>
      </c>
      <c r="D73" s="1">
        <v>0</v>
      </c>
      <c r="E73" s="1">
        <v>1</v>
      </c>
      <c r="F73" s="1">
        <v>2</v>
      </c>
      <c r="G73" s="1" t="b">
        <v>0</v>
      </c>
      <c r="H73" s="1">
        <v>2</v>
      </c>
      <c r="I73" s="1">
        <v>1</v>
      </c>
      <c r="J73" s="1">
        <v>0.14000000000000001</v>
      </c>
    </row>
    <row r="74" spans="1:10" x14ac:dyDescent="0.25">
      <c r="A74" s="1">
        <v>73</v>
      </c>
      <c r="B74" s="2">
        <v>40547</v>
      </c>
      <c r="C74" s="1">
        <v>1</v>
      </c>
      <c r="D74" s="1">
        <v>0</v>
      </c>
      <c r="E74" s="1">
        <v>1</v>
      </c>
      <c r="F74" s="1">
        <v>4</v>
      </c>
      <c r="G74" s="1" t="b">
        <v>0</v>
      </c>
      <c r="H74" s="1">
        <v>2</v>
      </c>
      <c r="I74" s="1">
        <v>1</v>
      </c>
      <c r="J74" s="1">
        <v>0.14000000000000001</v>
      </c>
    </row>
    <row r="75" spans="1:10" x14ac:dyDescent="0.25">
      <c r="A75" s="1">
        <v>74</v>
      </c>
      <c r="B75" s="2">
        <v>40547</v>
      </c>
      <c r="C75" s="1">
        <v>1</v>
      </c>
      <c r="D75" s="1">
        <v>0</v>
      </c>
      <c r="E75" s="1">
        <v>1</v>
      </c>
      <c r="F75" s="1">
        <v>5</v>
      </c>
      <c r="G75" s="1" t="b">
        <v>0</v>
      </c>
      <c r="H75" s="1">
        <v>2</v>
      </c>
      <c r="I75" s="1">
        <v>1</v>
      </c>
      <c r="J75" s="1">
        <v>0.12</v>
      </c>
    </row>
    <row r="76" spans="1:10" x14ac:dyDescent="0.25">
      <c r="A76" s="1">
        <v>75</v>
      </c>
      <c r="B76" s="2">
        <v>40547</v>
      </c>
      <c r="C76" s="1">
        <v>1</v>
      </c>
      <c r="D76" s="1">
        <v>0</v>
      </c>
      <c r="E76" s="1">
        <v>1</v>
      </c>
      <c r="F76" s="1">
        <v>6</v>
      </c>
      <c r="G76" s="1" t="b">
        <v>0</v>
      </c>
      <c r="H76" s="1">
        <v>2</v>
      </c>
      <c r="I76" s="1">
        <v>1</v>
      </c>
      <c r="J76" s="1">
        <v>0.12</v>
      </c>
    </row>
    <row r="77" spans="1:10" x14ac:dyDescent="0.25">
      <c r="A77" s="1">
        <v>76</v>
      </c>
      <c r="B77" s="2">
        <v>40547</v>
      </c>
      <c r="C77" s="1">
        <v>1</v>
      </c>
      <c r="D77" s="1">
        <v>0</v>
      </c>
      <c r="E77" s="1">
        <v>1</v>
      </c>
      <c r="F77" s="1">
        <v>7</v>
      </c>
      <c r="G77" s="1" t="b">
        <v>0</v>
      </c>
      <c r="H77" s="1">
        <v>2</v>
      </c>
      <c r="I77" s="1">
        <v>1</v>
      </c>
      <c r="J77" s="1">
        <v>0.12</v>
      </c>
    </row>
    <row r="78" spans="1:10" x14ac:dyDescent="0.25">
      <c r="A78" s="1">
        <v>77</v>
      </c>
      <c r="B78" s="2">
        <v>40547</v>
      </c>
      <c r="C78" s="1">
        <v>1</v>
      </c>
      <c r="D78" s="1">
        <v>0</v>
      </c>
      <c r="E78" s="1">
        <v>1</v>
      </c>
      <c r="F78" s="1">
        <v>8</v>
      </c>
      <c r="G78" s="1" t="b">
        <v>0</v>
      </c>
      <c r="H78" s="1">
        <v>2</v>
      </c>
      <c r="I78" s="1">
        <v>1</v>
      </c>
      <c r="J78" s="1">
        <v>0.14000000000000001</v>
      </c>
    </row>
    <row r="79" spans="1:10" x14ac:dyDescent="0.25">
      <c r="A79" s="1">
        <v>78</v>
      </c>
      <c r="B79" s="2">
        <v>40547</v>
      </c>
      <c r="C79" s="1">
        <v>1</v>
      </c>
      <c r="D79" s="1">
        <v>0</v>
      </c>
      <c r="E79" s="1">
        <v>1</v>
      </c>
      <c r="F79" s="1">
        <v>9</v>
      </c>
      <c r="G79" s="1" t="b">
        <v>0</v>
      </c>
      <c r="H79" s="1">
        <v>2</v>
      </c>
      <c r="I79" s="1">
        <v>1</v>
      </c>
      <c r="J79" s="1">
        <v>0.16</v>
      </c>
    </row>
    <row r="80" spans="1:10" x14ac:dyDescent="0.25">
      <c r="A80" s="1">
        <v>79</v>
      </c>
      <c r="B80" s="2">
        <v>40547</v>
      </c>
      <c r="C80" s="1">
        <v>1</v>
      </c>
      <c r="D80" s="1">
        <v>0</v>
      </c>
      <c r="E80" s="1">
        <v>1</v>
      </c>
      <c r="F80" s="1">
        <v>10</v>
      </c>
      <c r="G80" s="1" t="b">
        <v>0</v>
      </c>
      <c r="H80" s="1">
        <v>2</v>
      </c>
      <c r="I80" s="1">
        <v>2</v>
      </c>
      <c r="J80" s="1">
        <v>0.16</v>
      </c>
    </row>
    <row r="81" spans="1:10" x14ac:dyDescent="0.25">
      <c r="A81" s="1">
        <v>80</v>
      </c>
      <c r="B81" s="2">
        <v>40547</v>
      </c>
      <c r="C81" s="1">
        <v>1</v>
      </c>
      <c r="D81" s="1">
        <v>0</v>
      </c>
      <c r="E81" s="1">
        <v>1</v>
      </c>
      <c r="F81" s="1">
        <v>11</v>
      </c>
      <c r="G81" s="1" t="b">
        <v>0</v>
      </c>
      <c r="H81" s="1">
        <v>2</v>
      </c>
      <c r="I81" s="1">
        <v>1</v>
      </c>
      <c r="J81" s="1">
        <v>0.22</v>
      </c>
    </row>
    <row r="82" spans="1:10" x14ac:dyDescent="0.25">
      <c r="A82" s="1">
        <v>81</v>
      </c>
      <c r="B82" s="2">
        <v>40547</v>
      </c>
      <c r="C82" s="1">
        <v>1</v>
      </c>
      <c r="D82" s="1">
        <v>0</v>
      </c>
      <c r="E82" s="1">
        <v>1</v>
      </c>
      <c r="F82" s="1">
        <v>12</v>
      </c>
      <c r="G82" s="1" t="b">
        <v>0</v>
      </c>
      <c r="H82" s="1">
        <v>2</v>
      </c>
      <c r="I82" s="1">
        <v>1</v>
      </c>
      <c r="J82" s="1">
        <v>0.22</v>
      </c>
    </row>
    <row r="83" spans="1:10" x14ac:dyDescent="0.25">
      <c r="A83" s="1">
        <v>82</v>
      </c>
      <c r="B83" s="2">
        <v>40547</v>
      </c>
      <c r="C83" s="1">
        <v>1</v>
      </c>
      <c r="D83" s="1">
        <v>0</v>
      </c>
      <c r="E83" s="1">
        <v>1</v>
      </c>
      <c r="F83" s="1">
        <v>13</v>
      </c>
      <c r="G83" s="1" t="b">
        <v>0</v>
      </c>
      <c r="H83" s="1">
        <v>2</v>
      </c>
      <c r="I83" s="1">
        <v>1</v>
      </c>
      <c r="J83" s="1">
        <v>0.24</v>
      </c>
    </row>
    <row r="84" spans="1:10" x14ac:dyDescent="0.25">
      <c r="A84" s="1">
        <v>83</v>
      </c>
      <c r="B84" s="2">
        <v>40547</v>
      </c>
      <c r="C84" s="1">
        <v>1</v>
      </c>
      <c r="D84" s="1">
        <v>0</v>
      </c>
      <c r="E84" s="1">
        <v>1</v>
      </c>
      <c r="F84" s="1">
        <v>14</v>
      </c>
      <c r="G84" s="1" t="b">
        <v>0</v>
      </c>
      <c r="H84" s="1">
        <v>2</v>
      </c>
      <c r="I84" s="1">
        <v>1</v>
      </c>
      <c r="J84" s="1">
        <v>0.26</v>
      </c>
    </row>
    <row r="85" spans="1:10" x14ac:dyDescent="0.25">
      <c r="A85" s="1">
        <v>84</v>
      </c>
      <c r="B85" s="2">
        <v>40547</v>
      </c>
      <c r="C85" s="1">
        <v>1</v>
      </c>
      <c r="D85" s="1">
        <v>0</v>
      </c>
      <c r="E85" s="1">
        <v>1</v>
      </c>
      <c r="F85" s="1">
        <v>15</v>
      </c>
      <c r="G85" s="1" t="b">
        <v>0</v>
      </c>
      <c r="H85" s="1">
        <v>2</v>
      </c>
      <c r="I85" s="1">
        <v>1</v>
      </c>
      <c r="J85" s="1">
        <v>0.28000000000000003</v>
      </c>
    </row>
    <row r="86" spans="1:10" x14ac:dyDescent="0.25">
      <c r="A86" s="1">
        <v>85</v>
      </c>
      <c r="B86" s="2">
        <v>40547</v>
      </c>
      <c r="C86" s="1">
        <v>1</v>
      </c>
      <c r="D86" s="1">
        <v>0</v>
      </c>
      <c r="E86" s="1">
        <v>1</v>
      </c>
      <c r="F86" s="1">
        <v>16</v>
      </c>
      <c r="G86" s="1" t="b">
        <v>0</v>
      </c>
      <c r="H86" s="1">
        <v>2</v>
      </c>
      <c r="I86" s="1">
        <v>1</v>
      </c>
      <c r="J86" s="1">
        <v>0.3</v>
      </c>
    </row>
    <row r="87" spans="1:10" x14ac:dyDescent="0.25">
      <c r="A87" s="1">
        <v>86</v>
      </c>
      <c r="B87" s="2">
        <v>40547</v>
      </c>
      <c r="C87" s="1">
        <v>1</v>
      </c>
      <c r="D87" s="1">
        <v>0</v>
      </c>
      <c r="E87" s="1">
        <v>1</v>
      </c>
      <c r="F87" s="1">
        <v>17</v>
      </c>
      <c r="G87" s="1" t="b">
        <v>0</v>
      </c>
      <c r="H87" s="1">
        <v>2</v>
      </c>
      <c r="I87" s="1">
        <v>1</v>
      </c>
      <c r="J87" s="1">
        <v>0.28000000000000003</v>
      </c>
    </row>
    <row r="88" spans="1:10" x14ac:dyDescent="0.25">
      <c r="A88" s="1">
        <v>87</v>
      </c>
      <c r="B88" s="2">
        <v>40547</v>
      </c>
      <c r="C88" s="1">
        <v>1</v>
      </c>
      <c r="D88" s="1">
        <v>0</v>
      </c>
      <c r="E88" s="1">
        <v>1</v>
      </c>
      <c r="F88" s="1">
        <v>18</v>
      </c>
      <c r="G88" s="1" t="b">
        <v>0</v>
      </c>
      <c r="H88" s="1">
        <v>2</v>
      </c>
      <c r="I88" s="1">
        <v>1</v>
      </c>
      <c r="J88" s="1">
        <v>0.26</v>
      </c>
    </row>
    <row r="89" spans="1:10" x14ac:dyDescent="0.25">
      <c r="A89" s="1">
        <v>88</v>
      </c>
      <c r="B89" s="2">
        <v>40547</v>
      </c>
      <c r="C89" s="1">
        <v>1</v>
      </c>
      <c r="D89" s="1">
        <v>0</v>
      </c>
      <c r="E89" s="1">
        <v>1</v>
      </c>
      <c r="F89" s="1">
        <v>19</v>
      </c>
      <c r="G89" s="1" t="b">
        <v>0</v>
      </c>
      <c r="H89" s="1">
        <v>2</v>
      </c>
      <c r="I89" s="1">
        <v>1</v>
      </c>
      <c r="J89" s="1">
        <v>0.24</v>
      </c>
    </row>
    <row r="90" spans="1:10" x14ac:dyDescent="0.25">
      <c r="A90" s="1">
        <v>89</v>
      </c>
      <c r="B90" s="2">
        <v>40547</v>
      </c>
      <c r="C90" s="1">
        <v>1</v>
      </c>
      <c r="D90" s="1">
        <v>0</v>
      </c>
      <c r="E90" s="1">
        <v>1</v>
      </c>
      <c r="F90" s="1">
        <v>20</v>
      </c>
      <c r="G90" s="1" t="b">
        <v>0</v>
      </c>
      <c r="H90" s="1">
        <v>2</v>
      </c>
      <c r="I90" s="1">
        <v>1</v>
      </c>
      <c r="J90" s="1">
        <v>0.24</v>
      </c>
    </row>
    <row r="91" spans="1:10" x14ac:dyDescent="0.25">
      <c r="A91" s="1">
        <v>90</v>
      </c>
      <c r="B91" s="2">
        <v>40547</v>
      </c>
      <c r="C91" s="1">
        <v>1</v>
      </c>
      <c r="D91" s="1">
        <v>0</v>
      </c>
      <c r="E91" s="1">
        <v>1</v>
      </c>
      <c r="F91" s="1">
        <v>21</v>
      </c>
      <c r="G91" s="1" t="b">
        <v>0</v>
      </c>
      <c r="H91" s="1">
        <v>2</v>
      </c>
      <c r="I91" s="1">
        <v>1</v>
      </c>
      <c r="J91" s="1">
        <v>0.22</v>
      </c>
    </row>
    <row r="92" spans="1:10" x14ac:dyDescent="0.25">
      <c r="A92" s="1">
        <v>91</v>
      </c>
      <c r="B92" s="2">
        <v>40547</v>
      </c>
      <c r="C92" s="1">
        <v>1</v>
      </c>
      <c r="D92" s="1">
        <v>0</v>
      </c>
      <c r="E92" s="1">
        <v>1</v>
      </c>
      <c r="F92" s="1">
        <v>22</v>
      </c>
      <c r="G92" s="1" t="b">
        <v>0</v>
      </c>
      <c r="H92" s="1">
        <v>2</v>
      </c>
      <c r="I92" s="1">
        <v>1</v>
      </c>
      <c r="J92" s="1">
        <v>0.22</v>
      </c>
    </row>
    <row r="93" spans="1:10" x14ac:dyDescent="0.25">
      <c r="A93" s="1">
        <v>92</v>
      </c>
      <c r="B93" s="2">
        <v>40547</v>
      </c>
      <c r="C93" s="1">
        <v>1</v>
      </c>
      <c r="D93" s="1">
        <v>0</v>
      </c>
      <c r="E93" s="1">
        <v>1</v>
      </c>
      <c r="F93" s="1">
        <v>23</v>
      </c>
      <c r="G93" s="1" t="b">
        <v>0</v>
      </c>
      <c r="H93" s="1">
        <v>2</v>
      </c>
      <c r="I93" s="1">
        <v>1</v>
      </c>
      <c r="J93" s="1">
        <v>0.2</v>
      </c>
    </row>
    <row r="94" spans="1:10" x14ac:dyDescent="0.25">
      <c r="A94" s="1">
        <v>93</v>
      </c>
      <c r="B94" s="2">
        <v>40548</v>
      </c>
      <c r="C94" s="1">
        <v>1</v>
      </c>
      <c r="D94" s="1">
        <v>0</v>
      </c>
      <c r="E94" s="1">
        <v>1</v>
      </c>
      <c r="F94" s="1">
        <v>0</v>
      </c>
      <c r="G94" s="1" t="b">
        <v>0</v>
      </c>
      <c r="H94" s="1">
        <v>3</v>
      </c>
      <c r="I94" s="1">
        <v>1</v>
      </c>
      <c r="J94" s="1">
        <v>0.2</v>
      </c>
    </row>
    <row r="95" spans="1:10" x14ac:dyDescent="0.25">
      <c r="A95" s="1">
        <v>94</v>
      </c>
      <c r="B95" s="2">
        <v>40548</v>
      </c>
      <c r="C95" s="1">
        <v>1</v>
      </c>
      <c r="D95" s="1">
        <v>0</v>
      </c>
      <c r="E95" s="1">
        <v>1</v>
      </c>
      <c r="F95" s="1">
        <v>1</v>
      </c>
      <c r="G95" s="1" t="b">
        <v>0</v>
      </c>
      <c r="H95" s="1">
        <v>3</v>
      </c>
      <c r="I95" s="1">
        <v>1</v>
      </c>
      <c r="J95" s="1">
        <v>0.16</v>
      </c>
    </row>
    <row r="96" spans="1:10" x14ac:dyDescent="0.25">
      <c r="A96" s="1">
        <v>95</v>
      </c>
      <c r="B96" s="2">
        <v>40548</v>
      </c>
      <c r="C96" s="1">
        <v>1</v>
      </c>
      <c r="D96" s="1">
        <v>0</v>
      </c>
      <c r="E96" s="1">
        <v>1</v>
      </c>
      <c r="F96" s="1">
        <v>2</v>
      </c>
      <c r="G96" s="1" t="b">
        <v>0</v>
      </c>
      <c r="H96" s="1">
        <v>3</v>
      </c>
      <c r="I96" s="1">
        <v>1</v>
      </c>
      <c r="J96" s="1">
        <v>0.16</v>
      </c>
    </row>
    <row r="97" spans="1:10" x14ac:dyDescent="0.25">
      <c r="A97" s="1">
        <v>96</v>
      </c>
      <c r="B97" s="2">
        <v>40548</v>
      </c>
      <c r="C97" s="1">
        <v>1</v>
      </c>
      <c r="D97" s="1">
        <v>0</v>
      </c>
      <c r="E97" s="1">
        <v>1</v>
      </c>
      <c r="F97" s="1">
        <v>4</v>
      </c>
      <c r="G97" s="1" t="b">
        <v>0</v>
      </c>
      <c r="H97" s="1">
        <v>3</v>
      </c>
      <c r="I97" s="1">
        <v>1</v>
      </c>
      <c r="J97" s="1">
        <v>0.24</v>
      </c>
    </row>
    <row r="98" spans="1:10" x14ac:dyDescent="0.25">
      <c r="A98" s="1">
        <v>97</v>
      </c>
      <c r="B98" s="2">
        <v>40548</v>
      </c>
      <c r="C98" s="1">
        <v>1</v>
      </c>
      <c r="D98" s="1">
        <v>0</v>
      </c>
      <c r="E98" s="1">
        <v>1</v>
      </c>
      <c r="F98" s="1">
        <v>5</v>
      </c>
      <c r="G98" s="1" t="b">
        <v>0</v>
      </c>
      <c r="H98" s="1">
        <v>3</v>
      </c>
      <c r="I98" s="1">
        <v>1</v>
      </c>
      <c r="J98" s="1">
        <v>0.22</v>
      </c>
    </row>
    <row r="99" spans="1:10" x14ac:dyDescent="0.25">
      <c r="A99" s="1">
        <v>98</v>
      </c>
      <c r="B99" s="2">
        <v>40548</v>
      </c>
      <c r="C99" s="1">
        <v>1</v>
      </c>
      <c r="D99" s="1">
        <v>0</v>
      </c>
      <c r="E99" s="1">
        <v>1</v>
      </c>
      <c r="F99" s="1">
        <v>6</v>
      </c>
      <c r="G99" s="1" t="b">
        <v>0</v>
      </c>
      <c r="H99" s="1">
        <v>3</v>
      </c>
      <c r="I99" s="1">
        <v>1</v>
      </c>
      <c r="J99" s="1">
        <v>0.2</v>
      </c>
    </row>
    <row r="100" spans="1:10" x14ac:dyDescent="0.25">
      <c r="A100" s="1">
        <v>99</v>
      </c>
      <c r="B100" s="2">
        <v>40548</v>
      </c>
      <c r="C100" s="1">
        <v>1</v>
      </c>
      <c r="D100" s="1">
        <v>0</v>
      </c>
      <c r="E100" s="1">
        <v>1</v>
      </c>
      <c r="F100" s="1">
        <v>7</v>
      </c>
      <c r="G100" s="1" t="b">
        <v>0</v>
      </c>
      <c r="H100" s="1">
        <v>3</v>
      </c>
      <c r="I100" s="1">
        <v>1</v>
      </c>
      <c r="J100" s="1">
        <v>0.18</v>
      </c>
    </row>
    <row r="101" spans="1:10" x14ac:dyDescent="0.25">
      <c r="A101" s="1">
        <v>100</v>
      </c>
      <c r="B101" s="2">
        <v>40548</v>
      </c>
      <c r="C101" s="1">
        <v>1</v>
      </c>
      <c r="D101" s="1">
        <v>0</v>
      </c>
      <c r="E101" s="1">
        <v>1</v>
      </c>
      <c r="F101" s="1">
        <v>8</v>
      </c>
      <c r="G101" s="1" t="b">
        <v>0</v>
      </c>
      <c r="H101" s="1">
        <v>3</v>
      </c>
      <c r="I101" s="1">
        <v>1</v>
      </c>
      <c r="J101" s="1">
        <v>0.2</v>
      </c>
    </row>
    <row r="102" spans="1:10" x14ac:dyDescent="0.25">
      <c r="A102" s="1">
        <v>101</v>
      </c>
      <c r="B102" s="2">
        <v>40548</v>
      </c>
      <c r="C102" s="1">
        <v>1</v>
      </c>
      <c r="D102" s="1">
        <v>0</v>
      </c>
      <c r="E102" s="1">
        <v>1</v>
      </c>
      <c r="F102" s="1">
        <v>9</v>
      </c>
      <c r="G102" s="1" t="b">
        <v>0</v>
      </c>
      <c r="H102" s="1">
        <v>3</v>
      </c>
      <c r="I102" s="1">
        <v>1</v>
      </c>
      <c r="J102" s="1">
        <v>0.22</v>
      </c>
    </row>
    <row r="103" spans="1:10" x14ac:dyDescent="0.25">
      <c r="A103" s="1">
        <v>102</v>
      </c>
      <c r="B103" s="2">
        <v>40548</v>
      </c>
      <c r="C103" s="1">
        <v>1</v>
      </c>
      <c r="D103" s="1">
        <v>0</v>
      </c>
      <c r="E103" s="1">
        <v>1</v>
      </c>
      <c r="F103" s="1">
        <v>10</v>
      </c>
      <c r="G103" s="1" t="b">
        <v>0</v>
      </c>
      <c r="H103" s="1">
        <v>3</v>
      </c>
      <c r="I103" s="1">
        <v>1</v>
      </c>
      <c r="J103" s="1">
        <v>0.22</v>
      </c>
    </row>
    <row r="104" spans="1:10" x14ac:dyDescent="0.25">
      <c r="A104" s="1">
        <v>103</v>
      </c>
      <c r="B104" s="2">
        <v>40548</v>
      </c>
      <c r="C104" s="1">
        <v>1</v>
      </c>
      <c r="D104" s="1">
        <v>0</v>
      </c>
      <c r="E104" s="1">
        <v>1</v>
      </c>
      <c r="F104" s="1">
        <v>11</v>
      </c>
      <c r="G104" s="1" t="b">
        <v>0</v>
      </c>
      <c r="H104" s="1">
        <v>3</v>
      </c>
      <c r="I104" s="1">
        <v>1</v>
      </c>
      <c r="J104" s="1">
        <v>0.26</v>
      </c>
    </row>
    <row r="105" spans="1:10" x14ac:dyDescent="0.25">
      <c r="A105" s="1">
        <v>104</v>
      </c>
      <c r="B105" s="2">
        <v>40548</v>
      </c>
      <c r="C105" s="1">
        <v>1</v>
      </c>
      <c r="D105" s="1">
        <v>0</v>
      </c>
      <c r="E105" s="1">
        <v>1</v>
      </c>
      <c r="F105" s="1">
        <v>12</v>
      </c>
      <c r="G105" s="1" t="b">
        <v>0</v>
      </c>
      <c r="H105" s="1">
        <v>3</v>
      </c>
      <c r="I105" s="1">
        <v>1</v>
      </c>
      <c r="J105" s="1">
        <v>0.26</v>
      </c>
    </row>
    <row r="106" spans="1:10" x14ac:dyDescent="0.25">
      <c r="A106" s="1">
        <v>105</v>
      </c>
      <c r="B106" s="2">
        <v>40548</v>
      </c>
      <c r="C106" s="1">
        <v>1</v>
      </c>
      <c r="D106" s="1">
        <v>0</v>
      </c>
      <c r="E106" s="1">
        <v>1</v>
      </c>
      <c r="F106" s="1">
        <v>13</v>
      </c>
      <c r="G106" s="1" t="b">
        <v>0</v>
      </c>
      <c r="H106" s="1">
        <v>3</v>
      </c>
      <c r="I106" s="1">
        <v>1</v>
      </c>
      <c r="J106" s="1">
        <v>0.28000000000000003</v>
      </c>
    </row>
    <row r="107" spans="1:10" x14ac:dyDescent="0.25">
      <c r="A107" s="1">
        <v>106</v>
      </c>
      <c r="B107" s="2">
        <v>40548</v>
      </c>
      <c r="C107" s="1">
        <v>1</v>
      </c>
      <c r="D107" s="1">
        <v>0</v>
      </c>
      <c r="E107" s="1">
        <v>1</v>
      </c>
      <c r="F107" s="1">
        <v>14</v>
      </c>
      <c r="G107" s="1" t="b">
        <v>0</v>
      </c>
      <c r="H107" s="1">
        <v>3</v>
      </c>
      <c r="I107" s="1">
        <v>1</v>
      </c>
      <c r="J107" s="1">
        <v>0.3</v>
      </c>
    </row>
    <row r="108" spans="1:10" x14ac:dyDescent="0.25">
      <c r="A108" s="1">
        <v>107</v>
      </c>
      <c r="B108" s="2">
        <v>40548</v>
      </c>
      <c r="C108" s="1">
        <v>1</v>
      </c>
      <c r="D108" s="1">
        <v>0</v>
      </c>
      <c r="E108" s="1">
        <v>1</v>
      </c>
      <c r="F108" s="1">
        <v>15</v>
      </c>
      <c r="G108" s="1" t="b">
        <v>0</v>
      </c>
      <c r="H108" s="1">
        <v>3</v>
      </c>
      <c r="I108" s="1">
        <v>1</v>
      </c>
      <c r="J108" s="1">
        <v>0.3</v>
      </c>
    </row>
    <row r="109" spans="1:10" x14ac:dyDescent="0.25">
      <c r="A109" s="1">
        <v>108</v>
      </c>
      <c r="B109" s="2">
        <v>40548</v>
      </c>
      <c r="C109" s="1">
        <v>1</v>
      </c>
      <c r="D109" s="1">
        <v>0</v>
      </c>
      <c r="E109" s="1">
        <v>1</v>
      </c>
      <c r="F109" s="1">
        <v>16</v>
      </c>
      <c r="G109" s="1" t="b">
        <v>0</v>
      </c>
      <c r="H109" s="1">
        <v>3</v>
      </c>
      <c r="I109" s="1">
        <v>1</v>
      </c>
      <c r="J109" s="1">
        <v>0.3</v>
      </c>
    </row>
    <row r="110" spans="1:10" x14ac:dyDescent="0.25">
      <c r="A110" s="1">
        <v>109</v>
      </c>
      <c r="B110" s="2">
        <v>40548</v>
      </c>
      <c r="C110" s="1">
        <v>1</v>
      </c>
      <c r="D110" s="1">
        <v>0</v>
      </c>
      <c r="E110" s="1">
        <v>1</v>
      </c>
      <c r="F110" s="1">
        <v>17</v>
      </c>
      <c r="G110" s="1" t="b">
        <v>0</v>
      </c>
      <c r="H110" s="1">
        <v>3</v>
      </c>
      <c r="I110" s="1">
        <v>1</v>
      </c>
      <c r="J110" s="1">
        <v>0.24</v>
      </c>
    </row>
    <row r="111" spans="1:10" x14ac:dyDescent="0.25">
      <c r="A111" s="1">
        <v>110</v>
      </c>
      <c r="B111" s="2">
        <v>40548</v>
      </c>
      <c r="C111" s="1">
        <v>1</v>
      </c>
      <c r="D111" s="1">
        <v>0</v>
      </c>
      <c r="E111" s="1">
        <v>1</v>
      </c>
      <c r="F111" s="1">
        <v>18</v>
      </c>
      <c r="G111" s="1" t="b">
        <v>0</v>
      </c>
      <c r="H111" s="1">
        <v>3</v>
      </c>
      <c r="I111" s="1">
        <v>1</v>
      </c>
      <c r="J111" s="1">
        <v>0.24</v>
      </c>
    </row>
    <row r="112" spans="1:10" x14ac:dyDescent="0.25">
      <c r="A112" s="1">
        <v>111</v>
      </c>
      <c r="B112" s="2">
        <v>40548</v>
      </c>
      <c r="C112" s="1">
        <v>1</v>
      </c>
      <c r="D112" s="1">
        <v>0</v>
      </c>
      <c r="E112" s="1">
        <v>1</v>
      </c>
      <c r="F112" s="1">
        <v>19</v>
      </c>
      <c r="G112" s="1" t="b">
        <v>0</v>
      </c>
      <c r="H112" s="1">
        <v>3</v>
      </c>
      <c r="I112" s="1">
        <v>1</v>
      </c>
      <c r="J112" s="1">
        <v>0.24</v>
      </c>
    </row>
    <row r="113" spans="1:10" x14ac:dyDescent="0.25">
      <c r="A113" s="1">
        <v>112</v>
      </c>
      <c r="B113" s="2">
        <v>40548</v>
      </c>
      <c r="C113" s="1">
        <v>1</v>
      </c>
      <c r="D113" s="1">
        <v>0</v>
      </c>
      <c r="E113" s="1">
        <v>1</v>
      </c>
      <c r="F113" s="1">
        <v>20</v>
      </c>
      <c r="G113" s="1" t="b">
        <v>0</v>
      </c>
      <c r="H113" s="1">
        <v>3</v>
      </c>
      <c r="I113" s="1">
        <v>1</v>
      </c>
      <c r="J113" s="1">
        <v>0.22</v>
      </c>
    </row>
    <row r="114" spans="1:10" x14ac:dyDescent="0.25">
      <c r="A114" s="1">
        <v>113</v>
      </c>
      <c r="B114" s="2">
        <v>40548</v>
      </c>
      <c r="C114" s="1">
        <v>1</v>
      </c>
      <c r="D114" s="1">
        <v>0</v>
      </c>
      <c r="E114" s="1">
        <v>1</v>
      </c>
      <c r="F114" s="1">
        <v>21</v>
      </c>
      <c r="G114" s="1" t="b">
        <v>0</v>
      </c>
      <c r="H114" s="1">
        <v>3</v>
      </c>
      <c r="I114" s="1">
        <v>1</v>
      </c>
      <c r="J114" s="1">
        <v>0.2</v>
      </c>
    </row>
    <row r="115" spans="1:10" x14ac:dyDescent="0.25">
      <c r="A115" s="1">
        <v>114</v>
      </c>
      <c r="B115" s="2">
        <v>40548</v>
      </c>
      <c r="C115" s="1">
        <v>1</v>
      </c>
      <c r="D115" s="1">
        <v>0</v>
      </c>
      <c r="E115" s="1">
        <v>1</v>
      </c>
      <c r="F115" s="1">
        <v>22</v>
      </c>
      <c r="G115" s="1" t="b">
        <v>0</v>
      </c>
      <c r="H115" s="1">
        <v>3</v>
      </c>
      <c r="I115" s="1">
        <v>1</v>
      </c>
      <c r="J115" s="1">
        <v>0.18</v>
      </c>
    </row>
    <row r="116" spans="1:10" x14ac:dyDescent="0.25">
      <c r="A116" s="1">
        <v>115</v>
      </c>
      <c r="B116" s="2">
        <v>40548</v>
      </c>
      <c r="C116" s="1">
        <v>1</v>
      </c>
      <c r="D116" s="1">
        <v>0</v>
      </c>
      <c r="E116" s="1">
        <v>1</v>
      </c>
      <c r="F116" s="1">
        <v>23</v>
      </c>
      <c r="G116" s="1" t="b">
        <v>0</v>
      </c>
      <c r="H116" s="1">
        <v>3</v>
      </c>
      <c r="I116" s="1">
        <v>1</v>
      </c>
      <c r="J116" s="1">
        <v>0.2</v>
      </c>
    </row>
    <row r="117" spans="1:10" x14ac:dyDescent="0.25">
      <c r="A117" s="1">
        <v>116</v>
      </c>
      <c r="B117" s="2">
        <v>40549</v>
      </c>
      <c r="C117" s="1">
        <v>1</v>
      </c>
      <c r="D117" s="1">
        <v>0</v>
      </c>
      <c r="E117" s="1">
        <v>1</v>
      </c>
      <c r="F117" s="1">
        <v>0</v>
      </c>
      <c r="G117" s="1" t="b">
        <v>0</v>
      </c>
      <c r="H117" s="1">
        <v>4</v>
      </c>
      <c r="I117" s="1">
        <v>1</v>
      </c>
      <c r="J117" s="1">
        <v>0.18</v>
      </c>
    </row>
    <row r="118" spans="1:10" x14ac:dyDescent="0.25">
      <c r="A118" s="1">
        <v>117</v>
      </c>
      <c r="B118" s="2">
        <v>40549</v>
      </c>
      <c r="C118" s="1">
        <v>1</v>
      </c>
      <c r="D118" s="1">
        <v>0</v>
      </c>
      <c r="E118" s="1">
        <v>1</v>
      </c>
      <c r="F118" s="1">
        <v>1</v>
      </c>
      <c r="G118" s="1" t="b">
        <v>0</v>
      </c>
      <c r="H118" s="1">
        <v>4</v>
      </c>
      <c r="I118" s="1">
        <v>1</v>
      </c>
      <c r="J118" s="1">
        <v>0.16</v>
      </c>
    </row>
    <row r="119" spans="1:10" x14ac:dyDescent="0.25">
      <c r="A119" s="1">
        <v>118</v>
      </c>
      <c r="B119" s="2">
        <v>40549</v>
      </c>
      <c r="C119" s="1">
        <v>1</v>
      </c>
      <c r="D119" s="1">
        <v>0</v>
      </c>
      <c r="E119" s="1">
        <v>1</v>
      </c>
      <c r="F119" s="1">
        <v>2</v>
      </c>
      <c r="G119" s="1" t="b">
        <v>0</v>
      </c>
      <c r="H119" s="1">
        <v>4</v>
      </c>
      <c r="I119" s="1">
        <v>1</v>
      </c>
      <c r="J119" s="1">
        <v>0.16</v>
      </c>
    </row>
    <row r="120" spans="1:10" x14ac:dyDescent="0.25">
      <c r="A120" s="1">
        <v>119</v>
      </c>
      <c r="B120" s="2">
        <v>40549</v>
      </c>
      <c r="C120" s="1">
        <v>1</v>
      </c>
      <c r="D120" s="1">
        <v>0</v>
      </c>
      <c r="E120" s="1">
        <v>1</v>
      </c>
      <c r="F120" s="1">
        <v>4</v>
      </c>
      <c r="G120" s="1" t="b">
        <v>0</v>
      </c>
      <c r="H120" s="1">
        <v>4</v>
      </c>
      <c r="I120" s="1">
        <v>2</v>
      </c>
      <c r="J120" s="1">
        <v>0.16</v>
      </c>
    </row>
    <row r="121" spans="1:10" x14ac:dyDescent="0.25">
      <c r="A121" s="1">
        <v>120</v>
      </c>
      <c r="B121" s="2">
        <v>40549</v>
      </c>
      <c r="C121" s="1">
        <v>1</v>
      </c>
      <c r="D121" s="1">
        <v>0</v>
      </c>
      <c r="E121" s="1">
        <v>1</v>
      </c>
      <c r="F121" s="1">
        <v>5</v>
      </c>
      <c r="G121" s="1" t="b">
        <v>0</v>
      </c>
      <c r="H121" s="1">
        <v>4</v>
      </c>
      <c r="I121" s="1">
        <v>2</v>
      </c>
      <c r="J121" s="1">
        <v>0.14000000000000001</v>
      </c>
    </row>
    <row r="122" spans="1:10" x14ac:dyDescent="0.25">
      <c r="A122" s="1">
        <v>121</v>
      </c>
      <c r="B122" s="2">
        <v>40549</v>
      </c>
      <c r="C122" s="1">
        <v>1</v>
      </c>
      <c r="D122" s="1">
        <v>0</v>
      </c>
      <c r="E122" s="1">
        <v>1</v>
      </c>
      <c r="F122" s="1">
        <v>6</v>
      </c>
      <c r="G122" s="1" t="b">
        <v>0</v>
      </c>
      <c r="H122" s="1">
        <v>4</v>
      </c>
      <c r="I122" s="1">
        <v>2</v>
      </c>
      <c r="J122" s="1">
        <v>0.14000000000000001</v>
      </c>
    </row>
    <row r="123" spans="1:10" x14ac:dyDescent="0.25">
      <c r="A123" s="1">
        <v>122</v>
      </c>
      <c r="B123" s="2">
        <v>40549</v>
      </c>
      <c r="C123" s="1">
        <v>1</v>
      </c>
      <c r="D123" s="1">
        <v>0</v>
      </c>
      <c r="E123" s="1">
        <v>1</v>
      </c>
      <c r="F123" s="1">
        <v>7</v>
      </c>
      <c r="G123" s="1" t="b">
        <v>0</v>
      </c>
      <c r="H123" s="1">
        <v>4</v>
      </c>
      <c r="I123" s="1">
        <v>2</v>
      </c>
      <c r="J123" s="1">
        <v>0.16</v>
      </c>
    </row>
    <row r="124" spans="1:10" x14ac:dyDescent="0.25">
      <c r="A124" s="1">
        <v>123</v>
      </c>
      <c r="B124" s="2">
        <v>40549</v>
      </c>
      <c r="C124" s="1">
        <v>1</v>
      </c>
      <c r="D124" s="1">
        <v>0</v>
      </c>
      <c r="E124" s="1">
        <v>1</v>
      </c>
      <c r="F124" s="1">
        <v>8</v>
      </c>
      <c r="G124" s="1" t="b">
        <v>0</v>
      </c>
      <c r="H124" s="1">
        <v>4</v>
      </c>
      <c r="I124" s="1">
        <v>1</v>
      </c>
      <c r="J124" s="1">
        <v>0.16</v>
      </c>
    </row>
    <row r="125" spans="1:10" x14ac:dyDescent="0.25">
      <c r="A125" s="1">
        <v>124</v>
      </c>
      <c r="B125" s="2">
        <v>40549</v>
      </c>
      <c r="C125" s="1">
        <v>1</v>
      </c>
      <c r="D125" s="1">
        <v>0</v>
      </c>
      <c r="E125" s="1">
        <v>1</v>
      </c>
      <c r="F125" s="1">
        <v>9</v>
      </c>
      <c r="G125" s="1" t="b">
        <v>0</v>
      </c>
      <c r="H125" s="1">
        <v>4</v>
      </c>
      <c r="I125" s="1">
        <v>2</v>
      </c>
      <c r="J125" s="1">
        <v>0.18</v>
      </c>
    </row>
    <row r="126" spans="1:10" x14ac:dyDescent="0.25">
      <c r="A126" s="1">
        <v>125</v>
      </c>
      <c r="B126" s="2">
        <v>40549</v>
      </c>
      <c r="C126" s="1">
        <v>1</v>
      </c>
      <c r="D126" s="1">
        <v>0</v>
      </c>
      <c r="E126" s="1">
        <v>1</v>
      </c>
      <c r="F126" s="1">
        <v>10</v>
      </c>
      <c r="G126" s="1" t="b">
        <v>0</v>
      </c>
      <c r="H126" s="1">
        <v>4</v>
      </c>
      <c r="I126" s="1">
        <v>1</v>
      </c>
      <c r="J126" s="1">
        <v>0.2</v>
      </c>
    </row>
    <row r="127" spans="1:10" x14ac:dyDescent="0.25">
      <c r="A127" s="1">
        <v>126</v>
      </c>
      <c r="B127" s="2">
        <v>40549</v>
      </c>
      <c r="C127" s="1">
        <v>1</v>
      </c>
      <c r="D127" s="1">
        <v>0</v>
      </c>
      <c r="E127" s="1">
        <v>1</v>
      </c>
      <c r="F127" s="1">
        <v>11</v>
      </c>
      <c r="G127" s="1" t="b">
        <v>0</v>
      </c>
      <c r="H127" s="1">
        <v>4</v>
      </c>
      <c r="I127" s="1">
        <v>1</v>
      </c>
      <c r="J127" s="1">
        <v>0.22</v>
      </c>
    </row>
    <row r="128" spans="1:10" x14ac:dyDescent="0.25">
      <c r="A128" s="1">
        <v>127</v>
      </c>
      <c r="B128" s="2">
        <v>40549</v>
      </c>
      <c r="C128" s="1">
        <v>1</v>
      </c>
      <c r="D128" s="1">
        <v>0</v>
      </c>
      <c r="E128" s="1">
        <v>1</v>
      </c>
      <c r="F128" s="1">
        <v>12</v>
      </c>
      <c r="G128" s="1" t="b">
        <v>0</v>
      </c>
      <c r="H128" s="1">
        <v>4</v>
      </c>
      <c r="I128" s="1">
        <v>1</v>
      </c>
      <c r="J128" s="1">
        <v>0.26</v>
      </c>
    </row>
    <row r="129" spans="1:10" x14ac:dyDescent="0.25">
      <c r="A129" s="1">
        <v>128</v>
      </c>
      <c r="B129" s="2">
        <v>40549</v>
      </c>
      <c r="C129" s="1">
        <v>1</v>
      </c>
      <c r="D129" s="1">
        <v>0</v>
      </c>
      <c r="E129" s="1">
        <v>1</v>
      </c>
      <c r="F129" s="1">
        <v>13</v>
      </c>
      <c r="G129" s="1" t="b">
        <v>0</v>
      </c>
      <c r="H129" s="1">
        <v>4</v>
      </c>
      <c r="I129" s="1">
        <v>1</v>
      </c>
      <c r="J129" s="1">
        <v>0.26</v>
      </c>
    </row>
    <row r="130" spans="1:10" x14ac:dyDescent="0.25">
      <c r="A130" s="1">
        <v>129</v>
      </c>
      <c r="B130" s="2">
        <v>40549</v>
      </c>
      <c r="C130" s="1">
        <v>1</v>
      </c>
      <c r="D130" s="1">
        <v>0</v>
      </c>
      <c r="E130" s="1">
        <v>1</v>
      </c>
      <c r="F130" s="1">
        <v>14</v>
      </c>
      <c r="G130" s="1" t="b">
        <v>0</v>
      </c>
      <c r="H130" s="1">
        <v>4</v>
      </c>
      <c r="I130" s="1">
        <v>1</v>
      </c>
      <c r="J130" s="1">
        <v>0.28000000000000003</v>
      </c>
    </row>
    <row r="131" spans="1:10" x14ac:dyDescent="0.25">
      <c r="A131" s="1">
        <v>130</v>
      </c>
      <c r="B131" s="2">
        <v>40549</v>
      </c>
      <c r="C131" s="1">
        <v>1</v>
      </c>
      <c r="D131" s="1">
        <v>0</v>
      </c>
      <c r="E131" s="1">
        <v>1</v>
      </c>
      <c r="F131" s="1">
        <v>15</v>
      </c>
      <c r="G131" s="1" t="b">
        <v>0</v>
      </c>
      <c r="H131" s="1">
        <v>4</v>
      </c>
      <c r="I131" s="1">
        <v>1</v>
      </c>
      <c r="J131" s="1">
        <v>0.28000000000000003</v>
      </c>
    </row>
    <row r="132" spans="1:10" x14ac:dyDescent="0.25">
      <c r="A132" s="1">
        <v>131</v>
      </c>
      <c r="B132" s="2">
        <v>40549</v>
      </c>
      <c r="C132" s="1">
        <v>1</v>
      </c>
      <c r="D132" s="1">
        <v>0</v>
      </c>
      <c r="E132" s="1">
        <v>1</v>
      </c>
      <c r="F132" s="1">
        <v>16</v>
      </c>
      <c r="G132" s="1" t="b">
        <v>0</v>
      </c>
      <c r="H132" s="1">
        <v>4</v>
      </c>
      <c r="I132" s="1">
        <v>1</v>
      </c>
      <c r="J132" s="1">
        <v>0.26</v>
      </c>
    </row>
    <row r="133" spans="1:10" x14ac:dyDescent="0.25">
      <c r="A133" s="1">
        <v>132</v>
      </c>
      <c r="B133" s="2">
        <v>40549</v>
      </c>
      <c r="C133" s="1">
        <v>1</v>
      </c>
      <c r="D133" s="1">
        <v>0</v>
      </c>
      <c r="E133" s="1">
        <v>1</v>
      </c>
      <c r="F133" s="1">
        <v>17</v>
      </c>
      <c r="G133" s="1" t="b">
        <v>0</v>
      </c>
      <c r="H133" s="1">
        <v>4</v>
      </c>
      <c r="I133" s="1">
        <v>1</v>
      </c>
      <c r="J133" s="1">
        <v>0.22</v>
      </c>
    </row>
    <row r="134" spans="1:10" x14ac:dyDescent="0.25">
      <c r="A134" s="1">
        <v>133</v>
      </c>
      <c r="B134" s="2">
        <v>40549</v>
      </c>
      <c r="C134" s="1">
        <v>1</v>
      </c>
      <c r="D134" s="1">
        <v>0</v>
      </c>
      <c r="E134" s="1">
        <v>1</v>
      </c>
      <c r="F134" s="1">
        <v>18</v>
      </c>
      <c r="G134" s="1" t="b">
        <v>0</v>
      </c>
      <c r="H134" s="1">
        <v>4</v>
      </c>
      <c r="I134" s="1">
        <v>1</v>
      </c>
      <c r="J134" s="1">
        <v>0.22</v>
      </c>
    </row>
    <row r="135" spans="1:10" x14ac:dyDescent="0.25">
      <c r="A135" s="1">
        <v>134</v>
      </c>
      <c r="B135" s="2">
        <v>40549</v>
      </c>
      <c r="C135" s="1">
        <v>1</v>
      </c>
      <c r="D135" s="1">
        <v>0</v>
      </c>
      <c r="E135" s="1">
        <v>1</v>
      </c>
      <c r="F135" s="1">
        <v>19</v>
      </c>
      <c r="G135" s="1" t="b">
        <v>0</v>
      </c>
      <c r="H135" s="1">
        <v>4</v>
      </c>
      <c r="I135" s="1">
        <v>1</v>
      </c>
      <c r="J135" s="1">
        <v>0.22</v>
      </c>
    </row>
    <row r="136" spans="1:10" x14ac:dyDescent="0.25">
      <c r="A136" s="1">
        <v>135</v>
      </c>
      <c r="B136" s="2">
        <v>40549</v>
      </c>
      <c r="C136" s="1">
        <v>1</v>
      </c>
      <c r="D136" s="1">
        <v>0</v>
      </c>
      <c r="E136" s="1">
        <v>1</v>
      </c>
      <c r="F136" s="1">
        <v>20</v>
      </c>
      <c r="G136" s="1" t="b">
        <v>0</v>
      </c>
      <c r="H136" s="1">
        <v>4</v>
      </c>
      <c r="I136" s="1">
        <v>1</v>
      </c>
      <c r="J136" s="1">
        <v>0.2</v>
      </c>
    </row>
    <row r="137" spans="1:10" x14ac:dyDescent="0.25">
      <c r="A137" s="1">
        <v>136</v>
      </c>
      <c r="B137" s="2">
        <v>40549</v>
      </c>
      <c r="C137" s="1">
        <v>1</v>
      </c>
      <c r="D137" s="1">
        <v>0</v>
      </c>
      <c r="E137" s="1">
        <v>1</v>
      </c>
      <c r="F137" s="1">
        <v>21</v>
      </c>
      <c r="G137" s="1" t="b">
        <v>0</v>
      </c>
      <c r="H137" s="1">
        <v>4</v>
      </c>
      <c r="I137" s="1">
        <v>2</v>
      </c>
      <c r="J137" s="1">
        <v>0.22</v>
      </c>
    </row>
    <row r="138" spans="1:10" x14ac:dyDescent="0.25">
      <c r="A138" s="1">
        <v>137</v>
      </c>
      <c r="B138" s="2">
        <v>40549</v>
      </c>
      <c r="C138" s="1">
        <v>1</v>
      </c>
      <c r="D138" s="1">
        <v>0</v>
      </c>
      <c r="E138" s="1">
        <v>1</v>
      </c>
      <c r="F138" s="1">
        <v>22</v>
      </c>
      <c r="G138" s="1" t="b">
        <v>0</v>
      </c>
      <c r="H138" s="1">
        <v>4</v>
      </c>
      <c r="I138" s="1">
        <v>2</v>
      </c>
      <c r="J138" s="1">
        <v>0.22</v>
      </c>
    </row>
    <row r="139" spans="1:10" x14ac:dyDescent="0.25">
      <c r="A139" s="1">
        <v>138</v>
      </c>
      <c r="B139" s="2">
        <v>40549</v>
      </c>
      <c r="C139" s="1">
        <v>1</v>
      </c>
      <c r="D139" s="1">
        <v>0</v>
      </c>
      <c r="E139" s="1">
        <v>1</v>
      </c>
      <c r="F139" s="1">
        <v>23</v>
      </c>
      <c r="G139" s="1" t="b">
        <v>0</v>
      </c>
      <c r="H139" s="1">
        <v>4</v>
      </c>
      <c r="I139" s="1">
        <v>2</v>
      </c>
      <c r="J139" s="1">
        <v>0.2</v>
      </c>
    </row>
    <row r="140" spans="1:10" x14ac:dyDescent="0.25">
      <c r="A140" s="1">
        <v>139</v>
      </c>
      <c r="B140" s="2">
        <v>40550</v>
      </c>
      <c r="C140" s="1">
        <v>1</v>
      </c>
      <c r="D140" s="1">
        <v>0</v>
      </c>
      <c r="E140" s="1">
        <v>1</v>
      </c>
      <c r="F140" s="1">
        <v>0</v>
      </c>
      <c r="G140" s="1" t="b">
        <v>0</v>
      </c>
      <c r="H140" s="1">
        <v>5</v>
      </c>
      <c r="I140" s="1">
        <v>2</v>
      </c>
      <c r="J140" s="1">
        <v>0.2</v>
      </c>
    </row>
    <row r="141" spans="1:10" x14ac:dyDescent="0.25">
      <c r="A141" s="1">
        <v>140</v>
      </c>
      <c r="B141" s="2">
        <v>40550</v>
      </c>
      <c r="C141" s="1">
        <v>1</v>
      </c>
      <c r="D141" s="1">
        <v>0</v>
      </c>
      <c r="E141" s="1">
        <v>1</v>
      </c>
      <c r="F141" s="1">
        <v>1</v>
      </c>
      <c r="G141" s="1" t="b">
        <v>0</v>
      </c>
      <c r="H141" s="1">
        <v>5</v>
      </c>
      <c r="I141" s="1">
        <v>2</v>
      </c>
      <c r="J141" s="1">
        <v>0.2</v>
      </c>
    </row>
    <row r="142" spans="1:10" x14ac:dyDescent="0.25">
      <c r="A142" s="1">
        <v>141</v>
      </c>
      <c r="B142" s="2">
        <v>40550</v>
      </c>
      <c r="C142" s="1">
        <v>1</v>
      </c>
      <c r="D142" s="1">
        <v>0</v>
      </c>
      <c r="E142" s="1">
        <v>1</v>
      </c>
      <c r="F142" s="1">
        <v>2</v>
      </c>
      <c r="G142" s="1" t="b">
        <v>0</v>
      </c>
      <c r="H142" s="1">
        <v>5</v>
      </c>
      <c r="I142" s="1">
        <v>2</v>
      </c>
      <c r="J142" s="1">
        <v>0.2</v>
      </c>
    </row>
    <row r="143" spans="1:10" x14ac:dyDescent="0.25">
      <c r="A143" s="1">
        <v>142</v>
      </c>
      <c r="B143" s="2">
        <v>40550</v>
      </c>
      <c r="C143" s="1">
        <v>1</v>
      </c>
      <c r="D143" s="1">
        <v>0</v>
      </c>
      <c r="E143" s="1">
        <v>1</v>
      </c>
      <c r="F143" s="1">
        <v>4</v>
      </c>
      <c r="G143" s="1" t="b">
        <v>0</v>
      </c>
      <c r="H143" s="1">
        <v>5</v>
      </c>
      <c r="I143" s="1">
        <v>2</v>
      </c>
      <c r="J143" s="1">
        <v>0.2</v>
      </c>
    </row>
    <row r="144" spans="1:10" x14ac:dyDescent="0.25">
      <c r="A144" s="1">
        <v>143</v>
      </c>
      <c r="B144" s="2">
        <v>40550</v>
      </c>
      <c r="C144" s="1">
        <v>1</v>
      </c>
      <c r="D144" s="1">
        <v>0</v>
      </c>
      <c r="E144" s="1">
        <v>1</v>
      </c>
      <c r="F144" s="1">
        <v>5</v>
      </c>
      <c r="G144" s="1" t="b">
        <v>0</v>
      </c>
      <c r="H144" s="1">
        <v>5</v>
      </c>
      <c r="I144" s="1">
        <v>3</v>
      </c>
      <c r="J144" s="1">
        <v>0.22</v>
      </c>
    </row>
    <row r="145" spans="1:10" x14ac:dyDescent="0.25">
      <c r="A145" s="1">
        <v>144</v>
      </c>
      <c r="B145" s="2">
        <v>40550</v>
      </c>
      <c r="C145" s="1">
        <v>1</v>
      </c>
      <c r="D145" s="1">
        <v>0</v>
      </c>
      <c r="E145" s="1">
        <v>1</v>
      </c>
      <c r="F145" s="1">
        <v>6</v>
      </c>
      <c r="G145" s="1" t="b">
        <v>0</v>
      </c>
      <c r="H145" s="1">
        <v>5</v>
      </c>
      <c r="I145" s="1">
        <v>2</v>
      </c>
      <c r="J145" s="1">
        <v>0.2</v>
      </c>
    </row>
    <row r="146" spans="1:10" x14ac:dyDescent="0.25">
      <c r="A146" s="1">
        <v>145</v>
      </c>
      <c r="B146" s="2">
        <v>40550</v>
      </c>
      <c r="C146" s="1">
        <v>1</v>
      </c>
      <c r="D146" s="1">
        <v>0</v>
      </c>
      <c r="E146" s="1">
        <v>1</v>
      </c>
      <c r="F146" s="1">
        <v>7</v>
      </c>
      <c r="G146" s="1" t="b">
        <v>0</v>
      </c>
      <c r="H146" s="1">
        <v>5</v>
      </c>
      <c r="I146" s="1">
        <v>1</v>
      </c>
      <c r="J146" s="1">
        <v>0.2</v>
      </c>
    </row>
    <row r="147" spans="1:10" x14ac:dyDescent="0.25">
      <c r="A147" s="1">
        <v>146</v>
      </c>
      <c r="B147" s="2">
        <v>40550</v>
      </c>
      <c r="C147" s="1">
        <v>1</v>
      </c>
      <c r="D147" s="1">
        <v>0</v>
      </c>
      <c r="E147" s="1">
        <v>1</v>
      </c>
      <c r="F147" s="1">
        <v>8</v>
      </c>
      <c r="G147" s="1" t="b">
        <v>0</v>
      </c>
      <c r="H147" s="1">
        <v>5</v>
      </c>
      <c r="I147" s="1">
        <v>1</v>
      </c>
      <c r="J147" s="1">
        <v>0.2</v>
      </c>
    </row>
    <row r="148" spans="1:10" x14ac:dyDescent="0.25">
      <c r="A148" s="1">
        <v>147</v>
      </c>
      <c r="B148" s="2">
        <v>40550</v>
      </c>
      <c r="C148" s="1">
        <v>1</v>
      </c>
      <c r="D148" s="1">
        <v>0</v>
      </c>
      <c r="E148" s="1">
        <v>1</v>
      </c>
      <c r="F148" s="1">
        <v>9</v>
      </c>
      <c r="G148" s="1" t="b">
        <v>0</v>
      </c>
      <c r="H148" s="1">
        <v>5</v>
      </c>
      <c r="I148" s="1">
        <v>1</v>
      </c>
      <c r="J148" s="1">
        <v>0.2</v>
      </c>
    </row>
    <row r="149" spans="1:10" x14ac:dyDescent="0.25">
      <c r="A149" s="1">
        <v>148</v>
      </c>
      <c r="B149" s="2">
        <v>40550</v>
      </c>
      <c r="C149" s="1">
        <v>1</v>
      </c>
      <c r="D149" s="1">
        <v>0</v>
      </c>
      <c r="E149" s="1">
        <v>1</v>
      </c>
      <c r="F149" s="1">
        <v>10</v>
      </c>
      <c r="G149" s="1" t="b">
        <v>0</v>
      </c>
      <c r="H149" s="1">
        <v>5</v>
      </c>
      <c r="I149" s="1">
        <v>1</v>
      </c>
      <c r="J149" s="1">
        <v>0.22</v>
      </c>
    </row>
    <row r="150" spans="1:10" x14ac:dyDescent="0.25">
      <c r="A150" s="1">
        <v>149</v>
      </c>
      <c r="B150" s="2">
        <v>40550</v>
      </c>
      <c r="C150" s="1">
        <v>1</v>
      </c>
      <c r="D150" s="1">
        <v>0</v>
      </c>
      <c r="E150" s="1">
        <v>1</v>
      </c>
      <c r="F150" s="1">
        <v>11</v>
      </c>
      <c r="G150" s="1" t="b">
        <v>0</v>
      </c>
      <c r="H150" s="1">
        <v>5</v>
      </c>
      <c r="I150" s="1">
        <v>2</v>
      </c>
      <c r="J150" s="1">
        <v>0.2</v>
      </c>
    </row>
    <row r="151" spans="1:10" x14ac:dyDescent="0.25">
      <c r="A151" s="1">
        <v>150</v>
      </c>
      <c r="B151" s="2">
        <v>40550</v>
      </c>
      <c r="C151" s="1">
        <v>1</v>
      </c>
      <c r="D151" s="1">
        <v>0</v>
      </c>
      <c r="E151" s="1">
        <v>1</v>
      </c>
      <c r="F151" s="1">
        <v>12</v>
      </c>
      <c r="G151" s="1" t="b">
        <v>0</v>
      </c>
      <c r="H151" s="1">
        <v>5</v>
      </c>
      <c r="I151" s="1">
        <v>2</v>
      </c>
      <c r="J151" s="1">
        <v>0.2</v>
      </c>
    </row>
    <row r="152" spans="1:10" x14ac:dyDescent="0.25">
      <c r="A152" s="1">
        <v>151</v>
      </c>
      <c r="B152" s="2">
        <v>40550</v>
      </c>
      <c r="C152" s="1">
        <v>1</v>
      </c>
      <c r="D152" s="1">
        <v>0</v>
      </c>
      <c r="E152" s="1">
        <v>1</v>
      </c>
      <c r="F152" s="1">
        <v>13</v>
      </c>
      <c r="G152" s="1" t="b">
        <v>0</v>
      </c>
      <c r="H152" s="1">
        <v>5</v>
      </c>
      <c r="I152" s="1">
        <v>2</v>
      </c>
      <c r="J152" s="1">
        <v>0.2</v>
      </c>
    </row>
    <row r="153" spans="1:10" x14ac:dyDescent="0.25">
      <c r="A153" s="1">
        <v>152</v>
      </c>
      <c r="B153" s="2">
        <v>40550</v>
      </c>
      <c r="C153" s="1">
        <v>1</v>
      </c>
      <c r="D153" s="1">
        <v>0</v>
      </c>
      <c r="E153" s="1">
        <v>1</v>
      </c>
      <c r="F153" s="1">
        <v>14</v>
      </c>
      <c r="G153" s="1" t="b">
        <v>0</v>
      </c>
      <c r="H153" s="1">
        <v>5</v>
      </c>
      <c r="I153" s="1">
        <v>2</v>
      </c>
      <c r="J153" s="1">
        <v>0.2</v>
      </c>
    </row>
    <row r="154" spans="1:10" x14ac:dyDescent="0.25">
      <c r="A154" s="1">
        <v>153</v>
      </c>
      <c r="B154" s="2">
        <v>40550</v>
      </c>
      <c r="C154" s="1">
        <v>1</v>
      </c>
      <c r="D154" s="1">
        <v>0</v>
      </c>
      <c r="E154" s="1">
        <v>1</v>
      </c>
      <c r="F154" s="1">
        <v>15</v>
      </c>
      <c r="G154" s="1" t="b">
        <v>0</v>
      </c>
      <c r="H154" s="1">
        <v>5</v>
      </c>
      <c r="I154" s="1">
        <v>2</v>
      </c>
      <c r="J154" s="1">
        <v>0.2</v>
      </c>
    </row>
    <row r="155" spans="1:10" x14ac:dyDescent="0.25">
      <c r="A155" s="1">
        <v>154</v>
      </c>
      <c r="B155" s="2">
        <v>40550</v>
      </c>
      <c r="C155" s="1">
        <v>1</v>
      </c>
      <c r="D155" s="1">
        <v>0</v>
      </c>
      <c r="E155" s="1">
        <v>1</v>
      </c>
      <c r="F155" s="1">
        <v>16</v>
      </c>
      <c r="G155" s="1" t="b">
        <v>0</v>
      </c>
      <c r="H155" s="1">
        <v>5</v>
      </c>
      <c r="I155" s="1">
        <v>2</v>
      </c>
      <c r="J155" s="1">
        <v>0.2</v>
      </c>
    </row>
    <row r="156" spans="1:10" x14ac:dyDescent="0.25">
      <c r="A156" s="1">
        <v>155</v>
      </c>
      <c r="B156" s="2">
        <v>40550</v>
      </c>
      <c r="C156" s="1">
        <v>1</v>
      </c>
      <c r="D156" s="1">
        <v>0</v>
      </c>
      <c r="E156" s="1">
        <v>1</v>
      </c>
      <c r="F156" s="1">
        <v>17</v>
      </c>
      <c r="G156" s="1" t="b">
        <v>0</v>
      </c>
      <c r="H156" s="1">
        <v>5</v>
      </c>
      <c r="I156" s="1">
        <v>2</v>
      </c>
      <c r="J156" s="1">
        <v>0.2</v>
      </c>
    </row>
    <row r="157" spans="1:10" x14ac:dyDescent="0.25">
      <c r="A157" s="1">
        <v>156</v>
      </c>
      <c r="B157" s="2">
        <v>40550</v>
      </c>
      <c r="C157" s="1">
        <v>1</v>
      </c>
      <c r="D157" s="1">
        <v>0</v>
      </c>
      <c r="E157" s="1">
        <v>1</v>
      </c>
      <c r="F157" s="1">
        <v>18</v>
      </c>
      <c r="G157" s="1" t="b">
        <v>0</v>
      </c>
      <c r="H157" s="1">
        <v>5</v>
      </c>
      <c r="I157" s="1">
        <v>1</v>
      </c>
      <c r="J157" s="1">
        <v>0.2</v>
      </c>
    </row>
    <row r="158" spans="1:10" x14ac:dyDescent="0.25">
      <c r="A158" s="1">
        <v>157</v>
      </c>
      <c r="B158" s="2">
        <v>40550</v>
      </c>
      <c r="C158" s="1">
        <v>1</v>
      </c>
      <c r="D158" s="1">
        <v>0</v>
      </c>
      <c r="E158" s="1">
        <v>1</v>
      </c>
      <c r="F158" s="1">
        <v>19</v>
      </c>
      <c r="G158" s="1" t="b">
        <v>0</v>
      </c>
      <c r="H158" s="1">
        <v>5</v>
      </c>
      <c r="I158" s="1">
        <v>1</v>
      </c>
      <c r="J158" s="1">
        <v>0.16</v>
      </c>
    </row>
    <row r="159" spans="1:10" x14ac:dyDescent="0.25">
      <c r="A159" s="1">
        <v>158</v>
      </c>
      <c r="B159" s="2">
        <v>40550</v>
      </c>
      <c r="C159" s="1">
        <v>1</v>
      </c>
      <c r="D159" s="1">
        <v>0</v>
      </c>
      <c r="E159" s="1">
        <v>1</v>
      </c>
      <c r="F159" s="1">
        <v>20</v>
      </c>
      <c r="G159" s="1" t="b">
        <v>0</v>
      </c>
      <c r="H159" s="1">
        <v>5</v>
      </c>
      <c r="I159" s="1">
        <v>1</v>
      </c>
      <c r="J159" s="1">
        <v>0.18</v>
      </c>
    </row>
    <row r="160" spans="1:10" x14ac:dyDescent="0.25">
      <c r="A160" s="1">
        <v>159</v>
      </c>
      <c r="B160" s="2">
        <v>40550</v>
      </c>
      <c r="C160" s="1">
        <v>1</v>
      </c>
      <c r="D160" s="1">
        <v>0</v>
      </c>
      <c r="E160" s="1">
        <v>1</v>
      </c>
      <c r="F160" s="1">
        <v>21</v>
      </c>
      <c r="G160" s="1" t="b">
        <v>0</v>
      </c>
      <c r="H160" s="1">
        <v>5</v>
      </c>
      <c r="I160" s="1">
        <v>1</v>
      </c>
      <c r="J160" s="1">
        <v>0.18</v>
      </c>
    </row>
    <row r="161" spans="1:10" x14ac:dyDescent="0.25">
      <c r="A161" s="1">
        <v>160</v>
      </c>
      <c r="B161" s="2">
        <v>40550</v>
      </c>
      <c r="C161" s="1">
        <v>1</v>
      </c>
      <c r="D161" s="1">
        <v>0</v>
      </c>
      <c r="E161" s="1">
        <v>1</v>
      </c>
      <c r="F161" s="1">
        <v>22</v>
      </c>
      <c r="G161" s="1" t="b">
        <v>0</v>
      </c>
      <c r="H161" s="1">
        <v>5</v>
      </c>
      <c r="I161" s="1">
        <v>2</v>
      </c>
      <c r="J161" s="1">
        <v>0.18</v>
      </c>
    </row>
    <row r="162" spans="1:10" x14ac:dyDescent="0.25">
      <c r="A162" s="1">
        <v>161</v>
      </c>
      <c r="B162" s="2">
        <v>40550</v>
      </c>
      <c r="C162" s="1">
        <v>1</v>
      </c>
      <c r="D162" s="1">
        <v>0</v>
      </c>
      <c r="E162" s="1">
        <v>1</v>
      </c>
      <c r="F162" s="1">
        <v>23</v>
      </c>
      <c r="G162" s="1" t="b">
        <v>0</v>
      </c>
      <c r="H162" s="1">
        <v>5</v>
      </c>
      <c r="I162" s="1">
        <v>2</v>
      </c>
      <c r="J162" s="1">
        <v>0.18</v>
      </c>
    </row>
    <row r="163" spans="1:10" x14ac:dyDescent="0.25">
      <c r="A163" s="1">
        <v>162</v>
      </c>
      <c r="B163" s="2">
        <v>40551</v>
      </c>
      <c r="C163" s="1">
        <v>1</v>
      </c>
      <c r="D163" s="1">
        <v>0</v>
      </c>
      <c r="E163" s="1">
        <v>1</v>
      </c>
      <c r="F163" s="1">
        <v>0</v>
      </c>
      <c r="G163" s="1" t="b">
        <v>0</v>
      </c>
      <c r="H163" s="1">
        <v>6</v>
      </c>
      <c r="I163" s="1">
        <v>2</v>
      </c>
      <c r="J163" s="1">
        <v>0.18</v>
      </c>
    </row>
    <row r="164" spans="1:10" x14ac:dyDescent="0.25">
      <c r="A164" s="1">
        <v>163</v>
      </c>
      <c r="B164" s="2">
        <v>40551</v>
      </c>
      <c r="C164" s="1">
        <v>1</v>
      </c>
      <c r="D164" s="1">
        <v>0</v>
      </c>
      <c r="E164" s="1">
        <v>1</v>
      </c>
      <c r="F164" s="1">
        <v>1</v>
      </c>
      <c r="G164" s="1" t="b">
        <v>0</v>
      </c>
      <c r="H164" s="1">
        <v>6</v>
      </c>
      <c r="I164" s="1">
        <v>2</v>
      </c>
      <c r="J164" s="1">
        <v>0.18</v>
      </c>
    </row>
    <row r="165" spans="1:10" x14ac:dyDescent="0.25">
      <c r="A165" s="1">
        <v>164</v>
      </c>
      <c r="B165" s="2">
        <v>40551</v>
      </c>
      <c r="C165" s="1">
        <v>1</v>
      </c>
      <c r="D165" s="1">
        <v>0</v>
      </c>
      <c r="E165" s="1">
        <v>1</v>
      </c>
      <c r="F165" s="1">
        <v>2</v>
      </c>
      <c r="G165" s="1" t="b">
        <v>0</v>
      </c>
      <c r="H165" s="1">
        <v>6</v>
      </c>
      <c r="I165" s="1">
        <v>2</v>
      </c>
      <c r="J165" s="1">
        <v>0.18</v>
      </c>
    </row>
    <row r="166" spans="1:10" x14ac:dyDescent="0.25">
      <c r="A166" s="1">
        <v>165</v>
      </c>
      <c r="B166" s="2">
        <v>40551</v>
      </c>
      <c r="C166" s="1">
        <v>1</v>
      </c>
      <c r="D166" s="1">
        <v>0</v>
      </c>
      <c r="E166" s="1">
        <v>1</v>
      </c>
      <c r="F166" s="1">
        <v>3</v>
      </c>
      <c r="G166" s="1" t="b">
        <v>0</v>
      </c>
      <c r="H166" s="1">
        <v>6</v>
      </c>
      <c r="I166" s="1">
        <v>3</v>
      </c>
      <c r="J166" s="1">
        <v>0.18</v>
      </c>
    </row>
    <row r="167" spans="1:10" x14ac:dyDescent="0.25">
      <c r="A167" s="1">
        <v>166</v>
      </c>
      <c r="B167" s="2">
        <v>40551</v>
      </c>
      <c r="C167" s="1">
        <v>1</v>
      </c>
      <c r="D167" s="1">
        <v>0</v>
      </c>
      <c r="E167" s="1">
        <v>1</v>
      </c>
      <c r="F167" s="1">
        <v>4</v>
      </c>
      <c r="G167" s="1" t="b">
        <v>0</v>
      </c>
      <c r="H167" s="1">
        <v>6</v>
      </c>
      <c r="I167" s="1">
        <v>3</v>
      </c>
      <c r="J167" s="1">
        <v>0.18</v>
      </c>
    </row>
    <row r="168" spans="1:10" x14ac:dyDescent="0.25">
      <c r="A168" s="1">
        <v>167</v>
      </c>
      <c r="B168" s="2">
        <v>40551</v>
      </c>
      <c r="C168" s="1">
        <v>1</v>
      </c>
      <c r="D168" s="1">
        <v>0</v>
      </c>
      <c r="E168" s="1">
        <v>1</v>
      </c>
      <c r="F168" s="1">
        <v>5</v>
      </c>
      <c r="G168" s="1" t="b">
        <v>0</v>
      </c>
      <c r="H168" s="1">
        <v>6</v>
      </c>
      <c r="I168" s="1">
        <v>2</v>
      </c>
      <c r="J168" s="1">
        <v>0.16</v>
      </c>
    </row>
    <row r="169" spans="1:10" x14ac:dyDescent="0.25">
      <c r="A169" s="1">
        <v>168</v>
      </c>
      <c r="B169" s="2">
        <v>40551</v>
      </c>
      <c r="C169" s="1">
        <v>1</v>
      </c>
      <c r="D169" s="1">
        <v>0</v>
      </c>
      <c r="E169" s="1">
        <v>1</v>
      </c>
      <c r="F169" s="1">
        <v>6</v>
      </c>
      <c r="G169" s="1" t="b">
        <v>0</v>
      </c>
      <c r="H169" s="1">
        <v>6</v>
      </c>
      <c r="I169" s="1">
        <v>2</v>
      </c>
      <c r="J169" s="1">
        <v>0.16</v>
      </c>
    </row>
    <row r="170" spans="1:10" x14ac:dyDescent="0.25">
      <c r="A170" s="1">
        <v>169</v>
      </c>
      <c r="B170" s="2">
        <v>40551</v>
      </c>
      <c r="C170" s="1">
        <v>1</v>
      </c>
      <c r="D170" s="1">
        <v>0</v>
      </c>
      <c r="E170" s="1">
        <v>1</v>
      </c>
      <c r="F170" s="1">
        <v>7</v>
      </c>
      <c r="G170" s="1" t="b">
        <v>0</v>
      </c>
      <c r="H170" s="1">
        <v>6</v>
      </c>
      <c r="I170" s="1">
        <v>2</v>
      </c>
      <c r="J170" s="1">
        <v>0.16</v>
      </c>
    </row>
    <row r="171" spans="1:10" x14ac:dyDescent="0.25">
      <c r="A171" s="1">
        <v>170</v>
      </c>
      <c r="B171" s="2">
        <v>40551</v>
      </c>
      <c r="C171" s="1">
        <v>1</v>
      </c>
      <c r="D171" s="1">
        <v>0</v>
      </c>
      <c r="E171" s="1">
        <v>1</v>
      </c>
      <c r="F171" s="1">
        <v>8</v>
      </c>
      <c r="G171" s="1" t="b">
        <v>0</v>
      </c>
      <c r="H171" s="1">
        <v>6</v>
      </c>
      <c r="I171" s="1">
        <v>3</v>
      </c>
      <c r="J171" s="1">
        <v>0.16</v>
      </c>
    </row>
    <row r="172" spans="1:10" x14ac:dyDescent="0.25">
      <c r="A172" s="1">
        <v>171</v>
      </c>
      <c r="B172" s="2">
        <v>40551</v>
      </c>
      <c r="C172" s="1">
        <v>1</v>
      </c>
      <c r="D172" s="1">
        <v>0</v>
      </c>
      <c r="E172" s="1">
        <v>1</v>
      </c>
      <c r="F172" s="1">
        <v>9</v>
      </c>
      <c r="G172" s="1" t="b">
        <v>0</v>
      </c>
      <c r="H172" s="1">
        <v>6</v>
      </c>
      <c r="I172" s="1">
        <v>3</v>
      </c>
      <c r="J172" s="1">
        <v>0.16</v>
      </c>
    </row>
    <row r="173" spans="1:10" x14ac:dyDescent="0.25">
      <c r="A173" s="1">
        <v>172</v>
      </c>
      <c r="B173" s="2">
        <v>40551</v>
      </c>
      <c r="C173" s="1">
        <v>1</v>
      </c>
      <c r="D173" s="1">
        <v>0</v>
      </c>
      <c r="E173" s="1">
        <v>1</v>
      </c>
      <c r="F173" s="1">
        <v>10</v>
      </c>
      <c r="G173" s="1" t="b">
        <v>0</v>
      </c>
      <c r="H173" s="1">
        <v>6</v>
      </c>
      <c r="I173" s="1">
        <v>2</v>
      </c>
      <c r="J173" s="1">
        <v>0.18</v>
      </c>
    </row>
    <row r="174" spans="1:10" x14ac:dyDescent="0.25">
      <c r="A174" s="1">
        <v>173</v>
      </c>
      <c r="B174" s="2">
        <v>40551</v>
      </c>
      <c r="C174" s="1">
        <v>1</v>
      </c>
      <c r="D174" s="1">
        <v>0</v>
      </c>
      <c r="E174" s="1">
        <v>1</v>
      </c>
      <c r="F174" s="1">
        <v>11</v>
      </c>
      <c r="G174" s="1" t="b">
        <v>0</v>
      </c>
      <c r="H174" s="1">
        <v>6</v>
      </c>
      <c r="I174" s="1">
        <v>2</v>
      </c>
      <c r="J174" s="1">
        <v>0.2</v>
      </c>
    </row>
    <row r="175" spans="1:10" x14ac:dyDescent="0.25">
      <c r="A175" s="1">
        <v>174</v>
      </c>
      <c r="B175" s="2">
        <v>40551</v>
      </c>
      <c r="C175" s="1">
        <v>1</v>
      </c>
      <c r="D175" s="1">
        <v>0</v>
      </c>
      <c r="E175" s="1">
        <v>1</v>
      </c>
      <c r="F175" s="1">
        <v>12</v>
      </c>
      <c r="G175" s="1" t="b">
        <v>0</v>
      </c>
      <c r="H175" s="1">
        <v>6</v>
      </c>
      <c r="I175" s="1">
        <v>2</v>
      </c>
      <c r="J175" s="1">
        <v>0.2</v>
      </c>
    </row>
    <row r="176" spans="1:10" x14ac:dyDescent="0.25">
      <c r="A176" s="1">
        <v>175</v>
      </c>
      <c r="B176" s="2">
        <v>40551</v>
      </c>
      <c r="C176" s="1">
        <v>1</v>
      </c>
      <c r="D176" s="1">
        <v>0</v>
      </c>
      <c r="E176" s="1">
        <v>1</v>
      </c>
      <c r="F176" s="1">
        <v>13</v>
      </c>
      <c r="G176" s="1" t="b">
        <v>0</v>
      </c>
      <c r="H176" s="1">
        <v>6</v>
      </c>
      <c r="I176" s="1">
        <v>1</v>
      </c>
      <c r="J176" s="1">
        <v>0.2</v>
      </c>
    </row>
    <row r="177" spans="1:10" x14ac:dyDescent="0.25">
      <c r="A177" s="1">
        <v>176</v>
      </c>
      <c r="B177" s="2">
        <v>40551</v>
      </c>
      <c r="C177" s="1">
        <v>1</v>
      </c>
      <c r="D177" s="1">
        <v>0</v>
      </c>
      <c r="E177" s="1">
        <v>1</v>
      </c>
      <c r="F177" s="1">
        <v>14</v>
      </c>
      <c r="G177" s="1" t="b">
        <v>0</v>
      </c>
      <c r="H177" s="1">
        <v>6</v>
      </c>
      <c r="I177" s="1">
        <v>1</v>
      </c>
      <c r="J177" s="1">
        <v>0.2</v>
      </c>
    </row>
    <row r="178" spans="1:10" x14ac:dyDescent="0.25">
      <c r="A178" s="1">
        <v>177</v>
      </c>
      <c r="B178" s="2">
        <v>40551</v>
      </c>
      <c r="C178" s="1">
        <v>1</v>
      </c>
      <c r="D178" s="1">
        <v>0</v>
      </c>
      <c r="E178" s="1">
        <v>1</v>
      </c>
      <c r="F178" s="1">
        <v>15</v>
      </c>
      <c r="G178" s="1" t="b">
        <v>0</v>
      </c>
      <c r="H178" s="1">
        <v>6</v>
      </c>
      <c r="I178" s="1">
        <v>1</v>
      </c>
      <c r="J178" s="1">
        <v>0.2</v>
      </c>
    </row>
    <row r="179" spans="1:10" x14ac:dyDescent="0.25">
      <c r="A179" s="1">
        <v>178</v>
      </c>
      <c r="B179" s="2">
        <v>40551</v>
      </c>
      <c r="C179" s="1">
        <v>1</v>
      </c>
      <c r="D179" s="1">
        <v>0</v>
      </c>
      <c r="E179" s="1">
        <v>1</v>
      </c>
      <c r="F179" s="1">
        <v>16</v>
      </c>
      <c r="G179" s="1" t="b">
        <v>0</v>
      </c>
      <c r="H179" s="1">
        <v>6</v>
      </c>
      <c r="I179" s="1">
        <v>1</v>
      </c>
      <c r="J179" s="1">
        <v>0.18</v>
      </c>
    </row>
    <row r="180" spans="1:10" x14ac:dyDescent="0.25">
      <c r="A180" s="1">
        <v>179</v>
      </c>
      <c r="B180" s="2">
        <v>40551</v>
      </c>
      <c r="C180" s="1">
        <v>1</v>
      </c>
      <c r="D180" s="1">
        <v>0</v>
      </c>
      <c r="E180" s="1">
        <v>1</v>
      </c>
      <c r="F180" s="1">
        <v>17</v>
      </c>
      <c r="G180" s="1" t="b">
        <v>0</v>
      </c>
      <c r="H180" s="1">
        <v>6</v>
      </c>
      <c r="I180" s="1">
        <v>1</v>
      </c>
      <c r="J180" s="1">
        <v>0.16</v>
      </c>
    </row>
    <row r="181" spans="1:10" x14ac:dyDescent="0.25">
      <c r="A181" s="1">
        <v>180</v>
      </c>
      <c r="B181" s="2">
        <v>40551</v>
      </c>
      <c r="C181" s="1">
        <v>1</v>
      </c>
      <c r="D181" s="1">
        <v>0</v>
      </c>
      <c r="E181" s="1">
        <v>1</v>
      </c>
      <c r="F181" s="1">
        <v>18</v>
      </c>
      <c r="G181" s="1" t="b">
        <v>0</v>
      </c>
      <c r="H181" s="1">
        <v>6</v>
      </c>
      <c r="I181" s="1">
        <v>1</v>
      </c>
      <c r="J181" s="1">
        <v>0.14000000000000001</v>
      </c>
    </row>
    <row r="182" spans="1:10" x14ac:dyDescent="0.25">
      <c r="A182" s="1">
        <v>181</v>
      </c>
      <c r="B182" s="2">
        <v>40551</v>
      </c>
      <c r="C182" s="1">
        <v>1</v>
      </c>
      <c r="D182" s="1">
        <v>0</v>
      </c>
      <c r="E182" s="1">
        <v>1</v>
      </c>
      <c r="F182" s="1">
        <v>19</v>
      </c>
      <c r="G182" s="1" t="b">
        <v>0</v>
      </c>
      <c r="H182" s="1">
        <v>6</v>
      </c>
      <c r="I182" s="1">
        <v>1</v>
      </c>
      <c r="J182" s="1">
        <v>0.14000000000000001</v>
      </c>
    </row>
    <row r="183" spans="1:10" x14ac:dyDescent="0.25">
      <c r="A183" s="1">
        <v>182</v>
      </c>
      <c r="B183" s="2">
        <v>40551</v>
      </c>
      <c r="C183" s="1">
        <v>1</v>
      </c>
      <c r="D183" s="1">
        <v>0</v>
      </c>
      <c r="E183" s="1">
        <v>1</v>
      </c>
      <c r="F183" s="1">
        <v>20</v>
      </c>
      <c r="G183" s="1" t="b">
        <v>0</v>
      </c>
      <c r="H183" s="1">
        <v>6</v>
      </c>
      <c r="I183" s="1">
        <v>1</v>
      </c>
      <c r="J183" s="1">
        <v>0.12</v>
      </c>
    </row>
    <row r="184" spans="1:10" x14ac:dyDescent="0.25">
      <c r="A184" s="1">
        <v>183</v>
      </c>
      <c r="B184" s="2">
        <v>40551</v>
      </c>
      <c r="C184" s="1">
        <v>1</v>
      </c>
      <c r="D184" s="1">
        <v>0</v>
      </c>
      <c r="E184" s="1">
        <v>1</v>
      </c>
      <c r="F184" s="1">
        <v>21</v>
      </c>
      <c r="G184" s="1" t="b">
        <v>0</v>
      </c>
      <c r="H184" s="1">
        <v>6</v>
      </c>
      <c r="I184" s="1">
        <v>1</v>
      </c>
      <c r="J184" s="1">
        <v>0.12</v>
      </c>
    </row>
    <row r="185" spans="1:10" x14ac:dyDescent="0.25">
      <c r="A185" s="1">
        <v>184</v>
      </c>
      <c r="B185" s="2">
        <v>40551</v>
      </c>
      <c r="C185" s="1">
        <v>1</v>
      </c>
      <c r="D185" s="1">
        <v>0</v>
      </c>
      <c r="E185" s="1">
        <v>1</v>
      </c>
      <c r="F185" s="1">
        <v>22</v>
      </c>
      <c r="G185" s="1" t="b">
        <v>0</v>
      </c>
      <c r="H185" s="1">
        <v>6</v>
      </c>
      <c r="I185" s="1">
        <v>1</v>
      </c>
      <c r="J185" s="1">
        <v>0.12</v>
      </c>
    </row>
    <row r="186" spans="1:10" x14ac:dyDescent="0.25">
      <c r="A186" s="1">
        <v>185</v>
      </c>
      <c r="B186" s="2">
        <v>40551</v>
      </c>
      <c r="C186" s="1">
        <v>1</v>
      </c>
      <c r="D186" s="1">
        <v>0</v>
      </c>
      <c r="E186" s="1">
        <v>1</v>
      </c>
      <c r="F186" s="1">
        <v>23</v>
      </c>
      <c r="G186" s="1" t="b">
        <v>0</v>
      </c>
      <c r="H186" s="1">
        <v>6</v>
      </c>
      <c r="I186" s="1">
        <v>1</v>
      </c>
      <c r="J186" s="1">
        <v>0.1</v>
      </c>
    </row>
    <row r="187" spans="1:10" x14ac:dyDescent="0.25">
      <c r="A187" s="1">
        <v>186</v>
      </c>
      <c r="B187" s="2">
        <v>40552</v>
      </c>
      <c r="C187" s="1">
        <v>1</v>
      </c>
      <c r="D187" s="1">
        <v>0</v>
      </c>
      <c r="E187" s="1">
        <v>1</v>
      </c>
      <c r="F187" s="1">
        <v>0</v>
      </c>
      <c r="G187" s="1" t="b">
        <v>0</v>
      </c>
      <c r="H187" s="1">
        <v>0</v>
      </c>
      <c r="I187" s="1">
        <v>1</v>
      </c>
      <c r="J187" s="1">
        <v>0.1</v>
      </c>
    </row>
    <row r="188" spans="1:10" x14ac:dyDescent="0.25">
      <c r="A188" s="1">
        <v>187</v>
      </c>
      <c r="B188" s="2">
        <v>40552</v>
      </c>
      <c r="C188" s="1">
        <v>1</v>
      </c>
      <c r="D188" s="1">
        <v>0</v>
      </c>
      <c r="E188" s="1">
        <v>1</v>
      </c>
      <c r="F188" s="1">
        <v>1</v>
      </c>
      <c r="G188" s="1" t="b">
        <v>0</v>
      </c>
      <c r="H188" s="1">
        <v>0</v>
      </c>
      <c r="I188" s="1">
        <v>1</v>
      </c>
      <c r="J188" s="1">
        <v>0.1</v>
      </c>
    </row>
    <row r="189" spans="1:10" x14ac:dyDescent="0.25">
      <c r="A189" s="1">
        <v>188</v>
      </c>
      <c r="B189" s="2">
        <v>40552</v>
      </c>
      <c r="C189" s="1">
        <v>1</v>
      </c>
      <c r="D189" s="1">
        <v>0</v>
      </c>
      <c r="E189" s="1">
        <v>1</v>
      </c>
      <c r="F189" s="1">
        <v>2</v>
      </c>
      <c r="G189" s="1" t="b">
        <v>0</v>
      </c>
      <c r="H189" s="1">
        <v>0</v>
      </c>
      <c r="I189" s="1">
        <v>1</v>
      </c>
      <c r="J189" s="1">
        <v>0.1</v>
      </c>
    </row>
    <row r="190" spans="1:10" x14ac:dyDescent="0.25">
      <c r="A190" s="1">
        <v>189</v>
      </c>
      <c r="B190" s="2">
        <v>40552</v>
      </c>
      <c r="C190" s="1">
        <v>1</v>
      </c>
      <c r="D190" s="1">
        <v>0</v>
      </c>
      <c r="E190" s="1">
        <v>1</v>
      </c>
      <c r="F190" s="1">
        <v>3</v>
      </c>
      <c r="G190" s="1" t="b">
        <v>0</v>
      </c>
      <c r="H190" s="1">
        <v>0</v>
      </c>
      <c r="I190" s="1">
        <v>1</v>
      </c>
      <c r="J190" s="1">
        <v>0.1</v>
      </c>
    </row>
    <row r="191" spans="1:10" x14ac:dyDescent="0.25">
      <c r="A191" s="1">
        <v>190</v>
      </c>
      <c r="B191" s="2">
        <v>40552</v>
      </c>
      <c r="C191" s="1">
        <v>1</v>
      </c>
      <c r="D191" s="1">
        <v>0</v>
      </c>
      <c r="E191" s="1">
        <v>1</v>
      </c>
      <c r="F191" s="1">
        <v>4</v>
      </c>
      <c r="G191" s="1" t="b">
        <v>0</v>
      </c>
      <c r="H191" s="1">
        <v>0</v>
      </c>
      <c r="I191" s="1">
        <v>1</v>
      </c>
      <c r="J191" s="1">
        <v>0.08</v>
      </c>
    </row>
    <row r="192" spans="1:10" x14ac:dyDescent="0.25">
      <c r="A192" s="1">
        <v>191</v>
      </c>
      <c r="B192" s="2">
        <v>40552</v>
      </c>
      <c r="C192" s="1">
        <v>1</v>
      </c>
      <c r="D192" s="1">
        <v>0</v>
      </c>
      <c r="E192" s="1">
        <v>1</v>
      </c>
      <c r="F192" s="1">
        <v>5</v>
      </c>
      <c r="G192" s="1" t="b">
        <v>0</v>
      </c>
      <c r="H192" s="1">
        <v>0</v>
      </c>
      <c r="I192" s="1">
        <v>1</v>
      </c>
      <c r="J192" s="1">
        <v>0.08</v>
      </c>
    </row>
    <row r="193" spans="1:10" x14ac:dyDescent="0.25">
      <c r="A193" s="1">
        <v>192</v>
      </c>
      <c r="B193" s="2">
        <v>40552</v>
      </c>
      <c r="C193" s="1">
        <v>1</v>
      </c>
      <c r="D193" s="1">
        <v>0</v>
      </c>
      <c r="E193" s="1">
        <v>1</v>
      </c>
      <c r="F193" s="1">
        <v>6</v>
      </c>
      <c r="G193" s="1" t="b">
        <v>0</v>
      </c>
      <c r="H193" s="1">
        <v>0</v>
      </c>
      <c r="I193" s="1">
        <v>1</v>
      </c>
      <c r="J193" s="1">
        <v>0.1</v>
      </c>
    </row>
    <row r="194" spans="1:10" x14ac:dyDescent="0.25">
      <c r="A194" s="1">
        <v>193</v>
      </c>
      <c r="B194" s="2">
        <v>40552</v>
      </c>
      <c r="C194" s="1">
        <v>1</v>
      </c>
      <c r="D194" s="1">
        <v>0</v>
      </c>
      <c r="E194" s="1">
        <v>1</v>
      </c>
      <c r="F194" s="1">
        <v>7</v>
      </c>
      <c r="G194" s="1" t="b">
        <v>0</v>
      </c>
      <c r="H194" s="1">
        <v>0</v>
      </c>
      <c r="I194" s="1">
        <v>1</v>
      </c>
      <c r="J194" s="1">
        <v>0.08</v>
      </c>
    </row>
    <row r="195" spans="1:10" x14ac:dyDescent="0.25">
      <c r="A195" s="1">
        <v>194</v>
      </c>
      <c r="B195" s="2">
        <v>40552</v>
      </c>
      <c r="C195" s="1">
        <v>1</v>
      </c>
      <c r="D195" s="1">
        <v>0</v>
      </c>
      <c r="E195" s="1">
        <v>1</v>
      </c>
      <c r="F195" s="1">
        <v>8</v>
      </c>
      <c r="G195" s="1" t="b">
        <v>0</v>
      </c>
      <c r="H195" s="1">
        <v>0</v>
      </c>
      <c r="I195" s="1">
        <v>1</v>
      </c>
      <c r="J195" s="1">
        <v>0.1</v>
      </c>
    </row>
    <row r="196" spans="1:10" x14ac:dyDescent="0.25">
      <c r="A196" s="1">
        <v>195</v>
      </c>
      <c r="B196" s="2">
        <v>40552</v>
      </c>
      <c r="C196" s="1">
        <v>1</v>
      </c>
      <c r="D196" s="1">
        <v>0</v>
      </c>
      <c r="E196" s="1">
        <v>1</v>
      </c>
      <c r="F196" s="1">
        <v>9</v>
      </c>
      <c r="G196" s="1" t="b">
        <v>0</v>
      </c>
      <c r="H196" s="1">
        <v>0</v>
      </c>
      <c r="I196" s="1">
        <v>1</v>
      </c>
      <c r="J196" s="1">
        <v>0.12</v>
      </c>
    </row>
    <row r="197" spans="1:10" x14ac:dyDescent="0.25">
      <c r="A197" s="1">
        <v>196</v>
      </c>
      <c r="B197" s="2">
        <v>40552</v>
      </c>
      <c r="C197" s="1">
        <v>1</v>
      </c>
      <c r="D197" s="1">
        <v>0</v>
      </c>
      <c r="E197" s="1">
        <v>1</v>
      </c>
      <c r="F197" s="1">
        <v>10</v>
      </c>
      <c r="G197" s="1" t="b">
        <v>0</v>
      </c>
      <c r="H197" s="1">
        <v>0</v>
      </c>
      <c r="I197" s="1">
        <v>1</v>
      </c>
      <c r="J197" s="1">
        <v>0.14000000000000001</v>
      </c>
    </row>
    <row r="198" spans="1:10" x14ac:dyDescent="0.25">
      <c r="A198" s="1">
        <v>197</v>
      </c>
      <c r="B198" s="2">
        <v>40552</v>
      </c>
      <c r="C198" s="1">
        <v>1</v>
      </c>
      <c r="D198" s="1">
        <v>0</v>
      </c>
      <c r="E198" s="1">
        <v>1</v>
      </c>
      <c r="F198" s="1">
        <v>11</v>
      </c>
      <c r="G198" s="1" t="b">
        <v>0</v>
      </c>
      <c r="H198" s="1">
        <v>0</v>
      </c>
      <c r="I198" s="1">
        <v>1</v>
      </c>
      <c r="J198" s="1">
        <v>0.16</v>
      </c>
    </row>
    <row r="199" spans="1:10" x14ac:dyDescent="0.25">
      <c r="A199" s="1">
        <v>198</v>
      </c>
      <c r="B199" s="2">
        <v>40552</v>
      </c>
      <c r="C199" s="1">
        <v>1</v>
      </c>
      <c r="D199" s="1">
        <v>0</v>
      </c>
      <c r="E199" s="1">
        <v>1</v>
      </c>
      <c r="F199" s="1">
        <v>12</v>
      </c>
      <c r="G199" s="1" t="b">
        <v>0</v>
      </c>
      <c r="H199" s="1">
        <v>0</v>
      </c>
      <c r="I199" s="1">
        <v>1</v>
      </c>
      <c r="J199" s="1">
        <v>0.18</v>
      </c>
    </row>
    <row r="200" spans="1:10" x14ac:dyDescent="0.25">
      <c r="A200" s="1">
        <v>199</v>
      </c>
      <c r="B200" s="2">
        <v>40552</v>
      </c>
      <c r="C200" s="1">
        <v>1</v>
      </c>
      <c r="D200" s="1">
        <v>0</v>
      </c>
      <c r="E200" s="1">
        <v>1</v>
      </c>
      <c r="F200" s="1">
        <v>13</v>
      </c>
      <c r="G200" s="1" t="b">
        <v>0</v>
      </c>
      <c r="H200" s="1">
        <v>0</v>
      </c>
      <c r="I200" s="1">
        <v>1</v>
      </c>
      <c r="J200" s="1">
        <v>0.2</v>
      </c>
    </row>
    <row r="201" spans="1:10" x14ac:dyDescent="0.25">
      <c r="A201" s="1">
        <v>200</v>
      </c>
      <c r="B201" s="2">
        <v>40552</v>
      </c>
      <c r="C201" s="1">
        <v>1</v>
      </c>
      <c r="D201" s="1">
        <v>0</v>
      </c>
      <c r="E201" s="1">
        <v>1</v>
      </c>
      <c r="F201" s="1">
        <v>14</v>
      </c>
      <c r="G201" s="1" t="b">
        <v>0</v>
      </c>
      <c r="H201" s="1">
        <v>0</v>
      </c>
      <c r="I201" s="1">
        <v>1</v>
      </c>
      <c r="J201" s="1">
        <v>0.22</v>
      </c>
    </row>
    <row r="202" spans="1:10" x14ac:dyDescent="0.25">
      <c r="A202" s="1">
        <v>201</v>
      </c>
      <c r="B202" s="2">
        <v>40552</v>
      </c>
      <c r="C202" s="1">
        <v>1</v>
      </c>
      <c r="D202" s="1">
        <v>0</v>
      </c>
      <c r="E202" s="1">
        <v>1</v>
      </c>
      <c r="F202" s="1">
        <v>15</v>
      </c>
      <c r="G202" s="1" t="b">
        <v>0</v>
      </c>
      <c r="H202" s="1">
        <v>0</v>
      </c>
      <c r="I202" s="1">
        <v>1</v>
      </c>
      <c r="J202" s="1">
        <v>0.22</v>
      </c>
    </row>
    <row r="203" spans="1:10" x14ac:dyDescent="0.25">
      <c r="A203" s="1">
        <v>202</v>
      </c>
      <c r="B203" s="2">
        <v>40552</v>
      </c>
      <c r="C203" s="1">
        <v>1</v>
      </c>
      <c r="D203" s="1">
        <v>0</v>
      </c>
      <c r="E203" s="1">
        <v>1</v>
      </c>
      <c r="F203" s="1">
        <v>16</v>
      </c>
      <c r="G203" s="1" t="b">
        <v>0</v>
      </c>
      <c r="H203" s="1">
        <v>0</v>
      </c>
      <c r="I203" s="1">
        <v>1</v>
      </c>
      <c r="J203" s="1">
        <v>0.2</v>
      </c>
    </row>
    <row r="204" spans="1:10" x14ac:dyDescent="0.25">
      <c r="A204" s="1">
        <v>203</v>
      </c>
      <c r="B204" s="2">
        <v>40552</v>
      </c>
      <c r="C204" s="1">
        <v>1</v>
      </c>
      <c r="D204" s="1">
        <v>0</v>
      </c>
      <c r="E204" s="1">
        <v>1</v>
      </c>
      <c r="F204" s="1">
        <v>17</v>
      </c>
      <c r="G204" s="1" t="b">
        <v>0</v>
      </c>
      <c r="H204" s="1">
        <v>0</v>
      </c>
      <c r="I204" s="1">
        <v>1</v>
      </c>
      <c r="J204" s="1">
        <v>0.18</v>
      </c>
    </row>
    <row r="205" spans="1:10" x14ac:dyDescent="0.25">
      <c r="A205" s="1">
        <v>204</v>
      </c>
      <c r="B205" s="2">
        <v>40552</v>
      </c>
      <c r="C205" s="1">
        <v>1</v>
      </c>
      <c r="D205" s="1">
        <v>0</v>
      </c>
      <c r="E205" s="1">
        <v>1</v>
      </c>
      <c r="F205" s="1">
        <v>18</v>
      </c>
      <c r="G205" s="1" t="b">
        <v>0</v>
      </c>
      <c r="H205" s="1">
        <v>0</v>
      </c>
      <c r="I205" s="1">
        <v>1</v>
      </c>
      <c r="J205" s="1">
        <v>0.16</v>
      </c>
    </row>
    <row r="206" spans="1:10" x14ac:dyDescent="0.25">
      <c r="A206" s="1">
        <v>205</v>
      </c>
      <c r="B206" s="2">
        <v>40552</v>
      </c>
      <c r="C206" s="1">
        <v>1</v>
      </c>
      <c r="D206" s="1">
        <v>0</v>
      </c>
      <c r="E206" s="1">
        <v>1</v>
      </c>
      <c r="F206" s="1">
        <v>19</v>
      </c>
      <c r="G206" s="1" t="b">
        <v>0</v>
      </c>
      <c r="H206" s="1">
        <v>0</v>
      </c>
      <c r="I206" s="1">
        <v>1</v>
      </c>
      <c r="J206" s="1">
        <v>0.16</v>
      </c>
    </row>
    <row r="207" spans="1:10" x14ac:dyDescent="0.25">
      <c r="A207" s="1">
        <v>206</v>
      </c>
      <c r="B207" s="2">
        <v>40552</v>
      </c>
      <c r="C207" s="1">
        <v>1</v>
      </c>
      <c r="D207" s="1">
        <v>0</v>
      </c>
      <c r="E207" s="1">
        <v>1</v>
      </c>
      <c r="F207" s="1">
        <v>20</v>
      </c>
      <c r="G207" s="1" t="b">
        <v>0</v>
      </c>
      <c r="H207" s="1">
        <v>0</v>
      </c>
      <c r="I207" s="1">
        <v>1</v>
      </c>
      <c r="J207" s="1">
        <v>0.14000000000000001</v>
      </c>
    </row>
    <row r="208" spans="1:10" x14ac:dyDescent="0.25">
      <c r="A208" s="1">
        <v>207</v>
      </c>
      <c r="B208" s="2">
        <v>40552</v>
      </c>
      <c r="C208" s="1">
        <v>1</v>
      </c>
      <c r="D208" s="1">
        <v>0</v>
      </c>
      <c r="E208" s="1">
        <v>1</v>
      </c>
      <c r="F208" s="1">
        <v>21</v>
      </c>
      <c r="G208" s="1" t="b">
        <v>0</v>
      </c>
      <c r="H208" s="1">
        <v>0</v>
      </c>
      <c r="I208" s="1">
        <v>1</v>
      </c>
      <c r="J208" s="1">
        <v>0.14000000000000001</v>
      </c>
    </row>
    <row r="209" spans="1:10" x14ac:dyDescent="0.25">
      <c r="A209" s="1">
        <v>208</v>
      </c>
      <c r="B209" s="2">
        <v>40552</v>
      </c>
      <c r="C209" s="1">
        <v>1</v>
      </c>
      <c r="D209" s="1">
        <v>0</v>
      </c>
      <c r="E209" s="1">
        <v>1</v>
      </c>
      <c r="F209" s="1">
        <v>22</v>
      </c>
      <c r="G209" s="1" t="b">
        <v>0</v>
      </c>
      <c r="H209" s="1">
        <v>0</v>
      </c>
      <c r="I209" s="1">
        <v>1</v>
      </c>
      <c r="J209" s="1">
        <v>0.14000000000000001</v>
      </c>
    </row>
    <row r="210" spans="1:10" x14ac:dyDescent="0.25">
      <c r="A210" s="1">
        <v>209</v>
      </c>
      <c r="B210" s="2">
        <v>40552</v>
      </c>
      <c r="C210" s="1">
        <v>1</v>
      </c>
      <c r="D210" s="1">
        <v>0</v>
      </c>
      <c r="E210" s="1">
        <v>1</v>
      </c>
      <c r="F210" s="1">
        <v>23</v>
      </c>
      <c r="G210" s="1" t="b">
        <v>0</v>
      </c>
      <c r="H210" s="1">
        <v>0</v>
      </c>
      <c r="I210" s="1">
        <v>1</v>
      </c>
      <c r="J210" s="1">
        <v>0.12</v>
      </c>
    </row>
    <row r="211" spans="1:10" x14ac:dyDescent="0.25">
      <c r="A211" s="1">
        <v>210</v>
      </c>
      <c r="B211" s="2">
        <v>40553</v>
      </c>
      <c r="C211" s="1">
        <v>1</v>
      </c>
      <c r="D211" s="1">
        <v>0</v>
      </c>
      <c r="E211" s="1">
        <v>1</v>
      </c>
      <c r="F211" s="1">
        <v>0</v>
      </c>
      <c r="G211" s="1" t="b">
        <v>0</v>
      </c>
      <c r="H211" s="1">
        <v>1</v>
      </c>
      <c r="I211" s="1">
        <v>1</v>
      </c>
      <c r="J211" s="1">
        <v>0.12</v>
      </c>
    </row>
    <row r="212" spans="1:10" x14ac:dyDescent="0.25">
      <c r="A212" s="1">
        <v>211</v>
      </c>
      <c r="B212" s="2">
        <v>40553</v>
      </c>
      <c r="C212" s="1">
        <v>1</v>
      </c>
      <c r="D212" s="1">
        <v>0</v>
      </c>
      <c r="E212" s="1">
        <v>1</v>
      </c>
      <c r="F212" s="1">
        <v>1</v>
      </c>
      <c r="G212" s="1" t="b">
        <v>0</v>
      </c>
      <c r="H212" s="1">
        <v>1</v>
      </c>
      <c r="I212" s="1">
        <v>1</v>
      </c>
      <c r="J212" s="1">
        <v>0.12</v>
      </c>
    </row>
    <row r="213" spans="1:10" x14ac:dyDescent="0.25">
      <c r="A213" s="1">
        <v>212</v>
      </c>
      <c r="B213" s="2">
        <v>40553</v>
      </c>
      <c r="C213" s="1">
        <v>1</v>
      </c>
      <c r="D213" s="1">
        <v>0</v>
      </c>
      <c r="E213" s="1">
        <v>1</v>
      </c>
      <c r="F213" s="1">
        <v>2</v>
      </c>
      <c r="G213" s="1" t="b">
        <v>0</v>
      </c>
      <c r="H213" s="1">
        <v>1</v>
      </c>
      <c r="I213" s="1">
        <v>1</v>
      </c>
      <c r="J213" s="1">
        <v>0.12</v>
      </c>
    </row>
    <row r="214" spans="1:10" x14ac:dyDescent="0.25">
      <c r="A214" s="1">
        <v>213</v>
      </c>
      <c r="B214" s="2">
        <v>40553</v>
      </c>
      <c r="C214" s="1">
        <v>1</v>
      </c>
      <c r="D214" s="1">
        <v>0</v>
      </c>
      <c r="E214" s="1">
        <v>1</v>
      </c>
      <c r="F214" s="1">
        <v>3</v>
      </c>
      <c r="G214" s="1" t="b">
        <v>0</v>
      </c>
      <c r="H214" s="1">
        <v>1</v>
      </c>
      <c r="I214" s="1">
        <v>1</v>
      </c>
      <c r="J214" s="1">
        <v>0.12</v>
      </c>
    </row>
    <row r="215" spans="1:10" x14ac:dyDescent="0.25">
      <c r="A215" s="1">
        <v>214</v>
      </c>
      <c r="B215" s="2">
        <v>40553</v>
      </c>
      <c r="C215" s="1">
        <v>1</v>
      </c>
      <c r="D215" s="1">
        <v>0</v>
      </c>
      <c r="E215" s="1">
        <v>1</v>
      </c>
      <c r="F215" s="1">
        <v>4</v>
      </c>
      <c r="G215" s="1" t="b">
        <v>0</v>
      </c>
      <c r="H215" s="1">
        <v>1</v>
      </c>
      <c r="I215" s="1">
        <v>1</v>
      </c>
      <c r="J215" s="1">
        <v>0.1</v>
      </c>
    </row>
    <row r="216" spans="1:10" x14ac:dyDescent="0.25">
      <c r="A216" s="1">
        <v>215</v>
      </c>
      <c r="B216" s="2">
        <v>40553</v>
      </c>
      <c r="C216" s="1">
        <v>1</v>
      </c>
      <c r="D216" s="1">
        <v>0</v>
      </c>
      <c r="E216" s="1">
        <v>1</v>
      </c>
      <c r="F216" s="1">
        <v>5</v>
      </c>
      <c r="G216" s="1" t="b">
        <v>0</v>
      </c>
      <c r="H216" s="1">
        <v>1</v>
      </c>
      <c r="I216" s="1">
        <v>1</v>
      </c>
      <c r="J216" s="1">
        <v>0.1</v>
      </c>
    </row>
    <row r="217" spans="1:10" x14ac:dyDescent="0.25">
      <c r="A217" s="1">
        <v>216</v>
      </c>
      <c r="B217" s="2">
        <v>40553</v>
      </c>
      <c r="C217" s="1">
        <v>1</v>
      </c>
      <c r="D217" s="1">
        <v>0</v>
      </c>
      <c r="E217" s="1">
        <v>1</v>
      </c>
      <c r="F217" s="1">
        <v>6</v>
      </c>
      <c r="G217" s="1" t="b">
        <v>0</v>
      </c>
      <c r="H217" s="1">
        <v>1</v>
      </c>
      <c r="I217" s="1">
        <v>1</v>
      </c>
      <c r="J217" s="1">
        <v>0.12</v>
      </c>
    </row>
    <row r="218" spans="1:10" x14ac:dyDescent="0.25">
      <c r="A218" s="1">
        <v>217</v>
      </c>
      <c r="B218" s="2">
        <v>40553</v>
      </c>
      <c r="C218" s="1">
        <v>1</v>
      </c>
      <c r="D218" s="1">
        <v>0</v>
      </c>
      <c r="E218" s="1">
        <v>1</v>
      </c>
      <c r="F218" s="1">
        <v>7</v>
      </c>
      <c r="G218" s="1" t="b">
        <v>0</v>
      </c>
      <c r="H218" s="1">
        <v>1</v>
      </c>
      <c r="I218" s="1">
        <v>1</v>
      </c>
      <c r="J218" s="1">
        <v>0.12</v>
      </c>
    </row>
    <row r="219" spans="1:10" x14ac:dyDescent="0.25">
      <c r="A219" s="1">
        <v>218</v>
      </c>
      <c r="B219" s="2">
        <v>40553</v>
      </c>
      <c r="C219" s="1">
        <v>1</v>
      </c>
      <c r="D219" s="1">
        <v>0</v>
      </c>
      <c r="E219" s="1">
        <v>1</v>
      </c>
      <c r="F219" s="1">
        <v>8</v>
      </c>
      <c r="G219" s="1" t="b">
        <v>0</v>
      </c>
      <c r="H219" s="1">
        <v>1</v>
      </c>
      <c r="I219" s="1">
        <v>2</v>
      </c>
      <c r="J219" s="1">
        <v>0.12</v>
      </c>
    </row>
    <row r="220" spans="1:10" x14ac:dyDescent="0.25">
      <c r="A220" s="1">
        <v>219</v>
      </c>
      <c r="B220" s="2">
        <v>40553</v>
      </c>
      <c r="C220" s="1">
        <v>1</v>
      </c>
      <c r="D220" s="1">
        <v>0</v>
      </c>
      <c r="E220" s="1">
        <v>1</v>
      </c>
      <c r="F220" s="1">
        <v>9</v>
      </c>
      <c r="G220" s="1" t="b">
        <v>0</v>
      </c>
      <c r="H220" s="1">
        <v>1</v>
      </c>
      <c r="I220" s="1">
        <v>2</v>
      </c>
      <c r="J220" s="1">
        <v>0.14000000000000001</v>
      </c>
    </row>
    <row r="221" spans="1:10" x14ac:dyDescent="0.25">
      <c r="A221" s="1">
        <v>220</v>
      </c>
      <c r="B221" s="2">
        <v>40553</v>
      </c>
      <c r="C221" s="1">
        <v>1</v>
      </c>
      <c r="D221" s="1">
        <v>0</v>
      </c>
      <c r="E221" s="1">
        <v>1</v>
      </c>
      <c r="F221" s="1">
        <v>10</v>
      </c>
      <c r="G221" s="1" t="b">
        <v>0</v>
      </c>
      <c r="H221" s="1">
        <v>1</v>
      </c>
      <c r="I221" s="1">
        <v>2</v>
      </c>
      <c r="J221" s="1">
        <v>0.14000000000000001</v>
      </c>
    </row>
    <row r="222" spans="1:10" x14ac:dyDescent="0.25">
      <c r="A222" s="1">
        <v>221</v>
      </c>
      <c r="B222" s="2">
        <v>40553</v>
      </c>
      <c r="C222" s="1">
        <v>1</v>
      </c>
      <c r="D222" s="1">
        <v>0</v>
      </c>
      <c r="E222" s="1">
        <v>1</v>
      </c>
      <c r="F222" s="1">
        <v>11</v>
      </c>
      <c r="G222" s="1" t="b">
        <v>0</v>
      </c>
      <c r="H222" s="1">
        <v>1</v>
      </c>
      <c r="I222" s="1">
        <v>2</v>
      </c>
      <c r="J222" s="1">
        <v>0.16</v>
      </c>
    </row>
    <row r="223" spans="1:10" x14ac:dyDescent="0.25">
      <c r="A223" s="1">
        <v>222</v>
      </c>
      <c r="B223" s="2">
        <v>40553</v>
      </c>
      <c r="C223" s="1">
        <v>1</v>
      </c>
      <c r="D223" s="1">
        <v>0</v>
      </c>
      <c r="E223" s="1">
        <v>1</v>
      </c>
      <c r="F223" s="1">
        <v>12</v>
      </c>
      <c r="G223" s="1" t="b">
        <v>0</v>
      </c>
      <c r="H223" s="1">
        <v>1</v>
      </c>
      <c r="I223" s="1">
        <v>2</v>
      </c>
      <c r="J223" s="1">
        <v>0.2</v>
      </c>
    </row>
    <row r="224" spans="1:10" x14ac:dyDescent="0.25">
      <c r="A224" s="1">
        <v>223</v>
      </c>
      <c r="B224" s="2">
        <v>40553</v>
      </c>
      <c r="C224" s="1">
        <v>1</v>
      </c>
      <c r="D224" s="1">
        <v>0</v>
      </c>
      <c r="E224" s="1">
        <v>1</v>
      </c>
      <c r="F224" s="1">
        <v>13</v>
      </c>
      <c r="G224" s="1" t="b">
        <v>0</v>
      </c>
      <c r="H224" s="1">
        <v>1</v>
      </c>
      <c r="I224" s="1">
        <v>2</v>
      </c>
      <c r="J224" s="1">
        <v>0.2</v>
      </c>
    </row>
    <row r="225" spans="1:10" x14ac:dyDescent="0.25">
      <c r="A225" s="1">
        <v>224</v>
      </c>
      <c r="B225" s="2">
        <v>40553</v>
      </c>
      <c r="C225" s="1">
        <v>1</v>
      </c>
      <c r="D225" s="1">
        <v>0</v>
      </c>
      <c r="E225" s="1">
        <v>1</v>
      </c>
      <c r="F225" s="1">
        <v>14</v>
      </c>
      <c r="G225" s="1" t="b">
        <v>0</v>
      </c>
      <c r="H225" s="1">
        <v>1</v>
      </c>
      <c r="I225" s="1">
        <v>2</v>
      </c>
      <c r="J225" s="1">
        <v>0.2</v>
      </c>
    </row>
    <row r="226" spans="1:10" x14ac:dyDescent="0.25">
      <c r="A226" s="1">
        <v>225</v>
      </c>
      <c r="B226" s="2">
        <v>40553</v>
      </c>
      <c r="C226" s="1">
        <v>1</v>
      </c>
      <c r="D226" s="1">
        <v>0</v>
      </c>
      <c r="E226" s="1">
        <v>1</v>
      </c>
      <c r="F226" s="1">
        <v>15</v>
      </c>
      <c r="G226" s="1" t="b">
        <v>0</v>
      </c>
      <c r="H226" s="1">
        <v>1</v>
      </c>
      <c r="I226" s="1">
        <v>2</v>
      </c>
      <c r="J226" s="1">
        <v>0.2</v>
      </c>
    </row>
    <row r="227" spans="1:10" x14ac:dyDescent="0.25">
      <c r="A227" s="1">
        <v>226</v>
      </c>
      <c r="B227" s="2">
        <v>40553</v>
      </c>
      <c r="C227" s="1">
        <v>1</v>
      </c>
      <c r="D227" s="1">
        <v>0</v>
      </c>
      <c r="E227" s="1">
        <v>1</v>
      </c>
      <c r="F227" s="1">
        <v>16</v>
      </c>
      <c r="G227" s="1" t="b">
        <v>0</v>
      </c>
      <c r="H227" s="1">
        <v>1</v>
      </c>
      <c r="I227" s="1">
        <v>1</v>
      </c>
      <c r="J227" s="1">
        <v>0.2</v>
      </c>
    </row>
    <row r="228" spans="1:10" x14ac:dyDescent="0.25">
      <c r="A228" s="1">
        <v>227</v>
      </c>
      <c r="B228" s="2">
        <v>40553</v>
      </c>
      <c r="C228" s="1">
        <v>1</v>
      </c>
      <c r="D228" s="1">
        <v>0</v>
      </c>
      <c r="E228" s="1">
        <v>1</v>
      </c>
      <c r="F228" s="1">
        <v>17</v>
      </c>
      <c r="G228" s="1" t="b">
        <v>0</v>
      </c>
      <c r="H228" s="1">
        <v>1</v>
      </c>
      <c r="I228" s="1">
        <v>1</v>
      </c>
      <c r="J228" s="1">
        <v>0.2</v>
      </c>
    </row>
    <row r="229" spans="1:10" x14ac:dyDescent="0.25">
      <c r="A229" s="1">
        <v>228</v>
      </c>
      <c r="B229" s="2">
        <v>40553</v>
      </c>
      <c r="C229" s="1">
        <v>1</v>
      </c>
      <c r="D229" s="1">
        <v>0</v>
      </c>
      <c r="E229" s="1">
        <v>1</v>
      </c>
      <c r="F229" s="1">
        <v>18</v>
      </c>
      <c r="G229" s="1" t="b">
        <v>0</v>
      </c>
      <c r="H229" s="1">
        <v>1</v>
      </c>
      <c r="I229" s="1">
        <v>1</v>
      </c>
      <c r="J229" s="1">
        <v>0.2</v>
      </c>
    </row>
    <row r="230" spans="1:10" x14ac:dyDescent="0.25">
      <c r="A230" s="1">
        <v>229</v>
      </c>
      <c r="B230" s="2">
        <v>40553</v>
      </c>
      <c r="C230" s="1">
        <v>1</v>
      </c>
      <c r="D230" s="1">
        <v>0</v>
      </c>
      <c r="E230" s="1">
        <v>1</v>
      </c>
      <c r="F230" s="1">
        <v>19</v>
      </c>
      <c r="G230" s="1" t="b">
        <v>0</v>
      </c>
      <c r="H230" s="1">
        <v>1</v>
      </c>
      <c r="I230" s="1">
        <v>1</v>
      </c>
      <c r="J230" s="1">
        <v>0.16</v>
      </c>
    </row>
    <row r="231" spans="1:10" x14ac:dyDescent="0.25">
      <c r="A231" s="1">
        <v>230</v>
      </c>
      <c r="B231" s="2">
        <v>40553</v>
      </c>
      <c r="C231" s="1">
        <v>1</v>
      </c>
      <c r="D231" s="1">
        <v>0</v>
      </c>
      <c r="E231" s="1">
        <v>1</v>
      </c>
      <c r="F231" s="1">
        <v>20</v>
      </c>
      <c r="G231" s="1" t="b">
        <v>0</v>
      </c>
      <c r="H231" s="1">
        <v>1</v>
      </c>
      <c r="I231" s="1">
        <v>1</v>
      </c>
      <c r="J231" s="1">
        <v>0.16</v>
      </c>
    </row>
    <row r="232" spans="1:10" x14ac:dyDescent="0.25">
      <c r="A232" s="1">
        <v>231</v>
      </c>
      <c r="B232" s="2">
        <v>40553</v>
      </c>
      <c r="C232" s="1">
        <v>1</v>
      </c>
      <c r="D232" s="1">
        <v>0</v>
      </c>
      <c r="E232" s="1">
        <v>1</v>
      </c>
      <c r="F232" s="1">
        <v>21</v>
      </c>
      <c r="G232" s="1" t="b">
        <v>0</v>
      </c>
      <c r="H232" s="1">
        <v>1</v>
      </c>
      <c r="I232" s="1">
        <v>1</v>
      </c>
      <c r="J232" s="1">
        <v>0.14000000000000001</v>
      </c>
    </row>
    <row r="233" spans="1:10" x14ac:dyDescent="0.25">
      <c r="A233" s="1">
        <v>232</v>
      </c>
      <c r="B233" s="2">
        <v>40553</v>
      </c>
      <c r="C233" s="1">
        <v>1</v>
      </c>
      <c r="D233" s="1">
        <v>0</v>
      </c>
      <c r="E233" s="1">
        <v>1</v>
      </c>
      <c r="F233" s="1">
        <v>22</v>
      </c>
      <c r="G233" s="1" t="b">
        <v>0</v>
      </c>
      <c r="H233" s="1">
        <v>1</v>
      </c>
      <c r="I233" s="1">
        <v>1</v>
      </c>
      <c r="J233" s="1">
        <v>0.14000000000000001</v>
      </c>
    </row>
    <row r="234" spans="1:10" x14ac:dyDescent="0.25">
      <c r="A234" s="1">
        <v>233</v>
      </c>
      <c r="B234" s="2">
        <v>40553</v>
      </c>
      <c r="C234" s="1">
        <v>1</v>
      </c>
      <c r="D234" s="1">
        <v>0</v>
      </c>
      <c r="E234" s="1">
        <v>1</v>
      </c>
      <c r="F234" s="1">
        <v>23</v>
      </c>
      <c r="G234" s="1" t="b">
        <v>0</v>
      </c>
      <c r="H234" s="1">
        <v>1</v>
      </c>
      <c r="I234" s="1">
        <v>1</v>
      </c>
      <c r="J234" s="1">
        <v>0.14000000000000001</v>
      </c>
    </row>
    <row r="235" spans="1:10" x14ac:dyDescent="0.25">
      <c r="A235" s="1">
        <v>234</v>
      </c>
      <c r="B235" s="2">
        <v>40554</v>
      </c>
      <c r="C235" s="1">
        <v>1</v>
      </c>
      <c r="D235" s="1">
        <v>0</v>
      </c>
      <c r="E235" s="1">
        <v>1</v>
      </c>
      <c r="F235" s="1">
        <v>0</v>
      </c>
      <c r="G235" s="1" t="b">
        <v>0</v>
      </c>
      <c r="H235" s="1">
        <v>2</v>
      </c>
      <c r="I235" s="1">
        <v>1</v>
      </c>
      <c r="J235" s="1">
        <v>0.14000000000000001</v>
      </c>
    </row>
    <row r="236" spans="1:10" x14ac:dyDescent="0.25">
      <c r="A236" s="1">
        <v>235</v>
      </c>
      <c r="B236" s="2">
        <v>40554</v>
      </c>
      <c r="C236" s="1">
        <v>1</v>
      </c>
      <c r="D236" s="1">
        <v>0</v>
      </c>
      <c r="E236" s="1">
        <v>1</v>
      </c>
      <c r="F236" s="1">
        <v>1</v>
      </c>
      <c r="G236" s="1" t="b">
        <v>0</v>
      </c>
      <c r="H236" s="1">
        <v>2</v>
      </c>
      <c r="I236" s="1">
        <v>1</v>
      </c>
      <c r="J236" s="1">
        <v>0.14000000000000001</v>
      </c>
    </row>
    <row r="237" spans="1:10" x14ac:dyDescent="0.25">
      <c r="A237" s="1">
        <v>236</v>
      </c>
      <c r="B237" s="2">
        <v>40554</v>
      </c>
      <c r="C237" s="1">
        <v>1</v>
      </c>
      <c r="D237" s="1">
        <v>0</v>
      </c>
      <c r="E237" s="1">
        <v>1</v>
      </c>
      <c r="F237" s="1">
        <v>2</v>
      </c>
      <c r="G237" s="1" t="b">
        <v>0</v>
      </c>
      <c r="H237" s="1">
        <v>2</v>
      </c>
      <c r="I237" s="1">
        <v>2</v>
      </c>
      <c r="J237" s="1">
        <v>0.16</v>
      </c>
    </row>
    <row r="238" spans="1:10" x14ac:dyDescent="0.25">
      <c r="A238" s="1">
        <v>237</v>
      </c>
      <c r="B238" s="2">
        <v>40554</v>
      </c>
      <c r="C238" s="1">
        <v>1</v>
      </c>
      <c r="D238" s="1">
        <v>0</v>
      </c>
      <c r="E238" s="1">
        <v>1</v>
      </c>
      <c r="F238" s="1">
        <v>5</v>
      </c>
      <c r="G238" s="1" t="b">
        <v>0</v>
      </c>
      <c r="H238" s="1">
        <v>2</v>
      </c>
      <c r="I238" s="1">
        <v>2</v>
      </c>
      <c r="J238" s="1">
        <v>0.16</v>
      </c>
    </row>
    <row r="239" spans="1:10" x14ac:dyDescent="0.25">
      <c r="A239" s="1">
        <v>238</v>
      </c>
      <c r="B239" s="2">
        <v>40554</v>
      </c>
      <c r="C239" s="1">
        <v>1</v>
      </c>
      <c r="D239" s="1">
        <v>0</v>
      </c>
      <c r="E239" s="1">
        <v>1</v>
      </c>
      <c r="F239" s="1">
        <v>6</v>
      </c>
      <c r="G239" s="1" t="b">
        <v>0</v>
      </c>
      <c r="H239" s="1">
        <v>2</v>
      </c>
      <c r="I239" s="1">
        <v>2</v>
      </c>
      <c r="J239" s="1">
        <v>0.16</v>
      </c>
    </row>
    <row r="240" spans="1:10" x14ac:dyDescent="0.25">
      <c r="A240" s="1">
        <v>239</v>
      </c>
      <c r="B240" s="2">
        <v>40554</v>
      </c>
      <c r="C240" s="1">
        <v>1</v>
      </c>
      <c r="D240" s="1">
        <v>0</v>
      </c>
      <c r="E240" s="1">
        <v>1</v>
      </c>
      <c r="F240" s="1">
        <v>7</v>
      </c>
      <c r="G240" s="1" t="b">
        <v>0</v>
      </c>
      <c r="H240" s="1">
        <v>2</v>
      </c>
      <c r="I240" s="1">
        <v>2</v>
      </c>
      <c r="J240" s="1">
        <v>0.16</v>
      </c>
    </row>
    <row r="241" spans="1:10" x14ac:dyDescent="0.25">
      <c r="A241" s="1">
        <v>240</v>
      </c>
      <c r="B241" s="2">
        <v>40554</v>
      </c>
      <c r="C241" s="1">
        <v>1</v>
      </c>
      <c r="D241" s="1">
        <v>0</v>
      </c>
      <c r="E241" s="1">
        <v>1</v>
      </c>
      <c r="F241" s="1">
        <v>8</v>
      </c>
      <c r="G241" s="1" t="b">
        <v>0</v>
      </c>
      <c r="H241" s="1">
        <v>2</v>
      </c>
      <c r="I241" s="1">
        <v>2</v>
      </c>
      <c r="J241" s="1">
        <v>0.18</v>
      </c>
    </row>
    <row r="242" spans="1:10" x14ac:dyDescent="0.25">
      <c r="A242" s="1">
        <v>241</v>
      </c>
      <c r="B242" s="2">
        <v>40554</v>
      </c>
      <c r="C242" s="1">
        <v>1</v>
      </c>
      <c r="D242" s="1">
        <v>0</v>
      </c>
      <c r="E242" s="1">
        <v>1</v>
      </c>
      <c r="F242" s="1">
        <v>9</v>
      </c>
      <c r="G242" s="1" t="b">
        <v>0</v>
      </c>
      <c r="H242" s="1">
        <v>2</v>
      </c>
      <c r="I242" s="1">
        <v>2</v>
      </c>
      <c r="J242" s="1">
        <v>0.18</v>
      </c>
    </row>
    <row r="243" spans="1:10" x14ac:dyDescent="0.25">
      <c r="A243" s="1">
        <v>242</v>
      </c>
      <c r="B243" s="2">
        <v>40554</v>
      </c>
      <c r="C243" s="1">
        <v>1</v>
      </c>
      <c r="D243" s="1">
        <v>0</v>
      </c>
      <c r="E243" s="1">
        <v>1</v>
      </c>
      <c r="F243" s="1">
        <v>10</v>
      </c>
      <c r="G243" s="1" t="b">
        <v>0</v>
      </c>
      <c r="H243" s="1">
        <v>2</v>
      </c>
      <c r="I243" s="1">
        <v>2</v>
      </c>
      <c r="J243" s="1">
        <v>0.2</v>
      </c>
    </row>
    <row r="244" spans="1:10" x14ac:dyDescent="0.25">
      <c r="A244" s="1">
        <v>243</v>
      </c>
      <c r="B244" s="2">
        <v>40554</v>
      </c>
      <c r="C244" s="1">
        <v>1</v>
      </c>
      <c r="D244" s="1">
        <v>0</v>
      </c>
      <c r="E244" s="1">
        <v>1</v>
      </c>
      <c r="F244" s="1">
        <v>11</v>
      </c>
      <c r="G244" s="1" t="b">
        <v>0</v>
      </c>
      <c r="H244" s="1">
        <v>2</v>
      </c>
      <c r="I244" s="1">
        <v>2</v>
      </c>
      <c r="J244" s="1">
        <v>0.2</v>
      </c>
    </row>
    <row r="245" spans="1:10" x14ac:dyDescent="0.25">
      <c r="A245" s="1">
        <v>244</v>
      </c>
      <c r="B245" s="2">
        <v>40554</v>
      </c>
      <c r="C245" s="1">
        <v>1</v>
      </c>
      <c r="D245" s="1">
        <v>0</v>
      </c>
      <c r="E245" s="1">
        <v>1</v>
      </c>
      <c r="F245" s="1">
        <v>12</v>
      </c>
      <c r="G245" s="1" t="b">
        <v>0</v>
      </c>
      <c r="H245" s="1">
        <v>2</v>
      </c>
      <c r="I245" s="1">
        <v>2</v>
      </c>
      <c r="J245" s="1">
        <v>0.2</v>
      </c>
    </row>
    <row r="246" spans="1:10" x14ac:dyDescent="0.25">
      <c r="A246" s="1">
        <v>245</v>
      </c>
      <c r="B246" s="2">
        <v>40554</v>
      </c>
      <c r="C246" s="1">
        <v>1</v>
      </c>
      <c r="D246" s="1">
        <v>0</v>
      </c>
      <c r="E246" s="1">
        <v>1</v>
      </c>
      <c r="F246" s="1">
        <v>13</v>
      </c>
      <c r="G246" s="1" t="b">
        <v>0</v>
      </c>
      <c r="H246" s="1">
        <v>2</v>
      </c>
      <c r="I246" s="1">
        <v>2</v>
      </c>
      <c r="J246" s="1">
        <v>0.2</v>
      </c>
    </row>
    <row r="247" spans="1:10" x14ac:dyDescent="0.25">
      <c r="A247" s="1">
        <v>246</v>
      </c>
      <c r="B247" s="2">
        <v>40554</v>
      </c>
      <c r="C247" s="1">
        <v>1</v>
      </c>
      <c r="D247" s="1">
        <v>0</v>
      </c>
      <c r="E247" s="1">
        <v>1</v>
      </c>
      <c r="F247" s="1">
        <v>14</v>
      </c>
      <c r="G247" s="1" t="b">
        <v>0</v>
      </c>
      <c r="H247" s="1">
        <v>2</v>
      </c>
      <c r="I247" s="1">
        <v>2</v>
      </c>
      <c r="J247" s="1">
        <v>0.2</v>
      </c>
    </row>
    <row r="248" spans="1:10" x14ac:dyDescent="0.25">
      <c r="A248" s="1">
        <v>247</v>
      </c>
      <c r="B248" s="2">
        <v>40554</v>
      </c>
      <c r="C248" s="1">
        <v>1</v>
      </c>
      <c r="D248" s="1">
        <v>0</v>
      </c>
      <c r="E248" s="1">
        <v>1</v>
      </c>
      <c r="F248" s="1">
        <v>15</v>
      </c>
      <c r="G248" s="1" t="b">
        <v>0</v>
      </c>
      <c r="H248" s="1">
        <v>2</v>
      </c>
      <c r="I248" s="1">
        <v>2</v>
      </c>
      <c r="J248" s="1">
        <v>0.16</v>
      </c>
    </row>
    <row r="249" spans="1:10" x14ac:dyDescent="0.25">
      <c r="A249" s="1">
        <v>248</v>
      </c>
      <c r="B249" s="2">
        <v>40554</v>
      </c>
      <c r="C249" s="1">
        <v>1</v>
      </c>
      <c r="D249" s="1">
        <v>0</v>
      </c>
      <c r="E249" s="1">
        <v>1</v>
      </c>
      <c r="F249" s="1">
        <v>16</v>
      </c>
      <c r="G249" s="1" t="b">
        <v>0</v>
      </c>
      <c r="H249" s="1">
        <v>2</v>
      </c>
      <c r="I249" s="1">
        <v>2</v>
      </c>
      <c r="J249" s="1">
        <v>0.16</v>
      </c>
    </row>
    <row r="250" spans="1:10" x14ac:dyDescent="0.25">
      <c r="A250" s="1">
        <v>249</v>
      </c>
      <c r="B250" s="2">
        <v>40554</v>
      </c>
      <c r="C250" s="1">
        <v>1</v>
      </c>
      <c r="D250" s="1">
        <v>0</v>
      </c>
      <c r="E250" s="1">
        <v>1</v>
      </c>
      <c r="F250" s="1">
        <v>17</v>
      </c>
      <c r="G250" s="1" t="b">
        <v>0</v>
      </c>
      <c r="H250" s="1">
        <v>2</v>
      </c>
      <c r="I250" s="1">
        <v>2</v>
      </c>
      <c r="J250" s="1">
        <v>0.16</v>
      </c>
    </row>
    <row r="251" spans="1:10" x14ac:dyDescent="0.25">
      <c r="A251" s="1">
        <v>250</v>
      </c>
      <c r="B251" s="2">
        <v>40554</v>
      </c>
      <c r="C251" s="1">
        <v>1</v>
      </c>
      <c r="D251" s="1">
        <v>0</v>
      </c>
      <c r="E251" s="1">
        <v>1</v>
      </c>
      <c r="F251" s="1">
        <v>18</v>
      </c>
      <c r="G251" s="1" t="b">
        <v>0</v>
      </c>
      <c r="H251" s="1">
        <v>2</v>
      </c>
      <c r="I251" s="1">
        <v>3</v>
      </c>
      <c r="J251" s="1">
        <v>0.16</v>
      </c>
    </row>
    <row r="252" spans="1:10" x14ac:dyDescent="0.25">
      <c r="A252" s="1">
        <v>251</v>
      </c>
      <c r="B252" s="2">
        <v>40554</v>
      </c>
      <c r="C252" s="1">
        <v>1</v>
      </c>
      <c r="D252" s="1">
        <v>0</v>
      </c>
      <c r="E252" s="1">
        <v>1</v>
      </c>
      <c r="F252" s="1">
        <v>19</v>
      </c>
      <c r="G252" s="1" t="b">
        <v>0</v>
      </c>
      <c r="H252" s="1">
        <v>2</v>
      </c>
      <c r="I252" s="1">
        <v>3</v>
      </c>
      <c r="J252" s="1">
        <v>0.16</v>
      </c>
    </row>
    <row r="253" spans="1:10" x14ac:dyDescent="0.25">
      <c r="A253" s="1">
        <v>252</v>
      </c>
      <c r="B253" s="2">
        <v>40554</v>
      </c>
      <c r="C253" s="1">
        <v>1</v>
      </c>
      <c r="D253" s="1">
        <v>0</v>
      </c>
      <c r="E253" s="1">
        <v>1</v>
      </c>
      <c r="F253" s="1">
        <v>20</v>
      </c>
      <c r="G253" s="1" t="b">
        <v>0</v>
      </c>
      <c r="H253" s="1">
        <v>2</v>
      </c>
      <c r="I253" s="1">
        <v>3</v>
      </c>
      <c r="J253" s="1">
        <v>0.16</v>
      </c>
    </row>
    <row r="254" spans="1:10" x14ac:dyDescent="0.25">
      <c r="A254" s="1">
        <v>253</v>
      </c>
      <c r="B254" s="2">
        <v>40554</v>
      </c>
      <c r="C254" s="1">
        <v>1</v>
      </c>
      <c r="D254" s="1">
        <v>0</v>
      </c>
      <c r="E254" s="1">
        <v>1</v>
      </c>
      <c r="F254" s="1">
        <v>21</v>
      </c>
      <c r="G254" s="1" t="b">
        <v>0</v>
      </c>
      <c r="H254" s="1">
        <v>2</v>
      </c>
      <c r="I254" s="1">
        <v>3</v>
      </c>
      <c r="J254" s="1">
        <v>0.16</v>
      </c>
    </row>
    <row r="255" spans="1:10" x14ac:dyDescent="0.25">
      <c r="A255" s="1">
        <v>254</v>
      </c>
      <c r="B255" s="2">
        <v>40554</v>
      </c>
      <c r="C255" s="1">
        <v>1</v>
      </c>
      <c r="D255" s="1">
        <v>0</v>
      </c>
      <c r="E255" s="1">
        <v>1</v>
      </c>
      <c r="F255" s="1">
        <v>22</v>
      </c>
      <c r="G255" s="1" t="b">
        <v>0</v>
      </c>
      <c r="H255" s="1">
        <v>2</v>
      </c>
      <c r="I255" s="1">
        <v>3</v>
      </c>
      <c r="J255" s="1">
        <v>0.16</v>
      </c>
    </row>
    <row r="256" spans="1:10" x14ac:dyDescent="0.25">
      <c r="A256" s="1">
        <v>255</v>
      </c>
      <c r="B256" s="2">
        <v>40554</v>
      </c>
      <c r="C256" s="1">
        <v>1</v>
      </c>
      <c r="D256" s="1">
        <v>0</v>
      </c>
      <c r="E256" s="1">
        <v>1</v>
      </c>
      <c r="F256" s="1">
        <v>23</v>
      </c>
      <c r="G256" s="1" t="b">
        <v>0</v>
      </c>
      <c r="H256" s="1">
        <v>2</v>
      </c>
      <c r="I256" s="1">
        <v>3</v>
      </c>
      <c r="J256" s="1">
        <v>0.16</v>
      </c>
    </row>
    <row r="257" spans="1:10" x14ac:dyDescent="0.25">
      <c r="A257" s="1">
        <v>256</v>
      </c>
      <c r="B257" s="2">
        <v>40555</v>
      </c>
      <c r="C257" s="1">
        <v>1</v>
      </c>
      <c r="D257" s="1">
        <v>0</v>
      </c>
      <c r="E257" s="1">
        <v>1</v>
      </c>
      <c r="F257" s="1">
        <v>0</v>
      </c>
      <c r="G257" s="1" t="b">
        <v>0</v>
      </c>
      <c r="H257" s="1">
        <v>3</v>
      </c>
      <c r="I257" s="1">
        <v>2</v>
      </c>
      <c r="J257" s="1">
        <v>0.16</v>
      </c>
    </row>
    <row r="258" spans="1:10" x14ac:dyDescent="0.25">
      <c r="A258" s="1">
        <v>257</v>
      </c>
      <c r="B258" s="2">
        <v>40555</v>
      </c>
      <c r="C258" s="1">
        <v>1</v>
      </c>
      <c r="D258" s="1">
        <v>0</v>
      </c>
      <c r="E258" s="1">
        <v>1</v>
      </c>
      <c r="F258" s="1">
        <v>1</v>
      </c>
      <c r="G258" s="1" t="b">
        <v>0</v>
      </c>
      <c r="H258" s="1">
        <v>3</v>
      </c>
      <c r="I258" s="1">
        <v>2</v>
      </c>
      <c r="J258" s="1">
        <v>0.16</v>
      </c>
    </row>
    <row r="259" spans="1:10" x14ac:dyDescent="0.25">
      <c r="A259" s="1">
        <v>258</v>
      </c>
      <c r="B259" s="2">
        <v>40555</v>
      </c>
      <c r="C259" s="1">
        <v>1</v>
      </c>
      <c r="D259" s="1">
        <v>0</v>
      </c>
      <c r="E259" s="1">
        <v>1</v>
      </c>
      <c r="F259" s="1">
        <v>2</v>
      </c>
      <c r="G259" s="1" t="b">
        <v>0</v>
      </c>
      <c r="H259" s="1">
        <v>3</v>
      </c>
      <c r="I259" s="1">
        <v>1</v>
      </c>
      <c r="J259" s="1">
        <v>0.14000000000000001</v>
      </c>
    </row>
    <row r="260" spans="1:10" x14ac:dyDescent="0.25">
      <c r="A260" s="1">
        <v>259</v>
      </c>
      <c r="B260" s="2">
        <v>40555</v>
      </c>
      <c r="C260" s="1">
        <v>1</v>
      </c>
      <c r="D260" s="1">
        <v>0</v>
      </c>
      <c r="E260" s="1">
        <v>1</v>
      </c>
      <c r="F260" s="1">
        <v>5</v>
      </c>
      <c r="G260" s="1" t="b">
        <v>0</v>
      </c>
      <c r="H260" s="1">
        <v>3</v>
      </c>
      <c r="I260" s="1">
        <v>1</v>
      </c>
      <c r="J260" s="1">
        <v>0.14000000000000001</v>
      </c>
    </row>
    <row r="261" spans="1:10" x14ac:dyDescent="0.25">
      <c r="A261" s="1">
        <v>260</v>
      </c>
      <c r="B261" s="2">
        <v>40555</v>
      </c>
      <c r="C261" s="1">
        <v>1</v>
      </c>
      <c r="D261" s="1">
        <v>0</v>
      </c>
      <c r="E261" s="1">
        <v>1</v>
      </c>
      <c r="F261" s="1">
        <v>6</v>
      </c>
      <c r="G261" s="1" t="b">
        <v>0</v>
      </c>
      <c r="H261" s="1">
        <v>3</v>
      </c>
      <c r="I261" s="1">
        <v>1</v>
      </c>
      <c r="J261" s="1">
        <v>0.12</v>
      </c>
    </row>
    <row r="262" spans="1:10" x14ac:dyDescent="0.25">
      <c r="A262" s="1">
        <v>261</v>
      </c>
      <c r="B262" s="2">
        <v>40555</v>
      </c>
      <c r="C262" s="1">
        <v>1</v>
      </c>
      <c r="D262" s="1">
        <v>0</v>
      </c>
      <c r="E262" s="1">
        <v>1</v>
      </c>
      <c r="F262" s="1">
        <v>7</v>
      </c>
      <c r="G262" s="1" t="b">
        <v>0</v>
      </c>
      <c r="H262" s="1">
        <v>3</v>
      </c>
      <c r="I262" s="1">
        <v>1</v>
      </c>
      <c r="J262" s="1">
        <v>0.14000000000000001</v>
      </c>
    </row>
    <row r="263" spans="1:10" x14ac:dyDescent="0.25">
      <c r="A263" s="1">
        <v>262</v>
      </c>
      <c r="B263" s="2">
        <v>40555</v>
      </c>
      <c r="C263" s="1">
        <v>1</v>
      </c>
      <c r="D263" s="1">
        <v>0</v>
      </c>
      <c r="E263" s="1">
        <v>1</v>
      </c>
      <c r="F263" s="1">
        <v>8</v>
      </c>
      <c r="G263" s="1" t="b">
        <v>0</v>
      </c>
      <c r="H263" s="1">
        <v>3</v>
      </c>
      <c r="I263" s="1">
        <v>1</v>
      </c>
      <c r="J263" s="1">
        <v>0.16</v>
      </c>
    </row>
    <row r="264" spans="1:10" x14ac:dyDescent="0.25">
      <c r="A264" s="1">
        <v>263</v>
      </c>
      <c r="B264" s="2">
        <v>40555</v>
      </c>
      <c r="C264" s="1">
        <v>1</v>
      </c>
      <c r="D264" s="1">
        <v>0</v>
      </c>
      <c r="E264" s="1">
        <v>1</v>
      </c>
      <c r="F264" s="1">
        <v>9</v>
      </c>
      <c r="G264" s="1" t="b">
        <v>0</v>
      </c>
      <c r="H264" s="1">
        <v>3</v>
      </c>
      <c r="I264" s="1">
        <v>1</v>
      </c>
      <c r="J264" s="1">
        <v>0.16</v>
      </c>
    </row>
    <row r="265" spans="1:10" x14ac:dyDescent="0.25">
      <c r="A265" s="1">
        <v>264</v>
      </c>
      <c r="B265" s="2">
        <v>40555</v>
      </c>
      <c r="C265" s="1">
        <v>1</v>
      </c>
      <c r="D265" s="1">
        <v>0</v>
      </c>
      <c r="E265" s="1">
        <v>1</v>
      </c>
      <c r="F265" s="1">
        <v>10</v>
      </c>
      <c r="G265" s="1" t="b">
        <v>0</v>
      </c>
      <c r="H265" s="1">
        <v>3</v>
      </c>
      <c r="I265" s="1">
        <v>1</v>
      </c>
      <c r="J265" s="1">
        <v>0.18</v>
      </c>
    </row>
    <row r="266" spans="1:10" x14ac:dyDescent="0.25">
      <c r="A266" s="1">
        <v>265</v>
      </c>
      <c r="B266" s="2">
        <v>40555</v>
      </c>
      <c r="C266" s="1">
        <v>1</v>
      </c>
      <c r="D266" s="1">
        <v>0</v>
      </c>
      <c r="E266" s="1">
        <v>1</v>
      </c>
      <c r="F266" s="1">
        <v>11</v>
      </c>
      <c r="G266" s="1" t="b">
        <v>0</v>
      </c>
      <c r="H266" s="1">
        <v>3</v>
      </c>
      <c r="I266" s="1">
        <v>1</v>
      </c>
      <c r="J266" s="1">
        <v>0.2</v>
      </c>
    </row>
    <row r="267" spans="1:10" x14ac:dyDescent="0.25">
      <c r="A267" s="1">
        <v>266</v>
      </c>
      <c r="B267" s="2">
        <v>40555</v>
      </c>
      <c r="C267" s="1">
        <v>1</v>
      </c>
      <c r="D267" s="1">
        <v>0</v>
      </c>
      <c r="E267" s="1">
        <v>1</v>
      </c>
      <c r="F267" s="1">
        <v>12</v>
      </c>
      <c r="G267" s="1" t="b">
        <v>0</v>
      </c>
      <c r="H267" s="1">
        <v>3</v>
      </c>
      <c r="I267" s="1">
        <v>1</v>
      </c>
      <c r="J267" s="1">
        <v>0.2</v>
      </c>
    </row>
    <row r="268" spans="1:10" x14ac:dyDescent="0.25">
      <c r="A268" s="1">
        <v>267</v>
      </c>
      <c r="B268" s="2">
        <v>40555</v>
      </c>
      <c r="C268" s="1">
        <v>1</v>
      </c>
      <c r="D268" s="1">
        <v>0</v>
      </c>
      <c r="E268" s="1">
        <v>1</v>
      </c>
      <c r="F268" s="1">
        <v>13</v>
      </c>
      <c r="G268" s="1" t="b">
        <v>0</v>
      </c>
      <c r="H268" s="1">
        <v>3</v>
      </c>
      <c r="I268" s="1">
        <v>1</v>
      </c>
      <c r="J268" s="1">
        <v>0.22</v>
      </c>
    </row>
    <row r="269" spans="1:10" x14ac:dyDescent="0.25">
      <c r="A269" s="1">
        <v>268</v>
      </c>
      <c r="B269" s="2">
        <v>40555</v>
      </c>
      <c r="C269" s="1">
        <v>1</v>
      </c>
      <c r="D269" s="1">
        <v>0</v>
      </c>
      <c r="E269" s="1">
        <v>1</v>
      </c>
      <c r="F269" s="1">
        <v>14</v>
      </c>
      <c r="G269" s="1" t="b">
        <v>0</v>
      </c>
      <c r="H269" s="1">
        <v>3</v>
      </c>
      <c r="I269" s="1">
        <v>1</v>
      </c>
      <c r="J269" s="1">
        <v>0.2</v>
      </c>
    </row>
    <row r="270" spans="1:10" x14ac:dyDescent="0.25">
      <c r="A270" s="1">
        <v>269</v>
      </c>
      <c r="B270" s="2">
        <v>40555</v>
      </c>
      <c r="C270" s="1">
        <v>1</v>
      </c>
      <c r="D270" s="1">
        <v>0</v>
      </c>
      <c r="E270" s="1">
        <v>1</v>
      </c>
      <c r="F270" s="1">
        <v>15</v>
      </c>
      <c r="G270" s="1" t="b">
        <v>0</v>
      </c>
      <c r="H270" s="1">
        <v>3</v>
      </c>
      <c r="I270" s="1">
        <v>1</v>
      </c>
      <c r="J270" s="1">
        <v>0.2</v>
      </c>
    </row>
    <row r="271" spans="1:10" x14ac:dyDescent="0.25">
      <c r="A271" s="1">
        <v>270</v>
      </c>
      <c r="B271" s="2">
        <v>40555</v>
      </c>
      <c r="C271" s="1">
        <v>1</v>
      </c>
      <c r="D271" s="1">
        <v>0</v>
      </c>
      <c r="E271" s="1">
        <v>1</v>
      </c>
      <c r="F271" s="1">
        <v>16</v>
      </c>
      <c r="G271" s="1" t="b">
        <v>0</v>
      </c>
      <c r="H271" s="1">
        <v>3</v>
      </c>
      <c r="I271" s="1">
        <v>1</v>
      </c>
      <c r="J271" s="1">
        <v>0.22</v>
      </c>
    </row>
    <row r="272" spans="1:10" x14ac:dyDescent="0.25">
      <c r="A272" s="1">
        <v>271</v>
      </c>
      <c r="B272" s="2">
        <v>40555</v>
      </c>
      <c r="C272" s="1">
        <v>1</v>
      </c>
      <c r="D272" s="1">
        <v>0</v>
      </c>
      <c r="E272" s="1">
        <v>1</v>
      </c>
      <c r="F272" s="1">
        <v>17</v>
      </c>
      <c r="G272" s="1" t="b">
        <v>0</v>
      </c>
      <c r="H272" s="1">
        <v>3</v>
      </c>
      <c r="I272" s="1">
        <v>1</v>
      </c>
      <c r="J272" s="1">
        <v>0.2</v>
      </c>
    </row>
    <row r="273" spans="1:10" x14ac:dyDescent="0.25">
      <c r="A273" s="1">
        <v>272</v>
      </c>
      <c r="B273" s="2">
        <v>40555</v>
      </c>
      <c r="C273" s="1">
        <v>1</v>
      </c>
      <c r="D273" s="1">
        <v>0</v>
      </c>
      <c r="E273" s="1">
        <v>1</v>
      </c>
      <c r="F273" s="1">
        <v>18</v>
      </c>
      <c r="G273" s="1" t="b">
        <v>0</v>
      </c>
      <c r="H273" s="1">
        <v>3</v>
      </c>
      <c r="I273" s="1">
        <v>1</v>
      </c>
      <c r="J273" s="1">
        <v>0.2</v>
      </c>
    </row>
    <row r="274" spans="1:10" x14ac:dyDescent="0.25">
      <c r="A274" s="1">
        <v>273</v>
      </c>
      <c r="B274" s="2">
        <v>40555</v>
      </c>
      <c r="C274" s="1">
        <v>1</v>
      </c>
      <c r="D274" s="1">
        <v>0</v>
      </c>
      <c r="E274" s="1">
        <v>1</v>
      </c>
      <c r="F274" s="1">
        <v>19</v>
      </c>
      <c r="G274" s="1" t="b">
        <v>0</v>
      </c>
      <c r="H274" s="1">
        <v>3</v>
      </c>
      <c r="I274" s="1">
        <v>1</v>
      </c>
      <c r="J274" s="1">
        <v>0.18</v>
      </c>
    </row>
    <row r="275" spans="1:10" x14ac:dyDescent="0.25">
      <c r="A275" s="1">
        <v>274</v>
      </c>
      <c r="B275" s="2">
        <v>40555</v>
      </c>
      <c r="C275" s="1">
        <v>1</v>
      </c>
      <c r="D275" s="1">
        <v>0</v>
      </c>
      <c r="E275" s="1">
        <v>1</v>
      </c>
      <c r="F275" s="1">
        <v>20</v>
      </c>
      <c r="G275" s="1" t="b">
        <v>0</v>
      </c>
      <c r="H275" s="1">
        <v>3</v>
      </c>
      <c r="I275" s="1">
        <v>1</v>
      </c>
      <c r="J275" s="1">
        <v>0.16</v>
      </c>
    </row>
    <row r="276" spans="1:10" x14ac:dyDescent="0.25">
      <c r="A276" s="1">
        <v>275</v>
      </c>
      <c r="B276" s="2">
        <v>40555</v>
      </c>
      <c r="C276" s="1">
        <v>1</v>
      </c>
      <c r="D276" s="1">
        <v>0</v>
      </c>
      <c r="E276" s="1">
        <v>1</v>
      </c>
      <c r="F276" s="1">
        <v>21</v>
      </c>
      <c r="G276" s="1" t="b">
        <v>0</v>
      </c>
      <c r="H276" s="1">
        <v>3</v>
      </c>
      <c r="I276" s="1">
        <v>1</v>
      </c>
      <c r="J276" s="1">
        <v>0.16</v>
      </c>
    </row>
    <row r="277" spans="1:10" x14ac:dyDescent="0.25">
      <c r="A277" s="1">
        <v>276</v>
      </c>
      <c r="B277" s="2">
        <v>40555</v>
      </c>
      <c r="C277" s="1">
        <v>1</v>
      </c>
      <c r="D277" s="1">
        <v>0</v>
      </c>
      <c r="E277" s="1">
        <v>1</v>
      </c>
      <c r="F277" s="1">
        <v>22</v>
      </c>
      <c r="G277" s="1" t="b">
        <v>0</v>
      </c>
      <c r="H277" s="1">
        <v>3</v>
      </c>
      <c r="I277" s="1">
        <v>1</v>
      </c>
      <c r="J277" s="1">
        <v>0.16</v>
      </c>
    </row>
    <row r="278" spans="1:10" x14ac:dyDescent="0.25">
      <c r="A278" s="1">
        <v>277</v>
      </c>
      <c r="B278" s="2">
        <v>40555</v>
      </c>
      <c r="C278" s="1">
        <v>1</v>
      </c>
      <c r="D278" s="1">
        <v>0</v>
      </c>
      <c r="E278" s="1">
        <v>1</v>
      </c>
      <c r="F278" s="1">
        <v>23</v>
      </c>
      <c r="G278" s="1" t="b">
        <v>0</v>
      </c>
      <c r="H278" s="1">
        <v>3</v>
      </c>
      <c r="I278" s="1">
        <v>1</v>
      </c>
      <c r="J278" s="1">
        <v>0.14000000000000001</v>
      </c>
    </row>
    <row r="279" spans="1:10" x14ac:dyDescent="0.25">
      <c r="A279" s="1">
        <v>278</v>
      </c>
      <c r="B279" s="2">
        <v>40556</v>
      </c>
      <c r="C279" s="1">
        <v>1</v>
      </c>
      <c r="D279" s="1">
        <v>0</v>
      </c>
      <c r="E279" s="1">
        <v>1</v>
      </c>
      <c r="F279" s="1">
        <v>0</v>
      </c>
      <c r="G279" s="1" t="b">
        <v>0</v>
      </c>
      <c r="H279" s="1">
        <v>4</v>
      </c>
      <c r="I279" s="1">
        <v>1</v>
      </c>
      <c r="J279" s="1">
        <v>0.14000000000000001</v>
      </c>
    </row>
    <row r="280" spans="1:10" x14ac:dyDescent="0.25">
      <c r="A280" s="1">
        <v>279</v>
      </c>
      <c r="B280" s="2">
        <v>40556</v>
      </c>
      <c r="C280" s="1">
        <v>1</v>
      </c>
      <c r="D280" s="1">
        <v>0</v>
      </c>
      <c r="E280" s="1">
        <v>1</v>
      </c>
      <c r="F280" s="1">
        <v>1</v>
      </c>
      <c r="G280" s="1" t="b">
        <v>0</v>
      </c>
      <c r="H280" s="1">
        <v>4</v>
      </c>
      <c r="I280" s="1">
        <v>1</v>
      </c>
      <c r="J280" s="1">
        <v>0.14000000000000001</v>
      </c>
    </row>
    <row r="281" spans="1:10" x14ac:dyDescent="0.25">
      <c r="A281" s="1">
        <v>280</v>
      </c>
      <c r="B281" s="2">
        <v>40556</v>
      </c>
      <c r="C281" s="1">
        <v>1</v>
      </c>
      <c r="D281" s="1">
        <v>0</v>
      </c>
      <c r="E281" s="1">
        <v>1</v>
      </c>
      <c r="F281" s="1">
        <v>2</v>
      </c>
      <c r="G281" s="1" t="b">
        <v>0</v>
      </c>
      <c r="H281" s="1">
        <v>4</v>
      </c>
      <c r="I281" s="1">
        <v>1</v>
      </c>
      <c r="J281" s="1">
        <v>0.14000000000000001</v>
      </c>
    </row>
    <row r="282" spans="1:10" x14ac:dyDescent="0.25">
      <c r="A282" s="1">
        <v>281</v>
      </c>
      <c r="B282" s="2">
        <v>40556</v>
      </c>
      <c r="C282" s="1">
        <v>1</v>
      </c>
      <c r="D282" s="1">
        <v>0</v>
      </c>
      <c r="E282" s="1">
        <v>1</v>
      </c>
      <c r="F282" s="1">
        <v>3</v>
      </c>
      <c r="G282" s="1" t="b">
        <v>0</v>
      </c>
      <c r="H282" s="1">
        <v>4</v>
      </c>
      <c r="I282" s="1">
        <v>1</v>
      </c>
      <c r="J282" s="1">
        <v>0.14000000000000001</v>
      </c>
    </row>
    <row r="283" spans="1:10" x14ac:dyDescent="0.25">
      <c r="A283" s="1">
        <v>282</v>
      </c>
      <c r="B283" s="2">
        <v>40556</v>
      </c>
      <c r="C283" s="1">
        <v>1</v>
      </c>
      <c r="D283" s="1">
        <v>0</v>
      </c>
      <c r="E283" s="1">
        <v>1</v>
      </c>
      <c r="F283" s="1">
        <v>4</v>
      </c>
      <c r="G283" s="1" t="b">
        <v>0</v>
      </c>
      <c r="H283" s="1">
        <v>4</v>
      </c>
      <c r="I283" s="1">
        <v>1</v>
      </c>
      <c r="J283" s="1">
        <v>0.14000000000000001</v>
      </c>
    </row>
    <row r="284" spans="1:10" x14ac:dyDescent="0.25">
      <c r="A284" s="1">
        <v>283</v>
      </c>
      <c r="B284" s="2">
        <v>40556</v>
      </c>
      <c r="C284" s="1">
        <v>1</v>
      </c>
      <c r="D284" s="1">
        <v>0</v>
      </c>
      <c r="E284" s="1">
        <v>1</v>
      </c>
      <c r="F284" s="1">
        <v>5</v>
      </c>
      <c r="G284" s="1" t="b">
        <v>0</v>
      </c>
      <c r="H284" s="1">
        <v>4</v>
      </c>
      <c r="I284" s="1">
        <v>1</v>
      </c>
      <c r="J284" s="1">
        <v>0.14000000000000001</v>
      </c>
    </row>
    <row r="285" spans="1:10" x14ac:dyDescent="0.25">
      <c r="A285" s="1">
        <v>284</v>
      </c>
      <c r="B285" s="2">
        <v>40556</v>
      </c>
      <c r="C285" s="1">
        <v>1</v>
      </c>
      <c r="D285" s="1">
        <v>0</v>
      </c>
      <c r="E285" s="1">
        <v>1</v>
      </c>
      <c r="F285" s="1">
        <v>6</v>
      </c>
      <c r="G285" s="1" t="b">
        <v>0</v>
      </c>
      <c r="H285" s="1">
        <v>4</v>
      </c>
      <c r="I285" s="1">
        <v>1</v>
      </c>
      <c r="J285" s="1">
        <v>0.12</v>
      </c>
    </row>
    <row r="286" spans="1:10" x14ac:dyDescent="0.25">
      <c r="A286" s="1">
        <v>285</v>
      </c>
      <c r="B286" s="2">
        <v>40556</v>
      </c>
      <c r="C286" s="1">
        <v>1</v>
      </c>
      <c r="D286" s="1">
        <v>0</v>
      </c>
      <c r="E286" s="1">
        <v>1</v>
      </c>
      <c r="F286" s="1">
        <v>7</v>
      </c>
      <c r="G286" s="1" t="b">
        <v>0</v>
      </c>
      <c r="H286" s="1">
        <v>4</v>
      </c>
      <c r="I286" s="1">
        <v>1</v>
      </c>
      <c r="J286" s="1">
        <v>0.12</v>
      </c>
    </row>
    <row r="287" spans="1:10" x14ac:dyDescent="0.25">
      <c r="A287" s="1">
        <v>286</v>
      </c>
      <c r="B287" s="2">
        <v>40556</v>
      </c>
      <c r="C287" s="1">
        <v>1</v>
      </c>
      <c r="D287" s="1">
        <v>0</v>
      </c>
      <c r="E287" s="1">
        <v>1</v>
      </c>
      <c r="F287" s="1">
        <v>8</v>
      </c>
      <c r="G287" s="1" t="b">
        <v>0</v>
      </c>
      <c r="H287" s="1">
        <v>4</v>
      </c>
      <c r="I287" s="1">
        <v>1</v>
      </c>
      <c r="J287" s="1">
        <v>0.14000000000000001</v>
      </c>
    </row>
    <row r="288" spans="1:10" x14ac:dyDescent="0.25">
      <c r="A288" s="1">
        <v>287</v>
      </c>
      <c r="B288" s="2">
        <v>40556</v>
      </c>
      <c r="C288" s="1">
        <v>1</v>
      </c>
      <c r="D288" s="1">
        <v>0</v>
      </c>
      <c r="E288" s="1">
        <v>1</v>
      </c>
      <c r="F288" s="1">
        <v>9</v>
      </c>
      <c r="G288" s="1" t="b">
        <v>0</v>
      </c>
      <c r="H288" s="1">
        <v>4</v>
      </c>
      <c r="I288" s="1">
        <v>1</v>
      </c>
      <c r="J288" s="1">
        <v>0.14000000000000001</v>
      </c>
    </row>
    <row r="289" spans="1:10" x14ac:dyDescent="0.25">
      <c r="A289" s="1">
        <v>288</v>
      </c>
      <c r="B289" s="2">
        <v>40556</v>
      </c>
      <c r="C289" s="1">
        <v>1</v>
      </c>
      <c r="D289" s="1">
        <v>0</v>
      </c>
      <c r="E289" s="1">
        <v>1</v>
      </c>
      <c r="F289" s="1">
        <v>10</v>
      </c>
      <c r="G289" s="1" t="b">
        <v>0</v>
      </c>
      <c r="H289" s="1">
        <v>4</v>
      </c>
      <c r="I289" s="1">
        <v>2</v>
      </c>
      <c r="J289" s="1">
        <v>0.16</v>
      </c>
    </row>
    <row r="290" spans="1:10" x14ac:dyDescent="0.25">
      <c r="A290" s="1">
        <v>289</v>
      </c>
      <c r="B290" s="2">
        <v>40556</v>
      </c>
      <c r="C290" s="1">
        <v>1</v>
      </c>
      <c r="D290" s="1">
        <v>0</v>
      </c>
      <c r="E290" s="1">
        <v>1</v>
      </c>
      <c r="F290" s="1">
        <v>11</v>
      </c>
      <c r="G290" s="1" t="b">
        <v>0</v>
      </c>
      <c r="H290" s="1">
        <v>4</v>
      </c>
      <c r="I290" s="1">
        <v>2</v>
      </c>
      <c r="J290" s="1">
        <v>0.2</v>
      </c>
    </row>
    <row r="291" spans="1:10" x14ac:dyDescent="0.25">
      <c r="A291" s="1">
        <v>290</v>
      </c>
      <c r="B291" s="2">
        <v>40556</v>
      </c>
      <c r="C291" s="1">
        <v>1</v>
      </c>
      <c r="D291" s="1">
        <v>0</v>
      </c>
      <c r="E291" s="1">
        <v>1</v>
      </c>
      <c r="F291" s="1">
        <v>12</v>
      </c>
      <c r="G291" s="1" t="b">
        <v>0</v>
      </c>
      <c r="H291" s="1">
        <v>4</v>
      </c>
      <c r="I291" s="1">
        <v>1</v>
      </c>
      <c r="J291" s="1">
        <v>0.2</v>
      </c>
    </row>
    <row r="292" spans="1:10" x14ac:dyDescent="0.25">
      <c r="A292" s="1">
        <v>291</v>
      </c>
      <c r="B292" s="2">
        <v>40556</v>
      </c>
      <c r="C292" s="1">
        <v>1</v>
      </c>
      <c r="D292" s="1">
        <v>0</v>
      </c>
      <c r="E292" s="1">
        <v>1</v>
      </c>
      <c r="F292" s="1">
        <v>13</v>
      </c>
      <c r="G292" s="1" t="b">
        <v>0</v>
      </c>
      <c r="H292" s="1">
        <v>4</v>
      </c>
      <c r="I292" s="1">
        <v>1</v>
      </c>
      <c r="J292" s="1">
        <v>0.22</v>
      </c>
    </row>
    <row r="293" spans="1:10" x14ac:dyDescent="0.25">
      <c r="A293" s="1">
        <v>292</v>
      </c>
      <c r="B293" s="2">
        <v>40556</v>
      </c>
      <c r="C293" s="1">
        <v>1</v>
      </c>
      <c r="D293" s="1">
        <v>0</v>
      </c>
      <c r="E293" s="1">
        <v>1</v>
      </c>
      <c r="F293" s="1">
        <v>14</v>
      </c>
      <c r="G293" s="1" t="b">
        <v>0</v>
      </c>
      <c r="H293" s="1">
        <v>4</v>
      </c>
      <c r="I293" s="1">
        <v>1</v>
      </c>
      <c r="J293" s="1">
        <v>0.22</v>
      </c>
    </row>
    <row r="294" spans="1:10" x14ac:dyDescent="0.25">
      <c r="A294" s="1">
        <v>293</v>
      </c>
      <c r="B294" s="2">
        <v>40556</v>
      </c>
      <c r="C294" s="1">
        <v>1</v>
      </c>
      <c r="D294" s="1">
        <v>0</v>
      </c>
      <c r="E294" s="1">
        <v>1</v>
      </c>
      <c r="F294" s="1">
        <v>15</v>
      </c>
      <c r="G294" s="1" t="b">
        <v>0</v>
      </c>
      <c r="H294" s="1">
        <v>4</v>
      </c>
      <c r="I294" s="1">
        <v>1</v>
      </c>
      <c r="J294" s="1">
        <v>0.24</v>
      </c>
    </row>
    <row r="295" spans="1:10" x14ac:dyDescent="0.25">
      <c r="A295" s="1">
        <v>294</v>
      </c>
      <c r="B295" s="2">
        <v>40556</v>
      </c>
      <c r="C295" s="1">
        <v>1</v>
      </c>
      <c r="D295" s="1">
        <v>0</v>
      </c>
      <c r="E295" s="1">
        <v>1</v>
      </c>
      <c r="F295" s="1">
        <v>16</v>
      </c>
      <c r="G295" s="1" t="b">
        <v>0</v>
      </c>
      <c r="H295" s="1">
        <v>4</v>
      </c>
      <c r="I295" s="1">
        <v>1</v>
      </c>
      <c r="J295" s="1">
        <v>0.24</v>
      </c>
    </row>
    <row r="296" spans="1:10" x14ac:dyDescent="0.25">
      <c r="A296" s="1">
        <v>295</v>
      </c>
      <c r="B296" s="2">
        <v>40556</v>
      </c>
      <c r="C296" s="1">
        <v>1</v>
      </c>
      <c r="D296" s="1">
        <v>0</v>
      </c>
      <c r="E296" s="1">
        <v>1</v>
      </c>
      <c r="F296" s="1">
        <v>17</v>
      </c>
      <c r="G296" s="1" t="b">
        <v>0</v>
      </c>
      <c r="H296" s="1">
        <v>4</v>
      </c>
      <c r="I296" s="1">
        <v>1</v>
      </c>
      <c r="J296" s="1">
        <v>0.2</v>
      </c>
    </row>
    <row r="297" spans="1:10" x14ac:dyDescent="0.25">
      <c r="A297" s="1">
        <v>296</v>
      </c>
      <c r="B297" s="2">
        <v>40556</v>
      </c>
      <c r="C297" s="1">
        <v>1</v>
      </c>
      <c r="D297" s="1">
        <v>0</v>
      </c>
      <c r="E297" s="1">
        <v>1</v>
      </c>
      <c r="F297" s="1">
        <v>18</v>
      </c>
      <c r="G297" s="1" t="b">
        <v>0</v>
      </c>
      <c r="H297" s="1">
        <v>4</v>
      </c>
      <c r="I297" s="1">
        <v>1</v>
      </c>
      <c r="J297" s="1">
        <v>0.2</v>
      </c>
    </row>
    <row r="298" spans="1:10" x14ac:dyDescent="0.25">
      <c r="A298" s="1">
        <v>297</v>
      </c>
      <c r="B298" s="2">
        <v>40556</v>
      </c>
      <c r="C298" s="1">
        <v>1</v>
      </c>
      <c r="D298" s="1">
        <v>0</v>
      </c>
      <c r="E298" s="1">
        <v>1</v>
      </c>
      <c r="F298" s="1">
        <v>19</v>
      </c>
      <c r="G298" s="1" t="b">
        <v>0</v>
      </c>
      <c r="H298" s="1">
        <v>4</v>
      </c>
      <c r="I298" s="1">
        <v>1</v>
      </c>
      <c r="J298" s="1">
        <v>0.16</v>
      </c>
    </row>
    <row r="299" spans="1:10" x14ac:dyDescent="0.25">
      <c r="A299" s="1">
        <v>298</v>
      </c>
      <c r="B299" s="2">
        <v>40556</v>
      </c>
      <c r="C299" s="1">
        <v>1</v>
      </c>
      <c r="D299" s="1">
        <v>0</v>
      </c>
      <c r="E299" s="1">
        <v>1</v>
      </c>
      <c r="F299" s="1">
        <v>20</v>
      </c>
      <c r="G299" s="1" t="b">
        <v>0</v>
      </c>
      <c r="H299" s="1">
        <v>4</v>
      </c>
      <c r="I299" s="1">
        <v>1</v>
      </c>
      <c r="J299" s="1">
        <v>0.16</v>
      </c>
    </row>
    <row r="300" spans="1:10" x14ac:dyDescent="0.25">
      <c r="A300" s="1">
        <v>299</v>
      </c>
      <c r="B300" s="2">
        <v>40556</v>
      </c>
      <c r="C300" s="1">
        <v>1</v>
      </c>
      <c r="D300" s="1">
        <v>0</v>
      </c>
      <c r="E300" s="1">
        <v>1</v>
      </c>
      <c r="F300" s="1">
        <v>21</v>
      </c>
      <c r="G300" s="1" t="b">
        <v>0</v>
      </c>
      <c r="H300" s="1">
        <v>4</v>
      </c>
      <c r="I300" s="1">
        <v>1</v>
      </c>
      <c r="J300" s="1">
        <v>0.14000000000000001</v>
      </c>
    </row>
    <row r="301" spans="1:10" x14ac:dyDescent="0.25">
      <c r="A301" s="1">
        <v>300</v>
      </c>
      <c r="B301" s="2">
        <v>40556</v>
      </c>
      <c r="C301" s="1">
        <v>1</v>
      </c>
      <c r="D301" s="1">
        <v>0</v>
      </c>
      <c r="E301" s="1">
        <v>1</v>
      </c>
      <c r="F301" s="1">
        <v>22</v>
      </c>
      <c r="G301" s="1" t="b">
        <v>0</v>
      </c>
      <c r="H301" s="1">
        <v>4</v>
      </c>
      <c r="I301" s="1">
        <v>1</v>
      </c>
      <c r="J301" s="1">
        <v>0.14000000000000001</v>
      </c>
    </row>
    <row r="302" spans="1:10" x14ac:dyDescent="0.25">
      <c r="A302" s="1">
        <v>301</v>
      </c>
      <c r="B302" s="2">
        <v>40556</v>
      </c>
      <c r="C302" s="1">
        <v>1</v>
      </c>
      <c r="D302" s="1">
        <v>0</v>
      </c>
      <c r="E302" s="1">
        <v>1</v>
      </c>
      <c r="F302" s="1">
        <v>23</v>
      </c>
      <c r="G302" s="1" t="b">
        <v>0</v>
      </c>
      <c r="H302" s="1">
        <v>4</v>
      </c>
      <c r="I302" s="1">
        <v>1</v>
      </c>
      <c r="J302" s="1">
        <v>0.12</v>
      </c>
    </row>
    <row r="303" spans="1:10" x14ac:dyDescent="0.25">
      <c r="A303" s="1">
        <v>302</v>
      </c>
      <c r="B303" s="2">
        <v>40557</v>
      </c>
      <c r="C303" s="1">
        <v>1</v>
      </c>
      <c r="D303" s="1">
        <v>0</v>
      </c>
      <c r="E303" s="1">
        <v>1</v>
      </c>
      <c r="F303" s="1">
        <v>0</v>
      </c>
      <c r="G303" s="1" t="b">
        <v>0</v>
      </c>
      <c r="H303" s="1">
        <v>5</v>
      </c>
      <c r="I303" s="1">
        <v>1</v>
      </c>
      <c r="J303" s="1">
        <v>0.12</v>
      </c>
    </row>
    <row r="304" spans="1:10" x14ac:dyDescent="0.25">
      <c r="A304" s="1">
        <v>303</v>
      </c>
      <c r="B304" s="2">
        <v>40557</v>
      </c>
      <c r="C304" s="1">
        <v>1</v>
      </c>
      <c r="D304" s="1">
        <v>0</v>
      </c>
      <c r="E304" s="1">
        <v>1</v>
      </c>
      <c r="F304" s="1">
        <v>1</v>
      </c>
      <c r="G304" s="1" t="b">
        <v>0</v>
      </c>
      <c r="H304" s="1">
        <v>5</v>
      </c>
      <c r="I304" s="1">
        <v>1</v>
      </c>
      <c r="J304" s="1">
        <v>0.1</v>
      </c>
    </row>
    <row r="305" spans="1:10" x14ac:dyDescent="0.25">
      <c r="A305" s="1">
        <v>304</v>
      </c>
      <c r="B305" s="2">
        <v>40557</v>
      </c>
      <c r="C305" s="1">
        <v>1</v>
      </c>
      <c r="D305" s="1">
        <v>0</v>
      </c>
      <c r="E305" s="1">
        <v>1</v>
      </c>
      <c r="F305" s="1">
        <v>2</v>
      </c>
      <c r="G305" s="1" t="b">
        <v>0</v>
      </c>
      <c r="H305" s="1">
        <v>5</v>
      </c>
      <c r="I305" s="1">
        <v>1</v>
      </c>
      <c r="J305" s="1">
        <v>0.1</v>
      </c>
    </row>
    <row r="306" spans="1:10" x14ac:dyDescent="0.25">
      <c r="A306" s="1">
        <v>305</v>
      </c>
      <c r="B306" s="2">
        <v>40557</v>
      </c>
      <c r="C306" s="1">
        <v>1</v>
      </c>
      <c r="D306" s="1">
        <v>0</v>
      </c>
      <c r="E306" s="1">
        <v>1</v>
      </c>
      <c r="F306" s="1">
        <v>3</v>
      </c>
      <c r="G306" s="1" t="b">
        <v>0</v>
      </c>
      <c r="H306" s="1">
        <v>5</v>
      </c>
      <c r="I306" s="1">
        <v>1</v>
      </c>
      <c r="J306" s="1">
        <v>0.1</v>
      </c>
    </row>
    <row r="307" spans="1:10" x14ac:dyDescent="0.25">
      <c r="A307" s="1">
        <v>306</v>
      </c>
      <c r="B307" s="2">
        <v>40557</v>
      </c>
      <c r="C307" s="1">
        <v>1</v>
      </c>
      <c r="D307" s="1">
        <v>0</v>
      </c>
      <c r="E307" s="1">
        <v>1</v>
      </c>
      <c r="F307" s="1">
        <v>5</v>
      </c>
      <c r="G307" s="1" t="b">
        <v>0</v>
      </c>
      <c r="H307" s="1">
        <v>5</v>
      </c>
      <c r="I307" s="1">
        <v>1</v>
      </c>
      <c r="J307" s="1">
        <v>0.1</v>
      </c>
    </row>
    <row r="308" spans="1:10" x14ac:dyDescent="0.25">
      <c r="A308" s="1">
        <v>307</v>
      </c>
      <c r="B308" s="2">
        <v>40557</v>
      </c>
      <c r="C308" s="1">
        <v>1</v>
      </c>
      <c r="D308" s="1">
        <v>0</v>
      </c>
      <c r="E308" s="1">
        <v>1</v>
      </c>
      <c r="F308" s="1">
        <v>6</v>
      </c>
      <c r="G308" s="1" t="b">
        <v>0</v>
      </c>
      <c r="H308" s="1">
        <v>5</v>
      </c>
      <c r="I308" s="1">
        <v>1</v>
      </c>
      <c r="J308" s="1">
        <v>0.1</v>
      </c>
    </row>
    <row r="309" spans="1:10" x14ac:dyDescent="0.25">
      <c r="A309" s="1">
        <v>308</v>
      </c>
      <c r="B309" s="2">
        <v>40557</v>
      </c>
      <c r="C309" s="1">
        <v>1</v>
      </c>
      <c r="D309" s="1">
        <v>0</v>
      </c>
      <c r="E309" s="1">
        <v>1</v>
      </c>
      <c r="F309" s="1">
        <v>7</v>
      </c>
      <c r="G309" s="1" t="b">
        <v>0</v>
      </c>
      <c r="H309" s="1">
        <v>5</v>
      </c>
      <c r="I309" s="1">
        <v>1</v>
      </c>
      <c r="J309" s="1">
        <v>0.1</v>
      </c>
    </row>
    <row r="310" spans="1:10" x14ac:dyDescent="0.25">
      <c r="A310" s="1">
        <v>309</v>
      </c>
      <c r="B310" s="2">
        <v>40557</v>
      </c>
      <c r="C310" s="1">
        <v>1</v>
      </c>
      <c r="D310" s="1">
        <v>0</v>
      </c>
      <c r="E310" s="1">
        <v>1</v>
      </c>
      <c r="F310" s="1">
        <v>8</v>
      </c>
      <c r="G310" s="1" t="b">
        <v>0</v>
      </c>
      <c r="H310" s="1">
        <v>5</v>
      </c>
      <c r="I310" s="1">
        <v>1</v>
      </c>
      <c r="J310" s="1">
        <v>0.12</v>
      </c>
    </row>
    <row r="311" spans="1:10" x14ac:dyDescent="0.25">
      <c r="A311" s="1">
        <v>310</v>
      </c>
      <c r="B311" s="2">
        <v>40557</v>
      </c>
      <c r="C311" s="1">
        <v>1</v>
      </c>
      <c r="D311" s="1">
        <v>0</v>
      </c>
      <c r="E311" s="1">
        <v>1</v>
      </c>
      <c r="F311" s="1">
        <v>9</v>
      </c>
      <c r="G311" s="1" t="b">
        <v>0</v>
      </c>
      <c r="H311" s="1">
        <v>5</v>
      </c>
      <c r="I311" s="1">
        <v>1</v>
      </c>
      <c r="J311" s="1">
        <v>0.14000000000000001</v>
      </c>
    </row>
    <row r="312" spans="1:10" x14ac:dyDescent="0.25">
      <c r="A312" s="1">
        <v>311</v>
      </c>
      <c r="B312" s="2">
        <v>40557</v>
      </c>
      <c r="C312" s="1">
        <v>1</v>
      </c>
      <c r="D312" s="1">
        <v>0</v>
      </c>
      <c r="E312" s="1">
        <v>1</v>
      </c>
      <c r="F312" s="1">
        <v>10</v>
      </c>
      <c r="G312" s="1" t="b">
        <v>0</v>
      </c>
      <c r="H312" s="1">
        <v>5</v>
      </c>
      <c r="I312" s="1">
        <v>1</v>
      </c>
      <c r="J312" s="1">
        <v>0.18</v>
      </c>
    </row>
    <row r="313" spans="1:10" x14ac:dyDescent="0.25">
      <c r="A313" s="1">
        <v>312</v>
      </c>
      <c r="B313" s="2">
        <v>40557</v>
      </c>
      <c r="C313" s="1">
        <v>1</v>
      </c>
      <c r="D313" s="1">
        <v>0</v>
      </c>
      <c r="E313" s="1">
        <v>1</v>
      </c>
      <c r="F313" s="1">
        <v>11</v>
      </c>
      <c r="G313" s="1" t="b">
        <v>0</v>
      </c>
      <c r="H313" s="1">
        <v>5</v>
      </c>
      <c r="I313" s="1">
        <v>1</v>
      </c>
      <c r="J313" s="1">
        <v>0.18</v>
      </c>
    </row>
    <row r="314" spans="1:10" x14ac:dyDescent="0.25">
      <c r="A314" s="1">
        <v>313</v>
      </c>
      <c r="B314" s="2">
        <v>40557</v>
      </c>
      <c r="C314" s="1">
        <v>1</v>
      </c>
      <c r="D314" s="1">
        <v>0</v>
      </c>
      <c r="E314" s="1">
        <v>1</v>
      </c>
      <c r="F314" s="1">
        <v>12</v>
      </c>
      <c r="G314" s="1" t="b">
        <v>0</v>
      </c>
      <c r="H314" s="1">
        <v>5</v>
      </c>
      <c r="I314" s="1">
        <v>1</v>
      </c>
      <c r="J314" s="1">
        <v>0.2</v>
      </c>
    </row>
    <row r="315" spans="1:10" x14ac:dyDescent="0.25">
      <c r="A315" s="1">
        <v>314</v>
      </c>
      <c r="B315" s="2">
        <v>40557</v>
      </c>
      <c r="C315" s="1">
        <v>1</v>
      </c>
      <c r="D315" s="1">
        <v>0</v>
      </c>
      <c r="E315" s="1">
        <v>1</v>
      </c>
      <c r="F315" s="1">
        <v>13</v>
      </c>
      <c r="G315" s="1" t="b">
        <v>0</v>
      </c>
      <c r="H315" s="1">
        <v>5</v>
      </c>
      <c r="I315" s="1">
        <v>1</v>
      </c>
      <c r="J315" s="1">
        <v>0.22</v>
      </c>
    </row>
    <row r="316" spans="1:10" x14ac:dyDescent="0.25">
      <c r="A316" s="1">
        <v>315</v>
      </c>
      <c r="B316" s="2">
        <v>40557</v>
      </c>
      <c r="C316" s="1">
        <v>1</v>
      </c>
      <c r="D316" s="1">
        <v>0</v>
      </c>
      <c r="E316" s="1">
        <v>1</v>
      </c>
      <c r="F316" s="1">
        <v>14</v>
      </c>
      <c r="G316" s="1" t="b">
        <v>0</v>
      </c>
      <c r="H316" s="1">
        <v>5</v>
      </c>
      <c r="I316" s="1">
        <v>1</v>
      </c>
      <c r="J316" s="1">
        <v>0.22</v>
      </c>
    </row>
    <row r="317" spans="1:10" x14ac:dyDescent="0.25">
      <c r="A317" s="1">
        <v>316</v>
      </c>
      <c r="B317" s="2">
        <v>40557</v>
      </c>
      <c r="C317" s="1">
        <v>1</v>
      </c>
      <c r="D317" s="1">
        <v>0</v>
      </c>
      <c r="E317" s="1">
        <v>1</v>
      </c>
      <c r="F317" s="1">
        <v>15</v>
      </c>
      <c r="G317" s="1" t="b">
        <v>0</v>
      </c>
      <c r="H317" s="1">
        <v>5</v>
      </c>
      <c r="I317" s="1">
        <v>1</v>
      </c>
      <c r="J317" s="1">
        <v>0.24</v>
      </c>
    </row>
    <row r="318" spans="1:10" x14ac:dyDescent="0.25">
      <c r="A318" s="1">
        <v>317</v>
      </c>
      <c r="B318" s="2">
        <v>40557</v>
      </c>
      <c r="C318" s="1">
        <v>1</v>
      </c>
      <c r="D318" s="1">
        <v>0</v>
      </c>
      <c r="E318" s="1">
        <v>1</v>
      </c>
      <c r="F318" s="1">
        <v>16</v>
      </c>
      <c r="G318" s="1" t="b">
        <v>0</v>
      </c>
      <c r="H318" s="1">
        <v>5</v>
      </c>
      <c r="I318" s="1">
        <v>1</v>
      </c>
      <c r="J318" s="1">
        <v>0.22</v>
      </c>
    </row>
    <row r="319" spans="1:10" x14ac:dyDescent="0.25">
      <c r="A319" s="1">
        <v>318</v>
      </c>
      <c r="B319" s="2">
        <v>40557</v>
      </c>
      <c r="C319" s="1">
        <v>1</v>
      </c>
      <c r="D319" s="1">
        <v>0</v>
      </c>
      <c r="E319" s="1">
        <v>1</v>
      </c>
      <c r="F319" s="1">
        <v>17</v>
      </c>
      <c r="G319" s="1" t="b">
        <v>0</v>
      </c>
      <c r="H319" s="1">
        <v>5</v>
      </c>
      <c r="I319" s="1">
        <v>1</v>
      </c>
      <c r="J319" s="1">
        <v>0.22</v>
      </c>
    </row>
    <row r="320" spans="1:10" x14ac:dyDescent="0.25">
      <c r="A320" s="1">
        <v>319</v>
      </c>
      <c r="B320" s="2">
        <v>40557</v>
      </c>
      <c r="C320" s="1">
        <v>1</v>
      </c>
      <c r="D320" s="1">
        <v>0</v>
      </c>
      <c r="E320" s="1">
        <v>1</v>
      </c>
      <c r="F320" s="1">
        <v>18</v>
      </c>
      <c r="G320" s="1" t="b">
        <v>0</v>
      </c>
      <c r="H320" s="1">
        <v>5</v>
      </c>
      <c r="I320" s="1">
        <v>1</v>
      </c>
      <c r="J320" s="1">
        <v>0.2</v>
      </c>
    </row>
    <row r="321" spans="1:10" x14ac:dyDescent="0.25">
      <c r="A321" s="1">
        <v>320</v>
      </c>
      <c r="B321" s="2">
        <v>40557</v>
      </c>
      <c r="C321" s="1">
        <v>1</v>
      </c>
      <c r="D321" s="1">
        <v>0</v>
      </c>
      <c r="E321" s="1">
        <v>1</v>
      </c>
      <c r="F321" s="1">
        <v>19</v>
      </c>
      <c r="G321" s="1" t="b">
        <v>0</v>
      </c>
      <c r="H321" s="1">
        <v>5</v>
      </c>
      <c r="I321" s="1">
        <v>1</v>
      </c>
      <c r="J321" s="1">
        <v>0.16</v>
      </c>
    </row>
    <row r="322" spans="1:10" x14ac:dyDescent="0.25">
      <c r="A322" s="1">
        <v>321</v>
      </c>
      <c r="B322" s="2">
        <v>40557</v>
      </c>
      <c r="C322" s="1">
        <v>1</v>
      </c>
      <c r="D322" s="1">
        <v>0</v>
      </c>
      <c r="E322" s="1">
        <v>1</v>
      </c>
      <c r="F322" s="1">
        <v>20</v>
      </c>
      <c r="G322" s="1" t="b">
        <v>0</v>
      </c>
      <c r="H322" s="1">
        <v>5</v>
      </c>
      <c r="I322" s="1">
        <v>1</v>
      </c>
      <c r="J322" s="1">
        <v>0.18</v>
      </c>
    </row>
    <row r="323" spans="1:10" x14ac:dyDescent="0.25">
      <c r="A323" s="1">
        <v>322</v>
      </c>
      <c r="B323" s="2">
        <v>40557</v>
      </c>
      <c r="C323" s="1">
        <v>1</v>
      </c>
      <c r="D323" s="1">
        <v>0</v>
      </c>
      <c r="E323" s="1">
        <v>1</v>
      </c>
      <c r="F323" s="1">
        <v>21</v>
      </c>
      <c r="G323" s="1" t="b">
        <v>0</v>
      </c>
      <c r="H323" s="1">
        <v>5</v>
      </c>
      <c r="I323" s="1">
        <v>1</v>
      </c>
      <c r="J323" s="1">
        <v>0.16</v>
      </c>
    </row>
    <row r="324" spans="1:10" x14ac:dyDescent="0.25">
      <c r="A324" s="1">
        <v>323</v>
      </c>
      <c r="B324" s="2">
        <v>40557</v>
      </c>
      <c r="C324" s="1">
        <v>1</v>
      </c>
      <c r="D324" s="1">
        <v>0</v>
      </c>
      <c r="E324" s="1">
        <v>1</v>
      </c>
      <c r="F324" s="1">
        <v>22</v>
      </c>
      <c r="G324" s="1" t="b">
        <v>0</v>
      </c>
      <c r="H324" s="1">
        <v>5</v>
      </c>
      <c r="I324" s="1">
        <v>2</v>
      </c>
      <c r="J324" s="1">
        <v>0.16</v>
      </c>
    </row>
    <row r="325" spans="1:10" x14ac:dyDescent="0.25">
      <c r="A325" s="1">
        <v>324</v>
      </c>
      <c r="B325" s="2">
        <v>40557</v>
      </c>
      <c r="C325" s="1">
        <v>1</v>
      </c>
      <c r="D325" s="1">
        <v>0</v>
      </c>
      <c r="E325" s="1">
        <v>1</v>
      </c>
      <c r="F325" s="1">
        <v>23</v>
      </c>
      <c r="G325" s="1" t="b">
        <v>0</v>
      </c>
      <c r="H325" s="1">
        <v>5</v>
      </c>
      <c r="I325" s="1">
        <v>2</v>
      </c>
      <c r="J325" s="1">
        <v>0.18</v>
      </c>
    </row>
    <row r="326" spans="1:10" x14ac:dyDescent="0.25">
      <c r="A326" s="1">
        <v>325</v>
      </c>
      <c r="B326" s="2">
        <v>40558</v>
      </c>
      <c r="C326" s="1">
        <v>1</v>
      </c>
      <c r="D326" s="1">
        <v>0</v>
      </c>
      <c r="E326" s="1">
        <v>1</v>
      </c>
      <c r="F326" s="1">
        <v>0</v>
      </c>
      <c r="G326" s="1" t="b">
        <v>0</v>
      </c>
      <c r="H326" s="1">
        <v>6</v>
      </c>
      <c r="I326" s="1">
        <v>1</v>
      </c>
      <c r="J326" s="1">
        <v>0.18</v>
      </c>
    </row>
    <row r="327" spans="1:10" x14ac:dyDescent="0.25">
      <c r="A327" s="1">
        <v>326</v>
      </c>
      <c r="B327" s="2">
        <v>40558</v>
      </c>
      <c r="C327" s="1">
        <v>1</v>
      </c>
      <c r="D327" s="1">
        <v>0</v>
      </c>
      <c r="E327" s="1">
        <v>1</v>
      </c>
      <c r="F327" s="1">
        <v>1</v>
      </c>
      <c r="G327" s="1" t="b">
        <v>0</v>
      </c>
      <c r="H327" s="1">
        <v>6</v>
      </c>
      <c r="I327" s="1">
        <v>2</v>
      </c>
      <c r="J327" s="1">
        <v>0.16</v>
      </c>
    </row>
    <row r="328" spans="1:10" x14ac:dyDescent="0.25">
      <c r="A328" s="1">
        <v>327</v>
      </c>
      <c r="B328" s="2">
        <v>40558</v>
      </c>
      <c r="C328" s="1">
        <v>1</v>
      </c>
      <c r="D328" s="1">
        <v>0</v>
      </c>
      <c r="E328" s="1">
        <v>1</v>
      </c>
      <c r="F328" s="1">
        <v>2</v>
      </c>
      <c r="G328" s="1" t="b">
        <v>0</v>
      </c>
      <c r="H328" s="1">
        <v>6</v>
      </c>
      <c r="I328" s="1">
        <v>2</v>
      </c>
      <c r="J328" s="1">
        <v>0.16</v>
      </c>
    </row>
    <row r="329" spans="1:10" x14ac:dyDescent="0.25">
      <c r="A329" s="1">
        <v>328</v>
      </c>
      <c r="B329" s="2">
        <v>40558</v>
      </c>
      <c r="C329" s="1">
        <v>1</v>
      </c>
      <c r="D329" s="1">
        <v>0</v>
      </c>
      <c r="E329" s="1">
        <v>1</v>
      </c>
      <c r="F329" s="1">
        <v>3</v>
      </c>
      <c r="G329" s="1" t="b">
        <v>0</v>
      </c>
      <c r="H329" s="1">
        <v>6</v>
      </c>
      <c r="I329" s="1">
        <v>2</v>
      </c>
      <c r="J329" s="1">
        <v>0.16</v>
      </c>
    </row>
    <row r="330" spans="1:10" x14ac:dyDescent="0.25">
      <c r="A330" s="1">
        <v>329</v>
      </c>
      <c r="B330" s="2">
        <v>40558</v>
      </c>
      <c r="C330" s="1">
        <v>1</v>
      </c>
      <c r="D330" s="1">
        <v>0</v>
      </c>
      <c r="E330" s="1">
        <v>1</v>
      </c>
      <c r="F330" s="1">
        <v>4</v>
      </c>
      <c r="G330" s="1" t="b">
        <v>0</v>
      </c>
      <c r="H330" s="1">
        <v>6</v>
      </c>
      <c r="I330" s="1">
        <v>2</v>
      </c>
      <c r="J330" s="1">
        <v>0.16</v>
      </c>
    </row>
    <row r="331" spans="1:10" x14ac:dyDescent="0.25">
      <c r="A331" s="1">
        <v>330</v>
      </c>
      <c r="B331" s="2">
        <v>40558</v>
      </c>
      <c r="C331" s="1">
        <v>1</v>
      </c>
      <c r="D331" s="1">
        <v>0</v>
      </c>
      <c r="E331" s="1">
        <v>1</v>
      </c>
      <c r="F331" s="1">
        <v>5</v>
      </c>
      <c r="G331" s="1" t="b">
        <v>0</v>
      </c>
      <c r="H331" s="1">
        <v>6</v>
      </c>
      <c r="I331" s="1">
        <v>1</v>
      </c>
      <c r="J331" s="1">
        <v>0.16</v>
      </c>
    </row>
    <row r="332" spans="1:10" x14ac:dyDescent="0.25">
      <c r="A332" s="1">
        <v>331</v>
      </c>
      <c r="B332" s="2">
        <v>40558</v>
      </c>
      <c r="C332" s="1">
        <v>1</v>
      </c>
      <c r="D332" s="1">
        <v>0</v>
      </c>
      <c r="E332" s="1">
        <v>1</v>
      </c>
      <c r="F332" s="1">
        <v>6</v>
      </c>
      <c r="G332" s="1" t="b">
        <v>0</v>
      </c>
      <c r="H332" s="1">
        <v>6</v>
      </c>
      <c r="I332" s="1">
        <v>1</v>
      </c>
      <c r="J332" s="1">
        <v>0.14000000000000001</v>
      </c>
    </row>
    <row r="333" spans="1:10" x14ac:dyDescent="0.25">
      <c r="A333" s="1">
        <v>332</v>
      </c>
      <c r="B333" s="2">
        <v>40558</v>
      </c>
      <c r="C333" s="1">
        <v>1</v>
      </c>
      <c r="D333" s="1">
        <v>0</v>
      </c>
      <c r="E333" s="1">
        <v>1</v>
      </c>
      <c r="F333" s="1">
        <v>7</v>
      </c>
      <c r="G333" s="1" t="b">
        <v>0</v>
      </c>
      <c r="H333" s="1">
        <v>6</v>
      </c>
      <c r="I333" s="1">
        <v>1</v>
      </c>
      <c r="J333" s="1">
        <v>0.14000000000000001</v>
      </c>
    </row>
    <row r="334" spans="1:10" x14ac:dyDescent="0.25">
      <c r="A334" s="1">
        <v>333</v>
      </c>
      <c r="B334" s="2">
        <v>40558</v>
      </c>
      <c r="C334" s="1">
        <v>1</v>
      </c>
      <c r="D334" s="1">
        <v>0</v>
      </c>
      <c r="E334" s="1">
        <v>1</v>
      </c>
      <c r="F334" s="1">
        <v>8</v>
      </c>
      <c r="G334" s="1" t="b">
        <v>0</v>
      </c>
      <c r="H334" s="1">
        <v>6</v>
      </c>
      <c r="I334" s="1">
        <v>1</v>
      </c>
      <c r="J334" s="1">
        <v>0.14000000000000001</v>
      </c>
    </row>
    <row r="335" spans="1:10" x14ac:dyDescent="0.25">
      <c r="A335" s="1">
        <v>334</v>
      </c>
      <c r="B335" s="2">
        <v>40558</v>
      </c>
      <c r="C335" s="1">
        <v>1</v>
      </c>
      <c r="D335" s="1">
        <v>0</v>
      </c>
      <c r="E335" s="1">
        <v>1</v>
      </c>
      <c r="F335" s="1">
        <v>9</v>
      </c>
      <c r="G335" s="1" t="b">
        <v>0</v>
      </c>
      <c r="H335" s="1">
        <v>6</v>
      </c>
      <c r="I335" s="1">
        <v>1</v>
      </c>
      <c r="J335" s="1">
        <v>0.16</v>
      </c>
    </row>
    <row r="336" spans="1:10" x14ac:dyDescent="0.25">
      <c r="A336" s="1">
        <v>335</v>
      </c>
      <c r="B336" s="2">
        <v>40558</v>
      </c>
      <c r="C336" s="1">
        <v>1</v>
      </c>
      <c r="D336" s="1">
        <v>0</v>
      </c>
      <c r="E336" s="1">
        <v>1</v>
      </c>
      <c r="F336" s="1">
        <v>10</v>
      </c>
      <c r="G336" s="1" t="b">
        <v>0</v>
      </c>
      <c r="H336" s="1">
        <v>6</v>
      </c>
      <c r="I336" s="1">
        <v>1</v>
      </c>
      <c r="J336" s="1">
        <v>0.18</v>
      </c>
    </row>
    <row r="337" spans="1:10" x14ac:dyDescent="0.25">
      <c r="A337" s="1">
        <v>336</v>
      </c>
      <c r="B337" s="2">
        <v>40558</v>
      </c>
      <c r="C337" s="1">
        <v>1</v>
      </c>
      <c r="D337" s="1">
        <v>0</v>
      </c>
      <c r="E337" s="1">
        <v>1</v>
      </c>
      <c r="F337" s="1">
        <v>11</v>
      </c>
      <c r="G337" s="1" t="b">
        <v>0</v>
      </c>
      <c r="H337" s="1">
        <v>6</v>
      </c>
      <c r="I337" s="1">
        <v>1</v>
      </c>
      <c r="J337" s="1">
        <v>0.2</v>
      </c>
    </row>
    <row r="338" spans="1:10" x14ac:dyDescent="0.25">
      <c r="A338" s="1">
        <v>337</v>
      </c>
      <c r="B338" s="2">
        <v>40558</v>
      </c>
      <c r="C338" s="1">
        <v>1</v>
      </c>
      <c r="D338" s="1">
        <v>0</v>
      </c>
      <c r="E338" s="1">
        <v>1</v>
      </c>
      <c r="F338" s="1">
        <v>12</v>
      </c>
      <c r="G338" s="1" t="b">
        <v>0</v>
      </c>
      <c r="H338" s="1">
        <v>6</v>
      </c>
      <c r="I338" s="1">
        <v>1</v>
      </c>
      <c r="J338" s="1">
        <v>0.24</v>
      </c>
    </row>
    <row r="339" spans="1:10" x14ac:dyDescent="0.25">
      <c r="A339" s="1">
        <v>338</v>
      </c>
      <c r="B339" s="2">
        <v>40558</v>
      </c>
      <c r="C339" s="1">
        <v>1</v>
      </c>
      <c r="D339" s="1">
        <v>0</v>
      </c>
      <c r="E339" s="1">
        <v>1</v>
      </c>
      <c r="F339" s="1">
        <v>13</v>
      </c>
      <c r="G339" s="1" t="b">
        <v>0</v>
      </c>
      <c r="H339" s="1">
        <v>6</v>
      </c>
      <c r="I339" s="1">
        <v>1</v>
      </c>
      <c r="J339" s="1">
        <v>0.28000000000000003</v>
      </c>
    </row>
    <row r="340" spans="1:10" x14ac:dyDescent="0.25">
      <c r="A340" s="1">
        <v>339</v>
      </c>
      <c r="B340" s="2">
        <v>40558</v>
      </c>
      <c r="C340" s="1">
        <v>1</v>
      </c>
      <c r="D340" s="1">
        <v>0</v>
      </c>
      <c r="E340" s="1">
        <v>1</v>
      </c>
      <c r="F340" s="1">
        <v>14</v>
      </c>
      <c r="G340" s="1" t="b">
        <v>0</v>
      </c>
      <c r="H340" s="1">
        <v>6</v>
      </c>
      <c r="I340" s="1">
        <v>1</v>
      </c>
      <c r="J340" s="1">
        <v>0.3</v>
      </c>
    </row>
    <row r="341" spans="1:10" x14ac:dyDescent="0.25">
      <c r="A341" s="1">
        <v>340</v>
      </c>
      <c r="B341" s="2">
        <v>40558</v>
      </c>
      <c r="C341" s="1">
        <v>1</v>
      </c>
      <c r="D341" s="1">
        <v>0</v>
      </c>
      <c r="E341" s="1">
        <v>1</v>
      </c>
      <c r="F341" s="1">
        <v>15</v>
      </c>
      <c r="G341" s="1" t="b">
        <v>0</v>
      </c>
      <c r="H341" s="1">
        <v>6</v>
      </c>
      <c r="I341" s="1">
        <v>2</v>
      </c>
      <c r="J341" s="1">
        <v>0.32</v>
      </c>
    </row>
    <row r="342" spans="1:10" x14ac:dyDescent="0.25">
      <c r="A342" s="1">
        <v>341</v>
      </c>
      <c r="B342" s="2">
        <v>40558</v>
      </c>
      <c r="C342" s="1">
        <v>1</v>
      </c>
      <c r="D342" s="1">
        <v>0</v>
      </c>
      <c r="E342" s="1">
        <v>1</v>
      </c>
      <c r="F342" s="1">
        <v>16</v>
      </c>
      <c r="G342" s="1" t="b">
        <v>0</v>
      </c>
      <c r="H342" s="1">
        <v>6</v>
      </c>
      <c r="I342" s="1">
        <v>2</v>
      </c>
      <c r="J342" s="1">
        <v>0.34</v>
      </c>
    </row>
    <row r="343" spans="1:10" x14ac:dyDescent="0.25">
      <c r="A343" s="1">
        <v>342</v>
      </c>
      <c r="B343" s="2">
        <v>40558</v>
      </c>
      <c r="C343" s="1">
        <v>1</v>
      </c>
      <c r="D343" s="1">
        <v>0</v>
      </c>
      <c r="E343" s="1">
        <v>1</v>
      </c>
      <c r="F343" s="1">
        <v>17</v>
      </c>
      <c r="G343" s="1" t="b">
        <v>0</v>
      </c>
      <c r="H343" s="1">
        <v>6</v>
      </c>
      <c r="I343" s="1">
        <v>2</v>
      </c>
      <c r="J343" s="1">
        <v>0.32</v>
      </c>
    </row>
    <row r="344" spans="1:10" x14ac:dyDescent="0.25">
      <c r="A344" s="1">
        <v>343</v>
      </c>
      <c r="B344" s="2">
        <v>40558</v>
      </c>
      <c r="C344" s="1">
        <v>1</v>
      </c>
      <c r="D344" s="1">
        <v>0</v>
      </c>
      <c r="E344" s="1">
        <v>1</v>
      </c>
      <c r="F344" s="1">
        <v>18</v>
      </c>
      <c r="G344" s="1" t="b">
        <v>0</v>
      </c>
      <c r="H344" s="1">
        <v>6</v>
      </c>
      <c r="I344" s="1">
        <v>2</v>
      </c>
      <c r="J344" s="1">
        <v>0.3</v>
      </c>
    </row>
    <row r="345" spans="1:10" x14ac:dyDescent="0.25">
      <c r="A345" s="1">
        <v>344</v>
      </c>
      <c r="B345" s="2">
        <v>40558</v>
      </c>
      <c r="C345" s="1">
        <v>1</v>
      </c>
      <c r="D345" s="1">
        <v>0</v>
      </c>
      <c r="E345" s="1">
        <v>1</v>
      </c>
      <c r="F345" s="1">
        <v>19</v>
      </c>
      <c r="G345" s="1" t="b">
        <v>0</v>
      </c>
      <c r="H345" s="1">
        <v>6</v>
      </c>
      <c r="I345" s="1">
        <v>2</v>
      </c>
      <c r="J345" s="1">
        <v>0.32</v>
      </c>
    </row>
    <row r="346" spans="1:10" x14ac:dyDescent="0.25">
      <c r="A346" s="1">
        <v>345</v>
      </c>
      <c r="B346" s="2">
        <v>40558</v>
      </c>
      <c r="C346" s="1">
        <v>1</v>
      </c>
      <c r="D346" s="1">
        <v>0</v>
      </c>
      <c r="E346" s="1">
        <v>1</v>
      </c>
      <c r="F346" s="1">
        <v>20</v>
      </c>
      <c r="G346" s="1" t="b">
        <v>0</v>
      </c>
      <c r="H346" s="1">
        <v>6</v>
      </c>
      <c r="I346" s="1">
        <v>2</v>
      </c>
      <c r="J346" s="1">
        <v>0.32</v>
      </c>
    </row>
    <row r="347" spans="1:10" x14ac:dyDescent="0.25">
      <c r="A347" s="1">
        <v>346</v>
      </c>
      <c r="B347" s="2">
        <v>40558</v>
      </c>
      <c r="C347" s="1">
        <v>1</v>
      </c>
      <c r="D347" s="1">
        <v>0</v>
      </c>
      <c r="E347" s="1">
        <v>1</v>
      </c>
      <c r="F347" s="1">
        <v>21</v>
      </c>
      <c r="G347" s="1" t="b">
        <v>0</v>
      </c>
      <c r="H347" s="1">
        <v>6</v>
      </c>
      <c r="I347" s="1">
        <v>2</v>
      </c>
      <c r="J347" s="1">
        <v>0.32</v>
      </c>
    </row>
    <row r="348" spans="1:10" x14ac:dyDescent="0.25">
      <c r="A348" s="1">
        <v>347</v>
      </c>
      <c r="B348" s="2">
        <v>40558</v>
      </c>
      <c r="C348" s="1">
        <v>1</v>
      </c>
      <c r="D348" s="1">
        <v>0</v>
      </c>
      <c r="E348" s="1">
        <v>1</v>
      </c>
      <c r="F348" s="1">
        <v>22</v>
      </c>
      <c r="G348" s="1" t="b">
        <v>0</v>
      </c>
      <c r="H348" s="1">
        <v>6</v>
      </c>
      <c r="I348" s="1">
        <v>2</v>
      </c>
      <c r="J348" s="1">
        <v>0.3</v>
      </c>
    </row>
    <row r="349" spans="1:10" x14ac:dyDescent="0.25">
      <c r="A349" s="1">
        <v>348</v>
      </c>
      <c r="B349" s="2">
        <v>40558</v>
      </c>
      <c r="C349" s="1">
        <v>1</v>
      </c>
      <c r="D349" s="1">
        <v>0</v>
      </c>
      <c r="E349" s="1">
        <v>1</v>
      </c>
      <c r="F349" s="1">
        <v>23</v>
      </c>
      <c r="G349" s="1" t="b">
        <v>0</v>
      </c>
      <c r="H349" s="1">
        <v>6</v>
      </c>
      <c r="I349" s="1">
        <v>1</v>
      </c>
      <c r="J349" s="1">
        <v>0.3</v>
      </c>
    </row>
    <row r="350" spans="1:10" x14ac:dyDescent="0.25">
      <c r="A350" s="1">
        <v>349</v>
      </c>
      <c r="B350" s="2">
        <v>40559</v>
      </c>
      <c r="C350" s="1">
        <v>1</v>
      </c>
      <c r="D350" s="1">
        <v>0</v>
      </c>
      <c r="E350" s="1">
        <v>1</v>
      </c>
      <c r="F350" s="1">
        <v>0</v>
      </c>
      <c r="G350" s="1" t="b">
        <v>0</v>
      </c>
      <c r="H350" s="1">
        <v>0</v>
      </c>
      <c r="I350" s="1">
        <v>1</v>
      </c>
      <c r="J350" s="1">
        <v>0.26</v>
      </c>
    </row>
    <row r="351" spans="1:10" x14ac:dyDescent="0.25">
      <c r="A351" s="1">
        <v>350</v>
      </c>
      <c r="B351" s="2">
        <v>40559</v>
      </c>
      <c r="C351" s="1">
        <v>1</v>
      </c>
      <c r="D351" s="1">
        <v>0</v>
      </c>
      <c r="E351" s="1">
        <v>1</v>
      </c>
      <c r="F351" s="1">
        <v>1</v>
      </c>
      <c r="G351" s="1" t="b">
        <v>0</v>
      </c>
      <c r="H351" s="1">
        <v>0</v>
      </c>
      <c r="I351" s="1">
        <v>1</v>
      </c>
      <c r="J351" s="1">
        <v>0.26</v>
      </c>
    </row>
    <row r="352" spans="1:10" x14ac:dyDescent="0.25">
      <c r="A352" s="1">
        <v>351</v>
      </c>
      <c r="B352" s="2">
        <v>40559</v>
      </c>
      <c r="C352" s="1">
        <v>1</v>
      </c>
      <c r="D352" s="1">
        <v>0</v>
      </c>
      <c r="E352" s="1">
        <v>1</v>
      </c>
      <c r="F352" s="1">
        <v>2</v>
      </c>
      <c r="G352" s="1" t="b">
        <v>0</v>
      </c>
      <c r="H352" s="1">
        <v>0</v>
      </c>
      <c r="I352" s="1">
        <v>1</v>
      </c>
      <c r="J352" s="1">
        <v>0.26</v>
      </c>
    </row>
    <row r="353" spans="1:10" x14ac:dyDescent="0.25">
      <c r="A353" s="1">
        <v>352</v>
      </c>
      <c r="B353" s="2">
        <v>40559</v>
      </c>
      <c r="C353" s="1">
        <v>1</v>
      </c>
      <c r="D353" s="1">
        <v>0</v>
      </c>
      <c r="E353" s="1">
        <v>1</v>
      </c>
      <c r="F353" s="1">
        <v>3</v>
      </c>
      <c r="G353" s="1" t="b">
        <v>0</v>
      </c>
      <c r="H353" s="1">
        <v>0</v>
      </c>
      <c r="I353" s="1">
        <v>1</v>
      </c>
      <c r="J353" s="1">
        <v>0.22</v>
      </c>
    </row>
    <row r="354" spans="1:10" x14ac:dyDescent="0.25">
      <c r="A354" s="1">
        <v>353</v>
      </c>
      <c r="B354" s="2">
        <v>40559</v>
      </c>
      <c r="C354" s="1">
        <v>1</v>
      </c>
      <c r="D354" s="1">
        <v>0</v>
      </c>
      <c r="E354" s="1">
        <v>1</v>
      </c>
      <c r="F354" s="1">
        <v>4</v>
      </c>
      <c r="G354" s="1" t="b">
        <v>0</v>
      </c>
      <c r="H354" s="1">
        <v>0</v>
      </c>
      <c r="I354" s="1">
        <v>1</v>
      </c>
      <c r="J354" s="1">
        <v>0.26</v>
      </c>
    </row>
    <row r="355" spans="1:10" x14ac:dyDescent="0.25">
      <c r="A355" s="1">
        <v>354</v>
      </c>
      <c r="B355" s="2">
        <v>40559</v>
      </c>
      <c r="C355" s="1">
        <v>1</v>
      </c>
      <c r="D355" s="1">
        <v>0</v>
      </c>
      <c r="E355" s="1">
        <v>1</v>
      </c>
      <c r="F355" s="1">
        <v>5</v>
      </c>
      <c r="G355" s="1" t="b">
        <v>0</v>
      </c>
      <c r="H355" s="1">
        <v>0</v>
      </c>
      <c r="I355" s="1">
        <v>2</v>
      </c>
      <c r="J355" s="1">
        <v>0.26</v>
      </c>
    </row>
    <row r="356" spans="1:10" x14ac:dyDescent="0.25">
      <c r="A356" s="1">
        <v>355</v>
      </c>
      <c r="B356" s="2">
        <v>40559</v>
      </c>
      <c r="C356" s="1">
        <v>1</v>
      </c>
      <c r="D356" s="1">
        <v>0</v>
      </c>
      <c r="E356" s="1">
        <v>1</v>
      </c>
      <c r="F356" s="1">
        <v>6</v>
      </c>
      <c r="G356" s="1" t="b">
        <v>0</v>
      </c>
      <c r="H356" s="1">
        <v>0</v>
      </c>
      <c r="I356" s="1">
        <v>2</v>
      </c>
      <c r="J356" s="1">
        <v>0.26</v>
      </c>
    </row>
    <row r="357" spans="1:10" x14ac:dyDescent="0.25">
      <c r="A357" s="1">
        <v>356</v>
      </c>
      <c r="B357" s="2">
        <v>40559</v>
      </c>
      <c r="C357" s="1">
        <v>1</v>
      </c>
      <c r="D357" s="1">
        <v>0</v>
      </c>
      <c r="E357" s="1">
        <v>1</v>
      </c>
      <c r="F357" s="1">
        <v>7</v>
      </c>
      <c r="G357" s="1" t="b">
        <v>0</v>
      </c>
      <c r="H357" s="1">
        <v>0</v>
      </c>
      <c r="I357" s="1">
        <v>2</v>
      </c>
      <c r="J357" s="1">
        <v>0.24</v>
      </c>
    </row>
    <row r="358" spans="1:10" x14ac:dyDescent="0.25">
      <c r="A358" s="1">
        <v>357</v>
      </c>
      <c r="B358" s="2">
        <v>40559</v>
      </c>
      <c r="C358" s="1">
        <v>1</v>
      </c>
      <c r="D358" s="1">
        <v>0</v>
      </c>
      <c r="E358" s="1">
        <v>1</v>
      </c>
      <c r="F358" s="1">
        <v>8</v>
      </c>
      <c r="G358" s="1" t="b">
        <v>0</v>
      </c>
      <c r="H358" s="1">
        <v>0</v>
      </c>
      <c r="I358" s="1">
        <v>1</v>
      </c>
      <c r="J358" s="1">
        <v>0.22</v>
      </c>
    </row>
    <row r="359" spans="1:10" x14ac:dyDescent="0.25">
      <c r="A359" s="1">
        <v>358</v>
      </c>
      <c r="B359" s="2">
        <v>40559</v>
      </c>
      <c r="C359" s="1">
        <v>1</v>
      </c>
      <c r="D359" s="1">
        <v>0</v>
      </c>
      <c r="E359" s="1">
        <v>1</v>
      </c>
      <c r="F359" s="1">
        <v>9</v>
      </c>
      <c r="G359" s="1" t="b">
        <v>0</v>
      </c>
      <c r="H359" s="1">
        <v>0</v>
      </c>
      <c r="I359" s="1">
        <v>1</v>
      </c>
      <c r="J359" s="1">
        <v>0.22</v>
      </c>
    </row>
    <row r="360" spans="1:10" x14ac:dyDescent="0.25">
      <c r="A360" s="1">
        <v>359</v>
      </c>
      <c r="B360" s="2">
        <v>40559</v>
      </c>
      <c r="C360" s="1">
        <v>1</v>
      </c>
      <c r="D360" s="1">
        <v>0</v>
      </c>
      <c r="E360" s="1">
        <v>1</v>
      </c>
      <c r="F360" s="1">
        <v>10</v>
      </c>
      <c r="G360" s="1" t="b">
        <v>0</v>
      </c>
      <c r="H360" s="1">
        <v>0</v>
      </c>
      <c r="I360" s="1">
        <v>1</v>
      </c>
      <c r="J360" s="1">
        <v>0.22</v>
      </c>
    </row>
    <row r="361" spans="1:10" x14ac:dyDescent="0.25">
      <c r="A361" s="1">
        <v>360</v>
      </c>
      <c r="B361" s="2">
        <v>40559</v>
      </c>
      <c r="C361" s="1">
        <v>1</v>
      </c>
      <c r="D361" s="1">
        <v>0</v>
      </c>
      <c r="E361" s="1">
        <v>1</v>
      </c>
      <c r="F361" s="1">
        <v>11</v>
      </c>
      <c r="G361" s="1" t="b">
        <v>0</v>
      </c>
      <c r="H361" s="1">
        <v>0</v>
      </c>
      <c r="I361" s="1">
        <v>1</v>
      </c>
      <c r="J361" s="1">
        <v>0.24</v>
      </c>
    </row>
    <row r="362" spans="1:10" x14ac:dyDescent="0.25">
      <c r="A362" s="1">
        <v>361</v>
      </c>
      <c r="B362" s="2">
        <v>40559</v>
      </c>
      <c r="C362" s="1">
        <v>1</v>
      </c>
      <c r="D362" s="1">
        <v>0</v>
      </c>
      <c r="E362" s="1">
        <v>1</v>
      </c>
      <c r="F362" s="1">
        <v>12</v>
      </c>
      <c r="G362" s="1" t="b">
        <v>0</v>
      </c>
      <c r="H362" s="1">
        <v>0</v>
      </c>
      <c r="I362" s="1">
        <v>1</v>
      </c>
      <c r="J362" s="1">
        <v>0.24</v>
      </c>
    </row>
    <row r="363" spans="1:10" x14ac:dyDescent="0.25">
      <c r="A363" s="1">
        <v>362</v>
      </c>
      <c r="B363" s="2">
        <v>40559</v>
      </c>
      <c r="C363" s="1">
        <v>1</v>
      </c>
      <c r="D363" s="1">
        <v>0</v>
      </c>
      <c r="E363" s="1">
        <v>1</v>
      </c>
      <c r="F363" s="1">
        <v>13</v>
      </c>
      <c r="G363" s="1" t="b">
        <v>0</v>
      </c>
      <c r="H363" s="1">
        <v>0</v>
      </c>
      <c r="I363" s="1">
        <v>1</v>
      </c>
      <c r="J363" s="1">
        <v>0.26</v>
      </c>
    </row>
    <row r="364" spans="1:10" x14ac:dyDescent="0.25">
      <c r="A364" s="1">
        <v>363</v>
      </c>
      <c r="B364" s="2">
        <v>40559</v>
      </c>
      <c r="C364" s="1">
        <v>1</v>
      </c>
      <c r="D364" s="1">
        <v>0</v>
      </c>
      <c r="E364" s="1">
        <v>1</v>
      </c>
      <c r="F364" s="1">
        <v>14</v>
      </c>
      <c r="G364" s="1" t="b">
        <v>0</v>
      </c>
      <c r="H364" s="1">
        <v>0</v>
      </c>
      <c r="I364" s="1">
        <v>1</v>
      </c>
      <c r="J364" s="1">
        <v>0.28000000000000003</v>
      </c>
    </row>
    <row r="365" spans="1:10" x14ac:dyDescent="0.25">
      <c r="A365" s="1">
        <v>364</v>
      </c>
      <c r="B365" s="2">
        <v>40559</v>
      </c>
      <c r="C365" s="1">
        <v>1</v>
      </c>
      <c r="D365" s="1">
        <v>0</v>
      </c>
      <c r="E365" s="1">
        <v>1</v>
      </c>
      <c r="F365" s="1">
        <v>15</v>
      </c>
      <c r="G365" s="1" t="b">
        <v>0</v>
      </c>
      <c r="H365" s="1">
        <v>0</v>
      </c>
      <c r="I365" s="1">
        <v>1</v>
      </c>
      <c r="J365" s="1">
        <v>0.26</v>
      </c>
    </row>
    <row r="366" spans="1:10" x14ac:dyDescent="0.25">
      <c r="A366" s="1">
        <v>365</v>
      </c>
      <c r="B366" s="2">
        <v>40559</v>
      </c>
      <c r="C366" s="1">
        <v>1</v>
      </c>
      <c r="D366" s="1">
        <v>0</v>
      </c>
      <c r="E366" s="1">
        <v>1</v>
      </c>
      <c r="F366" s="1">
        <v>16</v>
      </c>
      <c r="G366" s="1" t="b">
        <v>0</v>
      </c>
      <c r="H366" s="1">
        <v>0</v>
      </c>
      <c r="I366" s="1">
        <v>1</v>
      </c>
      <c r="J366" s="1">
        <v>0.24</v>
      </c>
    </row>
    <row r="367" spans="1:10" x14ac:dyDescent="0.25">
      <c r="A367" s="1">
        <v>366</v>
      </c>
      <c r="B367" s="2">
        <v>40559</v>
      </c>
      <c r="C367" s="1">
        <v>1</v>
      </c>
      <c r="D367" s="1">
        <v>0</v>
      </c>
      <c r="E367" s="1">
        <v>1</v>
      </c>
      <c r="F367" s="1">
        <v>17</v>
      </c>
      <c r="G367" s="1" t="b">
        <v>0</v>
      </c>
      <c r="H367" s="1">
        <v>0</v>
      </c>
      <c r="I367" s="1">
        <v>1</v>
      </c>
      <c r="J367" s="1">
        <v>0.22</v>
      </c>
    </row>
    <row r="368" spans="1:10" x14ac:dyDescent="0.25">
      <c r="A368" s="1">
        <v>367</v>
      </c>
      <c r="B368" s="2">
        <v>40559</v>
      </c>
      <c r="C368" s="1">
        <v>1</v>
      </c>
      <c r="D368" s="1">
        <v>0</v>
      </c>
      <c r="E368" s="1">
        <v>1</v>
      </c>
      <c r="F368" s="1">
        <v>18</v>
      </c>
      <c r="G368" s="1" t="b">
        <v>0</v>
      </c>
      <c r="H368" s="1">
        <v>0</v>
      </c>
      <c r="I368" s="1">
        <v>1</v>
      </c>
      <c r="J368" s="1">
        <v>0.2</v>
      </c>
    </row>
    <row r="369" spans="1:10" x14ac:dyDescent="0.25">
      <c r="A369" s="1">
        <v>368</v>
      </c>
      <c r="B369" s="2">
        <v>40559</v>
      </c>
      <c r="C369" s="1">
        <v>1</v>
      </c>
      <c r="D369" s="1">
        <v>0</v>
      </c>
      <c r="E369" s="1">
        <v>1</v>
      </c>
      <c r="F369" s="1">
        <v>19</v>
      </c>
      <c r="G369" s="1" t="b">
        <v>0</v>
      </c>
      <c r="H369" s="1">
        <v>0</v>
      </c>
      <c r="I369" s="1">
        <v>1</v>
      </c>
      <c r="J369" s="1">
        <v>0.18</v>
      </c>
    </row>
    <row r="370" spans="1:10" x14ac:dyDescent="0.25">
      <c r="A370" s="1">
        <v>369</v>
      </c>
      <c r="B370" s="2">
        <v>40559</v>
      </c>
      <c r="C370" s="1">
        <v>1</v>
      </c>
      <c r="D370" s="1">
        <v>0</v>
      </c>
      <c r="E370" s="1">
        <v>1</v>
      </c>
      <c r="F370" s="1">
        <v>20</v>
      </c>
      <c r="G370" s="1" t="b">
        <v>0</v>
      </c>
      <c r="H370" s="1">
        <v>0</v>
      </c>
      <c r="I370" s="1">
        <v>1</v>
      </c>
      <c r="J370" s="1">
        <v>0.18</v>
      </c>
    </row>
    <row r="371" spans="1:10" x14ac:dyDescent="0.25">
      <c r="A371" s="1">
        <v>370</v>
      </c>
      <c r="B371" s="2">
        <v>40559</v>
      </c>
      <c r="C371" s="1">
        <v>1</v>
      </c>
      <c r="D371" s="1">
        <v>0</v>
      </c>
      <c r="E371" s="1">
        <v>1</v>
      </c>
      <c r="F371" s="1">
        <v>21</v>
      </c>
      <c r="G371" s="1" t="b">
        <v>0</v>
      </c>
      <c r="H371" s="1">
        <v>0</v>
      </c>
      <c r="I371" s="1">
        <v>1</v>
      </c>
      <c r="J371" s="1">
        <v>0.18</v>
      </c>
    </row>
    <row r="372" spans="1:10" x14ac:dyDescent="0.25">
      <c r="A372" s="1">
        <v>371</v>
      </c>
      <c r="B372" s="2">
        <v>40559</v>
      </c>
      <c r="C372" s="1">
        <v>1</v>
      </c>
      <c r="D372" s="1">
        <v>0</v>
      </c>
      <c r="E372" s="1">
        <v>1</v>
      </c>
      <c r="F372" s="1">
        <v>22</v>
      </c>
      <c r="G372" s="1" t="b">
        <v>0</v>
      </c>
      <c r="H372" s="1">
        <v>0</v>
      </c>
      <c r="I372" s="1">
        <v>2</v>
      </c>
      <c r="J372" s="1">
        <v>0.2</v>
      </c>
    </row>
    <row r="373" spans="1:10" x14ac:dyDescent="0.25">
      <c r="A373" s="1">
        <v>372</v>
      </c>
      <c r="B373" s="2">
        <v>40559</v>
      </c>
      <c r="C373" s="1">
        <v>1</v>
      </c>
      <c r="D373" s="1">
        <v>0</v>
      </c>
      <c r="E373" s="1">
        <v>1</v>
      </c>
      <c r="F373" s="1">
        <v>23</v>
      </c>
      <c r="G373" s="1" t="b">
        <v>0</v>
      </c>
      <c r="H373" s="1">
        <v>0</v>
      </c>
      <c r="I373" s="1">
        <v>2</v>
      </c>
      <c r="J373" s="1">
        <v>0.2</v>
      </c>
    </row>
    <row r="374" spans="1:10" x14ac:dyDescent="0.25">
      <c r="A374" s="1">
        <v>373</v>
      </c>
      <c r="B374" s="2">
        <v>40560</v>
      </c>
      <c r="C374" s="1">
        <v>1</v>
      </c>
      <c r="D374" s="1">
        <v>0</v>
      </c>
      <c r="E374" s="1">
        <v>1</v>
      </c>
      <c r="F374" s="1">
        <v>0</v>
      </c>
      <c r="G374" s="1" t="b">
        <v>1</v>
      </c>
      <c r="H374" s="1">
        <v>1</v>
      </c>
      <c r="I374" s="1">
        <v>2</v>
      </c>
      <c r="J374" s="1">
        <v>0.2</v>
      </c>
    </row>
    <row r="375" spans="1:10" x14ac:dyDescent="0.25">
      <c r="A375" s="1">
        <v>374</v>
      </c>
      <c r="B375" s="2">
        <v>40560</v>
      </c>
      <c r="C375" s="1">
        <v>1</v>
      </c>
      <c r="D375" s="1">
        <v>0</v>
      </c>
      <c r="E375" s="1">
        <v>1</v>
      </c>
      <c r="F375" s="1">
        <v>1</v>
      </c>
      <c r="G375" s="1" t="b">
        <v>1</v>
      </c>
      <c r="H375" s="1">
        <v>1</v>
      </c>
      <c r="I375" s="1">
        <v>2</v>
      </c>
      <c r="J375" s="1">
        <v>0.2</v>
      </c>
    </row>
    <row r="376" spans="1:10" x14ac:dyDescent="0.25">
      <c r="A376" s="1">
        <v>375</v>
      </c>
      <c r="B376" s="2">
        <v>40560</v>
      </c>
      <c r="C376" s="1">
        <v>1</v>
      </c>
      <c r="D376" s="1">
        <v>0</v>
      </c>
      <c r="E376" s="1">
        <v>1</v>
      </c>
      <c r="F376" s="1">
        <v>2</v>
      </c>
      <c r="G376" s="1" t="b">
        <v>1</v>
      </c>
      <c r="H376" s="1">
        <v>1</v>
      </c>
      <c r="I376" s="1">
        <v>2</v>
      </c>
      <c r="J376" s="1">
        <v>0.18</v>
      </c>
    </row>
    <row r="377" spans="1:10" x14ac:dyDescent="0.25">
      <c r="A377" s="1">
        <v>376</v>
      </c>
      <c r="B377" s="2">
        <v>40560</v>
      </c>
      <c r="C377" s="1">
        <v>1</v>
      </c>
      <c r="D377" s="1">
        <v>0</v>
      </c>
      <c r="E377" s="1">
        <v>1</v>
      </c>
      <c r="F377" s="1">
        <v>3</v>
      </c>
      <c r="G377" s="1" t="b">
        <v>1</v>
      </c>
      <c r="H377" s="1">
        <v>1</v>
      </c>
      <c r="I377" s="1">
        <v>2</v>
      </c>
      <c r="J377" s="1">
        <v>0.18</v>
      </c>
    </row>
    <row r="378" spans="1:10" x14ac:dyDescent="0.25">
      <c r="A378" s="1">
        <v>377</v>
      </c>
      <c r="B378" s="2">
        <v>40560</v>
      </c>
      <c r="C378" s="1">
        <v>1</v>
      </c>
      <c r="D378" s="1">
        <v>0</v>
      </c>
      <c r="E378" s="1">
        <v>1</v>
      </c>
      <c r="F378" s="1">
        <v>4</v>
      </c>
      <c r="G378" s="1" t="b">
        <v>1</v>
      </c>
      <c r="H378" s="1">
        <v>1</v>
      </c>
      <c r="I378" s="1">
        <v>2</v>
      </c>
      <c r="J378" s="1">
        <v>0.18</v>
      </c>
    </row>
    <row r="379" spans="1:10" x14ac:dyDescent="0.25">
      <c r="A379" s="1">
        <v>378</v>
      </c>
      <c r="B379" s="2">
        <v>40560</v>
      </c>
      <c r="C379" s="1">
        <v>1</v>
      </c>
      <c r="D379" s="1">
        <v>0</v>
      </c>
      <c r="E379" s="1">
        <v>1</v>
      </c>
      <c r="F379" s="1">
        <v>5</v>
      </c>
      <c r="G379" s="1" t="b">
        <v>1</v>
      </c>
      <c r="H379" s="1">
        <v>1</v>
      </c>
      <c r="I379" s="1">
        <v>2</v>
      </c>
      <c r="J379" s="1">
        <v>0.18</v>
      </c>
    </row>
    <row r="380" spans="1:10" x14ac:dyDescent="0.25">
      <c r="A380" s="1">
        <v>379</v>
      </c>
      <c r="B380" s="2">
        <v>40560</v>
      </c>
      <c r="C380" s="1">
        <v>1</v>
      </c>
      <c r="D380" s="1">
        <v>0</v>
      </c>
      <c r="E380" s="1">
        <v>1</v>
      </c>
      <c r="F380" s="1">
        <v>6</v>
      </c>
      <c r="G380" s="1" t="b">
        <v>1</v>
      </c>
      <c r="H380" s="1">
        <v>1</v>
      </c>
      <c r="I380" s="1">
        <v>2</v>
      </c>
      <c r="J380" s="1">
        <v>0.18</v>
      </c>
    </row>
    <row r="381" spans="1:10" x14ac:dyDescent="0.25">
      <c r="A381" s="1">
        <v>380</v>
      </c>
      <c r="B381" s="2">
        <v>40560</v>
      </c>
      <c r="C381" s="1">
        <v>1</v>
      </c>
      <c r="D381" s="1">
        <v>0</v>
      </c>
      <c r="E381" s="1">
        <v>1</v>
      </c>
      <c r="F381" s="1">
        <v>7</v>
      </c>
      <c r="G381" s="1" t="b">
        <v>1</v>
      </c>
      <c r="H381" s="1">
        <v>1</v>
      </c>
      <c r="I381" s="1">
        <v>2</v>
      </c>
      <c r="J381" s="1">
        <v>0.16</v>
      </c>
    </row>
    <row r="382" spans="1:10" x14ac:dyDescent="0.25">
      <c r="A382" s="1">
        <v>381</v>
      </c>
      <c r="B382" s="2">
        <v>40560</v>
      </c>
      <c r="C382" s="1">
        <v>1</v>
      </c>
      <c r="D382" s="1">
        <v>0</v>
      </c>
      <c r="E382" s="1">
        <v>1</v>
      </c>
      <c r="F382" s="1">
        <v>8</v>
      </c>
      <c r="G382" s="1" t="b">
        <v>1</v>
      </c>
      <c r="H382" s="1">
        <v>1</v>
      </c>
      <c r="I382" s="1">
        <v>2</v>
      </c>
      <c r="J382" s="1">
        <v>0.16</v>
      </c>
    </row>
    <row r="383" spans="1:10" x14ac:dyDescent="0.25">
      <c r="A383" s="1">
        <v>382</v>
      </c>
      <c r="B383" s="2">
        <v>40560</v>
      </c>
      <c r="C383" s="1">
        <v>1</v>
      </c>
      <c r="D383" s="1">
        <v>0</v>
      </c>
      <c r="E383" s="1">
        <v>1</v>
      </c>
      <c r="F383" s="1">
        <v>9</v>
      </c>
      <c r="G383" s="1" t="b">
        <v>1</v>
      </c>
      <c r="H383" s="1">
        <v>1</v>
      </c>
      <c r="I383" s="1">
        <v>2</v>
      </c>
      <c r="J383" s="1">
        <v>0.16</v>
      </c>
    </row>
    <row r="384" spans="1:10" x14ac:dyDescent="0.25">
      <c r="A384" s="1">
        <v>383</v>
      </c>
      <c r="B384" s="2">
        <v>40560</v>
      </c>
      <c r="C384" s="1">
        <v>1</v>
      </c>
      <c r="D384" s="1">
        <v>0</v>
      </c>
      <c r="E384" s="1">
        <v>1</v>
      </c>
      <c r="F384" s="1">
        <v>10</v>
      </c>
      <c r="G384" s="1" t="b">
        <v>1</v>
      </c>
      <c r="H384" s="1">
        <v>1</v>
      </c>
      <c r="I384" s="1">
        <v>2</v>
      </c>
      <c r="J384" s="1">
        <v>0.16</v>
      </c>
    </row>
    <row r="385" spans="1:10" x14ac:dyDescent="0.25">
      <c r="A385" s="1">
        <v>384</v>
      </c>
      <c r="B385" s="2">
        <v>40560</v>
      </c>
      <c r="C385" s="1">
        <v>1</v>
      </c>
      <c r="D385" s="1">
        <v>0</v>
      </c>
      <c r="E385" s="1">
        <v>1</v>
      </c>
      <c r="F385" s="1">
        <v>11</v>
      </c>
      <c r="G385" s="1" t="b">
        <v>1</v>
      </c>
      <c r="H385" s="1">
        <v>1</v>
      </c>
      <c r="I385" s="1">
        <v>2</v>
      </c>
      <c r="J385" s="1">
        <v>0.16</v>
      </c>
    </row>
    <row r="386" spans="1:10" x14ac:dyDescent="0.25">
      <c r="A386" s="1">
        <v>385</v>
      </c>
      <c r="B386" s="2">
        <v>40560</v>
      </c>
      <c r="C386" s="1">
        <v>1</v>
      </c>
      <c r="D386" s="1">
        <v>0</v>
      </c>
      <c r="E386" s="1">
        <v>1</v>
      </c>
      <c r="F386" s="1">
        <v>12</v>
      </c>
      <c r="G386" s="1" t="b">
        <v>1</v>
      </c>
      <c r="H386" s="1">
        <v>1</v>
      </c>
      <c r="I386" s="1">
        <v>2</v>
      </c>
      <c r="J386" s="1">
        <v>0.18</v>
      </c>
    </row>
    <row r="387" spans="1:10" x14ac:dyDescent="0.25">
      <c r="A387" s="1">
        <v>386</v>
      </c>
      <c r="B387" s="2">
        <v>40560</v>
      </c>
      <c r="C387" s="1">
        <v>1</v>
      </c>
      <c r="D387" s="1">
        <v>0</v>
      </c>
      <c r="E387" s="1">
        <v>1</v>
      </c>
      <c r="F387" s="1">
        <v>13</v>
      </c>
      <c r="G387" s="1" t="b">
        <v>1</v>
      </c>
      <c r="H387" s="1">
        <v>1</v>
      </c>
      <c r="I387" s="1">
        <v>2</v>
      </c>
      <c r="J387" s="1">
        <v>0.18</v>
      </c>
    </row>
    <row r="388" spans="1:10" x14ac:dyDescent="0.25">
      <c r="A388" s="1">
        <v>387</v>
      </c>
      <c r="B388" s="2">
        <v>40560</v>
      </c>
      <c r="C388" s="1">
        <v>1</v>
      </c>
      <c r="D388" s="1">
        <v>0</v>
      </c>
      <c r="E388" s="1">
        <v>1</v>
      </c>
      <c r="F388" s="1">
        <v>14</v>
      </c>
      <c r="G388" s="1" t="b">
        <v>1</v>
      </c>
      <c r="H388" s="1">
        <v>1</v>
      </c>
      <c r="I388" s="1">
        <v>2</v>
      </c>
      <c r="J388" s="1">
        <v>0.18</v>
      </c>
    </row>
    <row r="389" spans="1:10" x14ac:dyDescent="0.25">
      <c r="A389" s="1">
        <v>388</v>
      </c>
      <c r="B389" s="2">
        <v>40560</v>
      </c>
      <c r="C389" s="1">
        <v>1</v>
      </c>
      <c r="D389" s="1">
        <v>0</v>
      </c>
      <c r="E389" s="1">
        <v>1</v>
      </c>
      <c r="F389" s="1">
        <v>15</v>
      </c>
      <c r="G389" s="1" t="b">
        <v>1</v>
      </c>
      <c r="H389" s="1">
        <v>1</v>
      </c>
      <c r="I389" s="1">
        <v>2</v>
      </c>
      <c r="J389" s="1">
        <v>0.2</v>
      </c>
    </row>
    <row r="390" spans="1:10" x14ac:dyDescent="0.25">
      <c r="A390" s="1">
        <v>389</v>
      </c>
      <c r="B390" s="2">
        <v>40560</v>
      </c>
      <c r="C390" s="1">
        <v>1</v>
      </c>
      <c r="D390" s="1">
        <v>0</v>
      </c>
      <c r="E390" s="1">
        <v>1</v>
      </c>
      <c r="F390" s="1">
        <v>16</v>
      </c>
      <c r="G390" s="1" t="b">
        <v>1</v>
      </c>
      <c r="H390" s="1">
        <v>1</v>
      </c>
      <c r="I390" s="1">
        <v>2</v>
      </c>
      <c r="J390" s="1">
        <v>0.2</v>
      </c>
    </row>
    <row r="391" spans="1:10" x14ac:dyDescent="0.25">
      <c r="A391" s="1">
        <v>390</v>
      </c>
      <c r="B391" s="2">
        <v>40560</v>
      </c>
      <c r="C391" s="1">
        <v>1</v>
      </c>
      <c r="D391" s="1">
        <v>0</v>
      </c>
      <c r="E391" s="1">
        <v>1</v>
      </c>
      <c r="F391" s="1">
        <v>17</v>
      </c>
      <c r="G391" s="1" t="b">
        <v>1</v>
      </c>
      <c r="H391" s="1">
        <v>1</v>
      </c>
      <c r="I391" s="1">
        <v>1</v>
      </c>
      <c r="J391" s="1">
        <v>0.2</v>
      </c>
    </row>
    <row r="392" spans="1:10" x14ac:dyDescent="0.25">
      <c r="A392" s="1">
        <v>391</v>
      </c>
      <c r="B392" s="2">
        <v>40560</v>
      </c>
      <c r="C392" s="1">
        <v>1</v>
      </c>
      <c r="D392" s="1">
        <v>0</v>
      </c>
      <c r="E392" s="1">
        <v>1</v>
      </c>
      <c r="F392" s="1">
        <v>18</v>
      </c>
      <c r="G392" s="1" t="b">
        <v>1</v>
      </c>
      <c r="H392" s="1">
        <v>1</v>
      </c>
      <c r="I392" s="1">
        <v>2</v>
      </c>
      <c r="J392" s="1">
        <v>0.18</v>
      </c>
    </row>
    <row r="393" spans="1:10" x14ac:dyDescent="0.25">
      <c r="A393" s="1">
        <v>392</v>
      </c>
      <c r="B393" s="2">
        <v>40560</v>
      </c>
      <c r="C393" s="1">
        <v>1</v>
      </c>
      <c r="D393" s="1">
        <v>0</v>
      </c>
      <c r="E393" s="1">
        <v>1</v>
      </c>
      <c r="F393" s="1">
        <v>19</v>
      </c>
      <c r="G393" s="1" t="b">
        <v>1</v>
      </c>
      <c r="H393" s="1">
        <v>1</v>
      </c>
      <c r="I393" s="1">
        <v>3</v>
      </c>
      <c r="J393" s="1">
        <v>0.18</v>
      </c>
    </row>
    <row r="394" spans="1:10" x14ac:dyDescent="0.25">
      <c r="A394" s="1">
        <v>393</v>
      </c>
      <c r="B394" s="2">
        <v>40560</v>
      </c>
      <c r="C394" s="1">
        <v>1</v>
      </c>
      <c r="D394" s="1">
        <v>0</v>
      </c>
      <c r="E394" s="1">
        <v>1</v>
      </c>
      <c r="F394" s="1">
        <v>20</v>
      </c>
      <c r="G394" s="1" t="b">
        <v>1</v>
      </c>
      <c r="H394" s="1">
        <v>1</v>
      </c>
      <c r="I394" s="1">
        <v>3</v>
      </c>
      <c r="J394" s="1">
        <v>0.16</v>
      </c>
    </row>
    <row r="395" spans="1:10" x14ac:dyDescent="0.25">
      <c r="A395" s="1">
        <v>394</v>
      </c>
      <c r="B395" s="2">
        <v>40560</v>
      </c>
      <c r="C395" s="1">
        <v>1</v>
      </c>
      <c r="D395" s="1">
        <v>0</v>
      </c>
      <c r="E395" s="1">
        <v>1</v>
      </c>
      <c r="F395" s="1">
        <v>21</v>
      </c>
      <c r="G395" s="1" t="b">
        <v>1</v>
      </c>
      <c r="H395" s="1">
        <v>1</v>
      </c>
      <c r="I395" s="1">
        <v>3</v>
      </c>
      <c r="J395" s="1">
        <v>0.16</v>
      </c>
    </row>
    <row r="396" spans="1:10" x14ac:dyDescent="0.25">
      <c r="A396" s="1">
        <v>395</v>
      </c>
      <c r="B396" s="2">
        <v>40560</v>
      </c>
      <c r="C396" s="1">
        <v>1</v>
      </c>
      <c r="D396" s="1">
        <v>0</v>
      </c>
      <c r="E396" s="1">
        <v>1</v>
      </c>
      <c r="F396" s="1">
        <v>22</v>
      </c>
      <c r="G396" s="1" t="b">
        <v>1</v>
      </c>
      <c r="H396" s="1">
        <v>1</v>
      </c>
      <c r="I396" s="1">
        <v>3</v>
      </c>
      <c r="J396" s="1">
        <v>0.14000000000000001</v>
      </c>
    </row>
    <row r="397" spans="1:10" x14ac:dyDescent="0.25">
      <c r="A397" s="1">
        <v>396</v>
      </c>
      <c r="B397" s="2">
        <v>40560</v>
      </c>
      <c r="C397" s="1">
        <v>1</v>
      </c>
      <c r="D397" s="1">
        <v>0</v>
      </c>
      <c r="E397" s="1">
        <v>1</v>
      </c>
      <c r="F397" s="1">
        <v>23</v>
      </c>
      <c r="G397" s="1" t="b">
        <v>1</v>
      </c>
      <c r="H397" s="1">
        <v>1</v>
      </c>
      <c r="I397" s="1">
        <v>3</v>
      </c>
      <c r="J397" s="1">
        <v>0.16</v>
      </c>
    </row>
    <row r="398" spans="1:10" x14ac:dyDescent="0.25">
      <c r="A398" s="1">
        <v>397</v>
      </c>
      <c r="B398" s="2">
        <v>40561</v>
      </c>
      <c r="C398" s="1">
        <v>1</v>
      </c>
      <c r="D398" s="1">
        <v>0</v>
      </c>
      <c r="E398" s="1">
        <v>1</v>
      </c>
      <c r="F398" s="1">
        <v>12</v>
      </c>
      <c r="G398" s="1" t="b">
        <v>0</v>
      </c>
      <c r="H398" s="1">
        <v>2</v>
      </c>
      <c r="I398" s="1">
        <v>2</v>
      </c>
      <c r="J398" s="1">
        <v>0.2</v>
      </c>
    </row>
    <row r="399" spans="1:10" x14ac:dyDescent="0.25">
      <c r="A399" s="1">
        <v>398</v>
      </c>
      <c r="B399" s="2">
        <v>40561</v>
      </c>
      <c r="C399" s="1">
        <v>1</v>
      </c>
      <c r="D399" s="1">
        <v>0</v>
      </c>
      <c r="E399" s="1">
        <v>1</v>
      </c>
      <c r="F399" s="1">
        <v>13</v>
      </c>
      <c r="G399" s="1" t="b">
        <v>0</v>
      </c>
      <c r="H399" s="1">
        <v>2</v>
      </c>
      <c r="I399" s="1">
        <v>2</v>
      </c>
      <c r="J399" s="1">
        <v>0.2</v>
      </c>
    </row>
    <row r="400" spans="1:10" x14ac:dyDescent="0.25">
      <c r="A400" s="1">
        <v>399</v>
      </c>
      <c r="B400" s="2">
        <v>40561</v>
      </c>
      <c r="C400" s="1">
        <v>1</v>
      </c>
      <c r="D400" s="1">
        <v>0</v>
      </c>
      <c r="E400" s="1">
        <v>1</v>
      </c>
      <c r="F400" s="1">
        <v>14</v>
      </c>
      <c r="G400" s="1" t="b">
        <v>0</v>
      </c>
      <c r="H400" s="1">
        <v>2</v>
      </c>
      <c r="I400" s="1">
        <v>2</v>
      </c>
      <c r="J400" s="1">
        <v>0.22</v>
      </c>
    </row>
    <row r="401" spans="1:10" x14ac:dyDescent="0.25">
      <c r="A401" s="1">
        <v>400</v>
      </c>
      <c r="B401" s="2">
        <v>40561</v>
      </c>
      <c r="C401" s="1">
        <v>1</v>
      </c>
      <c r="D401" s="1">
        <v>0</v>
      </c>
      <c r="E401" s="1">
        <v>1</v>
      </c>
      <c r="F401" s="1">
        <v>15</v>
      </c>
      <c r="G401" s="1" t="b">
        <v>0</v>
      </c>
      <c r="H401" s="1">
        <v>2</v>
      </c>
      <c r="I401" s="1">
        <v>2</v>
      </c>
      <c r="J401" s="1">
        <v>0.22</v>
      </c>
    </row>
    <row r="402" spans="1:10" x14ac:dyDescent="0.25">
      <c r="A402" s="1">
        <v>401</v>
      </c>
      <c r="B402" s="2">
        <v>40561</v>
      </c>
      <c r="C402" s="1">
        <v>1</v>
      </c>
      <c r="D402" s="1">
        <v>0</v>
      </c>
      <c r="E402" s="1">
        <v>1</v>
      </c>
      <c r="F402" s="1">
        <v>16</v>
      </c>
      <c r="G402" s="1" t="b">
        <v>0</v>
      </c>
      <c r="H402" s="1">
        <v>2</v>
      </c>
      <c r="I402" s="1">
        <v>2</v>
      </c>
      <c r="J402" s="1">
        <v>0.22</v>
      </c>
    </row>
    <row r="403" spans="1:10" x14ac:dyDescent="0.25">
      <c r="A403" s="1">
        <v>402</v>
      </c>
      <c r="B403" s="2">
        <v>40561</v>
      </c>
      <c r="C403" s="1">
        <v>1</v>
      </c>
      <c r="D403" s="1">
        <v>0</v>
      </c>
      <c r="E403" s="1">
        <v>1</v>
      </c>
      <c r="F403" s="1">
        <v>17</v>
      </c>
      <c r="G403" s="1" t="b">
        <v>0</v>
      </c>
      <c r="H403" s="1">
        <v>2</v>
      </c>
      <c r="I403" s="1">
        <v>2</v>
      </c>
      <c r="J403" s="1">
        <v>0.22</v>
      </c>
    </row>
    <row r="404" spans="1:10" x14ac:dyDescent="0.25">
      <c r="A404" s="1">
        <v>403</v>
      </c>
      <c r="B404" s="2">
        <v>40561</v>
      </c>
      <c r="C404" s="1">
        <v>1</v>
      </c>
      <c r="D404" s="1">
        <v>0</v>
      </c>
      <c r="E404" s="1">
        <v>1</v>
      </c>
      <c r="F404" s="1">
        <v>18</v>
      </c>
      <c r="G404" s="1" t="b">
        <v>0</v>
      </c>
      <c r="H404" s="1">
        <v>2</v>
      </c>
      <c r="I404" s="1">
        <v>2</v>
      </c>
      <c r="J404" s="1">
        <v>0.22</v>
      </c>
    </row>
    <row r="405" spans="1:10" x14ac:dyDescent="0.25">
      <c r="A405" s="1">
        <v>404</v>
      </c>
      <c r="B405" s="2">
        <v>40561</v>
      </c>
      <c r="C405" s="1">
        <v>1</v>
      </c>
      <c r="D405" s="1">
        <v>0</v>
      </c>
      <c r="E405" s="1">
        <v>1</v>
      </c>
      <c r="F405" s="1">
        <v>19</v>
      </c>
      <c r="G405" s="1" t="b">
        <v>0</v>
      </c>
      <c r="H405" s="1">
        <v>2</v>
      </c>
      <c r="I405" s="1">
        <v>2</v>
      </c>
      <c r="J405" s="1">
        <v>0.22</v>
      </c>
    </row>
    <row r="406" spans="1:10" x14ac:dyDescent="0.25">
      <c r="A406" s="1">
        <v>405</v>
      </c>
      <c r="B406" s="2">
        <v>40561</v>
      </c>
      <c r="C406" s="1">
        <v>1</v>
      </c>
      <c r="D406" s="1">
        <v>0</v>
      </c>
      <c r="E406" s="1">
        <v>1</v>
      </c>
      <c r="F406" s="1">
        <v>20</v>
      </c>
      <c r="G406" s="1" t="b">
        <v>0</v>
      </c>
      <c r="H406" s="1">
        <v>2</v>
      </c>
      <c r="I406" s="1">
        <v>2</v>
      </c>
      <c r="J406" s="1">
        <v>0.22</v>
      </c>
    </row>
    <row r="407" spans="1:10" x14ac:dyDescent="0.25">
      <c r="A407" s="1">
        <v>406</v>
      </c>
      <c r="B407" s="2">
        <v>40561</v>
      </c>
      <c r="C407" s="1">
        <v>1</v>
      </c>
      <c r="D407" s="1">
        <v>0</v>
      </c>
      <c r="E407" s="1">
        <v>1</v>
      </c>
      <c r="F407" s="1">
        <v>21</v>
      </c>
      <c r="G407" s="1" t="b">
        <v>0</v>
      </c>
      <c r="H407" s="1">
        <v>2</v>
      </c>
      <c r="I407" s="1">
        <v>2</v>
      </c>
      <c r="J407" s="1">
        <v>0.22</v>
      </c>
    </row>
    <row r="408" spans="1:10" x14ac:dyDescent="0.25">
      <c r="A408" s="1">
        <v>407</v>
      </c>
      <c r="B408" s="2">
        <v>40561</v>
      </c>
      <c r="C408" s="1">
        <v>1</v>
      </c>
      <c r="D408" s="1">
        <v>0</v>
      </c>
      <c r="E408" s="1">
        <v>1</v>
      </c>
      <c r="F408" s="1">
        <v>22</v>
      </c>
      <c r="G408" s="1" t="b">
        <v>0</v>
      </c>
      <c r="H408" s="1">
        <v>2</v>
      </c>
      <c r="I408" s="1">
        <v>2</v>
      </c>
      <c r="J408" s="1">
        <v>0.22</v>
      </c>
    </row>
    <row r="409" spans="1:10" x14ac:dyDescent="0.25">
      <c r="A409" s="1">
        <v>408</v>
      </c>
      <c r="B409" s="2">
        <v>40561</v>
      </c>
      <c r="C409" s="1">
        <v>1</v>
      </c>
      <c r="D409" s="1">
        <v>0</v>
      </c>
      <c r="E409" s="1">
        <v>1</v>
      </c>
      <c r="F409" s="1">
        <v>23</v>
      </c>
      <c r="G409" s="1" t="b">
        <v>0</v>
      </c>
      <c r="H409" s="1">
        <v>2</v>
      </c>
      <c r="I409" s="1">
        <v>2</v>
      </c>
      <c r="J409" s="1">
        <v>0.22</v>
      </c>
    </row>
    <row r="410" spans="1:10" x14ac:dyDescent="0.25">
      <c r="A410" s="1">
        <v>409</v>
      </c>
      <c r="B410" s="2">
        <v>40562</v>
      </c>
      <c r="C410" s="1">
        <v>1</v>
      </c>
      <c r="D410" s="1">
        <v>0</v>
      </c>
      <c r="E410" s="1">
        <v>1</v>
      </c>
      <c r="F410" s="1">
        <v>0</v>
      </c>
      <c r="G410" s="1" t="b">
        <v>0</v>
      </c>
      <c r="H410" s="1">
        <v>3</v>
      </c>
      <c r="I410" s="1">
        <v>2</v>
      </c>
      <c r="J410" s="1">
        <v>0.22</v>
      </c>
    </row>
    <row r="411" spans="1:10" x14ac:dyDescent="0.25">
      <c r="A411" s="1">
        <v>410</v>
      </c>
      <c r="B411" s="2">
        <v>40562</v>
      </c>
      <c r="C411" s="1">
        <v>1</v>
      </c>
      <c r="D411" s="1">
        <v>0</v>
      </c>
      <c r="E411" s="1">
        <v>1</v>
      </c>
      <c r="F411" s="1">
        <v>1</v>
      </c>
      <c r="G411" s="1" t="b">
        <v>0</v>
      </c>
      <c r="H411" s="1">
        <v>3</v>
      </c>
      <c r="I411" s="1">
        <v>3</v>
      </c>
      <c r="J411" s="1">
        <v>0.22</v>
      </c>
    </row>
    <row r="412" spans="1:10" x14ac:dyDescent="0.25">
      <c r="A412" s="1">
        <v>411</v>
      </c>
      <c r="B412" s="2">
        <v>40562</v>
      </c>
      <c r="C412" s="1">
        <v>1</v>
      </c>
      <c r="D412" s="1">
        <v>0</v>
      </c>
      <c r="E412" s="1">
        <v>1</v>
      </c>
      <c r="F412" s="1">
        <v>2</v>
      </c>
      <c r="G412" s="1" t="b">
        <v>0</v>
      </c>
      <c r="H412" s="1">
        <v>3</v>
      </c>
      <c r="I412" s="1">
        <v>3</v>
      </c>
      <c r="J412" s="1">
        <v>0.22</v>
      </c>
    </row>
    <row r="413" spans="1:10" x14ac:dyDescent="0.25">
      <c r="A413" s="1">
        <v>412</v>
      </c>
      <c r="B413" s="2">
        <v>40562</v>
      </c>
      <c r="C413" s="1">
        <v>1</v>
      </c>
      <c r="D413" s="1">
        <v>0</v>
      </c>
      <c r="E413" s="1">
        <v>1</v>
      </c>
      <c r="F413" s="1">
        <v>4</v>
      </c>
      <c r="G413" s="1" t="b">
        <v>0</v>
      </c>
      <c r="H413" s="1">
        <v>3</v>
      </c>
      <c r="I413" s="1">
        <v>3</v>
      </c>
      <c r="J413" s="1">
        <v>0.22</v>
      </c>
    </row>
    <row r="414" spans="1:10" x14ac:dyDescent="0.25">
      <c r="A414" s="1">
        <v>413</v>
      </c>
      <c r="B414" s="2">
        <v>40562</v>
      </c>
      <c r="C414" s="1">
        <v>1</v>
      </c>
      <c r="D414" s="1">
        <v>0</v>
      </c>
      <c r="E414" s="1">
        <v>1</v>
      </c>
      <c r="F414" s="1">
        <v>5</v>
      </c>
      <c r="G414" s="1" t="b">
        <v>0</v>
      </c>
      <c r="H414" s="1">
        <v>3</v>
      </c>
      <c r="I414" s="1">
        <v>2</v>
      </c>
      <c r="J414" s="1">
        <v>0.22</v>
      </c>
    </row>
    <row r="415" spans="1:10" x14ac:dyDescent="0.25">
      <c r="A415" s="1">
        <v>414</v>
      </c>
      <c r="B415" s="2">
        <v>40562</v>
      </c>
      <c r="C415" s="1">
        <v>1</v>
      </c>
      <c r="D415" s="1">
        <v>0</v>
      </c>
      <c r="E415" s="1">
        <v>1</v>
      </c>
      <c r="F415" s="1">
        <v>6</v>
      </c>
      <c r="G415" s="1" t="b">
        <v>0</v>
      </c>
      <c r="H415" s="1">
        <v>3</v>
      </c>
      <c r="I415" s="1">
        <v>2</v>
      </c>
      <c r="J415" s="1">
        <v>0.22</v>
      </c>
    </row>
    <row r="416" spans="1:10" x14ac:dyDescent="0.25">
      <c r="A416" s="1">
        <v>415</v>
      </c>
      <c r="B416" s="2">
        <v>40562</v>
      </c>
      <c r="C416" s="1">
        <v>1</v>
      </c>
      <c r="D416" s="1">
        <v>0</v>
      </c>
      <c r="E416" s="1">
        <v>1</v>
      </c>
      <c r="F416" s="1">
        <v>7</v>
      </c>
      <c r="G416" s="1" t="b">
        <v>0</v>
      </c>
      <c r="H416" s="1">
        <v>3</v>
      </c>
      <c r="I416" s="1">
        <v>2</v>
      </c>
      <c r="J416" s="1">
        <v>0.24</v>
      </c>
    </row>
    <row r="417" spans="1:10" x14ac:dyDescent="0.25">
      <c r="A417" s="1">
        <v>416</v>
      </c>
      <c r="B417" s="2">
        <v>40562</v>
      </c>
      <c r="C417" s="1">
        <v>1</v>
      </c>
      <c r="D417" s="1">
        <v>0</v>
      </c>
      <c r="E417" s="1">
        <v>1</v>
      </c>
      <c r="F417" s="1">
        <v>8</v>
      </c>
      <c r="G417" s="1" t="b">
        <v>0</v>
      </c>
      <c r="H417" s="1">
        <v>3</v>
      </c>
      <c r="I417" s="1">
        <v>2</v>
      </c>
      <c r="J417" s="1">
        <v>0.24</v>
      </c>
    </row>
    <row r="418" spans="1:10" x14ac:dyDescent="0.25">
      <c r="A418" s="1">
        <v>417</v>
      </c>
      <c r="B418" s="2">
        <v>40562</v>
      </c>
      <c r="C418" s="1">
        <v>1</v>
      </c>
      <c r="D418" s="1">
        <v>0</v>
      </c>
      <c r="E418" s="1">
        <v>1</v>
      </c>
      <c r="F418" s="1">
        <v>9</v>
      </c>
      <c r="G418" s="1" t="b">
        <v>0</v>
      </c>
      <c r="H418" s="1">
        <v>3</v>
      </c>
      <c r="I418" s="1">
        <v>2</v>
      </c>
      <c r="J418" s="1">
        <v>0.24</v>
      </c>
    </row>
    <row r="419" spans="1:10" x14ac:dyDescent="0.25">
      <c r="A419" s="1">
        <v>418</v>
      </c>
      <c r="B419" s="2">
        <v>40562</v>
      </c>
      <c r="C419" s="1">
        <v>1</v>
      </c>
      <c r="D419" s="1">
        <v>0</v>
      </c>
      <c r="E419" s="1">
        <v>1</v>
      </c>
      <c r="F419" s="1">
        <v>10</v>
      </c>
      <c r="G419" s="1" t="b">
        <v>0</v>
      </c>
      <c r="H419" s="1">
        <v>3</v>
      </c>
      <c r="I419" s="1">
        <v>2</v>
      </c>
      <c r="J419" s="1">
        <v>0.26</v>
      </c>
    </row>
    <row r="420" spans="1:10" x14ac:dyDescent="0.25">
      <c r="A420" s="1">
        <v>419</v>
      </c>
      <c r="B420" s="2">
        <v>40562</v>
      </c>
      <c r="C420" s="1">
        <v>1</v>
      </c>
      <c r="D420" s="1">
        <v>0</v>
      </c>
      <c r="E420" s="1">
        <v>1</v>
      </c>
      <c r="F420" s="1">
        <v>11</v>
      </c>
      <c r="G420" s="1" t="b">
        <v>0</v>
      </c>
      <c r="H420" s="1">
        <v>3</v>
      </c>
      <c r="I420" s="1">
        <v>2</v>
      </c>
      <c r="J420" s="1">
        <v>0.28000000000000003</v>
      </c>
    </row>
    <row r="421" spans="1:10" x14ac:dyDescent="0.25">
      <c r="A421" s="1">
        <v>420</v>
      </c>
      <c r="B421" s="2">
        <v>40562</v>
      </c>
      <c r="C421" s="1">
        <v>1</v>
      </c>
      <c r="D421" s="1">
        <v>0</v>
      </c>
      <c r="E421" s="1">
        <v>1</v>
      </c>
      <c r="F421" s="1">
        <v>12</v>
      </c>
      <c r="G421" s="1" t="b">
        <v>0</v>
      </c>
      <c r="H421" s="1">
        <v>3</v>
      </c>
      <c r="I421" s="1">
        <v>2</v>
      </c>
      <c r="J421" s="1">
        <v>0.3</v>
      </c>
    </row>
    <row r="422" spans="1:10" x14ac:dyDescent="0.25">
      <c r="A422" s="1">
        <v>421</v>
      </c>
      <c r="B422" s="2">
        <v>40562</v>
      </c>
      <c r="C422" s="1">
        <v>1</v>
      </c>
      <c r="D422" s="1">
        <v>0</v>
      </c>
      <c r="E422" s="1">
        <v>1</v>
      </c>
      <c r="F422" s="1">
        <v>13</v>
      </c>
      <c r="G422" s="1" t="b">
        <v>0</v>
      </c>
      <c r="H422" s="1">
        <v>3</v>
      </c>
      <c r="I422" s="1">
        <v>1</v>
      </c>
      <c r="J422" s="1">
        <v>0.4</v>
      </c>
    </row>
    <row r="423" spans="1:10" x14ac:dyDescent="0.25">
      <c r="A423" s="1">
        <v>422</v>
      </c>
      <c r="B423" s="2">
        <v>40562</v>
      </c>
      <c r="C423" s="1">
        <v>1</v>
      </c>
      <c r="D423" s="1">
        <v>0</v>
      </c>
      <c r="E423" s="1">
        <v>1</v>
      </c>
      <c r="F423" s="1">
        <v>14</v>
      </c>
      <c r="G423" s="1" t="b">
        <v>0</v>
      </c>
      <c r="H423" s="1">
        <v>3</v>
      </c>
      <c r="I423" s="1">
        <v>1</v>
      </c>
      <c r="J423" s="1">
        <v>0.4</v>
      </c>
    </row>
    <row r="424" spans="1:10" x14ac:dyDescent="0.25">
      <c r="A424" s="1">
        <v>423</v>
      </c>
      <c r="B424" s="2">
        <v>40562</v>
      </c>
      <c r="C424" s="1">
        <v>1</v>
      </c>
      <c r="D424" s="1">
        <v>0</v>
      </c>
      <c r="E424" s="1">
        <v>1</v>
      </c>
      <c r="F424" s="1">
        <v>15</v>
      </c>
      <c r="G424" s="1" t="b">
        <v>0</v>
      </c>
      <c r="H424" s="1">
        <v>3</v>
      </c>
      <c r="I424" s="1">
        <v>1</v>
      </c>
      <c r="J424" s="1">
        <v>0.4</v>
      </c>
    </row>
    <row r="425" spans="1:10" x14ac:dyDescent="0.25">
      <c r="A425" s="1">
        <v>424</v>
      </c>
      <c r="B425" s="2">
        <v>40562</v>
      </c>
      <c r="C425" s="1">
        <v>1</v>
      </c>
      <c r="D425" s="1">
        <v>0</v>
      </c>
      <c r="E425" s="1">
        <v>1</v>
      </c>
      <c r="F425" s="1">
        <v>16</v>
      </c>
      <c r="G425" s="1" t="b">
        <v>0</v>
      </c>
      <c r="H425" s="1">
        <v>3</v>
      </c>
      <c r="I425" s="1">
        <v>1</v>
      </c>
      <c r="J425" s="1">
        <v>0.38</v>
      </c>
    </row>
    <row r="426" spans="1:10" x14ac:dyDescent="0.25">
      <c r="A426" s="1">
        <v>425</v>
      </c>
      <c r="B426" s="2">
        <v>40562</v>
      </c>
      <c r="C426" s="1">
        <v>1</v>
      </c>
      <c r="D426" s="1">
        <v>0</v>
      </c>
      <c r="E426" s="1">
        <v>1</v>
      </c>
      <c r="F426" s="1">
        <v>17</v>
      </c>
      <c r="G426" s="1" t="b">
        <v>0</v>
      </c>
      <c r="H426" s="1">
        <v>3</v>
      </c>
      <c r="I426" s="1">
        <v>1</v>
      </c>
      <c r="J426" s="1">
        <v>0.36</v>
      </c>
    </row>
    <row r="427" spans="1:10" x14ac:dyDescent="0.25">
      <c r="A427" s="1">
        <v>426</v>
      </c>
      <c r="B427" s="2">
        <v>40562</v>
      </c>
      <c r="C427" s="1">
        <v>1</v>
      </c>
      <c r="D427" s="1">
        <v>0</v>
      </c>
      <c r="E427" s="1">
        <v>1</v>
      </c>
      <c r="F427" s="1">
        <v>18</v>
      </c>
      <c r="G427" s="1" t="b">
        <v>0</v>
      </c>
      <c r="H427" s="1">
        <v>3</v>
      </c>
      <c r="I427" s="1">
        <v>1</v>
      </c>
      <c r="J427" s="1">
        <v>0.34</v>
      </c>
    </row>
    <row r="428" spans="1:10" x14ac:dyDescent="0.25">
      <c r="A428" s="1">
        <v>427</v>
      </c>
      <c r="B428" s="2">
        <v>40562</v>
      </c>
      <c r="C428" s="1">
        <v>1</v>
      </c>
      <c r="D428" s="1">
        <v>0</v>
      </c>
      <c r="E428" s="1">
        <v>1</v>
      </c>
      <c r="F428" s="1">
        <v>19</v>
      </c>
      <c r="G428" s="1" t="b">
        <v>0</v>
      </c>
      <c r="H428" s="1">
        <v>3</v>
      </c>
      <c r="I428" s="1">
        <v>1</v>
      </c>
      <c r="J428" s="1">
        <v>0.32</v>
      </c>
    </row>
    <row r="429" spans="1:10" x14ac:dyDescent="0.25">
      <c r="A429" s="1">
        <v>428</v>
      </c>
      <c r="B429" s="2">
        <v>40562</v>
      </c>
      <c r="C429" s="1">
        <v>1</v>
      </c>
      <c r="D429" s="1">
        <v>0</v>
      </c>
      <c r="E429" s="1">
        <v>1</v>
      </c>
      <c r="F429" s="1">
        <v>20</v>
      </c>
      <c r="G429" s="1" t="b">
        <v>0</v>
      </c>
      <c r="H429" s="1">
        <v>3</v>
      </c>
      <c r="I429" s="1">
        <v>1</v>
      </c>
      <c r="J429" s="1">
        <v>0.32</v>
      </c>
    </row>
    <row r="430" spans="1:10" x14ac:dyDescent="0.25">
      <c r="A430" s="1">
        <v>429</v>
      </c>
      <c r="B430" s="2">
        <v>40562</v>
      </c>
      <c r="C430" s="1">
        <v>1</v>
      </c>
      <c r="D430" s="1">
        <v>0</v>
      </c>
      <c r="E430" s="1">
        <v>1</v>
      </c>
      <c r="F430" s="1">
        <v>21</v>
      </c>
      <c r="G430" s="1" t="b">
        <v>0</v>
      </c>
      <c r="H430" s="1">
        <v>3</v>
      </c>
      <c r="I430" s="1">
        <v>1</v>
      </c>
      <c r="J430" s="1">
        <v>0.32</v>
      </c>
    </row>
    <row r="431" spans="1:10" x14ac:dyDescent="0.25">
      <c r="A431" s="1">
        <v>430</v>
      </c>
      <c r="B431" s="2">
        <v>40562</v>
      </c>
      <c r="C431" s="1">
        <v>1</v>
      </c>
      <c r="D431" s="1">
        <v>0</v>
      </c>
      <c r="E431" s="1">
        <v>1</v>
      </c>
      <c r="F431" s="1">
        <v>22</v>
      </c>
      <c r="G431" s="1" t="b">
        <v>0</v>
      </c>
      <c r="H431" s="1">
        <v>3</v>
      </c>
      <c r="I431" s="1">
        <v>1</v>
      </c>
      <c r="J431" s="1">
        <v>0.3</v>
      </c>
    </row>
    <row r="432" spans="1:10" x14ac:dyDescent="0.25">
      <c r="A432" s="1">
        <v>431</v>
      </c>
      <c r="B432" s="2">
        <v>40562</v>
      </c>
      <c r="C432" s="1">
        <v>1</v>
      </c>
      <c r="D432" s="1">
        <v>0</v>
      </c>
      <c r="E432" s="1">
        <v>1</v>
      </c>
      <c r="F432" s="1">
        <v>23</v>
      </c>
      <c r="G432" s="1" t="b">
        <v>0</v>
      </c>
      <c r="H432" s="1">
        <v>3</v>
      </c>
      <c r="I432" s="1">
        <v>1</v>
      </c>
      <c r="J432" s="1">
        <v>0.3</v>
      </c>
    </row>
    <row r="433" spans="1:10" x14ac:dyDescent="0.25">
      <c r="A433" s="1">
        <v>432</v>
      </c>
      <c r="B433" s="2">
        <v>40563</v>
      </c>
      <c r="C433" s="1">
        <v>1</v>
      </c>
      <c r="D433" s="1">
        <v>0</v>
      </c>
      <c r="E433" s="1">
        <v>1</v>
      </c>
      <c r="F433" s="1">
        <v>0</v>
      </c>
      <c r="G433" s="1" t="b">
        <v>0</v>
      </c>
      <c r="H433" s="1">
        <v>4</v>
      </c>
      <c r="I433" s="1">
        <v>1</v>
      </c>
      <c r="J433" s="1">
        <v>0.26</v>
      </c>
    </row>
    <row r="434" spans="1:10" x14ac:dyDescent="0.25">
      <c r="A434" s="1">
        <v>433</v>
      </c>
      <c r="B434" s="2">
        <v>40563</v>
      </c>
      <c r="C434" s="1">
        <v>1</v>
      </c>
      <c r="D434" s="1">
        <v>0</v>
      </c>
      <c r="E434" s="1">
        <v>1</v>
      </c>
      <c r="F434" s="1">
        <v>1</v>
      </c>
      <c r="G434" s="1" t="b">
        <v>0</v>
      </c>
      <c r="H434" s="1">
        <v>4</v>
      </c>
      <c r="I434" s="1">
        <v>1</v>
      </c>
      <c r="J434" s="1">
        <v>0.26</v>
      </c>
    </row>
    <row r="435" spans="1:10" x14ac:dyDescent="0.25">
      <c r="A435" s="1">
        <v>434</v>
      </c>
      <c r="B435" s="2">
        <v>40563</v>
      </c>
      <c r="C435" s="1">
        <v>1</v>
      </c>
      <c r="D435" s="1">
        <v>0</v>
      </c>
      <c r="E435" s="1">
        <v>1</v>
      </c>
      <c r="F435" s="1">
        <v>2</v>
      </c>
      <c r="G435" s="1" t="b">
        <v>0</v>
      </c>
      <c r="H435" s="1">
        <v>4</v>
      </c>
      <c r="I435" s="1">
        <v>1</v>
      </c>
      <c r="J435" s="1">
        <v>0.26</v>
      </c>
    </row>
    <row r="436" spans="1:10" x14ac:dyDescent="0.25">
      <c r="A436" s="1">
        <v>435</v>
      </c>
      <c r="B436" s="2">
        <v>40563</v>
      </c>
      <c r="C436" s="1">
        <v>1</v>
      </c>
      <c r="D436" s="1">
        <v>0</v>
      </c>
      <c r="E436" s="1">
        <v>1</v>
      </c>
      <c r="F436" s="1">
        <v>3</v>
      </c>
      <c r="G436" s="1" t="b">
        <v>0</v>
      </c>
      <c r="H436" s="1">
        <v>4</v>
      </c>
      <c r="I436" s="1">
        <v>1</v>
      </c>
      <c r="J436" s="1">
        <v>0.26</v>
      </c>
    </row>
    <row r="437" spans="1:10" x14ac:dyDescent="0.25">
      <c r="A437" s="1">
        <v>436</v>
      </c>
      <c r="B437" s="2">
        <v>40563</v>
      </c>
      <c r="C437" s="1">
        <v>1</v>
      </c>
      <c r="D437" s="1">
        <v>0</v>
      </c>
      <c r="E437" s="1">
        <v>1</v>
      </c>
      <c r="F437" s="1">
        <v>4</v>
      </c>
      <c r="G437" s="1" t="b">
        <v>0</v>
      </c>
      <c r="H437" s="1">
        <v>4</v>
      </c>
      <c r="I437" s="1">
        <v>1</v>
      </c>
      <c r="J437" s="1">
        <v>0.26</v>
      </c>
    </row>
    <row r="438" spans="1:10" x14ac:dyDescent="0.25">
      <c r="A438" s="1">
        <v>437</v>
      </c>
      <c r="B438" s="2">
        <v>40563</v>
      </c>
      <c r="C438" s="1">
        <v>1</v>
      </c>
      <c r="D438" s="1">
        <v>0</v>
      </c>
      <c r="E438" s="1">
        <v>1</v>
      </c>
      <c r="F438" s="1">
        <v>5</v>
      </c>
      <c r="G438" s="1" t="b">
        <v>0</v>
      </c>
      <c r="H438" s="1">
        <v>4</v>
      </c>
      <c r="I438" s="1">
        <v>1</v>
      </c>
      <c r="J438" s="1">
        <v>0.24</v>
      </c>
    </row>
    <row r="439" spans="1:10" x14ac:dyDescent="0.25">
      <c r="A439" s="1">
        <v>438</v>
      </c>
      <c r="B439" s="2">
        <v>40563</v>
      </c>
      <c r="C439" s="1">
        <v>1</v>
      </c>
      <c r="D439" s="1">
        <v>0</v>
      </c>
      <c r="E439" s="1">
        <v>1</v>
      </c>
      <c r="F439" s="1">
        <v>6</v>
      </c>
      <c r="G439" s="1" t="b">
        <v>0</v>
      </c>
      <c r="H439" s="1">
        <v>4</v>
      </c>
      <c r="I439" s="1">
        <v>1</v>
      </c>
      <c r="J439" s="1">
        <v>0.22</v>
      </c>
    </row>
    <row r="440" spans="1:10" x14ac:dyDescent="0.25">
      <c r="A440" s="1">
        <v>439</v>
      </c>
      <c r="B440" s="2">
        <v>40563</v>
      </c>
      <c r="C440" s="1">
        <v>1</v>
      </c>
      <c r="D440" s="1">
        <v>0</v>
      </c>
      <c r="E440" s="1">
        <v>1</v>
      </c>
      <c r="F440" s="1">
        <v>7</v>
      </c>
      <c r="G440" s="1" t="b">
        <v>0</v>
      </c>
      <c r="H440" s="1">
        <v>4</v>
      </c>
      <c r="I440" s="1">
        <v>1</v>
      </c>
      <c r="J440" s="1">
        <v>0.22</v>
      </c>
    </row>
    <row r="441" spans="1:10" x14ac:dyDescent="0.25">
      <c r="A441" s="1">
        <v>440</v>
      </c>
      <c r="B441" s="2">
        <v>40563</v>
      </c>
      <c r="C441" s="1">
        <v>1</v>
      </c>
      <c r="D441" s="1">
        <v>0</v>
      </c>
      <c r="E441" s="1">
        <v>1</v>
      </c>
      <c r="F441" s="1">
        <v>8</v>
      </c>
      <c r="G441" s="1" t="b">
        <v>0</v>
      </c>
      <c r="H441" s="1">
        <v>4</v>
      </c>
      <c r="I441" s="1">
        <v>1</v>
      </c>
      <c r="J441" s="1">
        <v>0.22</v>
      </c>
    </row>
    <row r="442" spans="1:10" x14ac:dyDescent="0.25">
      <c r="A442" s="1">
        <v>441</v>
      </c>
      <c r="B442" s="2">
        <v>40563</v>
      </c>
      <c r="C442" s="1">
        <v>1</v>
      </c>
      <c r="D442" s="1">
        <v>0</v>
      </c>
      <c r="E442" s="1">
        <v>1</v>
      </c>
      <c r="F442" s="1">
        <v>9</v>
      </c>
      <c r="G442" s="1" t="b">
        <v>0</v>
      </c>
      <c r="H442" s="1">
        <v>4</v>
      </c>
      <c r="I442" s="1">
        <v>2</v>
      </c>
      <c r="J442" s="1">
        <v>0.24</v>
      </c>
    </row>
    <row r="443" spans="1:10" x14ac:dyDescent="0.25">
      <c r="A443" s="1">
        <v>442</v>
      </c>
      <c r="B443" s="2">
        <v>40563</v>
      </c>
      <c r="C443" s="1">
        <v>1</v>
      </c>
      <c r="D443" s="1">
        <v>0</v>
      </c>
      <c r="E443" s="1">
        <v>1</v>
      </c>
      <c r="F443" s="1">
        <v>10</v>
      </c>
      <c r="G443" s="1" t="b">
        <v>0</v>
      </c>
      <c r="H443" s="1">
        <v>4</v>
      </c>
      <c r="I443" s="1">
        <v>1</v>
      </c>
      <c r="J443" s="1">
        <v>0.26</v>
      </c>
    </row>
    <row r="444" spans="1:10" x14ac:dyDescent="0.25">
      <c r="A444" s="1">
        <v>443</v>
      </c>
      <c r="B444" s="2">
        <v>40563</v>
      </c>
      <c r="C444" s="1">
        <v>1</v>
      </c>
      <c r="D444" s="1">
        <v>0</v>
      </c>
      <c r="E444" s="1">
        <v>1</v>
      </c>
      <c r="F444" s="1">
        <v>11</v>
      </c>
      <c r="G444" s="1" t="b">
        <v>0</v>
      </c>
      <c r="H444" s="1">
        <v>4</v>
      </c>
      <c r="I444" s="1">
        <v>2</v>
      </c>
      <c r="J444" s="1">
        <v>0.28000000000000003</v>
      </c>
    </row>
    <row r="445" spans="1:10" x14ac:dyDescent="0.25">
      <c r="A445" s="1">
        <v>444</v>
      </c>
      <c r="B445" s="2">
        <v>40563</v>
      </c>
      <c r="C445" s="1">
        <v>1</v>
      </c>
      <c r="D445" s="1">
        <v>0</v>
      </c>
      <c r="E445" s="1">
        <v>1</v>
      </c>
      <c r="F445" s="1">
        <v>12</v>
      </c>
      <c r="G445" s="1" t="b">
        <v>0</v>
      </c>
      <c r="H445" s="1">
        <v>4</v>
      </c>
      <c r="I445" s="1">
        <v>2</v>
      </c>
      <c r="J445" s="1">
        <v>0.3</v>
      </c>
    </row>
    <row r="446" spans="1:10" x14ac:dyDescent="0.25">
      <c r="A446" s="1">
        <v>445</v>
      </c>
      <c r="B446" s="2">
        <v>40563</v>
      </c>
      <c r="C446" s="1">
        <v>1</v>
      </c>
      <c r="D446" s="1">
        <v>0</v>
      </c>
      <c r="E446" s="1">
        <v>1</v>
      </c>
      <c r="F446" s="1">
        <v>13</v>
      </c>
      <c r="G446" s="1" t="b">
        <v>0</v>
      </c>
      <c r="H446" s="1">
        <v>4</v>
      </c>
      <c r="I446" s="1">
        <v>2</v>
      </c>
      <c r="J446" s="1">
        <v>0.28000000000000003</v>
      </c>
    </row>
    <row r="447" spans="1:10" x14ac:dyDescent="0.25">
      <c r="A447" s="1">
        <v>446</v>
      </c>
      <c r="B447" s="2">
        <v>40563</v>
      </c>
      <c r="C447" s="1">
        <v>1</v>
      </c>
      <c r="D447" s="1">
        <v>0</v>
      </c>
      <c r="E447" s="1">
        <v>1</v>
      </c>
      <c r="F447" s="1">
        <v>14</v>
      </c>
      <c r="G447" s="1" t="b">
        <v>0</v>
      </c>
      <c r="H447" s="1">
        <v>4</v>
      </c>
      <c r="I447" s="1">
        <v>2</v>
      </c>
      <c r="J447" s="1">
        <v>0.3</v>
      </c>
    </row>
    <row r="448" spans="1:10" x14ac:dyDescent="0.25">
      <c r="A448" s="1">
        <v>447</v>
      </c>
      <c r="B448" s="2">
        <v>40563</v>
      </c>
      <c r="C448" s="1">
        <v>1</v>
      </c>
      <c r="D448" s="1">
        <v>0</v>
      </c>
      <c r="E448" s="1">
        <v>1</v>
      </c>
      <c r="F448" s="1">
        <v>15</v>
      </c>
      <c r="G448" s="1" t="b">
        <v>0</v>
      </c>
      <c r="H448" s="1">
        <v>4</v>
      </c>
      <c r="I448" s="1">
        <v>2</v>
      </c>
      <c r="J448" s="1">
        <v>0.32</v>
      </c>
    </row>
    <row r="449" spans="1:10" x14ac:dyDescent="0.25">
      <c r="A449" s="1">
        <v>448</v>
      </c>
      <c r="B449" s="2">
        <v>40563</v>
      </c>
      <c r="C449" s="1">
        <v>1</v>
      </c>
      <c r="D449" s="1">
        <v>0</v>
      </c>
      <c r="E449" s="1">
        <v>1</v>
      </c>
      <c r="F449" s="1">
        <v>16</v>
      </c>
      <c r="G449" s="1" t="b">
        <v>0</v>
      </c>
      <c r="H449" s="1">
        <v>4</v>
      </c>
      <c r="I449" s="1">
        <v>2</v>
      </c>
      <c r="J449" s="1">
        <v>0.3</v>
      </c>
    </row>
    <row r="450" spans="1:10" x14ac:dyDescent="0.25">
      <c r="A450" s="1">
        <v>449</v>
      </c>
      <c r="B450" s="2">
        <v>40563</v>
      </c>
      <c r="C450" s="1">
        <v>1</v>
      </c>
      <c r="D450" s="1">
        <v>0</v>
      </c>
      <c r="E450" s="1">
        <v>1</v>
      </c>
      <c r="F450" s="1">
        <v>17</v>
      </c>
      <c r="G450" s="1" t="b">
        <v>0</v>
      </c>
      <c r="H450" s="1">
        <v>4</v>
      </c>
      <c r="I450" s="1">
        <v>2</v>
      </c>
      <c r="J450" s="1">
        <v>0.3</v>
      </c>
    </row>
    <row r="451" spans="1:10" x14ac:dyDescent="0.25">
      <c r="A451" s="1">
        <v>450</v>
      </c>
      <c r="B451" s="2">
        <v>40563</v>
      </c>
      <c r="C451" s="1">
        <v>1</v>
      </c>
      <c r="D451" s="1">
        <v>0</v>
      </c>
      <c r="E451" s="1">
        <v>1</v>
      </c>
      <c r="F451" s="1">
        <v>18</v>
      </c>
      <c r="G451" s="1" t="b">
        <v>0</v>
      </c>
      <c r="H451" s="1">
        <v>4</v>
      </c>
      <c r="I451" s="1">
        <v>2</v>
      </c>
      <c r="J451" s="1">
        <v>0.26</v>
      </c>
    </row>
    <row r="452" spans="1:10" x14ac:dyDescent="0.25">
      <c r="A452" s="1">
        <v>451</v>
      </c>
      <c r="B452" s="2">
        <v>40563</v>
      </c>
      <c r="C452" s="1">
        <v>1</v>
      </c>
      <c r="D452" s="1">
        <v>0</v>
      </c>
      <c r="E452" s="1">
        <v>1</v>
      </c>
      <c r="F452" s="1">
        <v>19</v>
      </c>
      <c r="G452" s="1" t="b">
        <v>0</v>
      </c>
      <c r="H452" s="1">
        <v>4</v>
      </c>
      <c r="I452" s="1">
        <v>1</v>
      </c>
      <c r="J452" s="1">
        <v>0.26</v>
      </c>
    </row>
    <row r="453" spans="1:10" x14ac:dyDescent="0.25">
      <c r="A453" s="1">
        <v>452</v>
      </c>
      <c r="B453" s="2">
        <v>40563</v>
      </c>
      <c r="C453" s="1">
        <v>1</v>
      </c>
      <c r="D453" s="1">
        <v>0</v>
      </c>
      <c r="E453" s="1">
        <v>1</v>
      </c>
      <c r="F453" s="1">
        <v>20</v>
      </c>
      <c r="G453" s="1" t="b">
        <v>0</v>
      </c>
      <c r="H453" s="1">
        <v>4</v>
      </c>
      <c r="I453" s="1">
        <v>2</v>
      </c>
      <c r="J453" s="1">
        <v>0.26</v>
      </c>
    </row>
    <row r="454" spans="1:10" x14ac:dyDescent="0.25">
      <c r="A454" s="1">
        <v>453</v>
      </c>
      <c r="B454" s="2">
        <v>40563</v>
      </c>
      <c r="C454" s="1">
        <v>1</v>
      </c>
      <c r="D454" s="1">
        <v>0</v>
      </c>
      <c r="E454" s="1">
        <v>1</v>
      </c>
      <c r="F454" s="1">
        <v>21</v>
      </c>
      <c r="G454" s="1" t="b">
        <v>0</v>
      </c>
      <c r="H454" s="1">
        <v>4</v>
      </c>
      <c r="I454" s="1">
        <v>2</v>
      </c>
      <c r="J454" s="1">
        <v>0.24</v>
      </c>
    </row>
    <row r="455" spans="1:10" x14ac:dyDescent="0.25">
      <c r="A455" s="1">
        <v>454</v>
      </c>
      <c r="B455" s="2">
        <v>40563</v>
      </c>
      <c r="C455" s="1">
        <v>1</v>
      </c>
      <c r="D455" s="1">
        <v>0</v>
      </c>
      <c r="E455" s="1">
        <v>1</v>
      </c>
      <c r="F455" s="1">
        <v>22</v>
      </c>
      <c r="G455" s="1" t="b">
        <v>0</v>
      </c>
      <c r="H455" s="1">
        <v>4</v>
      </c>
      <c r="I455" s="1">
        <v>2</v>
      </c>
      <c r="J455" s="1">
        <v>0.24</v>
      </c>
    </row>
    <row r="456" spans="1:10" x14ac:dyDescent="0.25">
      <c r="A456" s="1">
        <v>455</v>
      </c>
      <c r="B456" s="2">
        <v>40563</v>
      </c>
      <c r="C456" s="1">
        <v>1</v>
      </c>
      <c r="D456" s="1">
        <v>0</v>
      </c>
      <c r="E456" s="1">
        <v>1</v>
      </c>
      <c r="F456" s="1">
        <v>23</v>
      </c>
      <c r="G456" s="1" t="b">
        <v>0</v>
      </c>
      <c r="H456" s="1">
        <v>4</v>
      </c>
      <c r="I456" s="1">
        <v>2</v>
      </c>
      <c r="J456" s="1">
        <v>0.24</v>
      </c>
    </row>
    <row r="457" spans="1:10" x14ac:dyDescent="0.25">
      <c r="A457" s="1">
        <v>456</v>
      </c>
      <c r="B457" s="2">
        <v>40564</v>
      </c>
      <c r="C457" s="1">
        <v>1</v>
      </c>
      <c r="D457" s="1">
        <v>0</v>
      </c>
      <c r="E457" s="1">
        <v>1</v>
      </c>
      <c r="F457" s="1">
        <v>0</v>
      </c>
      <c r="G457" s="1" t="b">
        <v>0</v>
      </c>
      <c r="H457" s="1">
        <v>5</v>
      </c>
      <c r="I457" s="1">
        <v>2</v>
      </c>
      <c r="J457" s="1">
        <v>0.24</v>
      </c>
    </row>
    <row r="458" spans="1:10" x14ac:dyDescent="0.25">
      <c r="A458" s="1">
        <v>457</v>
      </c>
      <c r="B458" s="2">
        <v>40564</v>
      </c>
      <c r="C458" s="1">
        <v>1</v>
      </c>
      <c r="D458" s="1">
        <v>0</v>
      </c>
      <c r="E458" s="1">
        <v>1</v>
      </c>
      <c r="F458" s="1">
        <v>1</v>
      </c>
      <c r="G458" s="1" t="b">
        <v>0</v>
      </c>
      <c r="H458" s="1">
        <v>5</v>
      </c>
      <c r="I458" s="1">
        <v>2</v>
      </c>
      <c r="J458" s="1">
        <v>0.24</v>
      </c>
    </row>
    <row r="459" spans="1:10" x14ac:dyDescent="0.25">
      <c r="A459" s="1">
        <v>458</v>
      </c>
      <c r="B459" s="2">
        <v>40564</v>
      </c>
      <c r="C459" s="1">
        <v>1</v>
      </c>
      <c r="D459" s="1">
        <v>0</v>
      </c>
      <c r="E459" s="1">
        <v>1</v>
      </c>
      <c r="F459" s="1">
        <v>2</v>
      </c>
      <c r="G459" s="1" t="b">
        <v>0</v>
      </c>
      <c r="H459" s="1">
        <v>5</v>
      </c>
      <c r="I459" s="1">
        <v>3</v>
      </c>
      <c r="J459" s="1">
        <v>0.24</v>
      </c>
    </row>
    <row r="460" spans="1:10" x14ac:dyDescent="0.25">
      <c r="A460" s="1">
        <v>459</v>
      </c>
      <c r="B460" s="2">
        <v>40564</v>
      </c>
      <c r="C460" s="1">
        <v>1</v>
      </c>
      <c r="D460" s="1">
        <v>0</v>
      </c>
      <c r="E460" s="1">
        <v>1</v>
      </c>
      <c r="F460" s="1">
        <v>3</v>
      </c>
      <c r="G460" s="1" t="b">
        <v>0</v>
      </c>
      <c r="H460" s="1">
        <v>5</v>
      </c>
      <c r="I460" s="1">
        <v>3</v>
      </c>
      <c r="J460" s="1">
        <v>0.22</v>
      </c>
    </row>
    <row r="461" spans="1:10" x14ac:dyDescent="0.25">
      <c r="A461" s="1">
        <v>460</v>
      </c>
      <c r="B461" s="2">
        <v>40564</v>
      </c>
      <c r="C461" s="1">
        <v>1</v>
      </c>
      <c r="D461" s="1">
        <v>0</v>
      </c>
      <c r="E461" s="1">
        <v>1</v>
      </c>
      <c r="F461" s="1">
        <v>4</v>
      </c>
      <c r="G461" s="1" t="b">
        <v>0</v>
      </c>
      <c r="H461" s="1">
        <v>5</v>
      </c>
      <c r="I461" s="1">
        <v>2</v>
      </c>
      <c r="J461" s="1">
        <v>0.22</v>
      </c>
    </row>
    <row r="462" spans="1:10" x14ac:dyDescent="0.25">
      <c r="A462" s="1">
        <v>461</v>
      </c>
      <c r="B462" s="2">
        <v>40564</v>
      </c>
      <c r="C462" s="1">
        <v>1</v>
      </c>
      <c r="D462" s="1">
        <v>0</v>
      </c>
      <c r="E462" s="1">
        <v>1</v>
      </c>
      <c r="F462" s="1">
        <v>5</v>
      </c>
      <c r="G462" s="1" t="b">
        <v>0</v>
      </c>
      <c r="H462" s="1">
        <v>5</v>
      </c>
      <c r="I462" s="1">
        <v>1</v>
      </c>
      <c r="J462" s="1">
        <v>0.24</v>
      </c>
    </row>
    <row r="463" spans="1:10" x14ac:dyDescent="0.25">
      <c r="A463" s="1">
        <v>462</v>
      </c>
      <c r="B463" s="2">
        <v>40564</v>
      </c>
      <c r="C463" s="1">
        <v>1</v>
      </c>
      <c r="D463" s="1">
        <v>0</v>
      </c>
      <c r="E463" s="1">
        <v>1</v>
      </c>
      <c r="F463" s="1">
        <v>6</v>
      </c>
      <c r="G463" s="1" t="b">
        <v>0</v>
      </c>
      <c r="H463" s="1">
        <v>5</v>
      </c>
      <c r="I463" s="1">
        <v>1</v>
      </c>
      <c r="J463" s="1">
        <v>0.22</v>
      </c>
    </row>
    <row r="464" spans="1:10" x14ac:dyDescent="0.25">
      <c r="A464" s="1">
        <v>463</v>
      </c>
      <c r="B464" s="2">
        <v>40564</v>
      </c>
      <c r="C464" s="1">
        <v>1</v>
      </c>
      <c r="D464" s="1">
        <v>0</v>
      </c>
      <c r="E464" s="1">
        <v>1</v>
      </c>
      <c r="F464" s="1">
        <v>7</v>
      </c>
      <c r="G464" s="1" t="b">
        <v>0</v>
      </c>
      <c r="H464" s="1">
        <v>5</v>
      </c>
      <c r="I464" s="1">
        <v>1</v>
      </c>
      <c r="J464" s="1">
        <v>0.2</v>
      </c>
    </row>
    <row r="465" spans="1:10" x14ac:dyDescent="0.25">
      <c r="A465" s="1">
        <v>464</v>
      </c>
      <c r="B465" s="2">
        <v>40564</v>
      </c>
      <c r="C465" s="1">
        <v>1</v>
      </c>
      <c r="D465" s="1">
        <v>0</v>
      </c>
      <c r="E465" s="1">
        <v>1</v>
      </c>
      <c r="F465" s="1">
        <v>8</v>
      </c>
      <c r="G465" s="1" t="b">
        <v>0</v>
      </c>
      <c r="H465" s="1">
        <v>5</v>
      </c>
      <c r="I465" s="1">
        <v>1</v>
      </c>
      <c r="J465" s="1">
        <v>0.2</v>
      </c>
    </row>
    <row r="466" spans="1:10" x14ac:dyDescent="0.25">
      <c r="A466" s="1">
        <v>465</v>
      </c>
      <c r="B466" s="2">
        <v>40564</v>
      </c>
      <c r="C466" s="1">
        <v>1</v>
      </c>
      <c r="D466" s="1">
        <v>0</v>
      </c>
      <c r="E466" s="1">
        <v>1</v>
      </c>
      <c r="F466" s="1">
        <v>9</v>
      </c>
      <c r="G466" s="1" t="b">
        <v>0</v>
      </c>
      <c r="H466" s="1">
        <v>5</v>
      </c>
      <c r="I466" s="1">
        <v>1</v>
      </c>
      <c r="J466" s="1">
        <v>0.2</v>
      </c>
    </row>
    <row r="467" spans="1:10" x14ac:dyDescent="0.25">
      <c r="A467" s="1">
        <v>466</v>
      </c>
      <c r="B467" s="2">
        <v>40564</v>
      </c>
      <c r="C467" s="1">
        <v>1</v>
      </c>
      <c r="D467" s="1">
        <v>0</v>
      </c>
      <c r="E467" s="1">
        <v>1</v>
      </c>
      <c r="F467" s="1">
        <v>10</v>
      </c>
      <c r="G467" s="1" t="b">
        <v>0</v>
      </c>
      <c r="H467" s="1">
        <v>5</v>
      </c>
      <c r="I467" s="1">
        <v>1</v>
      </c>
      <c r="J467" s="1">
        <v>0.2</v>
      </c>
    </row>
    <row r="468" spans="1:10" x14ac:dyDescent="0.25">
      <c r="A468" s="1">
        <v>467</v>
      </c>
      <c r="B468" s="2">
        <v>40564</v>
      </c>
      <c r="C468" s="1">
        <v>1</v>
      </c>
      <c r="D468" s="1">
        <v>0</v>
      </c>
      <c r="E468" s="1">
        <v>1</v>
      </c>
      <c r="F468" s="1">
        <v>11</v>
      </c>
      <c r="G468" s="1" t="b">
        <v>0</v>
      </c>
      <c r="H468" s="1">
        <v>5</v>
      </c>
      <c r="I468" s="1">
        <v>1</v>
      </c>
      <c r="J468" s="1">
        <v>0.22</v>
      </c>
    </row>
    <row r="469" spans="1:10" x14ac:dyDescent="0.25">
      <c r="A469" s="1">
        <v>468</v>
      </c>
      <c r="B469" s="2">
        <v>40564</v>
      </c>
      <c r="C469" s="1">
        <v>1</v>
      </c>
      <c r="D469" s="1">
        <v>0</v>
      </c>
      <c r="E469" s="1">
        <v>1</v>
      </c>
      <c r="F469" s="1">
        <v>12</v>
      </c>
      <c r="G469" s="1" t="b">
        <v>0</v>
      </c>
      <c r="H469" s="1">
        <v>5</v>
      </c>
      <c r="I469" s="1">
        <v>1</v>
      </c>
      <c r="J469" s="1">
        <v>0.22</v>
      </c>
    </row>
    <row r="470" spans="1:10" x14ac:dyDescent="0.25">
      <c r="A470" s="1">
        <v>469</v>
      </c>
      <c r="B470" s="2">
        <v>40564</v>
      </c>
      <c r="C470" s="1">
        <v>1</v>
      </c>
      <c r="D470" s="1">
        <v>0</v>
      </c>
      <c r="E470" s="1">
        <v>1</v>
      </c>
      <c r="F470" s="1">
        <v>13</v>
      </c>
      <c r="G470" s="1" t="b">
        <v>0</v>
      </c>
      <c r="H470" s="1">
        <v>5</v>
      </c>
      <c r="I470" s="1">
        <v>1</v>
      </c>
      <c r="J470" s="1">
        <v>0.2</v>
      </c>
    </row>
    <row r="471" spans="1:10" x14ac:dyDescent="0.25">
      <c r="A471" s="1">
        <v>470</v>
      </c>
      <c r="B471" s="2">
        <v>40564</v>
      </c>
      <c r="C471" s="1">
        <v>1</v>
      </c>
      <c r="D471" s="1">
        <v>0</v>
      </c>
      <c r="E471" s="1">
        <v>1</v>
      </c>
      <c r="F471" s="1">
        <v>14</v>
      </c>
      <c r="G471" s="1" t="b">
        <v>0</v>
      </c>
      <c r="H471" s="1">
        <v>5</v>
      </c>
      <c r="I471" s="1">
        <v>1</v>
      </c>
      <c r="J471" s="1">
        <v>0.2</v>
      </c>
    </row>
    <row r="472" spans="1:10" x14ac:dyDescent="0.25">
      <c r="A472" s="1">
        <v>471</v>
      </c>
      <c r="B472" s="2">
        <v>40564</v>
      </c>
      <c r="C472" s="1">
        <v>1</v>
      </c>
      <c r="D472" s="1">
        <v>0</v>
      </c>
      <c r="E472" s="1">
        <v>1</v>
      </c>
      <c r="F472" s="1">
        <v>15</v>
      </c>
      <c r="G472" s="1" t="b">
        <v>0</v>
      </c>
      <c r="H472" s="1">
        <v>5</v>
      </c>
      <c r="I472" s="1">
        <v>1</v>
      </c>
      <c r="J472" s="1">
        <v>0.16</v>
      </c>
    </row>
    <row r="473" spans="1:10" x14ac:dyDescent="0.25">
      <c r="A473" s="1">
        <v>472</v>
      </c>
      <c r="B473" s="2">
        <v>40564</v>
      </c>
      <c r="C473" s="1">
        <v>1</v>
      </c>
      <c r="D473" s="1">
        <v>0</v>
      </c>
      <c r="E473" s="1">
        <v>1</v>
      </c>
      <c r="F473" s="1">
        <v>16</v>
      </c>
      <c r="G473" s="1" t="b">
        <v>0</v>
      </c>
      <c r="H473" s="1">
        <v>5</v>
      </c>
      <c r="I473" s="1">
        <v>1</v>
      </c>
      <c r="J473" s="1">
        <v>0.16</v>
      </c>
    </row>
    <row r="474" spans="1:10" x14ac:dyDescent="0.25">
      <c r="A474" s="1">
        <v>473</v>
      </c>
      <c r="B474" s="2">
        <v>40564</v>
      </c>
      <c r="C474" s="1">
        <v>1</v>
      </c>
      <c r="D474" s="1">
        <v>0</v>
      </c>
      <c r="E474" s="1">
        <v>1</v>
      </c>
      <c r="F474" s="1">
        <v>17</v>
      </c>
      <c r="G474" s="1" t="b">
        <v>0</v>
      </c>
      <c r="H474" s="1">
        <v>5</v>
      </c>
      <c r="I474" s="1">
        <v>1</v>
      </c>
      <c r="J474" s="1">
        <v>0.14000000000000001</v>
      </c>
    </row>
    <row r="475" spans="1:10" x14ac:dyDescent="0.25">
      <c r="A475" s="1">
        <v>474</v>
      </c>
      <c r="B475" s="2">
        <v>40564</v>
      </c>
      <c r="C475" s="1">
        <v>1</v>
      </c>
      <c r="D475" s="1">
        <v>0</v>
      </c>
      <c r="E475" s="1">
        <v>1</v>
      </c>
      <c r="F475" s="1">
        <v>18</v>
      </c>
      <c r="G475" s="1" t="b">
        <v>0</v>
      </c>
      <c r="H475" s="1">
        <v>5</v>
      </c>
      <c r="I475" s="1">
        <v>1</v>
      </c>
      <c r="J475" s="1">
        <v>0.12</v>
      </c>
    </row>
    <row r="476" spans="1:10" x14ac:dyDescent="0.25">
      <c r="A476" s="1">
        <v>475</v>
      </c>
      <c r="B476" s="2">
        <v>40564</v>
      </c>
      <c r="C476" s="1">
        <v>1</v>
      </c>
      <c r="D476" s="1">
        <v>0</v>
      </c>
      <c r="E476" s="1">
        <v>1</v>
      </c>
      <c r="F476" s="1">
        <v>19</v>
      </c>
      <c r="G476" s="1" t="b">
        <v>0</v>
      </c>
      <c r="H476" s="1">
        <v>5</v>
      </c>
      <c r="I476" s="1">
        <v>1</v>
      </c>
      <c r="J476" s="1">
        <v>0.12</v>
      </c>
    </row>
    <row r="477" spans="1:10" x14ac:dyDescent="0.25">
      <c r="A477" s="1">
        <v>476</v>
      </c>
      <c r="B477" s="2">
        <v>40564</v>
      </c>
      <c r="C477" s="1">
        <v>1</v>
      </c>
      <c r="D477" s="1">
        <v>0</v>
      </c>
      <c r="E477" s="1">
        <v>1</v>
      </c>
      <c r="F477" s="1">
        <v>20</v>
      </c>
      <c r="G477" s="1" t="b">
        <v>0</v>
      </c>
      <c r="H477" s="1">
        <v>5</v>
      </c>
      <c r="I477" s="1">
        <v>1</v>
      </c>
      <c r="J477" s="1">
        <v>0.1</v>
      </c>
    </row>
    <row r="478" spans="1:10" x14ac:dyDescent="0.25">
      <c r="A478" s="1">
        <v>477</v>
      </c>
      <c r="B478" s="2">
        <v>40564</v>
      </c>
      <c r="C478" s="1">
        <v>1</v>
      </c>
      <c r="D478" s="1">
        <v>0</v>
      </c>
      <c r="E478" s="1">
        <v>1</v>
      </c>
      <c r="F478" s="1">
        <v>21</v>
      </c>
      <c r="G478" s="1" t="b">
        <v>0</v>
      </c>
      <c r="H478" s="1">
        <v>5</v>
      </c>
      <c r="I478" s="1">
        <v>1</v>
      </c>
      <c r="J478" s="1">
        <v>0.08</v>
      </c>
    </row>
    <row r="479" spans="1:10" x14ac:dyDescent="0.25">
      <c r="A479" s="1">
        <v>478</v>
      </c>
      <c r="B479" s="2">
        <v>40564</v>
      </c>
      <c r="C479" s="1">
        <v>1</v>
      </c>
      <c r="D479" s="1">
        <v>0</v>
      </c>
      <c r="E479" s="1">
        <v>1</v>
      </c>
      <c r="F479" s="1">
        <v>22</v>
      </c>
      <c r="G479" s="1" t="b">
        <v>0</v>
      </c>
      <c r="H479" s="1">
        <v>5</v>
      </c>
      <c r="I479" s="1">
        <v>1</v>
      </c>
      <c r="J479" s="1">
        <v>0.06</v>
      </c>
    </row>
    <row r="480" spans="1:10" x14ac:dyDescent="0.25">
      <c r="A480" s="1">
        <v>479</v>
      </c>
      <c r="B480" s="2">
        <v>40564</v>
      </c>
      <c r="C480" s="1">
        <v>1</v>
      </c>
      <c r="D480" s="1">
        <v>0</v>
      </c>
      <c r="E480" s="1">
        <v>1</v>
      </c>
      <c r="F480" s="1">
        <v>23</v>
      </c>
      <c r="G480" s="1" t="b">
        <v>0</v>
      </c>
      <c r="H480" s="1">
        <v>5</v>
      </c>
      <c r="I480" s="1">
        <v>1</v>
      </c>
      <c r="J480" s="1">
        <v>0.06</v>
      </c>
    </row>
    <row r="481" spans="1:10" x14ac:dyDescent="0.25">
      <c r="A481" s="1">
        <v>480</v>
      </c>
      <c r="B481" s="2">
        <v>40565</v>
      </c>
      <c r="C481" s="1">
        <v>1</v>
      </c>
      <c r="D481" s="1">
        <v>0</v>
      </c>
      <c r="E481" s="1">
        <v>1</v>
      </c>
      <c r="F481" s="1">
        <v>0</v>
      </c>
      <c r="G481" s="1" t="b">
        <v>0</v>
      </c>
      <c r="H481" s="1">
        <v>6</v>
      </c>
      <c r="I481" s="1">
        <v>1</v>
      </c>
      <c r="J481" s="1">
        <v>0.04</v>
      </c>
    </row>
    <row r="482" spans="1:10" x14ac:dyDescent="0.25">
      <c r="A482" s="1">
        <v>481</v>
      </c>
      <c r="B482" s="2">
        <v>40565</v>
      </c>
      <c r="C482" s="1">
        <v>1</v>
      </c>
      <c r="D482" s="1">
        <v>0</v>
      </c>
      <c r="E482" s="1">
        <v>1</v>
      </c>
      <c r="F482" s="1">
        <v>1</v>
      </c>
      <c r="G482" s="1" t="b">
        <v>0</v>
      </c>
      <c r="H482" s="1">
        <v>6</v>
      </c>
      <c r="I482" s="1">
        <v>2</v>
      </c>
      <c r="J482" s="1">
        <v>0.04</v>
      </c>
    </row>
    <row r="483" spans="1:10" x14ac:dyDescent="0.25">
      <c r="A483" s="1">
        <v>482</v>
      </c>
      <c r="B483" s="2">
        <v>40565</v>
      </c>
      <c r="C483" s="1">
        <v>1</v>
      </c>
      <c r="D483" s="1">
        <v>0</v>
      </c>
      <c r="E483" s="1">
        <v>1</v>
      </c>
      <c r="F483" s="1">
        <v>2</v>
      </c>
      <c r="G483" s="1" t="b">
        <v>0</v>
      </c>
      <c r="H483" s="1">
        <v>6</v>
      </c>
      <c r="I483" s="1">
        <v>2</v>
      </c>
      <c r="J483" s="1">
        <v>0.04</v>
      </c>
    </row>
    <row r="484" spans="1:10" x14ac:dyDescent="0.25">
      <c r="A484" s="1">
        <v>483</v>
      </c>
      <c r="B484" s="2">
        <v>40565</v>
      </c>
      <c r="C484" s="1">
        <v>1</v>
      </c>
      <c r="D484" s="1">
        <v>0</v>
      </c>
      <c r="E484" s="1">
        <v>1</v>
      </c>
      <c r="F484" s="1">
        <v>3</v>
      </c>
      <c r="G484" s="1" t="b">
        <v>0</v>
      </c>
      <c r="H484" s="1">
        <v>6</v>
      </c>
      <c r="I484" s="1">
        <v>2</v>
      </c>
      <c r="J484" s="1">
        <v>0.04</v>
      </c>
    </row>
    <row r="485" spans="1:10" x14ac:dyDescent="0.25">
      <c r="A485" s="1">
        <v>484</v>
      </c>
      <c r="B485" s="2">
        <v>40565</v>
      </c>
      <c r="C485" s="1">
        <v>1</v>
      </c>
      <c r="D485" s="1">
        <v>0</v>
      </c>
      <c r="E485" s="1">
        <v>1</v>
      </c>
      <c r="F485" s="1">
        <v>4</v>
      </c>
      <c r="G485" s="1" t="b">
        <v>0</v>
      </c>
      <c r="H485" s="1">
        <v>6</v>
      </c>
      <c r="I485" s="1">
        <v>2</v>
      </c>
      <c r="J485" s="1">
        <v>0.02</v>
      </c>
    </row>
    <row r="486" spans="1:10" x14ac:dyDescent="0.25">
      <c r="A486" s="1">
        <v>485</v>
      </c>
      <c r="B486" s="2">
        <v>40565</v>
      </c>
      <c r="C486" s="1">
        <v>1</v>
      </c>
      <c r="D486" s="1">
        <v>0</v>
      </c>
      <c r="E486" s="1">
        <v>1</v>
      </c>
      <c r="F486" s="1">
        <v>6</v>
      </c>
      <c r="G486" s="1" t="b">
        <v>0</v>
      </c>
      <c r="H486" s="1">
        <v>6</v>
      </c>
      <c r="I486" s="1">
        <v>2</v>
      </c>
      <c r="J486" s="1">
        <v>0.02</v>
      </c>
    </row>
    <row r="487" spans="1:10" x14ac:dyDescent="0.25">
      <c r="A487" s="1">
        <v>486</v>
      </c>
      <c r="B487" s="2">
        <v>40565</v>
      </c>
      <c r="C487" s="1">
        <v>1</v>
      </c>
      <c r="D487" s="1">
        <v>0</v>
      </c>
      <c r="E487" s="1">
        <v>1</v>
      </c>
      <c r="F487" s="1">
        <v>7</v>
      </c>
      <c r="G487" s="1" t="b">
        <v>0</v>
      </c>
      <c r="H487" s="1">
        <v>6</v>
      </c>
      <c r="I487" s="1">
        <v>1</v>
      </c>
      <c r="J487" s="1">
        <v>0.02</v>
      </c>
    </row>
    <row r="488" spans="1:10" x14ac:dyDescent="0.25">
      <c r="A488" s="1">
        <v>487</v>
      </c>
      <c r="B488" s="2">
        <v>40565</v>
      </c>
      <c r="C488" s="1">
        <v>1</v>
      </c>
      <c r="D488" s="1">
        <v>0</v>
      </c>
      <c r="E488" s="1">
        <v>1</v>
      </c>
      <c r="F488" s="1">
        <v>8</v>
      </c>
      <c r="G488" s="1" t="b">
        <v>0</v>
      </c>
      <c r="H488" s="1">
        <v>6</v>
      </c>
      <c r="I488" s="1">
        <v>1</v>
      </c>
      <c r="J488" s="1">
        <v>0.02</v>
      </c>
    </row>
    <row r="489" spans="1:10" x14ac:dyDescent="0.25">
      <c r="A489" s="1">
        <v>488</v>
      </c>
      <c r="B489" s="2">
        <v>40565</v>
      </c>
      <c r="C489" s="1">
        <v>1</v>
      </c>
      <c r="D489" s="1">
        <v>0</v>
      </c>
      <c r="E489" s="1">
        <v>1</v>
      </c>
      <c r="F489" s="1">
        <v>9</v>
      </c>
      <c r="G489" s="1" t="b">
        <v>0</v>
      </c>
      <c r="H489" s="1">
        <v>6</v>
      </c>
      <c r="I489" s="1">
        <v>1</v>
      </c>
      <c r="J489" s="1">
        <v>0.04</v>
      </c>
    </row>
    <row r="490" spans="1:10" x14ac:dyDescent="0.25">
      <c r="A490" s="1">
        <v>489</v>
      </c>
      <c r="B490" s="2">
        <v>40565</v>
      </c>
      <c r="C490" s="1">
        <v>1</v>
      </c>
      <c r="D490" s="1">
        <v>0</v>
      </c>
      <c r="E490" s="1">
        <v>1</v>
      </c>
      <c r="F490" s="1">
        <v>10</v>
      </c>
      <c r="G490" s="1" t="b">
        <v>0</v>
      </c>
      <c r="H490" s="1">
        <v>6</v>
      </c>
      <c r="I490" s="1">
        <v>2</v>
      </c>
      <c r="J490" s="1">
        <v>0.04</v>
      </c>
    </row>
    <row r="491" spans="1:10" x14ac:dyDescent="0.25">
      <c r="A491" s="1">
        <v>490</v>
      </c>
      <c r="B491" s="2">
        <v>40565</v>
      </c>
      <c r="C491" s="1">
        <v>1</v>
      </c>
      <c r="D491" s="1">
        <v>0</v>
      </c>
      <c r="E491" s="1">
        <v>1</v>
      </c>
      <c r="F491" s="1">
        <v>11</v>
      </c>
      <c r="G491" s="1" t="b">
        <v>0</v>
      </c>
      <c r="H491" s="1">
        <v>6</v>
      </c>
      <c r="I491" s="1">
        <v>2</v>
      </c>
      <c r="J491" s="1">
        <v>0.06</v>
      </c>
    </row>
    <row r="492" spans="1:10" x14ac:dyDescent="0.25">
      <c r="A492" s="1">
        <v>491</v>
      </c>
      <c r="B492" s="2">
        <v>40565</v>
      </c>
      <c r="C492" s="1">
        <v>1</v>
      </c>
      <c r="D492" s="1">
        <v>0</v>
      </c>
      <c r="E492" s="1">
        <v>1</v>
      </c>
      <c r="F492" s="1">
        <v>12</v>
      </c>
      <c r="G492" s="1" t="b">
        <v>0</v>
      </c>
      <c r="H492" s="1">
        <v>6</v>
      </c>
      <c r="I492" s="1">
        <v>2</v>
      </c>
      <c r="J492" s="1">
        <v>0.06</v>
      </c>
    </row>
    <row r="493" spans="1:10" x14ac:dyDescent="0.25">
      <c r="A493" s="1">
        <v>492</v>
      </c>
      <c r="B493" s="2">
        <v>40565</v>
      </c>
      <c r="C493" s="1">
        <v>1</v>
      </c>
      <c r="D493" s="1">
        <v>0</v>
      </c>
      <c r="E493" s="1">
        <v>1</v>
      </c>
      <c r="F493" s="1">
        <v>13</v>
      </c>
      <c r="G493" s="1" t="b">
        <v>0</v>
      </c>
      <c r="H493" s="1">
        <v>6</v>
      </c>
      <c r="I493" s="1">
        <v>1</v>
      </c>
      <c r="J493" s="1">
        <v>0.08</v>
      </c>
    </row>
    <row r="494" spans="1:10" x14ac:dyDescent="0.25">
      <c r="A494" s="1">
        <v>493</v>
      </c>
      <c r="B494" s="2">
        <v>40565</v>
      </c>
      <c r="C494" s="1">
        <v>1</v>
      </c>
      <c r="D494" s="1">
        <v>0</v>
      </c>
      <c r="E494" s="1">
        <v>1</v>
      </c>
      <c r="F494" s="1">
        <v>14</v>
      </c>
      <c r="G494" s="1" t="b">
        <v>0</v>
      </c>
      <c r="H494" s="1">
        <v>6</v>
      </c>
      <c r="I494" s="1">
        <v>1</v>
      </c>
      <c r="J494" s="1">
        <v>0.1</v>
      </c>
    </row>
    <row r="495" spans="1:10" x14ac:dyDescent="0.25">
      <c r="A495" s="1">
        <v>494</v>
      </c>
      <c r="B495" s="2">
        <v>40565</v>
      </c>
      <c r="C495" s="1">
        <v>1</v>
      </c>
      <c r="D495" s="1">
        <v>0</v>
      </c>
      <c r="E495" s="1">
        <v>1</v>
      </c>
      <c r="F495" s="1">
        <v>15</v>
      </c>
      <c r="G495" s="1" t="b">
        <v>0</v>
      </c>
      <c r="H495" s="1">
        <v>6</v>
      </c>
      <c r="I495" s="1">
        <v>1</v>
      </c>
      <c r="J495" s="1">
        <v>0.12</v>
      </c>
    </row>
    <row r="496" spans="1:10" x14ac:dyDescent="0.25">
      <c r="A496" s="1">
        <v>495</v>
      </c>
      <c r="B496" s="2">
        <v>40565</v>
      </c>
      <c r="C496" s="1">
        <v>1</v>
      </c>
      <c r="D496" s="1">
        <v>0</v>
      </c>
      <c r="E496" s="1">
        <v>1</v>
      </c>
      <c r="F496" s="1">
        <v>16</v>
      </c>
      <c r="G496" s="1" t="b">
        <v>0</v>
      </c>
      <c r="H496" s="1">
        <v>6</v>
      </c>
      <c r="I496" s="1">
        <v>1</v>
      </c>
      <c r="J496" s="1">
        <v>0.12</v>
      </c>
    </row>
    <row r="497" spans="1:10" x14ac:dyDescent="0.25">
      <c r="A497" s="1">
        <v>496</v>
      </c>
      <c r="B497" s="2">
        <v>40565</v>
      </c>
      <c r="C497" s="1">
        <v>1</v>
      </c>
      <c r="D497" s="1">
        <v>0</v>
      </c>
      <c r="E497" s="1">
        <v>1</v>
      </c>
      <c r="F497" s="1">
        <v>17</v>
      </c>
      <c r="G497" s="1" t="b">
        <v>0</v>
      </c>
      <c r="H497" s="1">
        <v>6</v>
      </c>
      <c r="I497" s="1">
        <v>1</v>
      </c>
      <c r="J497" s="1">
        <v>0.12</v>
      </c>
    </row>
    <row r="498" spans="1:10" x14ac:dyDescent="0.25">
      <c r="A498" s="1">
        <v>497</v>
      </c>
      <c r="B498" s="2">
        <v>40565</v>
      </c>
      <c r="C498" s="1">
        <v>1</v>
      </c>
      <c r="D498" s="1">
        <v>0</v>
      </c>
      <c r="E498" s="1">
        <v>1</v>
      </c>
      <c r="F498" s="1">
        <v>18</v>
      </c>
      <c r="G498" s="1" t="b">
        <v>0</v>
      </c>
      <c r="H498" s="1">
        <v>6</v>
      </c>
      <c r="I498" s="1">
        <v>1</v>
      </c>
      <c r="J498" s="1">
        <v>0.08</v>
      </c>
    </row>
    <row r="499" spans="1:10" x14ac:dyDescent="0.25">
      <c r="A499" s="1">
        <v>498</v>
      </c>
      <c r="B499" s="2">
        <v>40565</v>
      </c>
      <c r="C499" s="1">
        <v>1</v>
      </c>
      <c r="D499" s="1">
        <v>0</v>
      </c>
      <c r="E499" s="1">
        <v>1</v>
      </c>
      <c r="F499" s="1">
        <v>19</v>
      </c>
      <c r="G499" s="1" t="b">
        <v>0</v>
      </c>
      <c r="H499" s="1">
        <v>6</v>
      </c>
      <c r="I499" s="1">
        <v>1</v>
      </c>
      <c r="J499" s="1">
        <v>0.08</v>
      </c>
    </row>
    <row r="500" spans="1:10" x14ac:dyDescent="0.25">
      <c r="A500" s="1">
        <v>499</v>
      </c>
      <c r="B500" s="2">
        <v>40565</v>
      </c>
      <c r="C500" s="1">
        <v>1</v>
      </c>
      <c r="D500" s="1">
        <v>0</v>
      </c>
      <c r="E500" s="1">
        <v>1</v>
      </c>
      <c r="F500" s="1">
        <v>20</v>
      </c>
      <c r="G500" s="1" t="b">
        <v>0</v>
      </c>
      <c r="H500" s="1">
        <v>6</v>
      </c>
      <c r="I500" s="1">
        <v>1</v>
      </c>
      <c r="J500" s="1">
        <v>0.06</v>
      </c>
    </row>
    <row r="501" spans="1:10" x14ac:dyDescent="0.25">
      <c r="A501" s="1">
        <v>500</v>
      </c>
      <c r="B501" s="2">
        <v>40565</v>
      </c>
      <c r="C501" s="1">
        <v>1</v>
      </c>
      <c r="D501" s="1">
        <v>0</v>
      </c>
      <c r="E501" s="1">
        <v>1</v>
      </c>
      <c r="F501" s="1">
        <v>21</v>
      </c>
      <c r="G501" s="1" t="b">
        <v>0</v>
      </c>
      <c r="H501" s="1">
        <v>6</v>
      </c>
      <c r="I501" s="1">
        <v>1</v>
      </c>
      <c r="J501" s="1">
        <v>0.06</v>
      </c>
    </row>
    <row r="502" spans="1:10" x14ac:dyDescent="0.25">
      <c r="A502" s="1">
        <v>501</v>
      </c>
      <c r="B502" s="2">
        <v>40565</v>
      </c>
      <c r="C502" s="1">
        <v>1</v>
      </c>
      <c r="D502" s="1">
        <v>0</v>
      </c>
      <c r="E502" s="1">
        <v>1</v>
      </c>
      <c r="F502" s="1">
        <v>22</v>
      </c>
      <c r="G502" s="1" t="b">
        <v>0</v>
      </c>
      <c r="H502" s="1">
        <v>6</v>
      </c>
      <c r="I502" s="1">
        <v>1</v>
      </c>
      <c r="J502" s="1">
        <v>0.06</v>
      </c>
    </row>
    <row r="503" spans="1:10" x14ac:dyDescent="0.25">
      <c r="A503" s="1">
        <v>502</v>
      </c>
      <c r="B503" s="2">
        <v>40565</v>
      </c>
      <c r="C503" s="1">
        <v>1</v>
      </c>
      <c r="D503" s="1">
        <v>0</v>
      </c>
      <c r="E503" s="1">
        <v>1</v>
      </c>
      <c r="F503" s="1">
        <v>23</v>
      </c>
      <c r="G503" s="1" t="b">
        <v>0</v>
      </c>
      <c r="H503" s="1">
        <v>6</v>
      </c>
      <c r="I503" s="1">
        <v>1</v>
      </c>
      <c r="J503" s="1">
        <v>0.04</v>
      </c>
    </row>
    <row r="504" spans="1:10" x14ac:dyDescent="0.25">
      <c r="A504" s="1">
        <v>503</v>
      </c>
      <c r="B504" s="2">
        <v>40566</v>
      </c>
      <c r="C504" s="1">
        <v>1</v>
      </c>
      <c r="D504" s="1">
        <v>0</v>
      </c>
      <c r="E504" s="1">
        <v>1</v>
      </c>
      <c r="F504" s="1">
        <v>0</v>
      </c>
      <c r="G504" s="1" t="b">
        <v>0</v>
      </c>
      <c r="H504" s="1">
        <v>0</v>
      </c>
      <c r="I504" s="1">
        <v>1</v>
      </c>
      <c r="J504" s="1">
        <v>0.04</v>
      </c>
    </row>
    <row r="505" spans="1:10" x14ac:dyDescent="0.25">
      <c r="A505" s="1">
        <v>504</v>
      </c>
      <c r="B505" s="2">
        <v>40566</v>
      </c>
      <c r="C505" s="1">
        <v>1</v>
      </c>
      <c r="D505" s="1">
        <v>0</v>
      </c>
      <c r="E505" s="1">
        <v>1</v>
      </c>
      <c r="F505" s="1">
        <v>1</v>
      </c>
      <c r="G505" s="1" t="b">
        <v>0</v>
      </c>
      <c r="H505" s="1">
        <v>0</v>
      </c>
      <c r="I505" s="1">
        <v>1</v>
      </c>
      <c r="J505" s="1">
        <v>0.04</v>
      </c>
    </row>
    <row r="506" spans="1:10" x14ac:dyDescent="0.25">
      <c r="A506" s="1">
        <v>505</v>
      </c>
      <c r="B506" s="2">
        <v>40566</v>
      </c>
      <c r="C506" s="1">
        <v>1</v>
      </c>
      <c r="D506" s="1">
        <v>0</v>
      </c>
      <c r="E506" s="1">
        <v>1</v>
      </c>
      <c r="F506" s="1">
        <v>2</v>
      </c>
      <c r="G506" s="1" t="b">
        <v>0</v>
      </c>
      <c r="H506" s="1">
        <v>0</v>
      </c>
      <c r="I506" s="1">
        <v>1</v>
      </c>
      <c r="J506" s="1">
        <v>0.02</v>
      </c>
    </row>
    <row r="507" spans="1:10" x14ac:dyDescent="0.25">
      <c r="A507" s="1">
        <v>506</v>
      </c>
      <c r="B507" s="2">
        <v>40566</v>
      </c>
      <c r="C507" s="1">
        <v>1</v>
      </c>
      <c r="D507" s="1">
        <v>0</v>
      </c>
      <c r="E507" s="1">
        <v>1</v>
      </c>
      <c r="F507" s="1">
        <v>3</v>
      </c>
      <c r="G507" s="1" t="b">
        <v>0</v>
      </c>
      <c r="H507" s="1">
        <v>0</v>
      </c>
      <c r="I507" s="1">
        <v>1</v>
      </c>
      <c r="J507" s="1">
        <v>0.02</v>
      </c>
    </row>
    <row r="508" spans="1:10" x14ac:dyDescent="0.25">
      <c r="A508" s="1">
        <v>507</v>
      </c>
      <c r="B508" s="2">
        <v>40566</v>
      </c>
      <c r="C508" s="1">
        <v>1</v>
      </c>
      <c r="D508" s="1">
        <v>0</v>
      </c>
      <c r="E508" s="1">
        <v>1</v>
      </c>
      <c r="F508" s="1">
        <v>5</v>
      </c>
      <c r="G508" s="1" t="b">
        <v>0</v>
      </c>
      <c r="H508" s="1">
        <v>0</v>
      </c>
      <c r="I508" s="1">
        <v>2</v>
      </c>
      <c r="J508" s="1">
        <v>0.04</v>
      </c>
    </row>
    <row r="509" spans="1:10" x14ac:dyDescent="0.25">
      <c r="A509" s="1">
        <v>508</v>
      </c>
      <c r="B509" s="2">
        <v>40566</v>
      </c>
      <c r="C509" s="1">
        <v>1</v>
      </c>
      <c r="D509" s="1">
        <v>0</v>
      </c>
      <c r="E509" s="1">
        <v>1</v>
      </c>
      <c r="F509" s="1">
        <v>6</v>
      </c>
      <c r="G509" s="1" t="b">
        <v>0</v>
      </c>
      <c r="H509" s="1">
        <v>0</v>
      </c>
      <c r="I509" s="1">
        <v>2</v>
      </c>
      <c r="J509" s="1">
        <v>0.04</v>
      </c>
    </row>
    <row r="510" spans="1:10" x14ac:dyDescent="0.25">
      <c r="A510" s="1">
        <v>509</v>
      </c>
      <c r="B510" s="2">
        <v>40566</v>
      </c>
      <c r="C510" s="1">
        <v>1</v>
      </c>
      <c r="D510" s="1">
        <v>0</v>
      </c>
      <c r="E510" s="1">
        <v>1</v>
      </c>
      <c r="F510" s="1">
        <v>7</v>
      </c>
      <c r="G510" s="1" t="b">
        <v>0</v>
      </c>
      <c r="H510" s="1">
        <v>0</v>
      </c>
      <c r="I510" s="1">
        <v>1</v>
      </c>
      <c r="J510" s="1">
        <v>0.08</v>
      </c>
    </row>
    <row r="511" spans="1:10" x14ac:dyDescent="0.25">
      <c r="A511" s="1">
        <v>510</v>
      </c>
      <c r="B511" s="2">
        <v>40566</v>
      </c>
      <c r="C511" s="1">
        <v>1</v>
      </c>
      <c r="D511" s="1">
        <v>0</v>
      </c>
      <c r="E511" s="1">
        <v>1</v>
      </c>
      <c r="F511" s="1">
        <v>8</v>
      </c>
      <c r="G511" s="1" t="b">
        <v>0</v>
      </c>
      <c r="H511" s="1">
        <v>0</v>
      </c>
      <c r="I511" s="1">
        <v>1</v>
      </c>
      <c r="J511" s="1">
        <v>0.06</v>
      </c>
    </row>
    <row r="512" spans="1:10" x14ac:dyDescent="0.25">
      <c r="A512" s="1">
        <v>511</v>
      </c>
      <c r="B512" s="2">
        <v>40566</v>
      </c>
      <c r="C512" s="1">
        <v>1</v>
      </c>
      <c r="D512" s="1">
        <v>0</v>
      </c>
      <c r="E512" s="1">
        <v>1</v>
      </c>
      <c r="F512" s="1">
        <v>9</v>
      </c>
      <c r="G512" s="1" t="b">
        <v>0</v>
      </c>
      <c r="H512" s="1">
        <v>0</v>
      </c>
      <c r="I512" s="1">
        <v>1</v>
      </c>
      <c r="J512" s="1">
        <v>0.1</v>
      </c>
    </row>
    <row r="513" spans="1:10" x14ac:dyDescent="0.25">
      <c r="A513" s="1">
        <v>512</v>
      </c>
      <c r="B513" s="2">
        <v>40566</v>
      </c>
      <c r="C513" s="1">
        <v>1</v>
      </c>
      <c r="D513" s="1">
        <v>0</v>
      </c>
      <c r="E513" s="1">
        <v>1</v>
      </c>
      <c r="F513" s="1">
        <v>10</v>
      </c>
      <c r="G513" s="1" t="b">
        <v>0</v>
      </c>
      <c r="H513" s="1">
        <v>0</v>
      </c>
      <c r="I513" s="1">
        <v>1</v>
      </c>
      <c r="J513" s="1">
        <v>0.14000000000000001</v>
      </c>
    </row>
    <row r="514" spans="1:10" x14ac:dyDescent="0.25">
      <c r="A514" s="1">
        <v>513</v>
      </c>
      <c r="B514" s="2">
        <v>40566</v>
      </c>
      <c r="C514" s="1">
        <v>1</v>
      </c>
      <c r="D514" s="1">
        <v>0</v>
      </c>
      <c r="E514" s="1">
        <v>1</v>
      </c>
      <c r="F514" s="1">
        <v>11</v>
      </c>
      <c r="G514" s="1" t="b">
        <v>0</v>
      </c>
      <c r="H514" s="1">
        <v>0</v>
      </c>
      <c r="I514" s="1">
        <v>1</v>
      </c>
      <c r="J514" s="1">
        <v>0.14000000000000001</v>
      </c>
    </row>
    <row r="515" spans="1:10" x14ac:dyDescent="0.25">
      <c r="A515" s="1">
        <v>514</v>
      </c>
      <c r="B515" s="2">
        <v>40566</v>
      </c>
      <c r="C515" s="1">
        <v>1</v>
      </c>
      <c r="D515" s="1">
        <v>0</v>
      </c>
      <c r="E515" s="1">
        <v>1</v>
      </c>
      <c r="F515" s="1">
        <v>12</v>
      </c>
      <c r="G515" s="1" t="b">
        <v>0</v>
      </c>
      <c r="H515" s="1">
        <v>0</v>
      </c>
      <c r="I515" s="1">
        <v>1</v>
      </c>
      <c r="J515" s="1">
        <v>0.16</v>
      </c>
    </row>
    <row r="516" spans="1:10" x14ac:dyDescent="0.25">
      <c r="A516" s="1">
        <v>515</v>
      </c>
      <c r="B516" s="2">
        <v>40566</v>
      </c>
      <c r="C516" s="1">
        <v>1</v>
      </c>
      <c r="D516" s="1">
        <v>0</v>
      </c>
      <c r="E516" s="1">
        <v>1</v>
      </c>
      <c r="F516" s="1">
        <v>13</v>
      </c>
      <c r="G516" s="1" t="b">
        <v>0</v>
      </c>
      <c r="H516" s="1">
        <v>0</v>
      </c>
      <c r="I516" s="1">
        <v>1</v>
      </c>
      <c r="J516" s="1">
        <v>0.14000000000000001</v>
      </c>
    </row>
    <row r="517" spans="1:10" x14ac:dyDescent="0.25">
      <c r="A517" s="1">
        <v>516</v>
      </c>
      <c r="B517" s="2">
        <v>40566</v>
      </c>
      <c r="C517" s="1">
        <v>1</v>
      </c>
      <c r="D517" s="1">
        <v>0</v>
      </c>
      <c r="E517" s="1">
        <v>1</v>
      </c>
      <c r="F517" s="1">
        <v>14</v>
      </c>
      <c r="G517" s="1" t="b">
        <v>0</v>
      </c>
      <c r="H517" s="1">
        <v>0</v>
      </c>
      <c r="I517" s="1">
        <v>1</v>
      </c>
      <c r="J517" s="1">
        <v>0.16</v>
      </c>
    </row>
    <row r="518" spans="1:10" x14ac:dyDescent="0.25">
      <c r="A518" s="1">
        <v>517</v>
      </c>
      <c r="B518" s="2">
        <v>40566</v>
      </c>
      <c r="C518" s="1">
        <v>1</v>
      </c>
      <c r="D518" s="1">
        <v>0</v>
      </c>
      <c r="E518" s="1">
        <v>1</v>
      </c>
      <c r="F518" s="1">
        <v>15</v>
      </c>
      <c r="G518" s="1" t="b">
        <v>0</v>
      </c>
      <c r="H518" s="1">
        <v>0</v>
      </c>
      <c r="I518" s="1">
        <v>1</v>
      </c>
      <c r="J518" s="1">
        <v>0.16</v>
      </c>
    </row>
    <row r="519" spans="1:10" x14ac:dyDescent="0.25">
      <c r="A519" s="1">
        <v>518</v>
      </c>
      <c r="B519" s="2">
        <v>40566</v>
      </c>
      <c r="C519" s="1">
        <v>1</v>
      </c>
      <c r="D519" s="1">
        <v>0</v>
      </c>
      <c r="E519" s="1">
        <v>1</v>
      </c>
      <c r="F519" s="1">
        <v>16</v>
      </c>
      <c r="G519" s="1" t="b">
        <v>0</v>
      </c>
      <c r="H519" s="1">
        <v>0</v>
      </c>
      <c r="I519" s="1">
        <v>1</v>
      </c>
      <c r="J519" s="1">
        <v>0.16</v>
      </c>
    </row>
    <row r="520" spans="1:10" x14ac:dyDescent="0.25">
      <c r="A520" s="1">
        <v>519</v>
      </c>
      <c r="B520" s="2">
        <v>40566</v>
      </c>
      <c r="C520" s="1">
        <v>1</v>
      </c>
      <c r="D520" s="1">
        <v>0</v>
      </c>
      <c r="E520" s="1">
        <v>1</v>
      </c>
      <c r="F520" s="1">
        <v>17</v>
      </c>
      <c r="G520" s="1" t="b">
        <v>0</v>
      </c>
      <c r="H520" s="1">
        <v>0</v>
      </c>
      <c r="I520" s="1">
        <v>1</v>
      </c>
      <c r="J520" s="1">
        <v>0.14000000000000001</v>
      </c>
    </row>
    <row r="521" spans="1:10" x14ac:dyDescent="0.25">
      <c r="A521" s="1">
        <v>520</v>
      </c>
      <c r="B521" s="2">
        <v>40566</v>
      </c>
      <c r="C521" s="1">
        <v>1</v>
      </c>
      <c r="D521" s="1">
        <v>0</v>
      </c>
      <c r="E521" s="1">
        <v>1</v>
      </c>
      <c r="F521" s="1">
        <v>18</v>
      </c>
      <c r="G521" s="1" t="b">
        <v>0</v>
      </c>
      <c r="H521" s="1">
        <v>0</v>
      </c>
      <c r="I521" s="1">
        <v>1</v>
      </c>
      <c r="J521" s="1">
        <v>0.12</v>
      </c>
    </row>
    <row r="522" spans="1:10" x14ac:dyDescent="0.25">
      <c r="A522" s="1">
        <v>521</v>
      </c>
      <c r="B522" s="2">
        <v>40566</v>
      </c>
      <c r="C522" s="1">
        <v>1</v>
      </c>
      <c r="D522" s="1">
        <v>0</v>
      </c>
      <c r="E522" s="1">
        <v>1</v>
      </c>
      <c r="F522" s="1">
        <v>19</v>
      </c>
      <c r="G522" s="1" t="b">
        <v>0</v>
      </c>
      <c r="H522" s="1">
        <v>0</v>
      </c>
      <c r="I522" s="1">
        <v>1</v>
      </c>
      <c r="J522" s="1">
        <v>0.12</v>
      </c>
    </row>
    <row r="523" spans="1:10" x14ac:dyDescent="0.25">
      <c r="A523" s="1">
        <v>522</v>
      </c>
      <c r="B523" s="2">
        <v>40566</v>
      </c>
      <c r="C523" s="1">
        <v>1</v>
      </c>
      <c r="D523" s="1">
        <v>0</v>
      </c>
      <c r="E523" s="1">
        <v>1</v>
      </c>
      <c r="F523" s="1">
        <v>20</v>
      </c>
      <c r="G523" s="1" t="b">
        <v>0</v>
      </c>
      <c r="H523" s="1">
        <v>0</v>
      </c>
      <c r="I523" s="1">
        <v>1</v>
      </c>
      <c r="J523" s="1">
        <v>0.1</v>
      </c>
    </row>
    <row r="524" spans="1:10" x14ac:dyDescent="0.25">
      <c r="A524" s="1">
        <v>523</v>
      </c>
      <c r="B524" s="2">
        <v>40566</v>
      </c>
      <c r="C524" s="1">
        <v>1</v>
      </c>
      <c r="D524" s="1">
        <v>0</v>
      </c>
      <c r="E524" s="1">
        <v>1</v>
      </c>
      <c r="F524" s="1">
        <v>21</v>
      </c>
      <c r="G524" s="1" t="b">
        <v>0</v>
      </c>
      <c r="H524" s="1">
        <v>0</v>
      </c>
      <c r="I524" s="1">
        <v>1</v>
      </c>
      <c r="J524" s="1">
        <v>0.1</v>
      </c>
    </row>
    <row r="525" spans="1:10" x14ac:dyDescent="0.25">
      <c r="A525" s="1">
        <v>524</v>
      </c>
      <c r="B525" s="2">
        <v>40566</v>
      </c>
      <c r="C525" s="1">
        <v>1</v>
      </c>
      <c r="D525" s="1">
        <v>0</v>
      </c>
      <c r="E525" s="1">
        <v>1</v>
      </c>
      <c r="F525" s="1">
        <v>22</v>
      </c>
      <c r="G525" s="1" t="b">
        <v>0</v>
      </c>
      <c r="H525" s="1">
        <v>0</v>
      </c>
      <c r="I525" s="1">
        <v>1</v>
      </c>
      <c r="J525" s="1">
        <v>0.08</v>
      </c>
    </row>
    <row r="526" spans="1:10" x14ac:dyDescent="0.25">
      <c r="A526" s="1">
        <v>525</v>
      </c>
      <c r="B526" s="2">
        <v>40566</v>
      </c>
      <c r="C526" s="1">
        <v>1</v>
      </c>
      <c r="D526" s="1">
        <v>0</v>
      </c>
      <c r="E526" s="1">
        <v>1</v>
      </c>
      <c r="F526" s="1">
        <v>23</v>
      </c>
      <c r="G526" s="1" t="b">
        <v>0</v>
      </c>
      <c r="H526" s="1">
        <v>0</v>
      </c>
      <c r="I526" s="1">
        <v>1</v>
      </c>
      <c r="J526" s="1">
        <v>0.06</v>
      </c>
    </row>
    <row r="527" spans="1:10" x14ac:dyDescent="0.25">
      <c r="A527" s="1">
        <v>526</v>
      </c>
      <c r="B527" s="2">
        <v>40567</v>
      </c>
      <c r="C527" s="1">
        <v>1</v>
      </c>
      <c r="D527" s="1">
        <v>0</v>
      </c>
      <c r="E527" s="1">
        <v>1</v>
      </c>
      <c r="F527" s="1">
        <v>0</v>
      </c>
      <c r="G527" s="1" t="b">
        <v>0</v>
      </c>
      <c r="H527" s="1">
        <v>1</v>
      </c>
      <c r="I527" s="1">
        <v>1</v>
      </c>
      <c r="J527" s="1">
        <v>0.06</v>
      </c>
    </row>
    <row r="528" spans="1:10" x14ac:dyDescent="0.25">
      <c r="A528" s="1">
        <v>527</v>
      </c>
      <c r="B528" s="2">
        <v>40567</v>
      </c>
      <c r="C528" s="1">
        <v>1</v>
      </c>
      <c r="D528" s="1">
        <v>0</v>
      </c>
      <c r="E528" s="1">
        <v>1</v>
      </c>
      <c r="F528" s="1">
        <v>1</v>
      </c>
      <c r="G528" s="1" t="b">
        <v>0</v>
      </c>
      <c r="H528" s="1">
        <v>1</v>
      </c>
      <c r="I528" s="1">
        <v>1</v>
      </c>
      <c r="J528" s="1">
        <v>0.04</v>
      </c>
    </row>
    <row r="529" spans="1:10" x14ac:dyDescent="0.25">
      <c r="A529" s="1">
        <v>528</v>
      </c>
      <c r="B529" s="2">
        <v>40567</v>
      </c>
      <c r="C529" s="1">
        <v>1</v>
      </c>
      <c r="D529" s="1">
        <v>0</v>
      </c>
      <c r="E529" s="1">
        <v>1</v>
      </c>
      <c r="F529" s="1">
        <v>3</v>
      </c>
      <c r="G529" s="1" t="b">
        <v>0</v>
      </c>
      <c r="H529" s="1">
        <v>1</v>
      </c>
      <c r="I529" s="1">
        <v>1</v>
      </c>
      <c r="J529" s="1">
        <v>0.04</v>
      </c>
    </row>
    <row r="530" spans="1:10" x14ac:dyDescent="0.25">
      <c r="A530" s="1">
        <v>529</v>
      </c>
      <c r="B530" s="2">
        <v>40567</v>
      </c>
      <c r="C530" s="1">
        <v>1</v>
      </c>
      <c r="D530" s="1">
        <v>0</v>
      </c>
      <c r="E530" s="1">
        <v>1</v>
      </c>
      <c r="F530" s="1">
        <v>4</v>
      </c>
      <c r="G530" s="1" t="b">
        <v>0</v>
      </c>
      <c r="H530" s="1">
        <v>1</v>
      </c>
      <c r="I530" s="1">
        <v>1</v>
      </c>
      <c r="J530" s="1">
        <v>0.02</v>
      </c>
    </row>
    <row r="531" spans="1:10" x14ac:dyDescent="0.25">
      <c r="A531" s="1">
        <v>530</v>
      </c>
      <c r="B531" s="2">
        <v>40567</v>
      </c>
      <c r="C531" s="1">
        <v>1</v>
      </c>
      <c r="D531" s="1">
        <v>0</v>
      </c>
      <c r="E531" s="1">
        <v>1</v>
      </c>
      <c r="F531" s="1">
        <v>5</v>
      </c>
      <c r="G531" s="1" t="b">
        <v>0</v>
      </c>
      <c r="H531" s="1">
        <v>1</v>
      </c>
      <c r="I531" s="1">
        <v>1</v>
      </c>
      <c r="J531" s="1">
        <v>0.02</v>
      </c>
    </row>
    <row r="532" spans="1:10" x14ac:dyDescent="0.25">
      <c r="A532" s="1">
        <v>531</v>
      </c>
      <c r="B532" s="2">
        <v>40567</v>
      </c>
      <c r="C532" s="1">
        <v>1</v>
      </c>
      <c r="D532" s="1">
        <v>0</v>
      </c>
      <c r="E532" s="1">
        <v>1</v>
      </c>
      <c r="F532" s="1">
        <v>6</v>
      </c>
      <c r="G532" s="1" t="b">
        <v>0</v>
      </c>
      <c r="H532" s="1">
        <v>1</v>
      </c>
      <c r="I532" s="1">
        <v>1</v>
      </c>
      <c r="J532" s="1">
        <v>0.02</v>
      </c>
    </row>
    <row r="533" spans="1:10" x14ac:dyDescent="0.25">
      <c r="A533" s="1">
        <v>532</v>
      </c>
      <c r="B533" s="2">
        <v>40567</v>
      </c>
      <c r="C533" s="1">
        <v>1</v>
      </c>
      <c r="D533" s="1">
        <v>0</v>
      </c>
      <c r="E533" s="1">
        <v>1</v>
      </c>
      <c r="F533" s="1">
        <v>7</v>
      </c>
      <c r="G533" s="1" t="b">
        <v>0</v>
      </c>
      <c r="H533" s="1">
        <v>1</v>
      </c>
      <c r="I533" s="1">
        <v>1</v>
      </c>
      <c r="J533" s="1">
        <v>0.02</v>
      </c>
    </row>
    <row r="534" spans="1:10" x14ac:dyDescent="0.25">
      <c r="A534" s="1">
        <v>533</v>
      </c>
      <c r="B534" s="2">
        <v>40567</v>
      </c>
      <c r="C534" s="1">
        <v>1</v>
      </c>
      <c r="D534" s="1">
        <v>0</v>
      </c>
      <c r="E534" s="1">
        <v>1</v>
      </c>
      <c r="F534" s="1">
        <v>8</v>
      </c>
      <c r="G534" s="1" t="b">
        <v>0</v>
      </c>
      <c r="H534" s="1">
        <v>1</v>
      </c>
      <c r="I534" s="1">
        <v>1</v>
      </c>
      <c r="J534" s="1">
        <v>0.04</v>
      </c>
    </row>
    <row r="535" spans="1:10" x14ac:dyDescent="0.25">
      <c r="A535" s="1">
        <v>534</v>
      </c>
      <c r="B535" s="2">
        <v>40567</v>
      </c>
      <c r="C535" s="1">
        <v>1</v>
      </c>
      <c r="D535" s="1">
        <v>0</v>
      </c>
      <c r="E535" s="1">
        <v>1</v>
      </c>
      <c r="F535" s="1">
        <v>9</v>
      </c>
      <c r="G535" s="1" t="b">
        <v>0</v>
      </c>
      <c r="H535" s="1">
        <v>1</v>
      </c>
      <c r="I535" s="1">
        <v>1</v>
      </c>
      <c r="J535" s="1">
        <v>0.06</v>
      </c>
    </row>
    <row r="536" spans="1:10" x14ac:dyDescent="0.25">
      <c r="A536" s="1">
        <v>535</v>
      </c>
      <c r="B536" s="2">
        <v>40567</v>
      </c>
      <c r="C536" s="1">
        <v>1</v>
      </c>
      <c r="D536" s="1">
        <v>0</v>
      </c>
      <c r="E536" s="1">
        <v>1</v>
      </c>
      <c r="F536" s="1">
        <v>10</v>
      </c>
      <c r="G536" s="1" t="b">
        <v>0</v>
      </c>
      <c r="H536" s="1">
        <v>1</v>
      </c>
      <c r="I536" s="1">
        <v>1</v>
      </c>
      <c r="J536" s="1">
        <v>0.1</v>
      </c>
    </row>
    <row r="537" spans="1:10" x14ac:dyDescent="0.25">
      <c r="A537" s="1">
        <v>536</v>
      </c>
      <c r="B537" s="2">
        <v>40567</v>
      </c>
      <c r="C537" s="1">
        <v>1</v>
      </c>
      <c r="D537" s="1">
        <v>0</v>
      </c>
      <c r="E537" s="1">
        <v>1</v>
      </c>
      <c r="F537" s="1">
        <v>11</v>
      </c>
      <c r="G537" s="1" t="b">
        <v>0</v>
      </c>
      <c r="H537" s="1">
        <v>1</v>
      </c>
      <c r="I537" s="1">
        <v>1</v>
      </c>
      <c r="J537" s="1">
        <v>0.1</v>
      </c>
    </row>
    <row r="538" spans="1:10" x14ac:dyDescent="0.25">
      <c r="A538" s="1">
        <v>537</v>
      </c>
      <c r="B538" s="2">
        <v>40567</v>
      </c>
      <c r="C538" s="1">
        <v>1</v>
      </c>
      <c r="D538" s="1">
        <v>0</v>
      </c>
      <c r="E538" s="1">
        <v>1</v>
      </c>
      <c r="F538" s="1">
        <v>12</v>
      </c>
      <c r="G538" s="1" t="b">
        <v>0</v>
      </c>
      <c r="H538" s="1">
        <v>1</v>
      </c>
      <c r="I538" s="1">
        <v>2</v>
      </c>
      <c r="J538" s="1">
        <v>0.12</v>
      </c>
    </row>
    <row r="539" spans="1:10" x14ac:dyDescent="0.25">
      <c r="A539" s="1">
        <v>538</v>
      </c>
      <c r="B539" s="2">
        <v>40567</v>
      </c>
      <c r="C539" s="1">
        <v>1</v>
      </c>
      <c r="D539" s="1">
        <v>0</v>
      </c>
      <c r="E539" s="1">
        <v>1</v>
      </c>
      <c r="F539" s="1">
        <v>13</v>
      </c>
      <c r="G539" s="1" t="b">
        <v>0</v>
      </c>
      <c r="H539" s="1">
        <v>1</v>
      </c>
      <c r="I539" s="1">
        <v>2</v>
      </c>
      <c r="J539" s="1">
        <v>0.14000000000000001</v>
      </c>
    </row>
    <row r="540" spans="1:10" x14ac:dyDescent="0.25">
      <c r="A540" s="1">
        <v>539</v>
      </c>
      <c r="B540" s="2">
        <v>40567</v>
      </c>
      <c r="C540" s="1">
        <v>1</v>
      </c>
      <c r="D540" s="1">
        <v>0</v>
      </c>
      <c r="E540" s="1">
        <v>1</v>
      </c>
      <c r="F540" s="1">
        <v>14</v>
      </c>
      <c r="G540" s="1" t="b">
        <v>0</v>
      </c>
      <c r="H540" s="1">
        <v>1</v>
      </c>
      <c r="I540" s="1">
        <v>2</v>
      </c>
      <c r="J540" s="1">
        <v>0.14000000000000001</v>
      </c>
    </row>
    <row r="541" spans="1:10" x14ac:dyDescent="0.25">
      <c r="A541" s="1">
        <v>540</v>
      </c>
      <c r="B541" s="2">
        <v>40567</v>
      </c>
      <c r="C541" s="1">
        <v>1</v>
      </c>
      <c r="D541" s="1">
        <v>0</v>
      </c>
      <c r="E541" s="1">
        <v>1</v>
      </c>
      <c r="F541" s="1">
        <v>15</v>
      </c>
      <c r="G541" s="1" t="b">
        <v>0</v>
      </c>
      <c r="H541" s="1">
        <v>1</v>
      </c>
      <c r="I541" s="1">
        <v>1</v>
      </c>
      <c r="J541" s="1">
        <v>0.16</v>
      </c>
    </row>
    <row r="542" spans="1:10" x14ac:dyDescent="0.25">
      <c r="A542" s="1">
        <v>541</v>
      </c>
      <c r="B542" s="2">
        <v>40567</v>
      </c>
      <c r="C542" s="1">
        <v>1</v>
      </c>
      <c r="D542" s="1">
        <v>0</v>
      </c>
      <c r="E542" s="1">
        <v>1</v>
      </c>
      <c r="F542" s="1">
        <v>16</v>
      </c>
      <c r="G542" s="1" t="b">
        <v>0</v>
      </c>
      <c r="H542" s="1">
        <v>1</v>
      </c>
      <c r="I542" s="1">
        <v>1</v>
      </c>
      <c r="J542" s="1">
        <v>0.16</v>
      </c>
    </row>
    <row r="543" spans="1:10" x14ac:dyDescent="0.25">
      <c r="A543" s="1">
        <v>542</v>
      </c>
      <c r="B543" s="2">
        <v>40567</v>
      </c>
      <c r="C543" s="1">
        <v>1</v>
      </c>
      <c r="D543" s="1">
        <v>0</v>
      </c>
      <c r="E543" s="1">
        <v>1</v>
      </c>
      <c r="F543" s="1">
        <v>17</v>
      </c>
      <c r="G543" s="1" t="b">
        <v>0</v>
      </c>
      <c r="H543" s="1">
        <v>1</v>
      </c>
      <c r="I543" s="1">
        <v>1</v>
      </c>
      <c r="J543" s="1">
        <v>0.14000000000000001</v>
      </c>
    </row>
    <row r="544" spans="1:10" x14ac:dyDescent="0.25">
      <c r="A544" s="1">
        <v>543</v>
      </c>
      <c r="B544" s="2">
        <v>40567</v>
      </c>
      <c r="C544" s="1">
        <v>1</v>
      </c>
      <c r="D544" s="1">
        <v>0</v>
      </c>
      <c r="E544" s="1">
        <v>1</v>
      </c>
      <c r="F544" s="1">
        <v>18</v>
      </c>
      <c r="G544" s="1" t="b">
        <v>0</v>
      </c>
      <c r="H544" s="1">
        <v>1</v>
      </c>
      <c r="I544" s="1">
        <v>1</v>
      </c>
      <c r="J544" s="1">
        <v>0.14000000000000001</v>
      </c>
    </row>
    <row r="545" spans="1:10" x14ac:dyDescent="0.25">
      <c r="A545" s="1">
        <v>544</v>
      </c>
      <c r="B545" s="2">
        <v>40567</v>
      </c>
      <c r="C545" s="1">
        <v>1</v>
      </c>
      <c r="D545" s="1">
        <v>0</v>
      </c>
      <c r="E545" s="1">
        <v>1</v>
      </c>
      <c r="F545" s="1">
        <v>19</v>
      </c>
      <c r="G545" s="1" t="b">
        <v>0</v>
      </c>
      <c r="H545" s="1">
        <v>1</v>
      </c>
      <c r="I545" s="1">
        <v>1</v>
      </c>
      <c r="J545" s="1">
        <v>0.14000000000000001</v>
      </c>
    </row>
    <row r="546" spans="1:10" x14ac:dyDescent="0.25">
      <c r="A546" s="1">
        <v>545</v>
      </c>
      <c r="B546" s="2">
        <v>40567</v>
      </c>
      <c r="C546" s="1">
        <v>1</v>
      </c>
      <c r="D546" s="1">
        <v>0</v>
      </c>
      <c r="E546" s="1">
        <v>1</v>
      </c>
      <c r="F546" s="1">
        <v>20</v>
      </c>
      <c r="G546" s="1" t="b">
        <v>0</v>
      </c>
      <c r="H546" s="1">
        <v>1</v>
      </c>
      <c r="I546" s="1">
        <v>1</v>
      </c>
      <c r="J546" s="1">
        <v>0.14000000000000001</v>
      </c>
    </row>
    <row r="547" spans="1:10" x14ac:dyDescent="0.25">
      <c r="A547" s="1">
        <v>546</v>
      </c>
      <c r="B547" s="2">
        <v>40567</v>
      </c>
      <c r="C547" s="1">
        <v>1</v>
      </c>
      <c r="D547" s="1">
        <v>0</v>
      </c>
      <c r="E547" s="1">
        <v>1</v>
      </c>
      <c r="F547" s="1">
        <v>21</v>
      </c>
      <c r="G547" s="1" t="b">
        <v>0</v>
      </c>
      <c r="H547" s="1">
        <v>1</v>
      </c>
      <c r="I547" s="1">
        <v>1</v>
      </c>
      <c r="J547" s="1">
        <v>0.14000000000000001</v>
      </c>
    </row>
    <row r="548" spans="1:10" x14ac:dyDescent="0.25">
      <c r="A548" s="1">
        <v>547</v>
      </c>
      <c r="B548" s="2">
        <v>40567</v>
      </c>
      <c r="C548" s="1">
        <v>1</v>
      </c>
      <c r="D548" s="1">
        <v>0</v>
      </c>
      <c r="E548" s="1">
        <v>1</v>
      </c>
      <c r="F548" s="1">
        <v>22</v>
      </c>
      <c r="G548" s="1" t="b">
        <v>0</v>
      </c>
      <c r="H548" s="1">
        <v>1</v>
      </c>
      <c r="I548" s="1">
        <v>2</v>
      </c>
      <c r="J548" s="1">
        <v>0.14000000000000001</v>
      </c>
    </row>
    <row r="549" spans="1:10" x14ac:dyDescent="0.25">
      <c r="A549" s="1">
        <v>548</v>
      </c>
      <c r="B549" s="2">
        <v>40567</v>
      </c>
      <c r="C549" s="1">
        <v>1</v>
      </c>
      <c r="D549" s="1">
        <v>0</v>
      </c>
      <c r="E549" s="1">
        <v>1</v>
      </c>
      <c r="F549" s="1">
        <v>23</v>
      </c>
      <c r="G549" s="1" t="b">
        <v>0</v>
      </c>
      <c r="H549" s="1">
        <v>1</v>
      </c>
      <c r="I549" s="1">
        <v>2</v>
      </c>
      <c r="J549" s="1">
        <v>0.16</v>
      </c>
    </row>
    <row r="550" spans="1:10" x14ac:dyDescent="0.25">
      <c r="A550" s="1">
        <v>549</v>
      </c>
      <c r="B550" s="2">
        <v>40568</v>
      </c>
      <c r="C550" s="1">
        <v>1</v>
      </c>
      <c r="D550" s="1">
        <v>0</v>
      </c>
      <c r="E550" s="1">
        <v>1</v>
      </c>
      <c r="F550" s="1">
        <v>0</v>
      </c>
      <c r="G550" s="1" t="b">
        <v>0</v>
      </c>
      <c r="H550" s="1">
        <v>2</v>
      </c>
      <c r="I550" s="1">
        <v>2</v>
      </c>
      <c r="J550" s="1">
        <v>0.16</v>
      </c>
    </row>
    <row r="551" spans="1:10" x14ac:dyDescent="0.25">
      <c r="A551" s="1">
        <v>550</v>
      </c>
      <c r="B551" s="2">
        <v>40568</v>
      </c>
      <c r="C551" s="1">
        <v>1</v>
      </c>
      <c r="D551" s="1">
        <v>0</v>
      </c>
      <c r="E551" s="1">
        <v>1</v>
      </c>
      <c r="F551" s="1">
        <v>1</v>
      </c>
      <c r="G551" s="1" t="b">
        <v>0</v>
      </c>
      <c r="H551" s="1">
        <v>2</v>
      </c>
      <c r="I551" s="1">
        <v>2</v>
      </c>
      <c r="J551" s="1">
        <v>0.16</v>
      </c>
    </row>
    <row r="552" spans="1:10" x14ac:dyDescent="0.25">
      <c r="A552" s="1">
        <v>551</v>
      </c>
      <c r="B552" s="2">
        <v>40568</v>
      </c>
      <c r="C552" s="1">
        <v>1</v>
      </c>
      <c r="D552" s="1">
        <v>0</v>
      </c>
      <c r="E552" s="1">
        <v>1</v>
      </c>
      <c r="F552" s="1">
        <v>2</v>
      </c>
      <c r="G552" s="1" t="b">
        <v>0</v>
      </c>
      <c r="H552" s="1">
        <v>2</v>
      </c>
      <c r="I552" s="1">
        <v>1</v>
      </c>
      <c r="J552" s="1">
        <v>0.16</v>
      </c>
    </row>
    <row r="553" spans="1:10" x14ac:dyDescent="0.25">
      <c r="A553" s="1">
        <v>552</v>
      </c>
      <c r="B553" s="2">
        <v>40568</v>
      </c>
      <c r="C553" s="1">
        <v>1</v>
      </c>
      <c r="D553" s="1">
        <v>0</v>
      </c>
      <c r="E553" s="1">
        <v>1</v>
      </c>
      <c r="F553" s="1">
        <v>4</v>
      </c>
      <c r="G553" s="1" t="b">
        <v>0</v>
      </c>
      <c r="H553" s="1">
        <v>2</v>
      </c>
      <c r="I553" s="1">
        <v>1</v>
      </c>
      <c r="J553" s="1">
        <v>0.14000000000000001</v>
      </c>
    </row>
    <row r="554" spans="1:10" x14ac:dyDescent="0.25">
      <c r="A554" s="1">
        <v>553</v>
      </c>
      <c r="B554" s="2">
        <v>40568</v>
      </c>
      <c r="C554" s="1">
        <v>1</v>
      </c>
      <c r="D554" s="1">
        <v>0</v>
      </c>
      <c r="E554" s="1">
        <v>1</v>
      </c>
      <c r="F554" s="1">
        <v>5</v>
      </c>
      <c r="G554" s="1" t="b">
        <v>0</v>
      </c>
      <c r="H554" s="1">
        <v>2</v>
      </c>
      <c r="I554" s="1">
        <v>1</v>
      </c>
      <c r="J554" s="1">
        <v>0.14000000000000001</v>
      </c>
    </row>
    <row r="555" spans="1:10" x14ac:dyDescent="0.25">
      <c r="A555" s="1">
        <v>554</v>
      </c>
      <c r="B555" s="2">
        <v>40568</v>
      </c>
      <c r="C555" s="1">
        <v>1</v>
      </c>
      <c r="D555" s="1">
        <v>0</v>
      </c>
      <c r="E555" s="1">
        <v>1</v>
      </c>
      <c r="F555" s="1">
        <v>6</v>
      </c>
      <c r="G555" s="1" t="b">
        <v>0</v>
      </c>
      <c r="H555" s="1">
        <v>2</v>
      </c>
      <c r="I555" s="1">
        <v>1</v>
      </c>
      <c r="J555" s="1">
        <v>0.16</v>
      </c>
    </row>
    <row r="556" spans="1:10" x14ac:dyDescent="0.25">
      <c r="A556" s="1">
        <v>555</v>
      </c>
      <c r="B556" s="2">
        <v>40568</v>
      </c>
      <c r="C556" s="1">
        <v>1</v>
      </c>
      <c r="D556" s="1">
        <v>0</v>
      </c>
      <c r="E556" s="1">
        <v>1</v>
      </c>
      <c r="F556" s="1">
        <v>7</v>
      </c>
      <c r="G556" s="1" t="b">
        <v>0</v>
      </c>
      <c r="H556" s="1">
        <v>2</v>
      </c>
      <c r="I556" s="1">
        <v>1</v>
      </c>
      <c r="J556" s="1">
        <v>0.16</v>
      </c>
    </row>
    <row r="557" spans="1:10" x14ac:dyDescent="0.25">
      <c r="A557" s="1">
        <v>556</v>
      </c>
      <c r="B557" s="2">
        <v>40568</v>
      </c>
      <c r="C557" s="1">
        <v>1</v>
      </c>
      <c r="D557" s="1">
        <v>0</v>
      </c>
      <c r="E557" s="1">
        <v>1</v>
      </c>
      <c r="F557" s="1">
        <v>8</v>
      </c>
      <c r="G557" s="1" t="b">
        <v>0</v>
      </c>
      <c r="H557" s="1">
        <v>2</v>
      </c>
      <c r="I557" s="1">
        <v>2</v>
      </c>
      <c r="J557" s="1">
        <v>0.16</v>
      </c>
    </row>
    <row r="558" spans="1:10" x14ac:dyDescent="0.25">
      <c r="A558" s="1">
        <v>557</v>
      </c>
      <c r="B558" s="2">
        <v>40568</v>
      </c>
      <c r="C558" s="1">
        <v>1</v>
      </c>
      <c r="D558" s="1">
        <v>0</v>
      </c>
      <c r="E558" s="1">
        <v>1</v>
      </c>
      <c r="F558" s="1">
        <v>9</v>
      </c>
      <c r="G558" s="1" t="b">
        <v>0</v>
      </c>
      <c r="H558" s="1">
        <v>2</v>
      </c>
      <c r="I558" s="1">
        <v>2</v>
      </c>
      <c r="J558" s="1">
        <v>0.2</v>
      </c>
    </row>
    <row r="559" spans="1:10" x14ac:dyDescent="0.25">
      <c r="A559" s="1">
        <v>558</v>
      </c>
      <c r="B559" s="2">
        <v>40568</v>
      </c>
      <c r="C559" s="1">
        <v>1</v>
      </c>
      <c r="D559" s="1">
        <v>0</v>
      </c>
      <c r="E559" s="1">
        <v>1</v>
      </c>
      <c r="F559" s="1">
        <v>10</v>
      </c>
      <c r="G559" s="1" t="b">
        <v>0</v>
      </c>
      <c r="H559" s="1">
        <v>2</v>
      </c>
      <c r="I559" s="1">
        <v>2</v>
      </c>
      <c r="J559" s="1">
        <v>0.22</v>
      </c>
    </row>
    <row r="560" spans="1:10" x14ac:dyDescent="0.25">
      <c r="A560" s="1">
        <v>559</v>
      </c>
      <c r="B560" s="2">
        <v>40568</v>
      </c>
      <c r="C560" s="1">
        <v>1</v>
      </c>
      <c r="D560" s="1">
        <v>0</v>
      </c>
      <c r="E560" s="1">
        <v>1</v>
      </c>
      <c r="F560" s="1">
        <v>11</v>
      </c>
      <c r="G560" s="1" t="b">
        <v>0</v>
      </c>
      <c r="H560" s="1">
        <v>2</v>
      </c>
      <c r="I560" s="1">
        <v>2</v>
      </c>
      <c r="J560" s="1">
        <v>0.24</v>
      </c>
    </row>
    <row r="561" spans="1:10" x14ac:dyDescent="0.25">
      <c r="A561" s="1">
        <v>560</v>
      </c>
      <c r="B561" s="2">
        <v>40568</v>
      </c>
      <c r="C561" s="1">
        <v>1</v>
      </c>
      <c r="D561" s="1">
        <v>0</v>
      </c>
      <c r="E561" s="1">
        <v>1</v>
      </c>
      <c r="F561" s="1">
        <v>12</v>
      </c>
      <c r="G561" s="1" t="b">
        <v>0</v>
      </c>
      <c r="H561" s="1">
        <v>2</v>
      </c>
      <c r="I561" s="1">
        <v>2</v>
      </c>
      <c r="J561" s="1">
        <v>0.26</v>
      </c>
    </row>
    <row r="562" spans="1:10" x14ac:dyDescent="0.25">
      <c r="A562" s="1">
        <v>561</v>
      </c>
      <c r="B562" s="2">
        <v>40568</v>
      </c>
      <c r="C562" s="1">
        <v>1</v>
      </c>
      <c r="D562" s="1">
        <v>0</v>
      </c>
      <c r="E562" s="1">
        <v>1</v>
      </c>
      <c r="F562" s="1">
        <v>13</v>
      </c>
      <c r="G562" s="1" t="b">
        <v>0</v>
      </c>
      <c r="H562" s="1">
        <v>2</v>
      </c>
      <c r="I562" s="1">
        <v>2</v>
      </c>
      <c r="J562" s="1">
        <v>0.26</v>
      </c>
    </row>
    <row r="563" spans="1:10" x14ac:dyDescent="0.25">
      <c r="A563" s="1">
        <v>562</v>
      </c>
      <c r="B563" s="2">
        <v>40568</v>
      </c>
      <c r="C563" s="1">
        <v>1</v>
      </c>
      <c r="D563" s="1">
        <v>0</v>
      </c>
      <c r="E563" s="1">
        <v>1</v>
      </c>
      <c r="F563" s="1">
        <v>14</v>
      </c>
      <c r="G563" s="1" t="b">
        <v>0</v>
      </c>
      <c r="H563" s="1">
        <v>2</v>
      </c>
      <c r="I563" s="1">
        <v>2</v>
      </c>
      <c r="J563" s="1">
        <v>0.3</v>
      </c>
    </row>
    <row r="564" spans="1:10" x14ac:dyDescent="0.25">
      <c r="A564" s="1">
        <v>563</v>
      </c>
      <c r="B564" s="2">
        <v>40568</v>
      </c>
      <c r="C564" s="1">
        <v>1</v>
      </c>
      <c r="D564" s="1">
        <v>0</v>
      </c>
      <c r="E564" s="1">
        <v>1</v>
      </c>
      <c r="F564" s="1">
        <v>15</v>
      </c>
      <c r="G564" s="1" t="b">
        <v>0</v>
      </c>
      <c r="H564" s="1">
        <v>2</v>
      </c>
      <c r="I564" s="1">
        <v>2</v>
      </c>
      <c r="J564" s="1">
        <v>0.32</v>
      </c>
    </row>
    <row r="565" spans="1:10" x14ac:dyDescent="0.25">
      <c r="A565" s="1">
        <v>564</v>
      </c>
      <c r="B565" s="2">
        <v>40568</v>
      </c>
      <c r="C565" s="1">
        <v>1</v>
      </c>
      <c r="D565" s="1">
        <v>0</v>
      </c>
      <c r="E565" s="1">
        <v>1</v>
      </c>
      <c r="F565" s="1">
        <v>16</v>
      </c>
      <c r="G565" s="1" t="b">
        <v>0</v>
      </c>
      <c r="H565" s="1">
        <v>2</v>
      </c>
      <c r="I565" s="1">
        <v>2</v>
      </c>
      <c r="J565" s="1">
        <v>0.32</v>
      </c>
    </row>
    <row r="566" spans="1:10" x14ac:dyDescent="0.25">
      <c r="A566" s="1">
        <v>565</v>
      </c>
      <c r="B566" s="2">
        <v>40568</v>
      </c>
      <c r="C566" s="1">
        <v>1</v>
      </c>
      <c r="D566" s="1">
        <v>0</v>
      </c>
      <c r="E566" s="1">
        <v>1</v>
      </c>
      <c r="F566" s="1">
        <v>17</v>
      </c>
      <c r="G566" s="1" t="b">
        <v>0</v>
      </c>
      <c r="H566" s="1">
        <v>2</v>
      </c>
      <c r="I566" s="1">
        <v>1</v>
      </c>
      <c r="J566" s="1">
        <v>0.3</v>
      </c>
    </row>
    <row r="567" spans="1:10" x14ac:dyDescent="0.25">
      <c r="A567" s="1">
        <v>566</v>
      </c>
      <c r="B567" s="2">
        <v>40568</v>
      </c>
      <c r="C567" s="1">
        <v>1</v>
      </c>
      <c r="D567" s="1">
        <v>0</v>
      </c>
      <c r="E567" s="1">
        <v>1</v>
      </c>
      <c r="F567" s="1">
        <v>18</v>
      </c>
      <c r="G567" s="1" t="b">
        <v>0</v>
      </c>
      <c r="H567" s="1">
        <v>2</v>
      </c>
      <c r="I567" s="1">
        <v>2</v>
      </c>
      <c r="J567" s="1">
        <v>0.3</v>
      </c>
    </row>
    <row r="568" spans="1:10" x14ac:dyDescent="0.25">
      <c r="A568" s="1">
        <v>567</v>
      </c>
      <c r="B568" s="2">
        <v>40568</v>
      </c>
      <c r="C568" s="1">
        <v>1</v>
      </c>
      <c r="D568" s="1">
        <v>0</v>
      </c>
      <c r="E568" s="1">
        <v>1</v>
      </c>
      <c r="F568" s="1">
        <v>19</v>
      </c>
      <c r="G568" s="1" t="b">
        <v>0</v>
      </c>
      <c r="H568" s="1">
        <v>2</v>
      </c>
      <c r="I568" s="1">
        <v>2</v>
      </c>
      <c r="J568" s="1">
        <v>0.26</v>
      </c>
    </row>
    <row r="569" spans="1:10" x14ac:dyDescent="0.25">
      <c r="A569" s="1">
        <v>568</v>
      </c>
      <c r="B569" s="2">
        <v>40568</v>
      </c>
      <c r="C569" s="1">
        <v>1</v>
      </c>
      <c r="D569" s="1">
        <v>0</v>
      </c>
      <c r="E569" s="1">
        <v>1</v>
      </c>
      <c r="F569" s="1">
        <v>20</v>
      </c>
      <c r="G569" s="1" t="b">
        <v>0</v>
      </c>
      <c r="H569" s="1">
        <v>2</v>
      </c>
      <c r="I569" s="1">
        <v>1</v>
      </c>
      <c r="J569" s="1">
        <v>0.24</v>
      </c>
    </row>
    <row r="570" spans="1:10" x14ac:dyDescent="0.25">
      <c r="A570" s="1">
        <v>569</v>
      </c>
      <c r="B570" s="2">
        <v>40568</v>
      </c>
      <c r="C570" s="1">
        <v>1</v>
      </c>
      <c r="D570" s="1">
        <v>0</v>
      </c>
      <c r="E570" s="1">
        <v>1</v>
      </c>
      <c r="F570" s="1">
        <v>21</v>
      </c>
      <c r="G570" s="1" t="b">
        <v>0</v>
      </c>
      <c r="H570" s="1">
        <v>2</v>
      </c>
      <c r="I570" s="1">
        <v>1</v>
      </c>
      <c r="J570" s="1">
        <v>0.24</v>
      </c>
    </row>
    <row r="571" spans="1:10" x14ac:dyDescent="0.25">
      <c r="A571" s="1">
        <v>570</v>
      </c>
      <c r="B571" s="2">
        <v>40568</v>
      </c>
      <c r="C571" s="1">
        <v>1</v>
      </c>
      <c r="D571" s="1">
        <v>0</v>
      </c>
      <c r="E571" s="1">
        <v>1</v>
      </c>
      <c r="F571" s="1">
        <v>22</v>
      </c>
      <c r="G571" s="1" t="b">
        <v>0</v>
      </c>
      <c r="H571" s="1">
        <v>2</v>
      </c>
      <c r="I571" s="1">
        <v>1</v>
      </c>
      <c r="J571" s="1">
        <v>0.22</v>
      </c>
    </row>
    <row r="572" spans="1:10" x14ac:dyDescent="0.25">
      <c r="A572" s="1">
        <v>571</v>
      </c>
      <c r="B572" s="2">
        <v>40568</v>
      </c>
      <c r="C572" s="1">
        <v>1</v>
      </c>
      <c r="D572" s="1">
        <v>0</v>
      </c>
      <c r="E572" s="1">
        <v>1</v>
      </c>
      <c r="F572" s="1">
        <v>23</v>
      </c>
      <c r="G572" s="1" t="b">
        <v>0</v>
      </c>
      <c r="H572" s="1">
        <v>2</v>
      </c>
      <c r="I572" s="1">
        <v>2</v>
      </c>
      <c r="J572" s="1">
        <v>0.22</v>
      </c>
    </row>
    <row r="573" spans="1:10" x14ac:dyDescent="0.25">
      <c r="A573" s="1">
        <v>572</v>
      </c>
      <c r="B573" s="2">
        <v>40569</v>
      </c>
      <c r="C573" s="1">
        <v>1</v>
      </c>
      <c r="D573" s="1">
        <v>0</v>
      </c>
      <c r="E573" s="1">
        <v>1</v>
      </c>
      <c r="F573" s="1">
        <v>0</v>
      </c>
      <c r="G573" s="1" t="b">
        <v>0</v>
      </c>
      <c r="H573" s="1">
        <v>3</v>
      </c>
      <c r="I573" s="1">
        <v>2</v>
      </c>
      <c r="J573" s="1">
        <v>0.22</v>
      </c>
    </row>
    <row r="574" spans="1:10" x14ac:dyDescent="0.25">
      <c r="A574" s="1">
        <v>573</v>
      </c>
      <c r="B574" s="2">
        <v>40569</v>
      </c>
      <c r="C574" s="1">
        <v>1</v>
      </c>
      <c r="D574" s="1">
        <v>0</v>
      </c>
      <c r="E574" s="1">
        <v>1</v>
      </c>
      <c r="F574" s="1">
        <v>1</v>
      </c>
      <c r="G574" s="1" t="b">
        <v>0</v>
      </c>
      <c r="H574" s="1">
        <v>3</v>
      </c>
      <c r="I574" s="1">
        <v>2</v>
      </c>
      <c r="J574" s="1">
        <v>0.24</v>
      </c>
    </row>
    <row r="575" spans="1:10" x14ac:dyDescent="0.25">
      <c r="A575" s="1">
        <v>574</v>
      </c>
      <c r="B575" s="2">
        <v>40569</v>
      </c>
      <c r="C575" s="1">
        <v>1</v>
      </c>
      <c r="D575" s="1">
        <v>0</v>
      </c>
      <c r="E575" s="1">
        <v>1</v>
      </c>
      <c r="F575" s="1">
        <v>2</v>
      </c>
      <c r="G575" s="1" t="b">
        <v>0</v>
      </c>
      <c r="H575" s="1">
        <v>3</v>
      </c>
      <c r="I575" s="1">
        <v>3</v>
      </c>
      <c r="J575" s="1">
        <v>0.22</v>
      </c>
    </row>
    <row r="576" spans="1:10" x14ac:dyDescent="0.25">
      <c r="A576" s="1">
        <v>575</v>
      </c>
      <c r="B576" s="2">
        <v>40569</v>
      </c>
      <c r="C576" s="1">
        <v>1</v>
      </c>
      <c r="D576" s="1">
        <v>0</v>
      </c>
      <c r="E576" s="1">
        <v>1</v>
      </c>
      <c r="F576" s="1">
        <v>5</v>
      </c>
      <c r="G576" s="1" t="b">
        <v>0</v>
      </c>
      <c r="H576" s="1">
        <v>3</v>
      </c>
      <c r="I576" s="1">
        <v>3</v>
      </c>
      <c r="J576" s="1">
        <v>0.2</v>
      </c>
    </row>
    <row r="577" spans="1:10" x14ac:dyDescent="0.25">
      <c r="A577" s="1">
        <v>576</v>
      </c>
      <c r="B577" s="2">
        <v>40569</v>
      </c>
      <c r="C577" s="1">
        <v>1</v>
      </c>
      <c r="D577" s="1">
        <v>0</v>
      </c>
      <c r="E577" s="1">
        <v>1</v>
      </c>
      <c r="F577" s="1">
        <v>6</v>
      </c>
      <c r="G577" s="1" t="b">
        <v>0</v>
      </c>
      <c r="H577" s="1">
        <v>3</v>
      </c>
      <c r="I577" s="1">
        <v>3</v>
      </c>
      <c r="J577" s="1">
        <v>0.2</v>
      </c>
    </row>
    <row r="578" spans="1:10" x14ac:dyDescent="0.25">
      <c r="A578" s="1">
        <v>577</v>
      </c>
      <c r="B578" s="2">
        <v>40569</v>
      </c>
      <c r="C578" s="1">
        <v>1</v>
      </c>
      <c r="D578" s="1">
        <v>0</v>
      </c>
      <c r="E578" s="1">
        <v>1</v>
      </c>
      <c r="F578" s="1">
        <v>7</v>
      </c>
      <c r="G578" s="1" t="b">
        <v>0</v>
      </c>
      <c r="H578" s="1">
        <v>3</v>
      </c>
      <c r="I578" s="1">
        <v>3</v>
      </c>
      <c r="J578" s="1">
        <v>0.22</v>
      </c>
    </row>
    <row r="579" spans="1:10" x14ac:dyDescent="0.25">
      <c r="A579" s="1">
        <v>578</v>
      </c>
      <c r="B579" s="2">
        <v>40569</v>
      </c>
      <c r="C579" s="1">
        <v>1</v>
      </c>
      <c r="D579" s="1">
        <v>0</v>
      </c>
      <c r="E579" s="1">
        <v>1</v>
      </c>
      <c r="F579" s="1">
        <v>8</v>
      </c>
      <c r="G579" s="1" t="b">
        <v>0</v>
      </c>
      <c r="H579" s="1">
        <v>3</v>
      </c>
      <c r="I579" s="1">
        <v>3</v>
      </c>
      <c r="J579" s="1">
        <v>0.22</v>
      </c>
    </row>
    <row r="580" spans="1:10" x14ac:dyDescent="0.25">
      <c r="A580" s="1">
        <v>579</v>
      </c>
      <c r="B580" s="2">
        <v>40569</v>
      </c>
      <c r="C580" s="1">
        <v>1</v>
      </c>
      <c r="D580" s="1">
        <v>0</v>
      </c>
      <c r="E580" s="1">
        <v>1</v>
      </c>
      <c r="F580" s="1">
        <v>9</v>
      </c>
      <c r="G580" s="1" t="b">
        <v>0</v>
      </c>
      <c r="H580" s="1">
        <v>3</v>
      </c>
      <c r="I580" s="1">
        <v>3</v>
      </c>
      <c r="J580" s="1">
        <v>0.22</v>
      </c>
    </row>
    <row r="581" spans="1:10" x14ac:dyDescent="0.25">
      <c r="A581" s="1">
        <v>580</v>
      </c>
      <c r="B581" s="2">
        <v>40569</v>
      </c>
      <c r="C581" s="1">
        <v>1</v>
      </c>
      <c r="D581" s="1">
        <v>0</v>
      </c>
      <c r="E581" s="1">
        <v>1</v>
      </c>
      <c r="F581" s="1">
        <v>10</v>
      </c>
      <c r="G581" s="1" t="b">
        <v>0</v>
      </c>
      <c r="H581" s="1">
        <v>3</v>
      </c>
      <c r="I581" s="1">
        <v>3</v>
      </c>
      <c r="J581" s="1">
        <v>0.22</v>
      </c>
    </row>
    <row r="582" spans="1:10" x14ac:dyDescent="0.25">
      <c r="A582" s="1">
        <v>581</v>
      </c>
      <c r="B582" s="2">
        <v>40569</v>
      </c>
      <c r="C582" s="1">
        <v>1</v>
      </c>
      <c r="D582" s="1">
        <v>0</v>
      </c>
      <c r="E582" s="1">
        <v>1</v>
      </c>
      <c r="F582" s="1">
        <v>11</v>
      </c>
      <c r="G582" s="1" t="b">
        <v>0</v>
      </c>
      <c r="H582" s="1">
        <v>3</v>
      </c>
      <c r="I582" s="1">
        <v>3</v>
      </c>
      <c r="J582" s="1">
        <v>0.22</v>
      </c>
    </row>
    <row r="583" spans="1:10" x14ac:dyDescent="0.25">
      <c r="A583" s="1">
        <v>582</v>
      </c>
      <c r="B583" s="2">
        <v>40569</v>
      </c>
      <c r="C583" s="1">
        <v>1</v>
      </c>
      <c r="D583" s="1">
        <v>0</v>
      </c>
      <c r="E583" s="1">
        <v>1</v>
      </c>
      <c r="F583" s="1">
        <v>12</v>
      </c>
      <c r="G583" s="1" t="b">
        <v>0</v>
      </c>
      <c r="H583" s="1">
        <v>3</v>
      </c>
      <c r="I583" s="1">
        <v>3</v>
      </c>
      <c r="J583" s="1">
        <v>0.22</v>
      </c>
    </row>
    <row r="584" spans="1:10" x14ac:dyDescent="0.25">
      <c r="A584" s="1">
        <v>583</v>
      </c>
      <c r="B584" s="2">
        <v>40569</v>
      </c>
      <c r="C584" s="1">
        <v>1</v>
      </c>
      <c r="D584" s="1">
        <v>0</v>
      </c>
      <c r="E584" s="1">
        <v>1</v>
      </c>
      <c r="F584" s="1">
        <v>13</v>
      </c>
      <c r="G584" s="1" t="b">
        <v>0</v>
      </c>
      <c r="H584" s="1">
        <v>3</v>
      </c>
      <c r="I584" s="1">
        <v>3</v>
      </c>
      <c r="J584" s="1">
        <v>0.22</v>
      </c>
    </row>
    <row r="585" spans="1:10" x14ac:dyDescent="0.25">
      <c r="A585" s="1">
        <v>584</v>
      </c>
      <c r="B585" s="2">
        <v>40569</v>
      </c>
      <c r="C585" s="1">
        <v>1</v>
      </c>
      <c r="D585" s="1">
        <v>0</v>
      </c>
      <c r="E585" s="1">
        <v>1</v>
      </c>
      <c r="F585" s="1">
        <v>14</v>
      </c>
      <c r="G585" s="1" t="b">
        <v>0</v>
      </c>
      <c r="H585" s="1">
        <v>3</v>
      </c>
      <c r="I585" s="1">
        <v>3</v>
      </c>
      <c r="J585" s="1">
        <v>0.22</v>
      </c>
    </row>
    <row r="586" spans="1:10" x14ac:dyDescent="0.25">
      <c r="A586" s="1">
        <v>585</v>
      </c>
      <c r="B586" s="2">
        <v>40569</v>
      </c>
      <c r="C586" s="1">
        <v>1</v>
      </c>
      <c r="D586" s="1">
        <v>0</v>
      </c>
      <c r="E586" s="1">
        <v>1</v>
      </c>
      <c r="F586" s="1">
        <v>15</v>
      </c>
      <c r="G586" s="1" t="b">
        <v>0</v>
      </c>
      <c r="H586" s="1">
        <v>3</v>
      </c>
      <c r="I586" s="1">
        <v>3</v>
      </c>
      <c r="J586" s="1">
        <v>0.22</v>
      </c>
    </row>
    <row r="587" spans="1:10" x14ac:dyDescent="0.25">
      <c r="A587" s="1">
        <v>586</v>
      </c>
      <c r="B587" s="2">
        <v>40569</v>
      </c>
      <c r="C587" s="1">
        <v>1</v>
      </c>
      <c r="D587" s="1">
        <v>0</v>
      </c>
      <c r="E587" s="1">
        <v>1</v>
      </c>
      <c r="F587" s="1">
        <v>16</v>
      </c>
      <c r="G587" s="1" t="b">
        <v>0</v>
      </c>
      <c r="H587" s="1">
        <v>3</v>
      </c>
      <c r="I587" s="1">
        <v>4</v>
      </c>
      <c r="J587" s="1">
        <v>0.22</v>
      </c>
    </row>
    <row r="588" spans="1:10" x14ac:dyDescent="0.25">
      <c r="A588" s="1">
        <v>587</v>
      </c>
      <c r="B588" s="2">
        <v>40569</v>
      </c>
      <c r="C588" s="1">
        <v>1</v>
      </c>
      <c r="D588" s="1">
        <v>0</v>
      </c>
      <c r="E588" s="1">
        <v>1</v>
      </c>
      <c r="F588" s="1">
        <v>17</v>
      </c>
      <c r="G588" s="1" t="b">
        <v>0</v>
      </c>
      <c r="H588" s="1">
        <v>3</v>
      </c>
      <c r="I588" s="1">
        <v>3</v>
      </c>
      <c r="J588" s="1">
        <v>0.2</v>
      </c>
    </row>
    <row r="589" spans="1:10" x14ac:dyDescent="0.25">
      <c r="A589" s="1">
        <v>588</v>
      </c>
      <c r="B589" s="2">
        <v>40570</v>
      </c>
      <c r="C589" s="1">
        <v>1</v>
      </c>
      <c r="D589" s="1">
        <v>0</v>
      </c>
      <c r="E589" s="1">
        <v>1</v>
      </c>
      <c r="F589" s="1">
        <v>16</v>
      </c>
      <c r="G589" s="1" t="b">
        <v>0</v>
      </c>
      <c r="H589" s="1">
        <v>4</v>
      </c>
      <c r="I589" s="1">
        <v>1</v>
      </c>
      <c r="J589" s="1">
        <v>0.22</v>
      </c>
    </row>
    <row r="590" spans="1:10" x14ac:dyDescent="0.25">
      <c r="A590" s="1">
        <v>589</v>
      </c>
      <c r="B590" s="2">
        <v>40570</v>
      </c>
      <c r="C590" s="1">
        <v>1</v>
      </c>
      <c r="D590" s="1">
        <v>0</v>
      </c>
      <c r="E590" s="1">
        <v>1</v>
      </c>
      <c r="F590" s="1">
        <v>17</v>
      </c>
      <c r="G590" s="1" t="b">
        <v>0</v>
      </c>
      <c r="H590" s="1">
        <v>4</v>
      </c>
      <c r="I590" s="1">
        <v>1</v>
      </c>
      <c r="J590" s="1">
        <v>0.22</v>
      </c>
    </row>
    <row r="591" spans="1:10" x14ac:dyDescent="0.25">
      <c r="A591" s="1">
        <v>590</v>
      </c>
      <c r="B591" s="2">
        <v>40570</v>
      </c>
      <c r="C591" s="1">
        <v>1</v>
      </c>
      <c r="D591" s="1">
        <v>0</v>
      </c>
      <c r="E591" s="1">
        <v>1</v>
      </c>
      <c r="F591" s="1">
        <v>18</v>
      </c>
      <c r="G591" s="1" t="b">
        <v>0</v>
      </c>
      <c r="H591" s="1">
        <v>4</v>
      </c>
      <c r="I591" s="1">
        <v>1</v>
      </c>
      <c r="J591" s="1">
        <v>0.2</v>
      </c>
    </row>
    <row r="592" spans="1:10" x14ac:dyDescent="0.25">
      <c r="A592" s="1">
        <v>591</v>
      </c>
      <c r="B592" s="2">
        <v>40570</v>
      </c>
      <c r="C592" s="1">
        <v>1</v>
      </c>
      <c r="D592" s="1">
        <v>0</v>
      </c>
      <c r="E592" s="1">
        <v>1</v>
      </c>
      <c r="F592" s="1">
        <v>19</v>
      </c>
      <c r="G592" s="1" t="b">
        <v>0</v>
      </c>
      <c r="H592" s="1">
        <v>4</v>
      </c>
      <c r="I592" s="1">
        <v>1</v>
      </c>
      <c r="J592" s="1">
        <v>0.2</v>
      </c>
    </row>
    <row r="593" spans="1:10" x14ac:dyDescent="0.25">
      <c r="A593" s="1">
        <v>592</v>
      </c>
      <c r="B593" s="2">
        <v>40570</v>
      </c>
      <c r="C593" s="1">
        <v>1</v>
      </c>
      <c r="D593" s="1">
        <v>0</v>
      </c>
      <c r="E593" s="1">
        <v>1</v>
      </c>
      <c r="F593" s="1">
        <v>20</v>
      </c>
      <c r="G593" s="1" t="b">
        <v>0</v>
      </c>
      <c r="H593" s="1">
        <v>4</v>
      </c>
      <c r="I593" s="1">
        <v>1</v>
      </c>
      <c r="J593" s="1">
        <v>0.18</v>
      </c>
    </row>
    <row r="594" spans="1:10" x14ac:dyDescent="0.25">
      <c r="A594" s="1">
        <v>593</v>
      </c>
      <c r="B594" s="2">
        <v>40570</v>
      </c>
      <c r="C594" s="1">
        <v>1</v>
      </c>
      <c r="D594" s="1">
        <v>0</v>
      </c>
      <c r="E594" s="1">
        <v>1</v>
      </c>
      <c r="F594" s="1">
        <v>21</v>
      </c>
      <c r="G594" s="1" t="b">
        <v>0</v>
      </c>
      <c r="H594" s="1">
        <v>4</v>
      </c>
      <c r="I594" s="1">
        <v>1</v>
      </c>
      <c r="J594" s="1">
        <v>0.18</v>
      </c>
    </row>
    <row r="595" spans="1:10" x14ac:dyDescent="0.25">
      <c r="A595" s="1">
        <v>594</v>
      </c>
      <c r="B595" s="2">
        <v>40570</v>
      </c>
      <c r="C595" s="1">
        <v>1</v>
      </c>
      <c r="D595" s="1">
        <v>0</v>
      </c>
      <c r="E595" s="1">
        <v>1</v>
      </c>
      <c r="F595" s="1">
        <v>22</v>
      </c>
      <c r="G595" s="1" t="b">
        <v>0</v>
      </c>
      <c r="H595" s="1">
        <v>4</v>
      </c>
      <c r="I595" s="1">
        <v>1</v>
      </c>
      <c r="J595" s="1">
        <v>0.18</v>
      </c>
    </row>
    <row r="596" spans="1:10" x14ac:dyDescent="0.25">
      <c r="A596" s="1">
        <v>595</v>
      </c>
      <c r="B596" s="2">
        <v>40570</v>
      </c>
      <c r="C596" s="1">
        <v>1</v>
      </c>
      <c r="D596" s="1">
        <v>0</v>
      </c>
      <c r="E596" s="1">
        <v>1</v>
      </c>
      <c r="F596" s="1">
        <v>23</v>
      </c>
      <c r="G596" s="1" t="b">
        <v>0</v>
      </c>
      <c r="H596" s="1">
        <v>4</v>
      </c>
      <c r="I596" s="1">
        <v>1</v>
      </c>
      <c r="J596" s="1">
        <v>0.18</v>
      </c>
    </row>
    <row r="597" spans="1:10" x14ac:dyDescent="0.25">
      <c r="A597" s="1">
        <v>596</v>
      </c>
      <c r="B597" s="2">
        <v>40571</v>
      </c>
      <c r="C597" s="1">
        <v>1</v>
      </c>
      <c r="D597" s="1">
        <v>0</v>
      </c>
      <c r="E597" s="1">
        <v>1</v>
      </c>
      <c r="F597" s="1">
        <v>0</v>
      </c>
      <c r="G597" s="1" t="b">
        <v>0</v>
      </c>
      <c r="H597" s="1">
        <v>5</v>
      </c>
      <c r="I597" s="1">
        <v>2</v>
      </c>
      <c r="J597" s="1">
        <v>0.2</v>
      </c>
    </row>
    <row r="598" spans="1:10" x14ac:dyDescent="0.25">
      <c r="A598" s="1">
        <v>597</v>
      </c>
      <c r="B598" s="2">
        <v>40571</v>
      </c>
      <c r="C598" s="1">
        <v>1</v>
      </c>
      <c r="D598" s="1">
        <v>0</v>
      </c>
      <c r="E598" s="1">
        <v>1</v>
      </c>
      <c r="F598" s="1">
        <v>1</v>
      </c>
      <c r="G598" s="1" t="b">
        <v>0</v>
      </c>
      <c r="H598" s="1">
        <v>5</v>
      </c>
      <c r="I598" s="1">
        <v>2</v>
      </c>
      <c r="J598" s="1">
        <v>0.2</v>
      </c>
    </row>
    <row r="599" spans="1:10" x14ac:dyDescent="0.25">
      <c r="A599" s="1">
        <v>598</v>
      </c>
      <c r="B599" s="2">
        <v>40571</v>
      </c>
      <c r="C599" s="1">
        <v>1</v>
      </c>
      <c r="D599" s="1">
        <v>0</v>
      </c>
      <c r="E599" s="1">
        <v>1</v>
      </c>
      <c r="F599" s="1">
        <v>2</v>
      </c>
      <c r="G599" s="1" t="b">
        <v>0</v>
      </c>
      <c r="H599" s="1">
        <v>5</v>
      </c>
      <c r="I599" s="1">
        <v>2</v>
      </c>
      <c r="J599" s="1">
        <v>0.2</v>
      </c>
    </row>
    <row r="600" spans="1:10" x14ac:dyDescent="0.25">
      <c r="A600" s="1">
        <v>599</v>
      </c>
      <c r="B600" s="2">
        <v>40571</v>
      </c>
      <c r="C600" s="1">
        <v>1</v>
      </c>
      <c r="D600" s="1">
        <v>0</v>
      </c>
      <c r="E600" s="1">
        <v>1</v>
      </c>
      <c r="F600" s="1">
        <v>3</v>
      </c>
      <c r="G600" s="1" t="b">
        <v>0</v>
      </c>
      <c r="H600" s="1">
        <v>5</v>
      </c>
      <c r="I600" s="1">
        <v>2</v>
      </c>
      <c r="J600" s="1">
        <v>0.2</v>
      </c>
    </row>
    <row r="601" spans="1:10" x14ac:dyDescent="0.25">
      <c r="A601" s="1">
        <v>600</v>
      </c>
      <c r="B601" s="2">
        <v>40571</v>
      </c>
      <c r="C601" s="1">
        <v>1</v>
      </c>
      <c r="D601" s="1">
        <v>0</v>
      </c>
      <c r="E601" s="1">
        <v>1</v>
      </c>
      <c r="F601" s="1">
        <v>5</v>
      </c>
      <c r="G601" s="1" t="b">
        <v>0</v>
      </c>
      <c r="H601" s="1">
        <v>5</v>
      </c>
      <c r="I601" s="1">
        <v>2</v>
      </c>
      <c r="J601" s="1">
        <v>0.18</v>
      </c>
    </row>
    <row r="602" spans="1:10" x14ac:dyDescent="0.25">
      <c r="A602" s="1">
        <v>601</v>
      </c>
      <c r="B602" s="2">
        <v>40571</v>
      </c>
      <c r="C602" s="1">
        <v>1</v>
      </c>
      <c r="D602" s="1">
        <v>0</v>
      </c>
      <c r="E602" s="1">
        <v>1</v>
      </c>
      <c r="F602" s="1">
        <v>6</v>
      </c>
      <c r="G602" s="1" t="b">
        <v>0</v>
      </c>
      <c r="H602" s="1">
        <v>5</v>
      </c>
      <c r="I602" s="1">
        <v>2</v>
      </c>
      <c r="J602" s="1">
        <v>0.18</v>
      </c>
    </row>
    <row r="603" spans="1:10" x14ac:dyDescent="0.25">
      <c r="A603" s="1">
        <v>602</v>
      </c>
      <c r="B603" s="2">
        <v>40571</v>
      </c>
      <c r="C603" s="1">
        <v>1</v>
      </c>
      <c r="D603" s="1">
        <v>0</v>
      </c>
      <c r="E603" s="1">
        <v>1</v>
      </c>
      <c r="F603" s="1">
        <v>7</v>
      </c>
      <c r="G603" s="1" t="b">
        <v>0</v>
      </c>
      <c r="H603" s="1">
        <v>5</v>
      </c>
      <c r="I603" s="1">
        <v>2</v>
      </c>
      <c r="J603" s="1">
        <v>0.16</v>
      </c>
    </row>
    <row r="604" spans="1:10" x14ac:dyDescent="0.25">
      <c r="A604" s="1">
        <v>603</v>
      </c>
      <c r="B604" s="2">
        <v>40571</v>
      </c>
      <c r="C604" s="1">
        <v>1</v>
      </c>
      <c r="D604" s="1">
        <v>0</v>
      </c>
      <c r="E604" s="1">
        <v>1</v>
      </c>
      <c r="F604" s="1">
        <v>8</v>
      </c>
      <c r="G604" s="1" t="b">
        <v>0</v>
      </c>
      <c r="H604" s="1">
        <v>5</v>
      </c>
      <c r="I604" s="1">
        <v>2</v>
      </c>
      <c r="J604" s="1">
        <v>0.16</v>
      </c>
    </row>
    <row r="605" spans="1:10" x14ac:dyDescent="0.25">
      <c r="A605" s="1">
        <v>604</v>
      </c>
      <c r="B605" s="2">
        <v>40571</v>
      </c>
      <c r="C605" s="1">
        <v>1</v>
      </c>
      <c r="D605" s="1">
        <v>0</v>
      </c>
      <c r="E605" s="1">
        <v>1</v>
      </c>
      <c r="F605" s="1">
        <v>9</v>
      </c>
      <c r="G605" s="1" t="b">
        <v>0</v>
      </c>
      <c r="H605" s="1">
        <v>5</v>
      </c>
      <c r="I605" s="1">
        <v>3</v>
      </c>
      <c r="J605" s="1">
        <v>0.18</v>
      </c>
    </row>
    <row r="606" spans="1:10" x14ac:dyDescent="0.25">
      <c r="A606" s="1">
        <v>605</v>
      </c>
      <c r="B606" s="2">
        <v>40571</v>
      </c>
      <c r="C606" s="1">
        <v>1</v>
      </c>
      <c r="D606" s="1">
        <v>0</v>
      </c>
      <c r="E606" s="1">
        <v>1</v>
      </c>
      <c r="F606" s="1">
        <v>10</v>
      </c>
      <c r="G606" s="1" t="b">
        <v>0</v>
      </c>
      <c r="H606" s="1">
        <v>5</v>
      </c>
      <c r="I606" s="1">
        <v>3</v>
      </c>
      <c r="J606" s="1">
        <v>0.18</v>
      </c>
    </row>
    <row r="607" spans="1:10" x14ac:dyDescent="0.25">
      <c r="A607" s="1">
        <v>606</v>
      </c>
      <c r="B607" s="2">
        <v>40571</v>
      </c>
      <c r="C607" s="1">
        <v>1</v>
      </c>
      <c r="D607" s="1">
        <v>0</v>
      </c>
      <c r="E607" s="1">
        <v>1</v>
      </c>
      <c r="F607" s="1">
        <v>11</v>
      </c>
      <c r="G607" s="1" t="b">
        <v>0</v>
      </c>
      <c r="H607" s="1">
        <v>5</v>
      </c>
      <c r="I607" s="1">
        <v>3</v>
      </c>
      <c r="J607" s="1">
        <v>0.18</v>
      </c>
    </row>
    <row r="608" spans="1:10" x14ac:dyDescent="0.25">
      <c r="A608" s="1">
        <v>607</v>
      </c>
      <c r="B608" s="2">
        <v>40571</v>
      </c>
      <c r="C608" s="1">
        <v>1</v>
      </c>
      <c r="D608" s="1">
        <v>0</v>
      </c>
      <c r="E608" s="1">
        <v>1</v>
      </c>
      <c r="F608" s="1">
        <v>12</v>
      </c>
      <c r="G608" s="1" t="b">
        <v>0</v>
      </c>
      <c r="H608" s="1">
        <v>5</v>
      </c>
      <c r="I608" s="1">
        <v>3</v>
      </c>
      <c r="J608" s="1">
        <v>0.18</v>
      </c>
    </row>
    <row r="609" spans="1:10" x14ac:dyDescent="0.25">
      <c r="A609" s="1">
        <v>608</v>
      </c>
      <c r="B609" s="2">
        <v>40571</v>
      </c>
      <c r="C609" s="1">
        <v>1</v>
      </c>
      <c r="D609" s="1">
        <v>0</v>
      </c>
      <c r="E609" s="1">
        <v>1</v>
      </c>
      <c r="F609" s="1">
        <v>13</v>
      </c>
      <c r="G609" s="1" t="b">
        <v>0</v>
      </c>
      <c r="H609" s="1">
        <v>5</v>
      </c>
      <c r="I609" s="1">
        <v>3</v>
      </c>
      <c r="J609" s="1">
        <v>0.18</v>
      </c>
    </row>
    <row r="610" spans="1:10" x14ac:dyDescent="0.25">
      <c r="A610" s="1">
        <v>609</v>
      </c>
      <c r="B610" s="2">
        <v>40571</v>
      </c>
      <c r="C610" s="1">
        <v>1</v>
      </c>
      <c r="D610" s="1">
        <v>0</v>
      </c>
      <c r="E610" s="1">
        <v>1</v>
      </c>
      <c r="F610" s="1">
        <v>14</v>
      </c>
      <c r="G610" s="1" t="b">
        <v>0</v>
      </c>
      <c r="H610" s="1">
        <v>5</v>
      </c>
      <c r="I610" s="1">
        <v>3</v>
      </c>
      <c r="J610" s="1">
        <v>0.22</v>
      </c>
    </row>
    <row r="611" spans="1:10" x14ac:dyDescent="0.25">
      <c r="A611" s="1">
        <v>610</v>
      </c>
      <c r="B611" s="2">
        <v>40571</v>
      </c>
      <c r="C611" s="1">
        <v>1</v>
      </c>
      <c r="D611" s="1">
        <v>0</v>
      </c>
      <c r="E611" s="1">
        <v>1</v>
      </c>
      <c r="F611" s="1">
        <v>15</v>
      </c>
      <c r="G611" s="1" t="b">
        <v>0</v>
      </c>
      <c r="H611" s="1">
        <v>5</v>
      </c>
      <c r="I611" s="1">
        <v>2</v>
      </c>
      <c r="J611" s="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1234-AE99-4898-BBB2-03D5D11F9270}">
  <dimension ref="A1:H611"/>
  <sheetViews>
    <sheetView workbookViewId="0">
      <selection activeCell="K11" sqref="K11"/>
    </sheetView>
  </sheetViews>
  <sheetFormatPr defaultRowHeight="13.2" x14ac:dyDescent="0.25"/>
  <cols>
    <col min="1" max="1" width="17.6640625" customWidth="1"/>
    <col min="2" max="2" width="12.21875" customWidth="1"/>
    <col min="3" max="3" width="11.88671875" customWidth="1"/>
    <col min="4" max="4" width="12.21875" customWidth="1"/>
    <col min="5" max="5" width="15" customWidth="1"/>
    <col min="6" max="6" width="12.21875" customWidth="1"/>
    <col min="7" max="7" width="17.21875" customWidth="1"/>
    <col min="8" max="8" width="16.33203125" customWidth="1"/>
  </cols>
  <sheetData>
    <row r="1" spans="1:8" ht="13.8" x14ac:dyDescent="0.25">
      <c r="A1" s="6" t="s">
        <v>10</v>
      </c>
      <c r="B1" s="6" t="s">
        <v>0</v>
      </c>
      <c r="C1" s="6" t="s">
        <v>11</v>
      </c>
      <c r="D1" s="6" t="s">
        <v>12</v>
      </c>
      <c r="E1" s="6" t="s">
        <v>13</v>
      </c>
      <c r="F1" s="6" t="s">
        <v>14</v>
      </c>
      <c r="G1" s="7" t="s">
        <v>15</v>
      </c>
      <c r="H1" s="6" t="s">
        <v>16</v>
      </c>
    </row>
    <row r="2" spans="1:8" ht="13.8" x14ac:dyDescent="0.25">
      <c r="A2" s="5">
        <v>0</v>
      </c>
      <c r="B2" s="5">
        <v>1</v>
      </c>
      <c r="C2" s="5">
        <v>0.28789999999999999</v>
      </c>
      <c r="D2" s="5">
        <v>0.81</v>
      </c>
      <c r="E2" s="5">
        <v>0</v>
      </c>
      <c r="F2" s="5">
        <v>3</v>
      </c>
      <c r="G2" s="5">
        <v>13</v>
      </c>
      <c r="H2" s="5">
        <v>16</v>
      </c>
    </row>
    <row r="3" spans="1:8" ht="13.8" x14ac:dyDescent="0.25">
      <c r="A3" s="5">
        <v>1</v>
      </c>
      <c r="B3" s="5">
        <v>2</v>
      </c>
      <c r="C3" s="5">
        <v>0.2727</v>
      </c>
      <c r="D3" s="5">
        <v>0.8</v>
      </c>
      <c r="E3" s="5">
        <v>0</v>
      </c>
      <c r="F3" s="5">
        <v>8</v>
      </c>
      <c r="G3" s="5">
        <v>32</v>
      </c>
      <c r="H3" s="5">
        <v>40</v>
      </c>
    </row>
    <row r="4" spans="1:8" ht="13.8" x14ac:dyDescent="0.25">
      <c r="A4" s="5">
        <v>2</v>
      </c>
      <c r="B4" s="5">
        <v>3</v>
      </c>
      <c r="C4" s="5">
        <v>0.2727</v>
      </c>
      <c r="D4" s="5">
        <v>0.8</v>
      </c>
      <c r="E4" s="5">
        <v>0</v>
      </c>
      <c r="F4" s="5">
        <v>5</v>
      </c>
      <c r="G4" s="5">
        <v>27</v>
      </c>
      <c r="H4" s="5">
        <v>32</v>
      </c>
    </row>
    <row r="5" spans="1:8" ht="13.8" x14ac:dyDescent="0.25">
      <c r="A5" s="5">
        <v>3</v>
      </c>
      <c r="B5" s="5">
        <v>4</v>
      </c>
      <c r="C5" s="5">
        <v>0.28789999999999999</v>
      </c>
      <c r="D5" s="5">
        <v>0.75</v>
      </c>
      <c r="E5" s="5">
        <v>0</v>
      </c>
      <c r="F5" s="5">
        <v>3</v>
      </c>
      <c r="G5" s="5">
        <v>10</v>
      </c>
      <c r="H5" s="5">
        <v>13</v>
      </c>
    </row>
    <row r="6" spans="1:8" ht="13.8" x14ac:dyDescent="0.25">
      <c r="A6" s="5">
        <v>4</v>
      </c>
      <c r="B6" s="5">
        <v>5</v>
      </c>
      <c r="C6" s="5">
        <v>0.28789999999999999</v>
      </c>
      <c r="D6" s="5">
        <v>0.75</v>
      </c>
      <c r="E6" s="5">
        <v>0</v>
      </c>
      <c r="F6" s="5">
        <v>0</v>
      </c>
      <c r="G6" s="5">
        <v>1</v>
      </c>
      <c r="H6" s="5">
        <v>1</v>
      </c>
    </row>
    <row r="7" spans="1:8" ht="13.8" x14ac:dyDescent="0.25">
      <c r="A7" s="5">
        <v>5</v>
      </c>
      <c r="B7" s="5">
        <v>6</v>
      </c>
      <c r="C7" s="5">
        <v>0.2576</v>
      </c>
      <c r="D7" s="5">
        <v>0.75</v>
      </c>
      <c r="E7" s="5">
        <v>8.9599999999999999E-2</v>
      </c>
      <c r="F7" s="5">
        <v>0</v>
      </c>
      <c r="G7" s="5">
        <v>1</v>
      </c>
      <c r="H7" s="5">
        <v>1</v>
      </c>
    </row>
    <row r="8" spans="1:8" ht="13.8" x14ac:dyDescent="0.25">
      <c r="A8" s="5">
        <v>6</v>
      </c>
      <c r="B8" s="5">
        <v>7</v>
      </c>
      <c r="C8" s="5">
        <v>0.2727</v>
      </c>
      <c r="D8" s="5">
        <v>0.8</v>
      </c>
      <c r="E8" s="5">
        <v>0</v>
      </c>
      <c r="F8" s="5">
        <v>2</v>
      </c>
      <c r="G8" s="5">
        <v>0</v>
      </c>
      <c r="H8" s="5">
        <v>2</v>
      </c>
    </row>
    <row r="9" spans="1:8" ht="13.8" x14ac:dyDescent="0.25">
      <c r="A9" s="5">
        <v>7</v>
      </c>
      <c r="B9" s="5">
        <v>8</v>
      </c>
      <c r="C9" s="5">
        <v>0.2576</v>
      </c>
      <c r="D9" s="5">
        <v>0.86</v>
      </c>
      <c r="E9" s="5">
        <v>0</v>
      </c>
      <c r="F9" s="5">
        <v>1</v>
      </c>
      <c r="G9" s="5">
        <v>2</v>
      </c>
      <c r="H9" s="5">
        <v>3</v>
      </c>
    </row>
    <row r="10" spans="1:8" ht="13.8" x14ac:dyDescent="0.25">
      <c r="A10" s="5">
        <v>8</v>
      </c>
      <c r="B10" s="5">
        <v>9</v>
      </c>
      <c r="C10">
        <v>0</v>
      </c>
      <c r="D10" s="5">
        <v>0.75</v>
      </c>
      <c r="E10" s="5">
        <v>0</v>
      </c>
      <c r="F10" s="5">
        <v>1</v>
      </c>
      <c r="G10" s="5">
        <v>7</v>
      </c>
      <c r="H10" s="5">
        <v>8</v>
      </c>
    </row>
    <row r="11" spans="1:8" ht="13.8" x14ac:dyDescent="0.25">
      <c r="A11" s="5">
        <v>9</v>
      </c>
      <c r="B11" s="5">
        <v>10</v>
      </c>
      <c r="C11" s="5">
        <v>0.34849999999999998</v>
      </c>
      <c r="D11" s="5">
        <v>0.76</v>
      </c>
      <c r="E11" s="5">
        <v>0</v>
      </c>
      <c r="F11" s="5">
        <v>8</v>
      </c>
      <c r="G11" s="5">
        <v>6</v>
      </c>
      <c r="H11" s="5">
        <v>14</v>
      </c>
    </row>
    <row r="12" spans="1:8" ht="13.8" x14ac:dyDescent="0.25">
      <c r="A12" s="5">
        <v>10</v>
      </c>
      <c r="B12" s="5">
        <v>11</v>
      </c>
      <c r="C12" s="5">
        <v>0.39389999999999997</v>
      </c>
      <c r="D12" s="5">
        <v>0.76</v>
      </c>
      <c r="E12" s="5">
        <v>0.25369999999999998</v>
      </c>
      <c r="F12" s="5">
        <v>12</v>
      </c>
      <c r="G12" s="5">
        <v>24</v>
      </c>
      <c r="H12" s="5">
        <v>36</v>
      </c>
    </row>
    <row r="13" spans="1:8" ht="13.8" x14ac:dyDescent="0.25">
      <c r="A13" s="5">
        <v>11</v>
      </c>
      <c r="B13" s="5">
        <v>12</v>
      </c>
      <c r="C13" s="5">
        <v>0.33329999999999999</v>
      </c>
      <c r="D13" s="5">
        <v>0.81</v>
      </c>
      <c r="E13" s="5">
        <v>0.28360000000000002</v>
      </c>
      <c r="F13" s="5">
        <v>26</v>
      </c>
      <c r="G13" s="5">
        <v>30</v>
      </c>
      <c r="H13" s="5">
        <v>56</v>
      </c>
    </row>
    <row r="14" spans="1:8" ht="13.8" x14ac:dyDescent="0.25">
      <c r="A14" s="5">
        <v>12</v>
      </c>
      <c r="B14" s="5">
        <v>13</v>
      </c>
      <c r="C14" s="5">
        <v>0.42420000000000002</v>
      </c>
      <c r="D14" s="5">
        <v>0.77</v>
      </c>
      <c r="E14" s="5">
        <v>0.28360000000000002</v>
      </c>
      <c r="F14" s="5">
        <v>29</v>
      </c>
      <c r="G14" s="5">
        <v>55</v>
      </c>
      <c r="H14" s="5">
        <v>84</v>
      </c>
    </row>
    <row r="15" spans="1:8" ht="13.8" x14ac:dyDescent="0.25">
      <c r="A15" s="5">
        <v>13</v>
      </c>
      <c r="B15" s="5">
        <v>14</v>
      </c>
      <c r="C15" s="5">
        <v>0.45450000000000002</v>
      </c>
      <c r="D15" s="5">
        <v>0.72</v>
      </c>
      <c r="E15" s="5">
        <v>0.29849999999999999</v>
      </c>
      <c r="F15" s="5">
        <v>47</v>
      </c>
      <c r="G15" s="5">
        <v>47</v>
      </c>
      <c r="H15" s="5">
        <v>94</v>
      </c>
    </row>
    <row r="16" spans="1:8" ht="13.8" x14ac:dyDescent="0.25">
      <c r="A16" s="5">
        <v>14</v>
      </c>
      <c r="B16" s="5">
        <v>15</v>
      </c>
      <c r="C16" s="5">
        <v>0.45450000000000002</v>
      </c>
      <c r="D16" s="5">
        <v>0.72</v>
      </c>
      <c r="E16" s="5">
        <v>0.28360000000000002</v>
      </c>
      <c r="F16" s="5">
        <v>35</v>
      </c>
      <c r="G16" s="5">
        <v>71</v>
      </c>
      <c r="H16" s="5">
        <v>106</v>
      </c>
    </row>
    <row r="17" spans="1:8" ht="13.8" x14ac:dyDescent="0.25">
      <c r="A17" s="5">
        <v>15</v>
      </c>
      <c r="B17" s="5">
        <v>16</v>
      </c>
      <c r="C17" s="5">
        <v>0.43940000000000001</v>
      </c>
      <c r="D17" s="5">
        <v>0.77</v>
      </c>
      <c r="E17" s="5">
        <v>0.29849999999999999</v>
      </c>
      <c r="F17" s="5">
        <v>40</v>
      </c>
      <c r="G17" s="5">
        <v>70</v>
      </c>
      <c r="H17" s="5">
        <v>110</v>
      </c>
    </row>
    <row r="18" spans="1:8" ht="13.8" x14ac:dyDescent="0.25">
      <c r="A18" s="5">
        <v>16</v>
      </c>
      <c r="B18" s="5">
        <v>17</v>
      </c>
      <c r="C18" s="5">
        <v>0.42420000000000002</v>
      </c>
      <c r="D18" s="5">
        <v>0.82</v>
      </c>
      <c r="E18" s="5">
        <v>0.29849999999999999</v>
      </c>
      <c r="F18" s="5">
        <v>41</v>
      </c>
      <c r="G18" s="5">
        <v>52</v>
      </c>
      <c r="H18" s="5">
        <v>93</v>
      </c>
    </row>
    <row r="19" spans="1:8" ht="13.8" x14ac:dyDescent="0.25">
      <c r="A19" s="5">
        <v>17</v>
      </c>
      <c r="B19" s="5">
        <v>18</v>
      </c>
      <c r="C19">
        <v>0</v>
      </c>
      <c r="D19" s="5">
        <v>0.82</v>
      </c>
      <c r="E19" s="5">
        <v>0.28360000000000002</v>
      </c>
      <c r="F19" s="5">
        <v>15</v>
      </c>
      <c r="G19" s="5">
        <v>52</v>
      </c>
      <c r="H19" s="5">
        <v>67</v>
      </c>
    </row>
    <row r="20" spans="1:8" ht="13.8" x14ac:dyDescent="0.25">
      <c r="A20" s="5">
        <v>18</v>
      </c>
      <c r="B20" s="5">
        <v>19</v>
      </c>
      <c r="C20" s="5">
        <v>0.42420000000000002</v>
      </c>
      <c r="D20" s="5">
        <v>0.88</v>
      </c>
      <c r="E20" s="5">
        <v>0.25369999999999998</v>
      </c>
      <c r="F20" s="5">
        <v>9</v>
      </c>
      <c r="G20" s="5">
        <v>26</v>
      </c>
      <c r="H20" s="5">
        <v>35</v>
      </c>
    </row>
    <row r="21" spans="1:8" ht="13.8" x14ac:dyDescent="0.25">
      <c r="A21" s="5">
        <v>19</v>
      </c>
      <c r="B21" s="5">
        <v>20</v>
      </c>
      <c r="C21" s="5">
        <v>0.42420000000000002</v>
      </c>
      <c r="D21" s="5">
        <v>0.88</v>
      </c>
      <c r="E21" s="5">
        <v>0.25369999999999998</v>
      </c>
      <c r="F21" s="5">
        <v>6</v>
      </c>
      <c r="G21" s="5">
        <v>31</v>
      </c>
      <c r="H21" s="5">
        <v>37</v>
      </c>
    </row>
    <row r="22" spans="1:8" ht="13.8" x14ac:dyDescent="0.25">
      <c r="A22" s="5">
        <v>20</v>
      </c>
      <c r="B22" s="5">
        <v>21</v>
      </c>
      <c r="C22" s="5">
        <v>0.40910000000000002</v>
      </c>
      <c r="D22" s="5">
        <v>0.87</v>
      </c>
      <c r="E22" s="5">
        <v>0.25369999999999998</v>
      </c>
      <c r="F22" s="5">
        <v>11</v>
      </c>
      <c r="G22" s="5">
        <v>25</v>
      </c>
      <c r="H22" s="5">
        <v>36</v>
      </c>
    </row>
    <row r="23" spans="1:8" ht="13.8" x14ac:dyDescent="0.25">
      <c r="A23" s="5">
        <v>21</v>
      </c>
      <c r="B23" s="5">
        <v>22</v>
      </c>
      <c r="C23" s="5">
        <v>0.40910000000000002</v>
      </c>
      <c r="D23" s="5">
        <v>0.87</v>
      </c>
      <c r="E23" s="5">
        <v>0.19400000000000001</v>
      </c>
      <c r="F23" s="5">
        <v>3</v>
      </c>
      <c r="G23" s="5">
        <v>31</v>
      </c>
      <c r="H23" s="5">
        <v>34</v>
      </c>
    </row>
    <row r="24" spans="1:8" ht="13.8" x14ac:dyDescent="0.25">
      <c r="A24" s="5">
        <v>22</v>
      </c>
      <c r="B24" s="5">
        <v>23</v>
      </c>
      <c r="C24" s="5">
        <v>0.40910000000000002</v>
      </c>
      <c r="D24" s="5">
        <v>0.94</v>
      </c>
      <c r="E24" s="5">
        <v>0.22389999999999999</v>
      </c>
      <c r="F24" s="5">
        <v>11</v>
      </c>
      <c r="G24" s="5">
        <v>17</v>
      </c>
      <c r="H24" s="5">
        <v>28</v>
      </c>
    </row>
    <row r="25" spans="1:8" ht="13.8" x14ac:dyDescent="0.25">
      <c r="A25" s="5">
        <v>23</v>
      </c>
      <c r="B25" s="5">
        <v>24</v>
      </c>
      <c r="C25">
        <v>0</v>
      </c>
      <c r="D25" s="5">
        <v>0.88</v>
      </c>
      <c r="E25" s="5">
        <v>0.29849999999999999</v>
      </c>
      <c r="F25" s="5">
        <v>15</v>
      </c>
      <c r="G25" s="5">
        <v>24</v>
      </c>
      <c r="H25" s="5">
        <v>39</v>
      </c>
    </row>
    <row r="26" spans="1:8" ht="13.8" x14ac:dyDescent="0.25">
      <c r="A26" s="5">
        <v>24</v>
      </c>
      <c r="B26" s="5">
        <v>25</v>
      </c>
      <c r="C26" s="5">
        <v>0.45450000000000002</v>
      </c>
      <c r="D26" s="5">
        <v>0.88</v>
      </c>
      <c r="E26" s="5">
        <v>0.29849999999999999</v>
      </c>
      <c r="F26" s="5">
        <v>4</v>
      </c>
      <c r="G26" s="5">
        <v>13</v>
      </c>
      <c r="H26" s="5">
        <v>17</v>
      </c>
    </row>
    <row r="27" spans="1:8" ht="13.8" x14ac:dyDescent="0.25">
      <c r="A27" s="5">
        <v>25</v>
      </c>
      <c r="B27" s="5">
        <v>26</v>
      </c>
      <c r="C27" s="5">
        <v>0.43940000000000001</v>
      </c>
      <c r="D27" s="5">
        <v>0.94</v>
      </c>
      <c r="E27" s="5">
        <v>0.25369999999999998</v>
      </c>
      <c r="F27" s="5">
        <v>1</v>
      </c>
      <c r="G27" s="5">
        <v>16</v>
      </c>
      <c r="H27" s="5">
        <v>17</v>
      </c>
    </row>
    <row r="28" spans="1:8" ht="13.8" x14ac:dyDescent="0.25">
      <c r="A28" s="5">
        <v>26</v>
      </c>
      <c r="B28" s="5">
        <v>27</v>
      </c>
      <c r="C28" s="5">
        <v>0.42420000000000002</v>
      </c>
      <c r="D28" s="5">
        <v>1</v>
      </c>
      <c r="E28" s="5">
        <v>0.28360000000000002</v>
      </c>
      <c r="F28" s="5">
        <v>1</v>
      </c>
      <c r="G28" s="5">
        <v>8</v>
      </c>
      <c r="H28" s="5">
        <v>9</v>
      </c>
    </row>
    <row r="29" spans="1:8" ht="13.8" x14ac:dyDescent="0.25">
      <c r="A29" s="5">
        <v>27</v>
      </c>
      <c r="B29" s="5">
        <v>28</v>
      </c>
      <c r="C29" s="5">
        <v>0.45450000000000002</v>
      </c>
      <c r="D29" s="5">
        <v>0.94</v>
      </c>
      <c r="E29" s="5">
        <v>0.19400000000000001</v>
      </c>
      <c r="F29" s="5">
        <v>2</v>
      </c>
      <c r="G29" s="5">
        <v>4</v>
      </c>
      <c r="H29" s="5">
        <v>6</v>
      </c>
    </row>
    <row r="30" spans="1:8" ht="13.8" x14ac:dyDescent="0.25">
      <c r="A30" s="5">
        <v>28</v>
      </c>
      <c r="B30" s="5">
        <v>29</v>
      </c>
      <c r="C30">
        <v>0</v>
      </c>
      <c r="D30" s="5">
        <v>0.94</v>
      </c>
      <c r="E30" s="5">
        <v>0.19400000000000001</v>
      </c>
      <c r="F30" s="5">
        <v>2</v>
      </c>
      <c r="G30" s="5">
        <v>1</v>
      </c>
      <c r="H30" s="5">
        <v>3</v>
      </c>
    </row>
    <row r="31" spans="1:8" ht="13.8" x14ac:dyDescent="0.25">
      <c r="A31" s="5">
        <v>29</v>
      </c>
      <c r="B31" s="5">
        <v>30</v>
      </c>
      <c r="C31" s="5">
        <v>0.42420000000000002</v>
      </c>
      <c r="D31" s="5">
        <v>0.77</v>
      </c>
      <c r="E31" s="5">
        <v>0.29849999999999999</v>
      </c>
      <c r="F31" s="5">
        <v>0</v>
      </c>
      <c r="G31" s="5">
        <v>2</v>
      </c>
      <c r="H31" s="5">
        <v>2</v>
      </c>
    </row>
    <row r="32" spans="1:8" ht="13.8" x14ac:dyDescent="0.25">
      <c r="A32" s="5">
        <v>30</v>
      </c>
      <c r="B32" s="5">
        <v>31</v>
      </c>
      <c r="C32" s="5">
        <v>0.40910000000000002</v>
      </c>
      <c r="D32" s="5">
        <v>0.76</v>
      </c>
      <c r="E32" s="5">
        <v>0.19400000000000001</v>
      </c>
      <c r="F32" s="5">
        <v>0</v>
      </c>
      <c r="G32" s="5">
        <v>1</v>
      </c>
      <c r="H32" s="5">
        <v>1</v>
      </c>
    </row>
    <row r="33" spans="1:8" ht="13.8" x14ac:dyDescent="0.25">
      <c r="A33" s="5">
        <v>31</v>
      </c>
      <c r="B33" s="5">
        <v>32</v>
      </c>
      <c r="C33" s="5">
        <v>0.40910000000000002</v>
      </c>
      <c r="D33" s="5">
        <v>0.71</v>
      </c>
      <c r="E33" s="5">
        <v>0.22389999999999999</v>
      </c>
      <c r="F33" s="5">
        <v>0</v>
      </c>
      <c r="G33" s="5">
        <v>8</v>
      </c>
      <c r="H33" s="5">
        <v>8</v>
      </c>
    </row>
    <row r="34" spans="1:8" ht="13.8" x14ac:dyDescent="0.25">
      <c r="A34" s="5">
        <v>32</v>
      </c>
      <c r="B34" s="5">
        <v>33</v>
      </c>
      <c r="C34">
        <v>0</v>
      </c>
      <c r="D34" s="5">
        <v>0.76</v>
      </c>
      <c r="E34" s="5">
        <v>0.22389999999999999</v>
      </c>
      <c r="F34" s="5">
        <v>1</v>
      </c>
      <c r="G34" s="5">
        <v>19</v>
      </c>
      <c r="H34" s="5">
        <v>20</v>
      </c>
    </row>
    <row r="35" spans="1:8" ht="13.8" x14ac:dyDescent="0.25">
      <c r="A35" s="5">
        <v>33</v>
      </c>
      <c r="B35" s="5">
        <v>34</v>
      </c>
      <c r="C35" s="5">
        <v>0.34849999999999998</v>
      </c>
      <c r="D35" s="5">
        <v>0.81</v>
      </c>
      <c r="E35" s="5">
        <v>0.22389999999999999</v>
      </c>
      <c r="F35" s="5">
        <v>7</v>
      </c>
      <c r="G35" s="5">
        <v>46</v>
      </c>
      <c r="H35" s="5">
        <v>53</v>
      </c>
    </row>
    <row r="36" spans="1:8" ht="13.8" x14ac:dyDescent="0.25">
      <c r="A36" s="5">
        <v>34</v>
      </c>
      <c r="B36" s="5">
        <v>35</v>
      </c>
      <c r="C36" s="5">
        <v>0.33329999999999999</v>
      </c>
      <c r="D36" s="5">
        <v>0.71</v>
      </c>
      <c r="E36" s="5">
        <v>0.25369999999999998</v>
      </c>
      <c r="F36" s="5">
        <v>16</v>
      </c>
      <c r="G36" s="5">
        <v>54</v>
      </c>
      <c r="H36" s="5">
        <v>70</v>
      </c>
    </row>
    <row r="37" spans="1:8" ht="13.8" x14ac:dyDescent="0.25">
      <c r="A37" s="5">
        <v>35</v>
      </c>
      <c r="B37" s="5">
        <v>36</v>
      </c>
      <c r="C37" s="5">
        <v>0.33329999999999999</v>
      </c>
      <c r="D37" s="5">
        <v>0.66</v>
      </c>
      <c r="E37" s="5">
        <v>0.29849999999999999</v>
      </c>
      <c r="F37" s="5">
        <v>20</v>
      </c>
      <c r="G37" s="5">
        <v>73</v>
      </c>
      <c r="H37" s="5">
        <v>93</v>
      </c>
    </row>
    <row r="38" spans="1:8" ht="13.8" x14ac:dyDescent="0.25">
      <c r="A38" s="5">
        <v>36</v>
      </c>
      <c r="B38" s="5">
        <v>37</v>
      </c>
      <c r="C38" s="5">
        <v>0.34849999999999998</v>
      </c>
      <c r="D38" s="5">
        <v>0.66</v>
      </c>
      <c r="E38" s="5">
        <v>0.1343</v>
      </c>
      <c r="F38" s="5">
        <v>11</v>
      </c>
      <c r="G38" s="5">
        <v>64</v>
      </c>
      <c r="H38" s="5">
        <v>75</v>
      </c>
    </row>
    <row r="39" spans="1:8" ht="13.8" x14ac:dyDescent="0.25">
      <c r="A39" s="5">
        <v>37</v>
      </c>
      <c r="B39" s="5">
        <v>38</v>
      </c>
      <c r="C39">
        <v>0</v>
      </c>
      <c r="D39" s="5">
        <v>0.76</v>
      </c>
      <c r="E39" s="5">
        <v>0.19400000000000001</v>
      </c>
      <c r="F39" s="5">
        <v>4</v>
      </c>
      <c r="G39" s="5">
        <v>55</v>
      </c>
      <c r="H39" s="5">
        <v>59</v>
      </c>
    </row>
    <row r="40" spans="1:8" ht="13.8" x14ac:dyDescent="0.25">
      <c r="A40" s="5">
        <v>38</v>
      </c>
      <c r="B40" s="5">
        <v>39</v>
      </c>
      <c r="C40" s="5">
        <v>0.33329999999999999</v>
      </c>
      <c r="D40" s="5">
        <v>0.81</v>
      </c>
      <c r="E40" s="5">
        <v>0.16420000000000001</v>
      </c>
      <c r="F40" s="5">
        <v>19</v>
      </c>
      <c r="G40" s="5">
        <v>55</v>
      </c>
      <c r="H40" s="5">
        <v>74</v>
      </c>
    </row>
    <row r="41" spans="1:8" ht="13.8" x14ac:dyDescent="0.25">
      <c r="A41" s="5">
        <v>39</v>
      </c>
      <c r="B41" s="5">
        <v>40</v>
      </c>
      <c r="C41" s="5">
        <v>0.33329999999999999</v>
      </c>
      <c r="D41" s="5">
        <v>0.71</v>
      </c>
      <c r="E41" s="5">
        <v>0.16420000000000001</v>
      </c>
      <c r="F41" s="5">
        <v>9</v>
      </c>
      <c r="G41" s="5">
        <v>67</v>
      </c>
      <c r="H41" s="5">
        <v>76</v>
      </c>
    </row>
    <row r="42" spans="1:8" ht="13.8" x14ac:dyDescent="0.25">
      <c r="A42" s="5">
        <v>40</v>
      </c>
      <c r="B42" s="5">
        <v>41</v>
      </c>
      <c r="C42" s="5">
        <v>0.33329999999999999</v>
      </c>
      <c r="D42" s="5">
        <v>0.56999999999999995</v>
      </c>
      <c r="E42" s="5">
        <v>0.19400000000000001</v>
      </c>
      <c r="F42" s="5">
        <v>7</v>
      </c>
      <c r="G42" s="5">
        <v>58</v>
      </c>
      <c r="H42" s="5">
        <v>65</v>
      </c>
    </row>
    <row r="43" spans="1:8" ht="13.8" x14ac:dyDescent="0.25">
      <c r="A43" s="5">
        <v>41</v>
      </c>
      <c r="B43" s="5">
        <v>42</v>
      </c>
      <c r="C43" s="5">
        <v>0.33329999999999999</v>
      </c>
      <c r="D43" s="5">
        <v>0.46</v>
      </c>
      <c r="E43" s="5">
        <v>0.32840000000000003</v>
      </c>
      <c r="F43" s="5">
        <v>10</v>
      </c>
      <c r="G43" s="5">
        <v>43</v>
      </c>
      <c r="H43" s="5">
        <v>53</v>
      </c>
    </row>
    <row r="44" spans="1:8" ht="13.8" x14ac:dyDescent="0.25">
      <c r="A44" s="5">
        <v>42</v>
      </c>
      <c r="B44" s="5">
        <v>43</v>
      </c>
      <c r="C44" s="5">
        <v>0.28789999999999999</v>
      </c>
      <c r="D44" s="5">
        <v>0.42</v>
      </c>
      <c r="E44" s="5">
        <v>0.44779999999999998</v>
      </c>
      <c r="F44" s="5">
        <v>1</v>
      </c>
      <c r="G44" s="5">
        <v>29</v>
      </c>
      <c r="H44" s="5">
        <v>30</v>
      </c>
    </row>
    <row r="45" spans="1:8" ht="13.8" x14ac:dyDescent="0.25">
      <c r="A45" s="5">
        <v>43</v>
      </c>
      <c r="B45" s="5">
        <v>44</v>
      </c>
      <c r="C45">
        <v>0</v>
      </c>
      <c r="D45" s="5">
        <v>0.39</v>
      </c>
      <c r="E45" s="5">
        <v>0.35820000000000002</v>
      </c>
      <c r="F45" s="5">
        <v>5</v>
      </c>
      <c r="G45" s="5">
        <v>17</v>
      </c>
      <c r="H45" s="5">
        <v>22</v>
      </c>
    </row>
    <row r="46" spans="1:8" ht="13.8" x14ac:dyDescent="0.25">
      <c r="A46" s="5">
        <v>44</v>
      </c>
      <c r="B46" s="5">
        <v>45</v>
      </c>
      <c r="C46" s="5">
        <v>0.2273</v>
      </c>
      <c r="D46" s="5">
        <v>0.44</v>
      </c>
      <c r="E46" s="5">
        <v>0.32840000000000003</v>
      </c>
      <c r="F46" s="5">
        <v>11</v>
      </c>
      <c r="G46" s="5">
        <v>20</v>
      </c>
      <c r="H46" s="5">
        <v>31</v>
      </c>
    </row>
    <row r="47" spans="1:8" ht="13.8" x14ac:dyDescent="0.25">
      <c r="A47" s="5">
        <v>45</v>
      </c>
      <c r="B47" s="5">
        <v>46</v>
      </c>
      <c r="C47" s="5">
        <v>0.21210000000000001</v>
      </c>
      <c r="D47" s="5">
        <v>0.44</v>
      </c>
      <c r="E47" s="5">
        <v>0.29849999999999999</v>
      </c>
      <c r="F47" s="5">
        <v>0</v>
      </c>
      <c r="G47" s="5">
        <v>9</v>
      </c>
      <c r="H47" s="5">
        <v>9</v>
      </c>
    </row>
    <row r="48" spans="1:8" ht="13.8" x14ac:dyDescent="0.25">
      <c r="A48" s="5">
        <v>46</v>
      </c>
      <c r="B48" s="5">
        <v>47</v>
      </c>
      <c r="C48" s="5">
        <v>0.2273</v>
      </c>
      <c r="D48" s="5">
        <v>0.47</v>
      </c>
      <c r="E48" s="5">
        <v>0.16420000000000001</v>
      </c>
      <c r="F48" s="5">
        <v>0</v>
      </c>
      <c r="G48" s="5">
        <v>8</v>
      </c>
      <c r="H48" s="5">
        <v>8</v>
      </c>
    </row>
    <row r="49" spans="1:8" ht="13.8" x14ac:dyDescent="0.25">
      <c r="A49" s="5">
        <v>47</v>
      </c>
      <c r="B49" s="5">
        <v>48</v>
      </c>
      <c r="C49" s="5">
        <v>0.19700000000000001</v>
      </c>
      <c r="D49" s="5">
        <v>0.44</v>
      </c>
      <c r="E49" s="5">
        <v>0.35820000000000002</v>
      </c>
      <c r="F49" s="5">
        <v>0</v>
      </c>
      <c r="G49" s="5">
        <v>5</v>
      </c>
      <c r="H49" s="5">
        <v>5</v>
      </c>
    </row>
    <row r="50" spans="1:8" ht="13.8" x14ac:dyDescent="0.25">
      <c r="A50" s="5">
        <v>48</v>
      </c>
      <c r="B50" s="5">
        <v>49</v>
      </c>
      <c r="C50">
        <v>0</v>
      </c>
      <c r="D50" s="5">
        <v>0.44</v>
      </c>
      <c r="E50" s="5">
        <v>0.41789999999999999</v>
      </c>
      <c r="F50" s="5">
        <v>0</v>
      </c>
      <c r="G50" s="5">
        <v>2</v>
      </c>
      <c r="H50" s="5">
        <v>2</v>
      </c>
    </row>
    <row r="51" spans="1:8" ht="13.8" x14ac:dyDescent="0.25">
      <c r="A51" s="5">
        <v>49</v>
      </c>
      <c r="B51" s="5">
        <v>50</v>
      </c>
      <c r="C51" s="5">
        <v>0.13639999999999999</v>
      </c>
      <c r="D51" s="5">
        <v>0.47</v>
      </c>
      <c r="E51" s="5">
        <v>0.3881</v>
      </c>
      <c r="F51" s="5">
        <v>0</v>
      </c>
      <c r="G51" s="5">
        <v>1</v>
      </c>
      <c r="H51" s="5">
        <v>1</v>
      </c>
    </row>
    <row r="52" spans="1:8" ht="13.8" x14ac:dyDescent="0.25">
      <c r="A52" s="5">
        <v>50</v>
      </c>
      <c r="B52" s="5">
        <v>51</v>
      </c>
      <c r="C52" s="5">
        <v>0.13639999999999999</v>
      </c>
      <c r="D52" s="5">
        <v>0.47</v>
      </c>
      <c r="E52" s="5">
        <v>0.28360000000000002</v>
      </c>
      <c r="F52" s="5">
        <v>0</v>
      </c>
      <c r="G52" s="5">
        <v>3</v>
      </c>
      <c r="H52" s="5">
        <v>3</v>
      </c>
    </row>
    <row r="53" spans="1:8" ht="13.8" x14ac:dyDescent="0.25">
      <c r="A53" s="5">
        <v>51</v>
      </c>
      <c r="B53" s="5">
        <v>52</v>
      </c>
      <c r="C53" s="5">
        <v>0.1061</v>
      </c>
      <c r="D53" s="5">
        <v>0.5</v>
      </c>
      <c r="E53" s="5">
        <v>0.3881</v>
      </c>
      <c r="F53" s="5">
        <v>0</v>
      </c>
      <c r="G53" s="5">
        <v>30</v>
      </c>
      <c r="H53" s="5">
        <v>30</v>
      </c>
    </row>
    <row r="54" spans="1:8" ht="13.8" x14ac:dyDescent="0.25">
      <c r="A54" s="5">
        <v>52</v>
      </c>
      <c r="B54" s="5">
        <v>53</v>
      </c>
      <c r="C54" s="5">
        <v>0.13639999999999999</v>
      </c>
      <c r="D54" s="5">
        <v>0.5</v>
      </c>
      <c r="E54" s="5">
        <v>0.19400000000000001</v>
      </c>
      <c r="F54" s="5">
        <v>1</v>
      </c>
      <c r="G54" s="5">
        <v>63</v>
      </c>
      <c r="H54" s="5">
        <v>64</v>
      </c>
    </row>
    <row r="55" spans="1:8" ht="13.8" x14ac:dyDescent="0.25">
      <c r="A55" s="5">
        <v>53</v>
      </c>
      <c r="B55" s="5">
        <v>54</v>
      </c>
      <c r="C55" s="5">
        <v>0.1212</v>
      </c>
      <c r="D55" s="5">
        <v>0.5</v>
      </c>
      <c r="E55" s="5">
        <v>0.28360000000000002</v>
      </c>
      <c r="F55" s="5">
        <v>1</v>
      </c>
      <c r="G55" s="5">
        <v>153</v>
      </c>
      <c r="H55" s="5">
        <v>154</v>
      </c>
    </row>
    <row r="56" spans="1:8" ht="13.8" x14ac:dyDescent="0.25">
      <c r="A56" s="5">
        <v>54</v>
      </c>
      <c r="B56" s="5">
        <v>55</v>
      </c>
      <c r="C56" s="5">
        <v>0.13639999999999999</v>
      </c>
      <c r="D56" s="5">
        <v>0.43</v>
      </c>
      <c r="E56" s="5">
        <v>0.3881</v>
      </c>
      <c r="F56" s="5">
        <v>7</v>
      </c>
      <c r="G56" s="5">
        <v>81</v>
      </c>
      <c r="H56" s="5">
        <v>88</v>
      </c>
    </row>
    <row r="57" spans="1:8" ht="13.8" x14ac:dyDescent="0.25">
      <c r="A57" s="5">
        <v>55</v>
      </c>
      <c r="B57" s="5">
        <v>56</v>
      </c>
      <c r="C57" s="5">
        <v>0.16669999999999999</v>
      </c>
      <c r="D57" s="5">
        <v>0.43</v>
      </c>
      <c r="E57" s="5">
        <v>0.25369999999999998</v>
      </c>
      <c r="F57" s="5">
        <v>11</v>
      </c>
      <c r="G57" s="5">
        <v>33</v>
      </c>
      <c r="H57" s="5">
        <v>44</v>
      </c>
    </row>
    <row r="58" spans="1:8" ht="13.8" x14ac:dyDescent="0.25">
      <c r="A58" s="5">
        <v>56</v>
      </c>
      <c r="B58" s="5">
        <v>57</v>
      </c>
      <c r="C58" s="5">
        <v>0.18179999999999999</v>
      </c>
      <c r="D58" s="5">
        <v>0.4</v>
      </c>
      <c r="E58" s="5">
        <v>0.32840000000000003</v>
      </c>
      <c r="F58" s="5">
        <v>10</v>
      </c>
      <c r="G58" s="5">
        <v>41</v>
      </c>
      <c r="H58" s="5">
        <v>51</v>
      </c>
    </row>
    <row r="59" spans="1:8" ht="13.8" x14ac:dyDescent="0.25">
      <c r="A59" s="5">
        <v>57</v>
      </c>
      <c r="B59" s="5">
        <v>58</v>
      </c>
      <c r="C59" s="5">
        <v>0.21210000000000001</v>
      </c>
      <c r="D59" s="5">
        <v>0.35</v>
      </c>
      <c r="E59" s="5">
        <v>0.29849999999999999</v>
      </c>
      <c r="F59" s="5">
        <v>13</v>
      </c>
      <c r="G59" s="5">
        <v>48</v>
      </c>
      <c r="H59" s="5">
        <v>61</v>
      </c>
    </row>
    <row r="60" spans="1:8" ht="13.8" x14ac:dyDescent="0.25">
      <c r="A60" s="5">
        <v>58</v>
      </c>
      <c r="B60" s="5">
        <v>59</v>
      </c>
      <c r="C60">
        <v>0</v>
      </c>
      <c r="D60" s="5">
        <v>0.35</v>
      </c>
      <c r="E60" s="5">
        <v>0.28360000000000002</v>
      </c>
      <c r="F60" s="5">
        <v>8</v>
      </c>
      <c r="G60" s="5">
        <v>53</v>
      </c>
      <c r="H60" s="5">
        <v>61</v>
      </c>
    </row>
    <row r="61" spans="1:8" ht="13.8" x14ac:dyDescent="0.25">
      <c r="A61" s="5">
        <v>59</v>
      </c>
      <c r="B61" s="5">
        <v>60</v>
      </c>
      <c r="C61" s="5">
        <v>0.2424</v>
      </c>
      <c r="D61" s="5">
        <v>0.3</v>
      </c>
      <c r="E61" s="5">
        <v>0.28360000000000002</v>
      </c>
      <c r="F61" s="5">
        <v>11</v>
      </c>
      <c r="G61" s="5">
        <v>66</v>
      </c>
      <c r="H61" s="5">
        <v>77</v>
      </c>
    </row>
    <row r="62" spans="1:8" ht="13.8" x14ac:dyDescent="0.25">
      <c r="A62" s="5">
        <v>60</v>
      </c>
      <c r="B62" s="5">
        <v>61</v>
      </c>
      <c r="C62" s="5">
        <v>0.2424</v>
      </c>
      <c r="D62" s="5">
        <v>0.3</v>
      </c>
      <c r="E62" s="5">
        <v>0.25369999999999998</v>
      </c>
      <c r="F62" s="5">
        <v>14</v>
      </c>
      <c r="G62" s="5">
        <v>58</v>
      </c>
      <c r="H62" s="5">
        <v>72</v>
      </c>
    </row>
    <row r="63" spans="1:8" ht="13.8" x14ac:dyDescent="0.25">
      <c r="A63" s="5">
        <v>61</v>
      </c>
      <c r="B63" s="5">
        <v>62</v>
      </c>
      <c r="C63" s="5">
        <v>0.2424</v>
      </c>
      <c r="D63" s="5">
        <v>0.3</v>
      </c>
      <c r="E63" s="5">
        <v>0.25369999999999998</v>
      </c>
      <c r="F63" s="5">
        <v>9</v>
      </c>
      <c r="G63" s="5">
        <v>67</v>
      </c>
      <c r="H63" s="5">
        <v>76</v>
      </c>
    </row>
    <row r="64" spans="1:8" ht="13.8" x14ac:dyDescent="0.25">
      <c r="A64" s="5">
        <v>62</v>
      </c>
      <c r="B64" s="5">
        <v>63</v>
      </c>
      <c r="C64" s="5">
        <v>0.2273</v>
      </c>
      <c r="D64" s="5">
        <v>0.3</v>
      </c>
      <c r="E64" s="5">
        <v>0.22389999999999999</v>
      </c>
      <c r="F64" s="5">
        <v>11</v>
      </c>
      <c r="G64" s="5">
        <v>146</v>
      </c>
      <c r="H64" s="5">
        <v>157</v>
      </c>
    </row>
    <row r="65" spans="1:8" ht="13.8" x14ac:dyDescent="0.25">
      <c r="A65" s="5">
        <v>63</v>
      </c>
      <c r="B65" s="5">
        <v>64</v>
      </c>
      <c r="C65" s="5">
        <v>0.2576</v>
      </c>
      <c r="D65" s="5">
        <v>0.32</v>
      </c>
      <c r="E65" s="5">
        <v>0.1045</v>
      </c>
      <c r="F65" s="5">
        <v>9</v>
      </c>
      <c r="G65" s="5">
        <v>148</v>
      </c>
      <c r="H65" s="5">
        <v>157</v>
      </c>
    </row>
    <row r="66" spans="1:8" ht="13.8" x14ac:dyDescent="0.25">
      <c r="A66" s="5">
        <v>64</v>
      </c>
      <c r="B66" s="5">
        <v>65</v>
      </c>
      <c r="C66" s="5">
        <v>0.2576</v>
      </c>
      <c r="D66" s="5">
        <v>0.47</v>
      </c>
      <c r="E66" s="5">
        <v>0</v>
      </c>
      <c r="F66" s="5">
        <v>8</v>
      </c>
      <c r="G66" s="5">
        <v>102</v>
      </c>
      <c r="H66" s="5">
        <v>110</v>
      </c>
    </row>
    <row r="67" spans="1:8" ht="13.8" x14ac:dyDescent="0.25">
      <c r="A67" s="5">
        <v>65</v>
      </c>
      <c r="B67" s="5">
        <v>66</v>
      </c>
      <c r="C67">
        <v>0</v>
      </c>
      <c r="D67" s="5">
        <v>0.47</v>
      </c>
      <c r="E67" s="5">
        <v>0.1045</v>
      </c>
      <c r="F67" s="5">
        <v>3</v>
      </c>
      <c r="G67" s="5">
        <v>49</v>
      </c>
      <c r="H67" s="5">
        <v>52</v>
      </c>
    </row>
    <row r="68" spans="1:8" ht="13.8" x14ac:dyDescent="0.25">
      <c r="A68" s="5">
        <v>66</v>
      </c>
      <c r="B68" s="5">
        <v>67</v>
      </c>
      <c r="C68" s="5">
        <v>0.19700000000000001</v>
      </c>
      <c r="D68" s="5">
        <v>0.64</v>
      </c>
      <c r="E68" s="5">
        <v>0.1343</v>
      </c>
      <c r="F68" s="5">
        <v>3</v>
      </c>
      <c r="G68" s="5">
        <v>49</v>
      </c>
      <c r="H68" s="5">
        <v>52</v>
      </c>
    </row>
    <row r="69" spans="1:8" ht="13.8" x14ac:dyDescent="0.25">
      <c r="A69" s="5">
        <v>67</v>
      </c>
      <c r="B69" s="5">
        <v>68</v>
      </c>
      <c r="C69" s="5">
        <v>0.1515</v>
      </c>
      <c r="D69" s="5">
        <v>0.69</v>
      </c>
      <c r="E69" s="5">
        <v>0.1343</v>
      </c>
      <c r="F69" s="5">
        <v>0</v>
      </c>
      <c r="G69" s="5">
        <v>20</v>
      </c>
      <c r="H69" s="5">
        <v>20</v>
      </c>
    </row>
    <row r="70" spans="1:8" ht="13.8" x14ac:dyDescent="0.25">
      <c r="A70" s="5">
        <v>68</v>
      </c>
      <c r="B70" s="5">
        <v>69</v>
      </c>
      <c r="C70" s="5">
        <v>0.21210000000000001</v>
      </c>
      <c r="D70" s="5">
        <v>0.55000000000000004</v>
      </c>
      <c r="E70" s="5">
        <v>0.1045</v>
      </c>
      <c r="F70" s="5">
        <v>1</v>
      </c>
      <c r="G70" s="5">
        <v>11</v>
      </c>
      <c r="H70" s="5">
        <v>12</v>
      </c>
    </row>
    <row r="71" spans="1:8" ht="13.8" x14ac:dyDescent="0.25">
      <c r="A71" s="5">
        <v>69</v>
      </c>
      <c r="B71" s="5">
        <v>70</v>
      </c>
      <c r="C71">
        <v>0</v>
      </c>
      <c r="D71" s="5">
        <v>0.55000000000000004</v>
      </c>
      <c r="E71" s="5">
        <v>0.1045</v>
      </c>
      <c r="F71" s="5">
        <v>0</v>
      </c>
      <c r="G71" s="5">
        <v>5</v>
      </c>
      <c r="H71" s="5">
        <v>5</v>
      </c>
    </row>
    <row r="72" spans="1:8" ht="13.8" x14ac:dyDescent="0.25">
      <c r="A72" s="5">
        <v>70</v>
      </c>
      <c r="B72" s="5">
        <v>71</v>
      </c>
      <c r="C72" s="5">
        <v>0.18179999999999999</v>
      </c>
      <c r="D72" s="5">
        <v>0.59</v>
      </c>
      <c r="E72" s="5">
        <v>0.1045</v>
      </c>
      <c r="F72" s="5">
        <v>0</v>
      </c>
      <c r="G72" s="5">
        <v>2</v>
      </c>
      <c r="H72" s="5">
        <v>2</v>
      </c>
    </row>
    <row r="73" spans="1:8" ht="13.8" x14ac:dyDescent="0.25">
      <c r="A73" s="5">
        <v>71</v>
      </c>
      <c r="B73" s="5">
        <v>72</v>
      </c>
      <c r="C73" s="5">
        <v>0.1515</v>
      </c>
      <c r="D73" s="5">
        <v>0.63</v>
      </c>
      <c r="E73" s="5">
        <v>0.1343</v>
      </c>
      <c r="F73" s="5">
        <v>0</v>
      </c>
      <c r="G73" s="5">
        <v>1</v>
      </c>
      <c r="H73" s="5">
        <v>1</v>
      </c>
    </row>
    <row r="74" spans="1:8" ht="13.8" x14ac:dyDescent="0.25">
      <c r="A74" s="5">
        <v>72</v>
      </c>
      <c r="B74" s="5">
        <v>73</v>
      </c>
      <c r="C74" s="5">
        <v>0.18179999999999999</v>
      </c>
      <c r="D74" s="5">
        <v>0.63</v>
      </c>
      <c r="E74" s="5">
        <v>8.9599999999999999E-2</v>
      </c>
      <c r="F74" s="5">
        <v>0</v>
      </c>
      <c r="G74" s="5">
        <v>2</v>
      </c>
      <c r="H74" s="5">
        <v>2</v>
      </c>
    </row>
    <row r="75" spans="1:8" ht="13.8" x14ac:dyDescent="0.25">
      <c r="A75" s="5">
        <v>73</v>
      </c>
      <c r="B75" s="5">
        <v>74</v>
      </c>
      <c r="C75" s="5">
        <v>0.1515</v>
      </c>
      <c r="D75" s="5">
        <v>0.68</v>
      </c>
      <c r="E75" s="5">
        <v>0.1045</v>
      </c>
      <c r="F75" s="5">
        <v>0</v>
      </c>
      <c r="G75" s="5">
        <v>4</v>
      </c>
      <c r="H75" s="5">
        <v>4</v>
      </c>
    </row>
    <row r="76" spans="1:8" ht="13.8" x14ac:dyDescent="0.25">
      <c r="A76" s="5">
        <v>74</v>
      </c>
      <c r="B76" s="5">
        <v>75</v>
      </c>
      <c r="C76" s="5">
        <v>0.1515</v>
      </c>
      <c r="D76" s="5">
        <v>0.74</v>
      </c>
      <c r="E76" s="5">
        <v>0.1045</v>
      </c>
      <c r="F76" s="5">
        <v>0</v>
      </c>
      <c r="G76" s="5">
        <v>36</v>
      </c>
      <c r="H76" s="5">
        <v>36</v>
      </c>
    </row>
    <row r="77" spans="1:8" ht="13.8" x14ac:dyDescent="0.25">
      <c r="A77" s="5">
        <v>75</v>
      </c>
      <c r="B77" s="5">
        <v>76</v>
      </c>
      <c r="C77" s="5">
        <v>0.1515</v>
      </c>
      <c r="D77" s="5">
        <v>0.74</v>
      </c>
      <c r="E77" s="5">
        <v>0.1343</v>
      </c>
      <c r="F77" s="5">
        <v>2</v>
      </c>
      <c r="G77" s="5">
        <v>92</v>
      </c>
      <c r="H77" s="5">
        <v>94</v>
      </c>
    </row>
    <row r="78" spans="1:8" ht="13.8" x14ac:dyDescent="0.25">
      <c r="A78" s="5">
        <v>76</v>
      </c>
      <c r="B78" s="5">
        <v>77</v>
      </c>
      <c r="C78" s="5">
        <v>0.1515</v>
      </c>
      <c r="D78" s="5">
        <v>0.69</v>
      </c>
      <c r="E78" s="5">
        <v>0.16420000000000001</v>
      </c>
      <c r="F78" s="5">
        <v>2</v>
      </c>
      <c r="G78" s="5">
        <v>177</v>
      </c>
      <c r="H78" s="5">
        <v>179</v>
      </c>
    </row>
    <row r="79" spans="1:8" ht="13.8" x14ac:dyDescent="0.25">
      <c r="A79" s="5">
        <v>77</v>
      </c>
      <c r="B79" s="5">
        <v>78</v>
      </c>
      <c r="C79" s="5">
        <v>0.1515</v>
      </c>
      <c r="D79" s="5">
        <v>0.64</v>
      </c>
      <c r="E79" s="5">
        <v>0.22389999999999999</v>
      </c>
      <c r="F79" s="5">
        <v>2</v>
      </c>
      <c r="G79" s="5">
        <v>98</v>
      </c>
      <c r="H79" s="5">
        <v>100</v>
      </c>
    </row>
    <row r="80" spans="1:8" ht="13.8" x14ac:dyDescent="0.25">
      <c r="A80" s="5">
        <v>78</v>
      </c>
      <c r="B80" s="5">
        <v>79</v>
      </c>
      <c r="C80" s="5">
        <v>0.13639999999999999</v>
      </c>
      <c r="D80" s="5">
        <v>0.69</v>
      </c>
      <c r="E80" s="5">
        <v>0.32840000000000003</v>
      </c>
      <c r="F80" s="5">
        <v>5</v>
      </c>
      <c r="G80" s="5">
        <v>37</v>
      </c>
      <c r="H80" s="5">
        <v>42</v>
      </c>
    </row>
    <row r="81" spans="1:8" ht="13.8" x14ac:dyDescent="0.25">
      <c r="A81" s="5">
        <v>79</v>
      </c>
      <c r="B81" s="5">
        <v>80</v>
      </c>
      <c r="C81" s="5">
        <v>0.21210000000000001</v>
      </c>
      <c r="D81" s="5">
        <v>0.51</v>
      </c>
      <c r="E81" s="5">
        <v>0.29849999999999999</v>
      </c>
      <c r="F81" s="5">
        <v>7</v>
      </c>
      <c r="G81" s="5">
        <v>50</v>
      </c>
      <c r="H81" s="5">
        <v>57</v>
      </c>
    </row>
    <row r="82" spans="1:8" ht="13.8" x14ac:dyDescent="0.25">
      <c r="A82" s="5">
        <v>80</v>
      </c>
      <c r="B82" s="5">
        <v>81</v>
      </c>
      <c r="C82" s="5">
        <v>0.2273</v>
      </c>
      <c r="D82" s="5">
        <v>0.51</v>
      </c>
      <c r="E82" s="5">
        <v>0.16420000000000001</v>
      </c>
      <c r="F82" s="5">
        <v>12</v>
      </c>
      <c r="G82" s="5">
        <v>66</v>
      </c>
      <c r="H82" s="5">
        <v>78</v>
      </c>
    </row>
    <row r="83" spans="1:8" ht="13.8" x14ac:dyDescent="0.25">
      <c r="A83" s="5">
        <v>81</v>
      </c>
      <c r="B83" s="5">
        <v>82</v>
      </c>
      <c r="C83" s="5">
        <v>0.2273</v>
      </c>
      <c r="D83" s="5">
        <v>0.56000000000000005</v>
      </c>
      <c r="E83" s="5">
        <v>0.19400000000000001</v>
      </c>
      <c r="F83" s="5">
        <v>18</v>
      </c>
      <c r="G83" s="5">
        <v>79</v>
      </c>
      <c r="H83" s="5">
        <v>97</v>
      </c>
    </row>
    <row r="84" spans="1:8" ht="13.8" x14ac:dyDescent="0.25">
      <c r="A84" s="5">
        <v>82</v>
      </c>
      <c r="B84" s="5">
        <v>83</v>
      </c>
      <c r="C84" s="5">
        <v>0.2576</v>
      </c>
      <c r="D84" s="5">
        <v>0.52</v>
      </c>
      <c r="E84" s="5">
        <v>0.22389999999999999</v>
      </c>
      <c r="F84" s="5">
        <v>9</v>
      </c>
      <c r="G84" s="5">
        <v>54</v>
      </c>
      <c r="H84" s="5">
        <v>63</v>
      </c>
    </row>
    <row r="85" spans="1:8" ht="13.8" x14ac:dyDescent="0.25">
      <c r="A85" s="5">
        <v>83</v>
      </c>
      <c r="B85" s="5">
        <v>84</v>
      </c>
      <c r="C85" s="5">
        <v>0.2727</v>
      </c>
      <c r="D85" s="5">
        <v>0.52</v>
      </c>
      <c r="E85" s="5">
        <v>0.25369999999999998</v>
      </c>
      <c r="F85" s="5">
        <v>17</v>
      </c>
      <c r="G85" s="5">
        <v>48</v>
      </c>
      <c r="H85" s="5">
        <v>65</v>
      </c>
    </row>
    <row r="86" spans="1:8" ht="13.8" x14ac:dyDescent="0.25">
      <c r="A86" s="5">
        <v>84</v>
      </c>
      <c r="B86" s="5">
        <v>85</v>
      </c>
      <c r="C86" s="5">
        <v>0.28789999999999999</v>
      </c>
      <c r="D86" s="5">
        <v>0.49</v>
      </c>
      <c r="E86" s="5">
        <v>0.25369999999999998</v>
      </c>
      <c r="F86" s="5">
        <v>15</v>
      </c>
      <c r="G86" s="5">
        <v>68</v>
      </c>
      <c r="H86" s="5">
        <v>83</v>
      </c>
    </row>
    <row r="87" spans="1:8" ht="13.8" x14ac:dyDescent="0.25">
      <c r="A87" s="5">
        <v>85</v>
      </c>
      <c r="B87" s="5">
        <v>86</v>
      </c>
      <c r="C87" s="5">
        <v>0.2727</v>
      </c>
      <c r="D87" s="5">
        <v>0.48</v>
      </c>
      <c r="E87" s="5">
        <v>0.22389999999999999</v>
      </c>
      <c r="F87" s="5">
        <v>10</v>
      </c>
      <c r="G87" s="5">
        <v>202</v>
      </c>
      <c r="H87" s="5">
        <v>212</v>
      </c>
    </row>
    <row r="88" spans="1:8" ht="13.8" x14ac:dyDescent="0.25">
      <c r="A88" s="5">
        <v>86</v>
      </c>
      <c r="B88" s="5">
        <v>87</v>
      </c>
      <c r="C88" s="5">
        <v>0.2576</v>
      </c>
      <c r="D88" s="5">
        <v>0.48</v>
      </c>
      <c r="E88" s="5">
        <v>0.19400000000000001</v>
      </c>
      <c r="F88" s="5">
        <v>3</v>
      </c>
      <c r="G88" s="5">
        <v>179</v>
      </c>
      <c r="H88" s="5">
        <v>182</v>
      </c>
    </row>
    <row r="89" spans="1:8" ht="13.8" x14ac:dyDescent="0.25">
      <c r="A89" s="5">
        <v>87</v>
      </c>
      <c r="B89" s="5">
        <v>88</v>
      </c>
      <c r="C89" s="5">
        <v>0.2576</v>
      </c>
      <c r="D89" s="5">
        <v>0.48</v>
      </c>
      <c r="E89" s="5">
        <v>0.1045</v>
      </c>
      <c r="F89" s="5">
        <v>2</v>
      </c>
      <c r="G89" s="5">
        <v>110</v>
      </c>
      <c r="H89" s="5">
        <v>112</v>
      </c>
    </row>
    <row r="90" spans="1:8" ht="13.8" x14ac:dyDescent="0.25">
      <c r="A90" s="5">
        <v>88</v>
      </c>
      <c r="B90" s="5">
        <v>89</v>
      </c>
      <c r="C90" s="5">
        <v>0.2576</v>
      </c>
      <c r="D90" s="5">
        <v>0.48</v>
      </c>
      <c r="E90" s="5">
        <v>0.1045</v>
      </c>
      <c r="F90" s="5">
        <v>1</v>
      </c>
      <c r="G90" s="5">
        <v>53</v>
      </c>
      <c r="H90" s="5">
        <v>54</v>
      </c>
    </row>
    <row r="91" spans="1:8" ht="13.8" x14ac:dyDescent="0.25">
      <c r="A91" s="5">
        <v>89</v>
      </c>
      <c r="B91" s="5">
        <v>90</v>
      </c>
      <c r="C91" s="5">
        <v>0.2727</v>
      </c>
      <c r="D91" s="5">
        <v>0.64</v>
      </c>
      <c r="E91" s="5">
        <v>0</v>
      </c>
      <c r="F91" s="5">
        <v>0</v>
      </c>
      <c r="G91" s="5">
        <v>48</v>
      </c>
      <c r="H91" s="5">
        <v>48</v>
      </c>
    </row>
    <row r="92" spans="1:8" ht="13.8" x14ac:dyDescent="0.25">
      <c r="A92" s="5">
        <v>90</v>
      </c>
      <c r="B92" s="5">
        <v>91</v>
      </c>
      <c r="C92" s="5">
        <v>0.2576</v>
      </c>
      <c r="D92" s="5">
        <v>0.64</v>
      </c>
      <c r="E92" s="5">
        <v>8.9599999999999999E-2</v>
      </c>
      <c r="F92" s="5">
        <v>1</v>
      </c>
      <c r="G92" s="5">
        <v>34</v>
      </c>
      <c r="H92" s="5">
        <v>35</v>
      </c>
    </row>
    <row r="93" spans="1:8" ht="13.8" x14ac:dyDescent="0.25">
      <c r="A93" s="5">
        <v>91</v>
      </c>
      <c r="B93" s="5">
        <v>92</v>
      </c>
      <c r="C93" s="5">
        <v>0.2273</v>
      </c>
      <c r="D93" s="5">
        <v>0.69</v>
      </c>
      <c r="E93" s="5">
        <v>8.9599999999999999E-2</v>
      </c>
      <c r="F93" s="5">
        <v>2</v>
      </c>
      <c r="G93" s="5">
        <v>9</v>
      </c>
      <c r="H93" s="5">
        <v>11</v>
      </c>
    </row>
    <row r="94" spans="1:8" ht="13.8" x14ac:dyDescent="0.25">
      <c r="A94" s="5">
        <v>92</v>
      </c>
      <c r="B94" s="5">
        <v>93</v>
      </c>
      <c r="C94" s="5">
        <v>0.2576</v>
      </c>
      <c r="D94" s="5">
        <v>0.64</v>
      </c>
      <c r="E94" s="5">
        <v>0</v>
      </c>
      <c r="F94" s="5">
        <v>0</v>
      </c>
      <c r="G94" s="5">
        <v>6</v>
      </c>
      <c r="H94" s="5">
        <v>6</v>
      </c>
    </row>
    <row r="95" spans="1:8" ht="13.8" x14ac:dyDescent="0.25">
      <c r="A95" s="5">
        <v>93</v>
      </c>
      <c r="B95" s="5">
        <v>94</v>
      </c>
      <c r="C95" s="5">
        <v>0.19700000000000001</v>
      </c>
      <c r="D95" s="5">
        <v>0.74</v>
      </c>
      <c r="E95" s="5">
        <v>8.9599999999999999E-2</v>
      </c>
      <c r="F95" s="5">
        <v>0</v>
      </c>
      <c r="G95" s="5">
        <v>6</v>
      </c>
      <c r="H95" s="5">
        <v>6</v>
      </c>
    </row>
    <row r="96" spans="1:8" ht="13.8" x14ac:dyDescent="0.25">
      <c r="A96" s="5">
        <v>94</v>
      </c>
      <c r="B96" s="5">
        <v>95</v>
      </c>
      <c r="C96" s="5">
        <v>0.19700000000000001</v>
      </c>
      <c r="D96" s="5">
        <v>0.74</v>
      </c>
      <c r="E96" s="5">
        <v>8.9599999999999999E-2</v>
      </c>
      <c r="F96" s="5">
        <v>0</v>
      </c>
      <c r="G96" s="5">
        <v>2</v>
      </c>
      <c r="H96" s="5">
        <v>2</v>
      </c>
    </row>
    <row r="97" spans="1:8" ht="13.8" x14ac:dyDescent="0.25">
      <c r="A97" s="5">
        <v>95</v>
      </c>
      <c r="B97" s="5">
        <v>96</v>
      </c>
      <c r="C97" s="5">
        <v>0.2273</v>
      </c>
      <c r="D97" s="5">
        <v>0.48</v>
      </c>
      <c r="E97" s="5">
        <v>0.22389999999999999</v>
      </c>
      <c r="F97" s="5">
        <v>0</v>
      </c>
      <c r="G97" s="5">
        <v>2</v>
      </c>
      <c r="H97" s="5">
        <v>2</v>
      </c>
    </row>
    <row r="98" spans="1:8" ht="13.8" x14ac:dyDescent="0.25">
      <c r="A98" s="5">
        <v>96</v>
      </c>
      <c r="B98" s="5">
        <v>97</v>
      </c>
      <c r="C98" s="5">
        <v>0.2273</v>
      </c>
      <c r="D98" s="5">
        <v>0.47</v>
      </c>
      <c r="E98" s="5">
        <v>0.16420000000000001</v>
      </c>
      <c r="F98" s="5">
        <v>0</v>
      </c>
      <c r="G98" s="5">
        <v>3</v>
      </c>
      <c r="H98" s="5">
        <v>3</v>
      </c>
    </row>
    <row r="99" spans="1:8" ht="13.8" x14ac:dyDescent="0.25">
      <c r="A99" s="5">
        <v>97</v>
      </c>
      <c r="B99" s="5">
        <v>98</v>
      </c>
      <c r="C99" s="5">
        <v>0.19700000000000001</v>
      </c>
      <c r="D99" s="5">
        <v>0.47</v>
      </c>
      <c r="E99" s="5">
        <v>0.22389999999999999</v>
      </c>
      <c r="F99" s="5">
        <v>0</v>
      </c>
      <c r="G99" s="5">
        <v>33</v>
      </c>
      <c r="H99" s="5">
        <v>33</v>
      </c>
    </row>
    <row r="100" spans="1:8" ht="13.8" x14ac:dyDescent="0.25">
      <c r="A100" s="5">
        <v>98</v>
      </c>
      <c r="B100" s="5">
        <v>99</v>
      </c>
      <c r="C100" s="5">
        <v>0.18179999999999999</v>
      </c>
      <c r="D100" s="5">
        <v>0.43</v>
      </c>
      <c r="E100" s="5">
        <v>0.19400000000000001</v>
      </c>
      <c r="F100" s="5">
        <v>1</v>
      </c>
      <c r="G100" s="5">
        <v>87</v>
      </c>
      <c r="H100" s="5">
        <v>88</v>
      </c>
    </row>
    <row r="101" spans="1:8" ht="13.8" x14ac:dyDescent="0.25">
      <c r="A101" s="5">
        <v>99</v>
      </c>
      <c r="B101" s="5">
        <v>100</v>
      </c>
      <c r="C101" s="5">
        <v>0.18179999999999999</v>
      </c>
      <c r="D101" s="5">
        <v>0.4</v>
      </c>
      <c r="E101" s="5">
        <v>0.29849999999999999</v>
      </c>
      <c r="F101" s="5">
        <v>3</v>
      </c>
      <c r="G101" s="5">
        <v>192</v>
      </c>
      <c r="H101" s="5">
        <v>195</v>
      </c>
    </row>
    <row r="102" spans="1:8" ht="13.8" x14ac:dyDescent="0.25">
      <c r="A102" s="5">
        <v>100</v>
      </c>
      <c r="B102" s="5">
        <v>101</v>
      </c>
      <c r="C102" s="5">
        <v>0.19700000000000001</v>
      </c>
      <c r="D102" s="5">
        <v>0.37</v>
      </c>
      <c r="E102" s="5">
        <v>0.32840000000000003</v>
      </c>
      <c r="F102" s="5">
        <v>6</v>
      </c>
      <c r="G102" s="5">
        <v>109</v>
      </c>
      <c r="H102" s="5">
        <v>115</v>
      </c>
    </row>
    <row r="103" spans="1:8" ht="13.8" x14ac:dyDescent="0.25">
      <c r="A103" s="5">
        <v>101</v>
      </c>
      <c r="B103" s="5">
        <v>102</v>
      </c>
      <c r="C103" s="5">
        <v>0.19700000000000001</v>
      </c>
      <c r="D103" s="5">
        <v>0.37</v>
      </c>
      <c r="E103" s="5">
        <v>0.32840000000000003</v>
      </c>
      <c r="F103" s="5">
        <v>4</v>
      </c>
      <c r="G103" s="5">
        <v>53</v>
      </c>
      <c r="H103" s="5">
        <v>57</v>
      </c>
    </row>
    <row r="104" spans="1:8" ht="13.8" x14ac:dyDescent="0.25">
      <c r="A104" s="5">
        <v>102</v>
      </c>
      <c r="B104" s="5">
        <v>103</v>
      </c>
      <c r="C104" s="5">
        <v>0.2273</v>
      </c>
      <c r="D104" s="5">
        <v>0.33</v>
      </c>
      <c r="E104" s="5">
        <v>0.32840000000000003</v>
      </c>
      <c r="F104" s="5">
        <v>12</v>
      </c>
      <c r="G104" s="5">
        <v>34</v>
      </c>
      <c r="H104" s="5">
        <v>46</v>
      </c>
    </row>
    <row r="105" spans="1:8" ht="13.8" x14ac:dyDescent="0.25">
      <c r="A105" s="5">
        <v>103</v>
      </c>
      <c r="B105" s="5">
        <v>104</v>
      </c>
      <c r="C105" s="5">
        <v>0.2273</v>
      </c>
      <c r="D105" s="5">
        <v>0.33</v>
      </c>
      <c r="E105" s="5">
        <v>0.32840000000000003</v>
      </c>
      <c r="F105" s="5">
        <v>5</v>
      </c>
      <c r="G105" s="5">
        <v>74</v>
      </c>
      <c r="H105" s="5">
        <v>79</v>
      </c>
    </row>
    <row r="106" spans="1:8" ht="13.8" x14ac:dyDescent="0.25">
      <c r="A106" s="5">
        <v>104</v>
      </c>
      <c r="B106" s="5">
        <v>105</v>
      </c>
      <c r="C106" s="5">
        <v>0.2576</v>
      </c>
      <c r="D106" s="5">
        <v>0.3</v>
      </c>
      <c r="E106" s="5">
        <v>0.29849999999999999</v>
      </c>
      <c r="F106" s="5">
        <v>6</v>
      </c>
      <c r="G106" s="5">
        <v>65</v>
      </c>
      <c r="H106" s="5">
        <v>71</v>
      </c>
    </row>
    <row r="107" spans="1:8" ht="13.8" x14ac:dyDescent="0.25">
      <c r="A107" s="5">
        <v>105</v>
      </c>
      <c r="B107" s="5">
        <v>106</v>
      </c>
      <c r="C107" s="5">
        <v>0.28789999999999999</v>
      </c>
      <c r="D107" s="5">
        <v>0.28000000000000003</v>
      </c>
      <c r="E107" s="5">
        <v>0.19400000000000001</v>
      </c>
      <c r="F107" s="5">
        <v>10</v>
      </c>
      <c r="G107" s="5">
        <v>52</v>
      </c>
      <c r="H107" s="5">
        <v>62</v>
      </c>
    </row>
    <row r="108" spans="1:8" ht="13.8" x14ac:dyDescent="0.25">
      <c r="A108" s="5">
        <v>106</v>
      </c>
      <c r="B108" s="5">
        <v>107</v>
      </c>
      <c r="C108" s="5">
        <v>0.28789999999999999</v>
      </c>
      <c r="D108" s="5">
        <v>0.28000000000000003</v>
      </c>
      <c r="E108" s="5">
        <v>0.19400000000000001</v>
      </c>
      <c r="F108" s="5">
        <v>7</v>
      </c>
      <c r="G108" s="5">
        <v>55</v>
      </c>
      <c r="H108" s="5">
        <v>62</v>
      </c>
    </row>
    <row r="109" spans="1:8" ht="13.8" x14ac:dyDescent="0.25">
      <c r="A109" s="5">
        <v>107</v>
      </c>
      <c r="B109" s="5">
        <v>108</v>
      </c>
      <c r="C109" s="5">
        <v>0.31819999999999998</v>
      </c>
      <c r="D109" s="5">
        <v>0.28000000000000003</v>
      </c>
      <c r="E109" s="5">
        <v>8.9599999999999999E-2</v>
      </c>
      <c r="F109" s="5">
        <v>4</v>
      </c>
      <c r="G109" s="5">
        <v>85</v>
      </c>
      <c r="H109" s="5">
        <v>89</v>
      </c>
    </row>
    <row r="110" spans="1:8" ht="13.8" x14ac:dyDescent="0.25">
      <c r="A110" s="5">
        <v>108</v>
      </c>
      <c r="B110" s="5">
        <v>109</v>
      </c>
      <c r="C110" s="5">
        <v>0.2273</v>
      </c>
      <c r="D110" s="5">
        <v>0.38</v>
      </c>
      <c r="E110" s="5">
        <v>0.19400000000000001</v>
      </c>
      <c r="F110" s="5">
        <v>4</v>
      </c>
      <c r="G110" s="5">
        <v>186</v>
      </c>
      <c r="H110" s="5">
        <v>190</v>
      </c>
    </row>
    <row r="111" spans="1:8" ht="13.8" x14ac:dyDescent="0.25">
      <c r="A111" s="5">
        <v>109</v>
      </c>
      <c r="B111" s="5">
        <v>110</v>
      </c>
      <c r="C111" s="5">
        <v>0.2424</v>
      </c>
      <c r="D111" s="5">
        <v>0.38</v>
      </c>
      <c r="E111" s="5">
        <v>0.1343</v>
      </c>
      <c r="F111" s="5">
        <v>3</v>
      </c>
      <c r="G111" s="5">
        <v>166</v>
      </c>
      <c r="H111" s="5">
        <v>169</v>
      </c>
    </row>
    <row r="112" spans="1:8" ht="13.8" x14ac:dyDescent="0.25">
      <c r="A112" s="5">
        <v>110</v>
      </c>
      <c r="B112" s="5">
        <v>111</v>
      </c>
      <c r="C112" s="5">
        <v>0.2576</v>
      </c>
      <c r="D112" s="5">
        <v>0.38</v>
      </c>
      <c r="E112" s="5">
        <v>0.1045</v>
      </c>
      <c r="F112" s="5">
        <v>5</v>
      </c>
      <c r="G112" s="5">
        <v>127</v>
      </c>
      <c r="H112" s="5">
        <v>132</v>
      </c>
    </row>
    <row r="113" spans="1:8" ht="13.8" x14ac:dyDescent="0.25">
      <c r="A113" s="5">
        <v>111</v>
      </c>
      <c r="B113" s="5">
        <v>112</v>
      </c>
      <c r="C113" s="5">
        <v>0.2273</v>
      </c>
      <c r="D113" s="5">
        <v>0.47</v>
      </c>
      <c r="E113" s="5">
        <v>0.16420000000000001</v>
      </c>
      <c r="F113" s="5">
        <v>7</v>
      </c>
      <c r="G113" s="5">
        <v>82</v>
      </c>
      <c r="H113" s="5">
        <v>89</v>
      </c>
    </row>
    <row r="114" spans="1:8" ht="13.8" x14ac:dyDescent="0.25">
      <c r="A114" s="5">
        <v>112</v>
      </c>
      <c r="B114" s="5">
        <v>113</v>
      </c>
      <c r="C114" s="5">
        <v>0.19700000000000001</v>
      </c>
      <c r="D114" s="5">
        <v>0.51</v>
      </c>
      <c r="E114" s="5">
        <v>0.19400000000000001</v>
      </c>
      <c r="F114" s="5">
        <v>3</v>
      </c>
      <c r="G114" s="5">
        <v>40</v>
      </c>
      <c r="H114" s="5">
        <v>43</v>
      </c>
    </row>
    <row r="115" spans="1:8" ht="13.8" x14ac:dyDescent="0.25">
      <c r="A115" s="5">
        <v>113</v>
      </c>
      <c r="B115" s="5">
        <v>114</v>
      </c>
      <c r="C115" s="5">
        <v>0.19700000000000001</v>
      </c>
      <c r="D115" s="5">
        <v>0.55000000000000004</v>
      </c>
      <c r="E115" s="5">
        <v>0.1343</v>
      </c>
      <c r="F115" s="5">
        <v>1</v>
      </c>
      <c r="G115" s="5">
        <v>41</v>
      </c>
      <c r="H115" s="5">
        <v>42</v>
      </c>
    </row>
    <row r="116" spans="1:8" ht="13.8" x14ac:dyDescent="0.25">
      <c r="A116" s="5">
        <v>114</v>
      </c>
      <c r="B116" s="5">
        <v>115</v>
      </c>
      <c r="C116" s="5">
        <v>0.2576</v>
      </c>
      <c r="D116" s="5">
        <v>0.47</v>
      </c>
      <c r="E116" s="5">
        <v>0</v>
      </c>
      <c r="F116" s="5">
        <v>1</v>
      </c>
      <c r="G116" s="5">
        <v>18</v>
      </c>
      <c r="H116" s="5">
        <v>19</v>
      </c>
    </row>
    <row r="117" spans="1:8" ht="13.8" x14ac:dyDescent="0.25">
      <c r="A117" s="5">
        <v>115</v>
      </c>
      <c r="B117" s="5">
        <v>116</v>
      </c>
      <c r="C117" s="5">
        <v>0.2424</v>
      </c>
      <c r="D117" s="5">
        <v>0.55000000000000004</v>
      </c>
      <c r="E117" s="5">
        <v>0</v>
      </c>
      <c r="F117" s="5">
        <v>0</v>
      </c>
      <c r="G117" s="5">
        <v>11</v>
      </c>
      <c r="H117" s="5">
        <v>11</v>
      </c>
    </row>
    <row r="118" spans="1:8" ht="13.8" x14ac:dyDescent="0.25">
      <c r="A118" s="5">
        <v>116</v>
      </c>
      <c r="B118" s="5">
        <v>117</v>
      </c>
      <c r="C118" s="5">
        <v>0.2273</v>
      </c>
      <c r="D118" s="5">
        <v>0.64</v>
      </c>
      <c r="E118" s="5">
        <v>0</v>
      </c>
      <c r="F118" s="5">
        <v>0</v>
      </c>
      <c r="G118" s="5">
        <v>4</v>
      </c>
      <c r="H118" s="5">
        <v>4</v>
      </c>
    </row>
    <row r="119" spans="1:8" ht="13.8" x14ac:dyDescent="0.25">
      <c r="A119" s="5">
        <v>117</v>
      </c>
      <c r="B119" s="5">
        <v>118</v>
      </c>
      <c r="C119" s="5">
        <v>0.2273</v>
      </c>
      <c r="D119" s="5">
        <v>0.64</v>
      </c>
      <c r="E119" s="5">
        <v>0</v>
      </c>
      <c r="F119" s="5">
        <v>0</v>
      </c>
      <c r="G119" s="5">
        <v>2</v>
      </c>
      <c r="H119" s="5">
        <v>2</v>
      </c>
    </row>
    <row r="120" spans="1:8" ht="13.8" x14ac:dyDescent="0.25">
      <c r="A120" s="5">
        <v>118</v>
      </c>
      <c r="B120" s="5">
        <v>119</v>
      </c>
      <c r="C120" s="5">
        <v>0.19700000000000001</v>
      </c>
      <c r="D120" s="5">
        <v>0.64</v>
      </c>
      <c r="E120" s="5">
        <v>8.9599999999999999E-2</v>
      </c>
      <c r="F120" s="5">
        <v>0</v>
      </c>
      <c r="G120" s="5">
        <v>1</v>
      </c>
      <c r="H120" s="5">
        <v>1</v>
      </c>
    </row>
    <row r="121" spans="1:8" ht="13.8" x14ac:dyDescent="0.25">
      <c r="A121" s="5">
        <v>119</v>
      </c>
      <c r="B121" s="5">
        <v>120</v>
      </c>
      <c r="C121" s="5">
        <v>0.18179999999999999</v>
      </c>
      <c r="D121" s="5">
        <v>0.69</v>
      </c>
      <c r="E121" s="5">
        <v>8.9599999999999999E-2</v>
      </c>
      <c r="F121" s="5">
        <v>0</v>
      </c>
      <c r="G121" s="5">
        <v>4</v>
      </c>
      <c r="H121" s="5">
        <v>4</v>
      </c>
    </row>
    <row r="122" spans="1:8" ht="13.8" x14ac:dyDescent="0.25">
      <c r="A122" s="5">
        <v>120</v>
      </c>
      <c r="B122" s="5">
        <v>121</v>
      </c>
      <c r="C122" s="5">
        <v>0.16669999999999999</v>
      </c>
      <c r="D122" s="5">
        <v>0.63</v>
      </c>
      <c r="E122" s="5">
        <v>0.1045</v>
      </c>
      <c r="F122" s="5">
        <v>0</v>
      </c>
      <c r="G122" s="5">
        <v>36</v>
      </c>
      <c r="H122" s="5">
        <v>36</v>
      </c>
    </row>
    <row r="123" spans="1:8" ht="13.8" x14ac:dyDescent="0.25">
      <c r="A123" s="5">
        <v>121</v>
      </c>
      <c r="B123" s="5">
        <v>122</v>
      </c>
      <c r="C123" s="5">
        <v>0.2273</v>
      </c>
      <c r="D123" s="5">
        <v>0.59</v>
      </c>
      <c r="E123" s="5">
        <v>0</v>
      </c>
      <c r="F123" s="5">
        <v>0</v>
      </c>
      <c r="G123" s="5">
        <v>95</v>
      </c>
      <c r="H123" s="5">
        <v>95</v>
      </c>
    </row>
    <row r="124" spans="1:8" ht="13.8" x14ac:dyDescent="0.25">
      <c r="A124" s="5">
        <v>122</v>
      </c>
      <c r="B124" s="5">
        <v>123</v>
      </c>
      <c r="C124" s="5">
        <v>0.2273</v>
      </c>
      <c r="D124" s="5">
        <v>0.59</v>
      </c>
      <c r="E124" s="5">
        <v>0</v>
      </c>
      <c r="F124" s="5">
        <v>3</v>
      </c>
      <c r="G124" s="5">
        <v>216</v>
      </c>
      <c r="H124" s="5">
        <v>219</v>
      </c>
    </row>
    <row r="125" spans="1:8" ht="13.8" x14ac:dyDescent="0.25">
      <c r="A125" s="5">
        <v>123</v>
      </c>
      <c r="B125" s="5">
        <v>124</v>
      </c>
      <c r="C125" s="5">
        <v>0.2424</v>
      </c>
      <c r="D125" s="5">
        <v>0.51</v>
      </c>
      <c r="E125" s="5">
        <v>0</v>
      </c>
      <c r="F125" s="5">
        <v>6</v>
      </c>
      <c r="G125" s="5">
        <v>116</v>
      </c>
      <c r="H125" s="5">
        <v>122</v>
      </c>
    </row>
    <row r="126" spans="1:8" ht="13.8" x14ac:dyDescent="0.25">
      <c r="A126" s="5">
        <v>124</v>
      </c>
      <c r="B126" s="5">
        <v>125</v>
      </c>
      <c r="C126" s="5">
        <v>0.2576</v>
      </c>
      <c r="D126" s="5">
        <v>0.47</v>
      </c>
      <c r="E126" s="5">
        <v>0</v>
      </c>
      <c r="F126" s="5">
        <v>3</v>
      </c>
      <c r="G126" s="5">
        <v>42</v>
      </c>
      <c r="H126" s="5">
        <v>45</v>
      </c>
    </row>
    <row r="127" spans="1:8" ht="13.8" x14ac:dyDescent="0.25">
      <c r="A127" s="5">
        <v>125</v>
      </c>
      <c r="B127" s="5">
        <v>126</v>
      </c>
      <c r="C127" s="5">
        <v>0.2576</v>
      </c>
      <c r="D127" s="5">
        <v>0.44</v>
      </c>
      <c r="E127" s="5">
        <v>8.9599999999999999E-2</v>
      </c>
      <c r="F127" s="5">
        <v>2</v>
      </c>
      <c r="G127" s="5">
        <v>57</v>
      </c>
      <c r="H127" s="5">
        <v>59</v>
      </c>
    </row>
    <row r="128" spans="1:8" ht="13.8" x14ac:dyDescent="0.25">
      <c r="A128" s="5">
        <v>126</v>
      </c>
      <c r="B128" s="5">
        <v>127</v>
      </c>
      <c r="C128" s="5">
        <v>0.28789999999999999</v>
      </c>
      <c r="D128" s="5">
        <v>0.35</v>
      </c>
      <c r="E128" s="5">
        <v>0</v>
      </c>
      <c r="F128" s="5">
        <v>6</v>
      </c>
      <c r="G128" s="5">
        <v>78</v>
      </c>
      <c r="H128" s="5">
        <v>84</v>
      </c>
    </row>
    <row r="129" spans="1:8" ht="13.8" x14ac:dyDescent="0.25">
      <c r="A129" s="5">
        <v>127</v>
      </c>
      <c r="B129" s="5">
        <v>128</v>
      </c>
      <c r="C129" s="5">
        <v>0.2727</v>
      </c>
      <c r="D129" s="5">
        <v>0.35</v>
      </c>
      <c r="E129" s="5">
        <v>0.1045</v>
      </c>
      <c r="F129" s="5">
        <v>12</v>
      </c>
      <c r="G129" s="5">
        <v>55</v>
      </c>
      <c r="H129" s="5">
        <v>67</v>
      </c>
    </row>
    <row r="130" spans="1:8" ht="13.8" x14ac:dyDescent="0.25">
      <c r="A130" s="5">
        <v>128</v>
      </c>
      <c r="B130" s="5">
        <v>129</v>
      </c>
      <c r="C130" s="5">
        <v>0.2727</v>
      </c>
      <c r="D130" s="5">
        <v>0.36</v>
      </c>
      <c r="E130" s="5">
        <v>0.16420000000000001</v>
      </c>
      <c r="F130" s="5">
        <v>11</v>
      </c>
      <c r="G130" s="5">
        <v>59</v>
      </c>
      <c r="H130" s="5">
        <v>70</v>
      </c>
    </row>
    <row r="131" spans="1:8" ht="13.8" x14ac:dyDescent="0.25">
      <c r="A131" s="5">
        <v>129</v>
      </c>
      <c r="B131" s="5">
        <v>130</v>
      </c>
      <c r="C131" s="5">
        <v>0.2727</v>
      </c>
      <c r="D131" s="5">
        <v>0.36</v>
      </c>
      <c r="E131" s="5">
        <v>0</v>
      </c>
      <c r="F131" s="5">
        <v>8</v>
      </c>
      <c r="G131" s="5">
        <v>54</v>
      </c>
      <c r="H131" s="5">
        <v>62</v>
      </c>
    </row>
    <row r="132" spans="1:8" ht="13.8" x14ac:dyDescent="0.25">
      <c r="A132" s="5">
        <v>130</v>
      </c>
      <c r="B132" s="5">
        <v>131</v>
      </c>
      <c r="C132" s="5">
        <v>0.2576</v>
      </c>
      <c r="D132" s="5">
        <v>0.38</v>
      </c>
      <c r="E132" s="5">
        <v>0.16420000000000001</v>
      </c>
      <c r="F132" s="5">
        <v>12</v>
      </c>
      <c r="G132" s="5">
        <v>74</v>
      </c>
      <c r="H132" s="5">
        <v>86</v>
      </c>
    </row>
    <row r="133" spans="1:8" ht="13.8" x14ac:dyDescent="0.25">
      <c r="A133" s="5">
        <v>131</v>
      </c>
      <c r="B133" s="5">
        <v>132</v>
      </c>
      <c r="C133" s="5">
        <v>0.2273</v>
      </c>
      <c r="D133" s="5">
        <v>0.51</v>
      </c>
      <c r="E133" s="5">
        <v>0.16420000000000001</v>
      </c>
      <c r="F133" s="5">
        <v>9</v>
      </c>
      <c r="G133" s="5">
        <v>163</v>
      </c>
      <c r="H133" s="5">
        <v>172</v>
      </c>
    </row>
    <row r="134" spans="1:8" ht="13.8" x14ac:dyDescent="0.25">
      <c r="A134" s="5">
        <v>132</v>
      </c>
      <c r="B134" s="5">
        <v>133</v>
      </c>
      <c r="C134" s="5">
        <v>0.2273</v>
      </c>
      <c r="D134" s="5">
        <v>0.51</v>
      </c>
      <c r="E134" s="5">
        <v>0.1343</v>
      </c>
      <c r="F134" s="5">
        <v>5</v>
      </c>
      <c r="G134" s="5">
        <v>158</v>
      </c>
      <c r="H134" s="5">
        <v>163</v>
      </c>
    </row>
    <row r="135" spans="1:8" ht="13.8" x14ac:dyDescent="0.25">
      <c r="A135" s="5">
        <v>133</v>
      </c>
      <c r="B135" s="5">
        <v>134</v>
      </c>
      <c r="C135" s="5">
        <v>0.2576</v>
      </c>
      <c r="D135" s="5">
        <v>0.55000000000000004</v>
      </c>
      <c r="E135" s="5">
        <v>8.9599999999999999E-2</v>
      </c>
      <c r="F135" s="5">
        <v>3</v>
      </c>
      <c r="G135" s="5">
        <v>109</v>
      </c>
      <c r="H135" s="5">
        <v>112</v>
      </c>
    </row>
    <row r="136" spans="1:8" ht="13.8" x14ac:dyDescent="0.25">
      <c r="A136" s="5">
        <v>134</v>
      </c>
      <c r="B136" s="5">
        <v>135</v>
      </c>
      <c r="C136" s="5">
        <v>0.21210000000000001</v>
      </c>
      <c r="D136" s="5">
        <v>0.51</v>
      </c>
      <c r="E136" s="5">
        <v>0.16420000000000001</v>
      </c>
      <c r="F136" s="5">
        <v>3</v>
      </c>
      <c r="G136" s="5">
        <v>66</v>
      </c>
      <c r="H136" s="5">
        <v>69</v>
      </c>
    </row>
    <row r="137" spans="1:8" ht="13.8" x14ac:dyDescent="0.25">
      <c r="A137" s="5">
        <v>135</v>
      </c>
      <c r="B137" s="5">
        <v>136</v>
      </c>
      <c r="C137" s="5">
        <v>0.21210000000000001</v>
      </c>
      <c r="D137" s="5">
        <v>0.55000000000000004</v>
      </c>
      <c r="E137" s="5">
        <v>0.22389999999999999</v>
      </c>
      <c r="F137" s="5">
        <v>0</v>
      </c>
      <c r="G137" s="5">
        <v>48</v>
      </c>
      <c r="H137" s="5">
        <v>48</v>
      </c>
    </row>
    <row r="138" spans="1:8" ht="13.8" x14ac:dyDescent="0.25">
      <c r="A138" s="5">
        <v>136</v>
      </c>
      <c r="B138" s="5">
        <v>137</v>
      </c>
      <c r="C138" s="5">
        <v>0.21210000000000001</v>
      </c>
      <c r="D138" s="5">
        <v>0.51</v>
      </c>
      <c r="E138" s="5">
        <v>0.28360000000000002</v>
      </c>
      <c r="F138" s="5">
        <v>1</v>
      </c>
      <c r="G138" s="5">
        <v>51</v>
      </c>
      <c r="H138" s="5">
        <v>52</v>
      </c>
    </row>
    <row r="139" spans="1:8" ht="13.8" x14ac:dyDescent="0.25">
      <c r="A139" s="5">
        <v>137</v>
      </c>
      <c r="B139" s="5">
        <v>138</v>
      </c>
      <c r="C139" s="5">
        <v>0.19700000000000001</v>
      </c>
      <c r="D139" s="5">
        <v>0.59</v>
      </c>
      <c r="E139" s="5">
        <v>0.19400000000000001</v>
      </c>
      <c r="F139" s="5">
        <v>4</v>
      </c>
      <c r="G139" s="5">
        <v>19</v>
      </c>
      <c r="H139" s="5">
        <v>23</v>
      </c>
    </row>
    <row r="140" spans="1:8" ht="13.8" x14ac:dyDescent="0.25">
      <c r="A140" s="5">
        <v>138</v>
      </c>
      <c r="B140" s="5">
        <v>139</v>
      </c>
      <c r="C140" s="5">
        <v>0.19700000000000001</v>
      </c>
      <c r="D140" s="5">
        <v>0.64</v>
      </c>
      <c r="E140" s="5">
        <v>0.19400000000000001</v>
      </c>
      <c r="F140" s="5">
        <v>4</v>
      </c>
      <c r="G140" s="5">
        <v>13</v>
      </c>
      <c r="H140" s="5">
        <v>17</v>
      </c>
    </row>
    <row r="141" spans="1:8" ht="13.8" x14ac:dyDescent="0.25">
      <c r="A141" s="5">
        <v>139</v>
      </c>
      <c r="B141" s="5">
        <v>140</v>
      </c>
      <c r="C141" s="5">
        <v>0.19700000000000001</v>
      </c>
      <c r="D141" s="5">
        <v>0.69</v>
      </c>
      <c r="E141" s="5">
        <v>0.22389999999999999</v>
      </c>
      <c r="F141" s="5">
        <v>2</v>
      </c>
      <c r="G141" s="5">
        <v>5</v>
      </c>
      <c r="H141" s="5">
        <v>7</v>
      </c>
    </row>
    <row r="142" spans="1:8" ht="13.8" x14ac:dyDescent="0.25">
      <c r="A142" s="5">
        <v>140</v>
      </c>
      <c r="B142" s="5">
        <v>141</v>
      </c>
      <c r="C142" s="5">
        <v>0.19700000000000001</v>
      </c>
      <c r="D142" s="5">
        <v>0.69</v>
      </c>
      <c r="E142" s="5">
        <v>0.22389999999999999</v>
      </c>
      <c r="F142" s="5">
        <v>0</v>
      </c>
      <c r="G142" s="5">
        <v>1</v>
      </c>
      <c r="H142" s="5">
        <v>1</v>
      </c>
    </row>
    <row r="143" spans="1:8" ht="13.8" x14ac:dyDescent="0.25">
      <c r="A143" s="5">
        <v>141</v>
      </c>
      <c r="B143" s="5">
        <v>142</v>
      </c>
      <c r="C143" s="5">
        <v>0.21210000000000001</v>
      </c>
      <c r="D143" s="5">
        <v>0.69</v>
      </c>
      <c r="E143" s="5">
        <v>0.1343</v>
      </c>
      <c r="F143" s="5">
        <v>0</v>
      </c>
      <c r="G143" s="5">
        <v>1</v>
      </c>
      <c r="H143" s="5">
        <v>1</v>
      </c>
    </row>
    <row r="144" spans="1:8" ht="13.8" x14ac:dyDescent="0.25">
      <c r="A144" s="5">
        <v>142</v>
      </c>
      <c r="B144" s="5">
        <v>143</v>
      </c>
      <c r="C144" s="5">
        <v>0.2727</v>
      </c>
      <c r="D144" s="5">
        <v>0.55000000000000004</v>
      </c>
      <c r="E144" s="5">
        <v>0</v>
      </c>
      <c r="F144" s="5">
        <v>0</v>
      </c>
      <c r="G144" s="5">
        <v>5</v>
      </c>
      <c r="H144" s="5">
        <v>5</v>
      </c>
    </row>
    <row r="145" spans="1:8" ht="13.8" x14ac:dyDescent="0.25">
      <c r="A145" s="5">
        <v>143</v>
      </c>
      <c r="B145" s="5">
        <v>144</v>
      </c>
      <c r="C145" s="5">
        <v>0.2576</v>
      </c>
      <c r="D145" s="5">
        <v>0.69</v>
      </c>
      <c r="E145" s="5">
        <v>0</v>
      </c>
      <c r="F145" s="5">
        <v>8</v>
      </c>
      <c r="G145" s="5">
        <v>26</v>
      </c>
      <c r="H145" s="5">
        <v>34</v>
      </c>
    </row>
    <row r="146" spans="1:8" ht="13.8" x14ac:dyDescent="0.25">
      <c r="A146" s="5">
        <v>144</v>
      </c>
      <c r="B146" s="5">
        <v>145</v>
      </c>
      <c r="C146" s="5">
        <v>0.21210000000000001</v>
      </c>
      <c r="D146" s="5">
        <v>0.69</v>
      </c>
      <c r="E146" s="5">
        <v>0.1343</v>
      </c>
      <c r="F146" s="5">
        <v>8</v>
      </c>
      <c r="G146" s="5">
        <v>76</v>
      </c>
      <c r="H146" s="5">
        <v>84</v>
      </c>
    </row>
    <row r="147" spans="1:8" ht="13.8" x14ac:dyDescent="0.25">
      <c r="A147" s="5">
        <v>145</v>
      </c>
      <c r="B147" s="5">
        <v>146</v>
      </c>
      <c r="C147" s="5">
        <v>0.19700000000000001</v>
      </c>
      <c r="D147" s="5">
        <v>0.51</v>
      </c>
      <c r="E147" s="5">
        <v>0.25369999999999998</v>
      </c>
      <c r="F147" s="5">
        <v>20</v>
      </c>
      <c r="G147" s="5">
        <v>190</v>
      </c>
      <c r="H147" s="5">
        <v>210</v>
      </c>
    </row>
    <row r="148" spans="1:8" ht="13.8" x14ac:dyDescent="0.25">
      <c r="A148" s="5">
        <v>146</v>
      </c>
      <c r="B148" s="5">
        <v>147</v>
      </c>
      <c r="C148" s="5">
        <v>0.18179999999999999</v>
      </c>
      <c r="D148" s="5">
        <v>0.47</v>
      </c>
      <c r="E148" s="5">
        <v>0.29849999999999999</v>
      </c>
      <c r="F148" s="5">
        <v>9</v>
      </c>
      <c r="G148" s="5">
        <v>125</v>
      </c>
      <c r="H148" s="5">
        <v>134</v>
      </c>
    </row>
    <row r="149" spans="1:8" ht="13.8" x14ac:dyDescent="0.25">
      <c r="A149" s="5">
        <v>147</v>
      </c>
      <c r="B149" s="5">
        <v>148</v>
      </c>
      <c r="C149" s="5">
        <v>0.19700000000000001</v>
      </c>
      <c r="D149" s="5">
        <v>0.37</v>
      </c>
      <c r="E149" s="5">
        <v>0.32840000000000003</v>
      </c>
      <c r="F149" s="5">
        <v>16</v>
      </c>
      <c r="G149" s="5">
        <v>47</v>
      </c>
      <c r="H149" s="5">
        <v>63</v>
      </c>
    </row>
    <row r="150" spans="1:8" ht="13.8" x14ac:dyDescent="0.25">
      <c r="A150" s="5">
        <v>148</v>
      </c>
      <c r="B150" s="5">
        <v>149</v>
      </c>
      <c r="C150" s="5">
        <v>0.19700000000000001</v>
      </c>
      <c r="D150" s="5">
        <v>0.4</v>
      </c>
      <c r="E150" s="5">
        <v>0.22389999999999999</v>
      </c>
      <c r="F150" s="5">
        <v>19</v>
      </c>
      <c r="G150" s="5">
        <v>48</v>
      </c>
      <c r="H150" s="5">
        <v>67</v>
      </c>
    </row>
    <row r="151" spans="1:8" ht="13.8" x14ac:dyDescent="0.25">
      <c r="A151" s="5">
        <v>149</v>
      </c>
      <c r="B151" s="5">
        <v>150</v>
      </c>
      <c r="C151" s="5">
        <v>0.19700000000000001</v>
      </c>
      <c r="D151" s="5">
        <v>0.37</v>
      </c>
      <c r="E151" s="5">
        <v>0.25369999999999998</v>
      </c>
      <c r="F151" s="5">
        <v>9</v>
      </c>
      <c r="G151" s="5">
        <v>50</v>
      </c>
      <c r="H151" s="5">
        <v>59</v>
      </c>
    </row>
    <row r="152" spans="1:8" ht="13.8" x14ac:dyDescent="0.25">
      <c r="A152" s="5">
        <v>150</v>
      </c>
      <c r="B152" s="5">
        <v>151</v>
      </c>
      <c r="C152" s="5">
        <v>0.18179999999999999</v>
      </c>
      <c r="D152" s="5">
        <v>0.37</v>
      </c>
      <c r="E152" s="5">
        <v>0.28360000000000002</v>
      </c>
      <c r="F152" s="5">
        <v>9</v>
      </c>
      <c r="G152" s="5">
        <v>64</v>
      </c>
      <c r="H152" s="5">
        <v>73</v>
      </c>
    </row>
    <row r="153" spans="1:8" ht="13.8" x14ac:dyDescent="0.25">
      <c r="A153" s="5">
        <v>151</v>
      </c>
      <c r="B153" s="5">
        <v>152</v>
      </c>
      <c r="C153" s="5">
        <v>0.19700000000000001</v>
      </c>
      <c r="D153" s="5">
        <v>0.4</v>
      </c>
      <c r="E153" s="5">
        <v>0.25369999999999998</v>
      </c>
      <c r="F153" s="5">
        <v>7</v>
      </c>
      <c r="G153" s="5">
        <v>43</v>
      </c>
      <c r="H153" s="5">
        <v>50</v>
      </c>
    </row>
    <row r="154" spans="1:8" ht="13.8" x14ac:dyDescent="0.25">
      <c r="A154" s="5">
        <v>152</v>
      </c>
      <c r="B154" s="5">
        <v>153</v>
      </c>
      <c r="C154" s="5">
        <v>0.21210000000000001</v>
      </c>
      <c r="D154" s="5">
        <v>0.37</v>
      </c>
      <c r="E154" s="5">
        <v>0.16420000000000001</v>
      </c>
      <c r="F154" s="5">
        <v>9</v>
      </c>
      <c r="G154" s="5">
        <v>63</v>
      </c>
      <c r="H154" s="5">
        <v>72</v>
      </c>
    </row>
    <row r="155" spans="1:8" ht="13.8" x14ac:dyDescent="0.25">
      <c r="A155" s="5">
        <v>153</v>
      </c>
      <c r="B155" s="5">
        <v>154</v>
      </c>
      <c r="C155" s="5">
        <v>0.21210000000000001</v>
      </c>
      <c r="D155" s="5">
        <v>0.37</v>
      </c>
      <c r="E155" s="5">
        <v>0.16420000000000001</v>
      </c>
      <c r="F155" s="5">
        <v>5</v>
      </c>
      <c r="G155" s="5">
        <v>82</v>
      </c>
      <c r="H155" s="5">
        <v>87</v>
      </c>
    </row>
    <row r="156" spans="1:8" ht="13.8" x14ac:dyDescent="0.25">
      <c r="A156" s="5">
        <v>154</v>
      </c>
      <c r="B156" s="5">
        <v>155</v>
      </c>
      <c r="C156" s="5">
        <v>0.2576</v>
      </c>
      <c r="D156" s="5">
        <v>0.37</v>
      </c>
      <c r="E156" s="5">
        <v>0</v>
      </c>
      <c r="F156" s="5">
        <v>9</v>
      </c>
      <c r="G156" s="5">
        <v>178</v>
      </c>
      <c r="H156" s="5">
        <v>187</v>
      </c>
    </row>
    <row r="157" spans="1:8" ht="13.8" x14ac:dyDescent="0.25">
      <c r="A157" s="5">
        <v>155</v>
      </c>
      <c r="B157" s="5">
        <v>156</v>
      </c>
      <c r="C157" s="5">
        <v>0.2273</v>
      </c>
      <c r="D157" s="5">
        <v>0.4</v>
      </c>
      <c r="E157" s="5">
        <v>8.9599999999999999E-2</v>
      </c>
      <c r="F157" s="5">
        <v>7</v>
      </c>
      <c r="G157" s="5">
        <v>116</v>
      </c>
      <c r="H157" s="5">
        <v>123</v>
      </c>
    </row>
    <row r="158" spans="1:8" ht="13.8" x14ac:dyDescent="0.25">
      <c r="A158" s="5">
        <v>156</v>
      </c>
      <c r="B158" s="5">
        <v>157</v>
      </c>
      <c r="C158" s="5">
        <v>0.19700000000000001</v>
      </c>
      <c r="D158" s="5">
        <v>0.55000000000000004</v>
      </c>
      <c r="E158" s="5">
        <v>8.9599999999999999E-2</v>
      </c>
      <c r="F158" s="5">
        <v>3</v>
      </c>
      <c r="G158" s="5">
        <v>92</v>
      </c>
      <c r="H158" s="5">
        <v>95</v>
      </c>
    </row>
    <row r="159" spans="1:8" ht="13.8" x14ac:dyDescent="0.25">
      <c r="A159" s="5">
        <v>157</v>
      </c>
      <c r="B159" s="5">
        <v>158</v>
      </c>
      <c r="C159" s="5">
        <v>0.21210000000000001</v>
      </c>
      <c r="D159" s="5">
        <v>0.47</v>
      </c>
      <c r="E159" s="5">
        <v>0.1045</v>
      </c>
      <c r="F159" s="5">
        <v>1</v>
      </c>
      <c r="G159" s="5">
        <v>50</v>
      </c>
      <c r="H159" s="5">
        <v>51</v>
      </c>
    </row>
    <row r="160" spans="1:8" ht="13.8" x14ac:dyDescent="0.25">
      <c r="A160" s="5">
        <v>158</v>
      </c>
      <c r="B160" s="5">
        <v>159</v>
      </c>
      <c r="C160" s="5">
        <v>0.19700000000000001</v>
      </c>
      <c r="D160" s="5">
        <v>0.47</v>
      </c>
      <c r="E160" s="5">
        <v>0.1343</v>
      </c>
      <c r="F160" s="5">
        <v>0</v>
      </c>
      <c r="G160" s="5">
        <v>39</v>
      </c>
      <c r="H160" s="5">
        <v>39</v>
      </c>
    </row>
    <row r="161" spans="1:8" ht="13.8" x14ac:dyDescent="0.25">
      <c r="A161" s="5">
        <v>159</v>
      </c>
      <c r="B161" s="5">
        <v>160</v>
      </c>
      <c r="C161" s="5">
        <v>0.19700000000000001</v>
      </c>
      <c r="D161" s="5">
        <v>0.43</v>
      </c>
      <c r="E161" s="5">
        <v>0.16420000000000001</v>
      </c>
      <c r="F161" s="5">
        <v>2</v>
      </c>
      <c r="G161" s="5">
        <v>34</v>
      </c>
      <c r="H161" s="5">
        <v>36</v>
      </c>
    </row>
    <row r="162" spans="1:8" ht="13.8" x14ac:dyDescent="0.25">
      <c r="A162" s="5">
        <v>160</v>
      </c>
      <c r="B162" s="5">
        <v>161</v>
      </c>
      <c r="C162" s="5">
        <v>0.19700000000000001</v>
      </c>
      <c r="D162" s="5">
        <v>0.51</v>
      </c>
      <c r="E162" s="5">
        <v>0.16420000000000001</v>
      </c>
      <c r="F162" s="5">
        <v>1</v>
      </c>
      <c r="G162" s="5">
        <v>14</v>
      </c>
      <c r="H162" s="5">
        <v>15</v>
      </c>
    </row>
    <row r="163" spans="1:8" ht="13.8" x14ac:dyDescent="0.25">
      <c r="A163" s="5">
        <v>161</v>
      </c>
      <c r="B163" s="5">
        <v>162</v>
      </c>
      <c r="C163" s="5">
        <v>0.19700000000000001</v>
      </c>
      <c r="D163" s="5">
        <v>0.51</v>
      </c>
      <c r="E163" s="5">
        <v>0.16420000000000001</v>
      </c>
      <c r="F163" s="5">
        <v>1</v>
      </c>
      <c r="G163" s="5">
        <v>24</v>
      </c>
      <c r="H163" s="5">
        <v>25</v>
      </c>
    </row>
    <row r="164" spans="1:8" ht="13.8" x14ac:dyDescent="0.25">
      <c r="A164" s="5">
        <v>162</v>
      </c>
      <c r="B164" s="5">
        <v>163</v>
      </c>
      <c r="C164" s="5">
        <v>0.21210000000000001</v>
      </c>
      <c r="D164" s="5">
        <v>0.55000000000000004</v>
      </c>
      <c r="E164" s="5">
        <v>8.9599999999999999E-2</v>
      </c>
      <c r="F164" s="5">
        <v>1</v>
      </c>
      <c r="G164" s="5">
        <v>15</v>
      </c>
      <c r="H164" s="5">
        <v>16</v>
      </c>
    </row>
    <row r="165" spans="1:8" ht="13.8" x14ac:dyDescent="0.25">
      <c r="A165" s="5">
        <v>163</v>
      </c>
      <c r="B165" s="5">
        <v>164</v>
      </c>
      <c r="C165" s="5">
        <v>0.2424</v>
      </c>
      <c r="D165" s="5">
        <v>0.55000000000000004</v>
      </c>
      <c r="E165" s="5">
        <v>0</v>
      </c>
      <c r="F165" s="5">
        <v>3</v>
      </c>
      <c r="G165" s="5">
        <v>13</v>
      </c>
      <c r="H165" s="5">
        <v>16</v>
      </c>
    </row>
    <row r="166" spans="1:8" ht="13.8" x14ac:dyDescent="0.25">
      <c r="A166" s="5">
        <v>164</v>
      </c>
      <c r="B166" s="5">
        <v>165</v>
      </c>
      <c r="C166" s="5">
        <v>0.19700000000000001</v>
      </c>
      <c r="D166" s="5">
        <v>0.55000000000000004</v>
      </c>
      <c r="E166" s="5">
        <v>0.16420000000000001</v>
      </c>
      <c r="F166" s="5">
        <v>0</v>
      </c>
      <c r="G166" s="5">
        <v>7</v>
      </c>
      <c r="H166" s="5">
        <v>7</v>
      </c>
    </row>
    <row r="167" spans="1:8" ht="13.8" x14ac:dyDescent="0.25">
      <c r="A167" s="5">
        <v>165</v>
      </c>
      <c r="B167" s="5">
        <v>166</v>
      </c>
      <c r="C167" s="5">
        <v>0.19700000000000001</v>
      </c>
      <c r="D167" s="5">
        <v>0.55000000000000004</v>
      </c>
      <c r="E167" s="5">
        <v>0.16420000000000001</v>
      </c>
      <c r="F167" s="5">
        <v>0</v>
      </c>
      <c r="G167" s="5">
        <v>1</v>
      </c>
      <c r="H167" s="5">
        <v>1</v>
      </c>
    </row>
    <row r="168" spans="1:8" ht="13.8" x14ac:dyDescent="0.25">
      <c r="A168" s="5">
        <v>166</v>
      </c>
      <c r="B168" s="5">
        <v>167</v>
      </c>
      <c r="C168" s="5">
        <v>0.16669999999999999</v>
      </c>
      <c r="D168" s="5">
        <v>0.74</v>
      </c>
      <c r="E168" s="5">
        <v>0.16420000000000001</v>
      </c>
      <c r="F168" s="5">
        <v>0</v>
      </c>
      <c r="G168" s="5">
        <v>5</v>
      </c>
      <c r="H168" s="5">
        <v>5</v>
      </c>
    </row>
    <row r="169" spans="1:8" ht="13.8" x14ac:dyDescent="0.25">
      <c r="A169" s="5">
        <v>167</v>
      </c>
      <c r="B169" s="5">
        <v>168</v>
      </c>
      <c r="C169" s="5">
        <v>0.16669999999999999</v>
      </c>
      <c r="D169" s="5">
        <v>0.74</v>
      </c>
      <c r="E169" s="5">
        <v>0.16420000000000001</v>
      </c>
      <c r="F169" s="5">
        <v>0</v>
      </c>
      <c r="G169" s="5">
        <v>2</v>
      </c>
      <c r="H169" s="5">
        <v>2</v>
      </c>
    </row>
    <row r="170" spans="1:8" ht="13.8" x14ac:dyDescent="0.25">
      <c r="A170" s="5">
        <v>168</v>
      </c>
      <c r="B170" s="5">
        <v>169</v>
      </c>
      <c r="C170" s="5">
        <v>0.18179999999999999</v>
      </c>
      <c r="D170" s="5">
        <v>0.74</v>
      </c>
      <c r="E170" s="5">
        <v>0.1045</v>
      </c>
      <c r="F170" s="5">
        <v>1</v>
      </c>
      <c r="G170" s="5">
        <v>8</v>
      </c>
      <c r="H170" s="5">
        <v>9</v>
      </c>
    </row>
    <row r="171" spans="1:8" ht="13.8" x14ac:dyDescent="0.25">
      <c r="A171" s="5">
        <v>169</v>
      </c>
      <c r="B171" s="5">
        <v>170</v>
      </c>
      <c r="C171" s="5">
        <v>0.18179999999999999</v>
      </c>
      <c r="D171" s="5">
        <v>0.93</v>
      </c>
      <c r="E171" s="5">
        <v>0.1045</v>
      </c>
      <c r="F171" s="5">
        <v>0</v>
      </c>
      <c r="G171" s="5">
        <v>15</v>
      </c>
      <c r="H171" s="5">
        <v>15</v>
      </c>
    </row>
    <row r="172" spans="1:8" ht="13.8" x14ac:dyDescent="0.25">
      <c r="A172" s="5">
        <v>170</v>
      </c>
      <c r="B172" s="5">
        <v>171</v>
      </c>
      <c r="C172" s="5">
        <v>0.18179999999999999</v>
      </c>
      <c r="D172" s="5">
        <v>0.93</v>
      </c>
      <c r="E172" s="5">
        <v>0.1045</v>
      </c>
      <c r="F172" s="5">
        <v>0</v>
      </c>
      <c r="G172" s="5">
        <v>20</v>
      </c>
      <c r="H172" s="5">
        <v>20</v>
      </c>
    </row>
    <row r="173" spans="1:8" ht="13.8" x14ac:dyDescent="0.25">
      <c r="A173" s="5">
        <v>171</v>
      </c>
      <c r="B173" s="5">
        <v>172</v>
      </c>
      <c r="C173" s="5">
        <v>0.19700000000000001</v>
      </c>
      <c r="D173" s="5">
        <v>0.8</v>
      </c>
      <c r="E173" s="5">
        <v>0.16420000000000001</v>
      </c>
      <c r="F173" s="5">
        <v>5</v>
      </c>
      <c r="G173" s="5">
        <v>56</v>
      </c>
      <c r="H173" s="5">
        <v>61</v>
      </c>
    </row>
    <row r="174" spans="1:8" ht="13.8" x14ac:dyDescent="0.25">
      <c r="A174" s="5">
        <v>172</v>
      </c>
      <c r="B174" s="5">
        <v>173</v>
      </c>
      <c r="C174" s="5">
        <v>0.18179999999999999</v>
      </c>
      <c r="D174" s="5">
        <v>0.69</v>
      </c>
      <c r="E174" s="5">
        <v>0.3881</v>
      </c>
      <c r="F174" s="5">
        <v>2</v>
      </c>
      <c r="G174" s="5">
        <v>60</v>
      </c>
      <c r="H174" s="5">
        <v>62</v>
      </c>
    </row>
    <row r="175" spans="1:8" ht="13.8" x14ac:dyDescent="0.25">
      <c r="A175" s="5">
        <v>173</v>
      </c>
      <c r="B175" s="5">
        <v>174</v>
      </c>
      <c r="C175" s="5">
        <v>0.18179999999999999</v>
      </c>
      <c r="D175" s="5">
        <v>0.59</v>
      </c>
      <c r="E175" s="5">
        <v>0.35820000000000002</v>
      </c>
      <c r="F175" s="5">
        <v>8</v>
      </c>
      <c r="G175" s="5">
        <v>90</v>
      </c>
      <c r="H175" s="5">
        <v>98</v>
      </c>
    </row>
    <row r="176" spans="1:8" ht="13.8" x14ac:dyDescent="0.25">
      <c r="A176" s="5">
        <v>174</v>
      </c>
      <c r="B176" s="5">
        <v>175</v>
      </c>
      <c r="C176" s="5">
        <v>0.18179999999999999</v>
      </c>
      <c r="D176" s="5">
        <v>0.44</v>
      </c>
      <c r="E176" s="5">
        <v>0.32840000000000003</v>
      </c>
      <c r="F176" s="5">
        <v>7</v>
      </c>
      <c r="G176" s="5">
        <v>95</v>
      </c>
      <c r="H176" s="5">
        <v>102</v>
      </c>
    </row>
    <row r="177" spans="1:8" ht="13.8" x14ac:dyDescent="0.25">
      <c r="A177" s="5">
        <v>175</v>
      </c>
      <c r="B177" s="5">
        <v>176</v>
      </c>
      <c r="C177" s="5">
        <v>0.16669999999999999</v>
      </c>
      <c r="D177" s="5">
        <v>0.32</v>
      </c>
      <c r="E177" s="5">
        <v>0.49249999999999999</v>
      </c>
      <c r="F177" s="5">
        <v>12</v>
      </c>
      <c r="G177" s="5">
        <v>83</v>
      </c>
      <c r="H177" s="5">
        <v>95</v>
      </c>
    </row>
    <row r="178" spans="1:8" ht="13.8" x14ac:dyDescent="0.25">
      <c r="A178" s="5">
        <v>176</v>
      </c>
      <c r="B178" s="5">
        <v>177</v>
      </c>
      <c r="C178" s="5">
        <v>0.16669999999999999</v>
      </c>
      <c r="D178" s="5">
        <v>0.32</v>
      </c>
      <c r="E178" s="5">
        <v>0.44779999999999998</v>
      </c>
      <c r="F178" s="5">
        <v>5</v>
      </c>
      <c r="G178" s="5">
        <v>69</v>
      </c>
      <c r="H178" s="5">
        <v>74</v>
      </c>
    </row>
    <row r="179" spans="1:8" ht="13.8" x14ac:dyDescent="0.25">
      <c r="A179" s="5">
        <v>177</v>
      </c>
      <c r="B179" s="5">
        <v>178</v>
      </c>
      <c r="C179" s="5">
        <v>0.13639999999999999</v>
      </c>
      <c r="D179" s="5">
        <v>0.28999999999999998</v>
      </c>
      <c r="E179" s="5">
        <v>0.44779999999999998</v>
      </c>
      <c r="F179" s="5">
        <v>8</v>
      </c>
      <c r="G179" s="5">
        <v>68</v>
      </c>
      <c r="H179" s="5">
        <v>76</v>
      </c>
    </row>
    <row r="180" spans="1:8" ht="13.8" x14ac:dyDescent="0.25">
      <c r="A180" s="5">
        <v>178</v>
      </c>
      <c r="B180" s="5">
        <v>179</v>
      </c>
      <c r="C180" s="5">
        <v>0.1212</v>
      </c>
      <c r="D180" s="5">
        <v>0.37</v>
      </c>
      <c r="E180" s="5">
        <v>0.55220000000000002</v>
      </c>
      <c r="F180" s="5">
        <v>5</v>
      </c>
      <c r="G180" s="5">
        <v>64</v>
      </c>
      <c r="H180" s="5">
        <v>69</v>
      </c>
    </row>
    <row r="181" spans="1:8" ht="13.8" x14ac:dyDescent="0.25">
      <c r="A181" s="5">
        <v>179</v>
      </c>
      <c r="B181" s="5">
        <v>180</v>
      </c>
      <c r="C181" s="5">
        <v>0.1212</v>
      </c>
      <c r="D181" s="5">
        <v>0.39</v>
      </c>
      <c r="E181" s="5">
        <v>0.29849999999999999</v>
      </c>
      <c r="F181" s="5">
        <v>3</v>
      </c>
      <c r="G181" s="5">
        <v>52</v>
      </c>
      <c r="H181" s="5">
        <v>55</v>
      </c>
    </row>
    <row r="182" spans="1:8" ht="13.8" x14ac:dyDescent="0.25">
      <c r="A182" s="5">
        <v>180</v>
      </c>
      <c r="B182" s="5">
        <v>181</v>
      </c>
      <c r="C182" s="5">
        <v>0.1212</v>
      </c>
      <c r="D182" s="5">
        <v>0.36</v>
      </c>
      <c r="E182" s="5">
        <v>0.25369999999999998</v>
      </c>
      <c r="F182" s="5">
        <v>4</v>
      </c>
      <c r="G182" s="5">
        <v>26</v>
      </c>
      <c r="H182" s="5">
        <v>30</v>
      </c>
    </row>
    <row r="183" spans="1:8" ht="13.8" x14ac:dyDescent="0.25">
      <c r="A183" s="5">
        <v>181</v>
      </c>
      <c r="B183" s="5">
        <v>182</v>
      </c>
      <c r="C183" s="5">
        <v>0.1212</v>
      </c>
      <c r="D183" s="5">
        <v>0.36</v>
      </c>
      <c r="E183" s="5">
        <v>0.25369999999999998</v>
      </c>
      <c r="F183" s="5">
        <v>0</v>
      </c>
      <c r="G183" s="5">
        <v>28</v>
      </c>
      <c r="H183" s="5">
        <v>28</v>
      </c>
    </row>
    <row r="184" spans="1:8" ht="13.8" x14ac:dyDescent="0.25">
      <c r="A184" s="5">
        <v>182</v>
      </c>
      <c r="B184" s="5">
        <v>183</v>
      </c>
      <c r="C184" s="5">
        <v>0.1061</v>
      </c>
      <c r="D184" s="5">
        <v>0.39</v>
      </c>
      <c r="E184" s="5">
        <v>0.35820000000000002</v>
      </c>
      <c r="F184" s="5">
        <v>2</v>
      </c>
      <c r="G184" s="5">
        <v>35</v>
      </c>
      <c r="H184" s="5">
        <v>37</v>
      </c>
    </row>
    <row r="185" spans="1:8" ht="13.8" x14ac:dyDescent="0.25">
      <c r="A185" s="5">
        <v>183</v>
      </c>
      <c r="B185" s="5">
        <v>184</v>
      </c>
      <c r="C185" s="5">
        <v>0.1061</v>
      </c>
      <c r="D185" s="5">
        <v>0.36</v>
      </c>
      <c r="E185" s="5">
        <v>0.3881</v>
      </c>
      <c r="F185" s="5">
        <v>1</v>
      </c>
      <c r="G185" s="5">
        <v>33</v>
      </c>
      <c r="H185" s="5">
        <v>34</v>
      </c>
    </row>
    <row r="186" spans="1:8" ht="13.8" x14ac:dyDescent="0.25">
      <c r="A186" s="5">
        <v>184</v>
      </c>
      <c r="B186" s="5">
        <v>185</v>
      </c>
      <c r="C186" s="5">
        <v>6.0600000000000001E-2</v>
      </c>
      <c r="D186" s="5">
        <v>0.39</v>
      </c>
      <c r="E186" s="5">
        <v>0.44779999999999998</v>
      </c>
      <c r="F186" s="5">
        <v>0</v>
      </c>
      <c r="G186" s="5">
        <v>22</v>
      </c>
      <c r="H186" s="5">
        <v>22</v>
      </c>
    </row>
    <row r="187" spans="1:8" ht="13.8" x14ac:dyDescent="0.25">
      <c r="A187" s="5">
        <v>185</v>
      </c>
      <c r="B187" s="5">
        <v>186</v>
      </c>
      <c r="C187" s="5">
        <v>7.5800000000000006E-2</v>
      </c>
      <c r="D187" s="5">
        <v>0.42</v>
      </c>
      <c r="E187" s="5">
        <v>0.3881</v>
      </c>
      <c r="F187" s="5">
        <v>1</v>
      </c>
      <c r="G187" s="5">
        <v>24</v>
      </c>
      <c r="H187" s="5">
        <v>25</v>
      </c>
    </row>
    <row r="188" spans="1:8" ht="13.8" x14ac:dyDescent="0.25">
      <c r="A188" s="5">
        <v>186</v>
      </c>
      <c r="B188" s="5">
        <v>187</v>
      </c>
      <c r="C188" s="5">
        <v>6.0600000000000001E-2</v>
      </c>
      <c r="D188" s="5">
        <v>0.42</v>
      </c>
      <c r="E188" s="5">
        <v>0.4627</v>
      </c>
      <c r="F188" s="5">
        <v>0</v>
      </c>
      <c r="G188" s="5">
        <v>12</v>
      </c>
      <c r="H188" s="5">
        <v>12</v>
      </c>
    </row>
    <row r="189" spans="1:8" ht="13.8" x14ac:dyDescent="0.25">
      <c r="A189" s="5">
        <v>187</v>
      </c>
      <c r="B189" s="5">
        <v>188</v>
      </c>
      <c r="C189" s="5">
        <v>6.0600000000000001E-2</v>
      </c>
      <c r="D189" s="5">
        <v>0.46</v>
      </c>
      <c r="E189" s="5">
        <v>0.4627</v>
      </c>
      <c r="F189" s="5">
        <v>0</v>
      </c>
      <c r="G189" s="5">
        <v>11</v>
      </c>
      <c r="H189" s="5">
        <v>11</v>
      </c>
    </row>
    <row r="190" spans="1:8" ht="13.8" x14ac:dyDescent="0.25">
      <c r="A190" s="5">
        <v>188</v>
      </c>
      <c r="B190" s="5">
        <v>189</v>
      </c>
      <c r="C190" s="5">
        <v>7.5800000000000006E-2</v>
      </c>
      <c r="D190" s="5">
        <v>0.46</v>
      </c>
      <c r="E190" s="5">
        <v>0.41789999999999999</v>
      </c>
      <c r="F190" s="5">
        <v>0</v>
      </c>
      <c r="G190" s="5">
        <v>4</v>
      </c>
      <c r="H190" s="5">
        <v>4</v>
      </c>
    </row>
    <row r="191" spans="1:8" ht="13.8" x14ac:dyDescent="0.25">
      <c r="A191" s="5">
        <v>189</v>
      </c>
      <c r="B191" s="5">
        <v>190</v>
      </c>
      <c r="C191" s="5">
        <v>9.0899999999999995E-2</v>
      </c>
      <c r="D191" s="5">
        <v>0.53</v>
      </c>
      <c r="E191" s="5">
        <v>0.19400000000000001</v>
      </c>
      <c r="F191" s="5">
        <v>0</v>
      </c>
      <c r="G191" s="5">
        <v>1</v>
      </c>
      <c r="H191" s="5">
        <v>1</v>
      </c>
    </row>
    <row r="192" spans="1:8" ht="13.8" x14ac:dyDescent="0.25">
      <c r="A192" s="5">
        <v>190</v>
      </c>
      <c r="B192" s="5">
        <v>191</v>
      </c>
      <c r="C192" s="5">
        <v>9.0899999999999995E-2</v>
      </c>
      <c r="D192" s="5">
        <v>0.53</v>
      </c>
      <c r="E192" s="5">
        <v>0.19400000000000001</v>
      </c>
      <c r="F192" s="5">
        <v>0</v>
      </c>
      <c r="G192" s="5">
        <v>1</v>
      </c>
      <c r="H192" s="5">
        <v>1</v>
      </c>
    </row>
    <row r="193" spans="1:8" ht="13.8" x14ac:dyDescent="0.25">
      <c r="A193" s="5">
        <v>191</v>
      </c>
      <c r="B193" s="5">
        <v>192</v>
      </c>
      <c r="C193" s="5">
        <v>9.0899999999999995E-2</v>
      </c>
      <c r="D193" s="5">
        <v>0.49</v>
      </c>
      <c r="E193" s="5">
        <v>0.28360000000000002</v>
      </c>
      <c r="F193" s="5">
        <v>0</v>
      </c>
      <c r="G193" s="5">
        <v>1</v>
      </c>
      <c r="H193" s="5">
        <v>1</v>
      </c>
    </row>
    <row r="194" spans="1:8" ht="13.8" x14ac:dyDescent="0.25">
      <c r="A194" s="5">
        <v>192</v>
      </c>
      <c r="B194" s="5">
        <v>193</v>
      </c>
      <c r="C194" s="5">
        <v>9.0899999999999995E-2</v>
      </c>
      <c r="D194" s="5">
        <v>0.53</v>
      </c>
      <c r="E194" s="5">
        <v>0.19400000000000001</v>
      </c>
      <c r="F194" s="5">
        <v>1</v>
      </c>
      <c r="G194" s="5">
        <v>5</v>
      </c>
      <c r="H194" s="5">
        <v>6</v>
      </c>
    </row>
    <row r="195" spans="1:8" ht="13.8" x14ac:dyDescent="0.25">
      <c r="A195" s="5">
        <v>193</v>
      </c>
      <c r="B195" s="5">
        <v>194</v>
      </c>
      <c r="C195" s="5">
        <v>9.0899999999999995E-2</v>
      </c>
      <c r="D195" s="5">
        <v>0.49</v>
      </c>
      <c r="E195" s="5">
        <v>0.28360000000000002</v>
      </c>
      <c r="F195" s="5">
        <v>0</v>
      </c>
      <c r="G195" s="5">
        <v>10</v>
      </c>
      <c r="H195" s="5">
        <v>10</v>
      </c>
    </row>
    <row r="196" spans="1:8" ht="13.8" x14ac:dyDescent="0.25">
      <c r="A196" s="5">
        <v>194</v>
      </c>
      <c r="B196" s="5">
        <v>195</v>
      </c>
      <c r="C196" s="5">
        <v>7.5800000000000006E-2</v>
      </c>
      <c r="D196" s="5">
        <v>0.46</v>
      </c>
      <c r="E196" s="5">
        <v>0.52239999999999998</v>
      </c>
      <c r="F196" s="5">
        <v>0</v>
      </c>
      <c r="G196" s="5">
        <v>19</v>
      </c>
      <c r="H196" s="5">
        <v>19</v>
      </c>
    </row>
    <row r="197" spans="1:8" ht="13.8" x14ac:dyDescent="0.25">
      <c r="A197" s="5">
        <v>195</v>
      </c>
      <c r="B197" s="5">
        <v>196</v>
      </c>
      <c r="C197" s="5">
        <v>0.1061</v>
      </c>
      <c r="D197" s="5">
        <v>0.43</v>
      </c>
      <c r="E197" s="5">
        <v>0.3881</v>
      </c>
      <c r="F197" s="5">
        <v>0</v>
      </c>
      <c r="G197" s="5">
        <v>49</v>
      </c>
      <c r="H197" s="5">
        <v>49</v>
      </c>
    </row>
    <row r="198" spans="1:8" ht="13.8" x14ac:dyDescent="0.25">
      <c r="A198" s="5">
        <v>196</v>
      </c>
      <c r="B198" s="5">
        <v>197</v>
      </c>
      <c r="C198" s="5">
        <v>0.1212</v>
      </c>
      <c r="D198" s="5">
        <v>0.4</v>
      </c>
      <c r="E198" s="5">
        <v>0.52239999999999998</v>
      </c>
      <c r="F198" s="5">
        <v>2</v>
      </c>
      <c r="G198" s="5">
        <v>47</v>
      </c>
      <c r="H198" s="5">
        <v>49</v>
      </c>
    </row>
    <row r="199" spans="1:8" ht="13.8" x14ac:dyDescent="0.25">
      <c r="A199" s="5">
        <v>197</v>
      </c>
      <c r="B199" s="5">
        <v>198</v>
      </c>
      <c r="C199" s="5">
        <v>0.13639999999999999</v>
      </c>
      <c r="D199" s="5">
        <v>0.37</v>
      </c>
      <c r="E199" s="5">
        <v>0.44779999999999998</v>
      </c>
      <c r="F199" s="5">
        <v>4</v>
      </c>
      <c r="G199" s="5">
        <v>79</v>
      </c>
      <c r="H199" s="5">
        <v>83</v>
      </c>
    </row>
    <row r="200" spans="1:8" ht="13.8" x14ac:dyDescent="0.25">
      <c r="A200" s="5">
        <v>198</v>
      </c>
      <c r="B200" s="5">
        <v>199</v>
      </c>
      <c r="C200" s="5">
        <v>0.16669999999999999</v>
      </c>
      <c r="D200" s="5">
        <v>0.34</v>
      </c>
      <c r="E200" s="5">
        <v>0.44779999999999998</v>
      </c>
      <c r="F200" s="5">
        <v>6</v>
      </c>
      <c r="G200" s="5">
        <v>69</v>
      </c>
      <c r="H200" s="5">
        <v>75</v>
      </c>
    </row>
    <row r="201" spans="1:8" ht="13.8" x14ac:dyDescent="0.25">
      <c r="A201" s="5">
        <v>199</v>
      </c>
      <c r="B201" s="5">
        <v>200</v>
      </c>
      <c r="C201" s="5">
        <v>0.18179999999999999</v>
      </c>
      <c r="D201" s="5">
        <v>0.32</v>
      </c>
      <c r="E201" s="5">
        <v>0.4627</v>
      </c>
      <c r="F201" s="5">
        <v>8</v>
      </c>
      <c r="G201" s="5">
        <v>64</v>
      </c>
      <c r="H201" s="5">
        <v>72</v>
      </c>
    </row>
    <row r="202" spans="1:8" ht="13.8" x14ac:dyDescent="0.25">
      <c r="A202" s="5">
        <v>200</v>
      </c>
      <c r="B202" s="5">
        <v>201</v>
      </c>
      <c r="C202" s="5">
        <v>0.19700000000000001</v>
      </c>
      <c r="D202" s="5">
        <v>0.35</v>
      </c>
      <c r="E202" s="5">
        <v>0.35820000000000002</v>
      </c>
      <c r="F202" s="5">
        <v>5</v>
      </c>
      <c r="G202" s="5">
        <v>77</v>
      </c>
      <c r="H202" s="5">
        <v>82</v>
      </c>
    </row>
    <row r="203" spans="1:8" ht="13.8" x14ac:dyDescent="0.25">
      <c r="A203" s="5">
        <v>201</v>
      </c>
      <c r="B203" s="5">
        <v>202</v>
      </c>
      <c r="C203" s="5">
        <v>0.16669999999999999</v>
      </c>
      <c r="D203" s="5">
        <v>0.34</v>
      </c>
      <c r="E203" s="5">
        <v>0.44779999999999998</v>
      </c>
      <c r="F203" s="5">
        <v>13</v>
      </c>
      <c r="G203" s="5">
        <v>79</v>
      </c>
      <c r="H203" s="5">
        <v>92</v>
      </c>
    </row>
    <row r="204" spans="1:8" ht="13.8" x14ac:dyDescent="0.25">
      <c r="A204" s="5">
        <v>202</v>
      </c>
      <c r="B204" s="5">
        <v>203</v>
      </c>
      <c r="C204" s="5">
        <v>0.1515</v>
      </c>
      <c r="D204" s="5">
        <v>0.37</v>
      </c>
      <c r="E204" s="5">
        <v>0.3881</v>
      </c>
      <c r="F204" s="5">
        <v>3</v>
      </c>
      <c r="G204" s="5">
        <v>59</v>
      </c>
      <c r="H204" s="5">
        <v>62</v>
      </c>
    </row>
    <row r="205" spans="1:8" ht="13.8" x14ac:dyDescent="0.25">
      <c r="A205" s="5">
        <v>203</v>
      </c>
      <c r="B205" s="5">
        <v>204</v>
      </c>
      <c r="C205" s="5">
        <v>0.13639999999999999</v>
      </c>
      <c r="D205" s="5">
        <v>0.4</v>
      </c>
      <c r="E205" s="5">
        <v>0.32840000000000003</v>
      </c>
      <c r="F205" s="5">
        <v>4</v>
      </c>
      <c r="G205" s="5">
        <v>44</v>
      </c>
      <c r="H205" s="5">
        <v>48</v>
      </c>
    </row>
    <row r="206" spans="1:8" ht="13.8" x14ac:dyDescent="0.25">
      <c r="A206" s="5">
        <v>204</v>
      </c>
      <c r="B206" s="5">
        <v>205</v>
      </c>
      <c r="C206" s="5">
        <v>0.13639999999999999</v>
      </c>
      <c r="D206" s="5">
        <v>0.43</v>
      </c>
      <c r="E206" s="5">
        <v>0.32840000000000003</v>
      </c>
      <c r="F206" s="5">
        <v>1</v>
      </c>
      <c r="G206" s="5">
        <v>40</v>
      </c>
      <c r="H206" s="5">
        <v>41</v>
      </c>
    </row>
    <row r="207" spans="1:8" ht="13.8" x14ac:dyDescent="0.25">
      <c r="A207" s="5">
        <v>205</v>
      </c>
      <c r="B207" s="5">
        <v>206</v>
      </c>
      <c r="C207" s="5">
        <v>0.1212</v>
      </c>
      <c r="D207" s="5">
        <v>0.46</v>
      </c>
      <c r="E207" s="5">
        <v>0.25369999999999998</v>
      </c>
      <c r="F207" s="5">
        <v>0</v>
      </c>
      <c r="G207" s="5">
        <v>38</v>
      </c>
      <c r="H207" s="5">
        <v>38</v>
      </c>
    </row>
    <row r="208" spans="1:8" ht="13.8" x14ac:dyDescent="0.25">
      <c r="A208" s="5">
        <v>206</v>
      </c>
      <c r="B208" s="5">
        <v>207</v>
      </c>
      <c r="C208" s="5">
        <v>0.1061</v>
      </c>
      <c r="D208" s="5">
        <v>0.46</v>
      </c>
      <c r="E208" s="5">
        <v>0.41789999999999999</v>
      </c>
      <c r="F208" s="5">
        <v>1</v>
      </c>
      <c r="G208" s="5">
        <v>19</v>
      </c>
      <c r="H208" s="5">
        <v>20</v>
      </c>
    </row>
    <row r="209" spans="1:8" ht="13.8" x14ac:dyDescent="0.25">
      <c r="A209" s="5">
        <v>207</v>
      </c>
      <c r="B209" s="5">
        <v>208</v>
      </c>
      <c r="C209" s="5">
        <v>0.1212</v>
      </c>
      <c r="D209" s="5">
        <v>0.46</v>
      </c>
      <c r="E209" s="5">
        <v>0.29849999999999999</v>
      </c>
      <c r="F209" s="5">
        <v>5</v>
      </c>
      <c r="G209" s="5">
        <v>10</v>
      </c>
      <c r="H209" s="5">
        <v>15</v>
      </c>
    </row>
    <row r="210" spans="1:8" ht="13.8" x14ac:dyDescent="0.25">
      <c r="A210" s="5">
        <v>208</v>
      </c>
      <c r="B210" s="5">
        <v>209</v>
      </c>
      <c r="C210" s="5">
        <v>0.13639999999999999</v>
      </c>
      <c r="D210" s="5">
        <v>0.5</v>
      </c>
      <c r="E210" s="5">
        <v>0.19400000000000001</v>
      </c>
      <c r="F210" s="5">
        <v>0</v>
      </c>
      <c r="G210" s="5">
        <v>6</v>
      </c>
      <c r="H210" s="5">
        <v>6</v>
      </c>
    </row>
    <row r="211" spans="1:8" ht="13.8" x14ac:dyDescent="0.25">
      <c r="A211" s="5">
        <v>209</v>
      </c>
      <c r="B211" s="5">
        <v>210</v>
      </c>
      <c r="C211" s="5">
        <v>0.1212</v>
      </c>
      <c r="D211" s="5">
        <v>0.5</v>
      </c>
      <c r="E211" s="5">
        <v>0.28360000000000002</v>
      </c>
      <c r="F211" s="5">
        <v>2</v>
      </c>
      <c r="G211" s="5">
        <v>3</v>
      </c>
      <c r="H211" s="5">
        <v>5</v>
      </c>
    </row>
    <row r="212" spans="1:8" ht="13.8" x14ac:dyDescent="0.25">
      <c r="A212" s="5">
        <v>210</v>
      </c>
      <c r="B212" s="5">
        <v>211</v>
      </c>
      <c r="C212" s="5">
        <v>0.1212</v>
      </c>
      <c r="D212" s="5">
        <v>0.5</v>
      </c>
      <c r="E212" s="5">
        <v>0.28360000000000002</v>
      </c>
      <c r="F212" s="5">
        <v>1</v>
      </c>
      <c r="G212" s="5">
        <v>0</v>
      </c>
      <c r="H212" s="5">
        <v>1</v>
      </c>
    </row>
    <row r="213" spans="1:8" ht="13.8" x14ac:dyDescent="0.25">
      <c r="A213" s="5">
        <v>211</v>
      </c>
      <c r="B213" s="5">
        <v>212</v>
      </c>
      <c r="C213" s="5">
        <v>0.1212</v>
      </c>
      <c r="D213" s="5">
        <v>0.5</v>
      </c>
      <c r="E213" s="5">
        <v>0.22389999999999999</v>
      </c>
      <c r="F213" s="5">
        <v>0</v>
      </c>
      <c r="G213" s="5">
        <v>3</v>
      </c>
      <c r="H213" s="5">
        <v>3</v>
      </c>
    </row>
    <row r="214" spans="1:8" ht="13.8" x14ac:dyDescent="0.25">
      <c r="A214" s="5">
        <v>212</v>
      </c>
      <c r="B214" s="5">
        <v>213</v>
      </c>
      <c r="C214" s="5">
        <v>0.1212</v>
      </c>
      <c r="D214" s="5">
        <v>0.5</v>
      </c>
      <c r="E214" s="5">
        <v>0.22389999999999999</v>
      </c>
      <c r="F214" s="5">
        <v>0</v>
      </c>
      <c r="G214" s="5">
        <v>1</v>
      </c>
      <c r="H214" s="5">
        <v>1</v>
      </c>
    </row>
    <row r="215" spans="1:8" ht="13.8" x14ac:dyDescent="0.25">
      <c r="A215" s="5">
        <v>213</v>
      </c>
      <c r="B215" s="5">
        <v>214</v>
      </c>
      <c r="C215" s="5">
        <v>0.1212</v>
      </c>
      <c r="D215" s="5">
        <v>0.54</v>
      </c>
      <c r="E215" s="5">
        <v>0.1343</v>
      </c>
      <c r="F215" s="5">
        <v>1</v>
      </c>
      <c r="G215" s="5">
        <v>2</v>
      </c>
      <c r="H215" s="5">
        <v>3</v>
      </c>
    </row>
    <row r="216" spans="1:8" ht="13.8" x14ac:dyDescent="0.25">
      <c r="A216" s="5">
        <v>214</v>
      </c>
      <c r="B216" s="5">
        <v>215</v>
      </c>
      <c r="C216" s="5">
        <v>0.1061</v>
      </c>
      <c r="D216" s="5">
        <v>0.54</v>
      </c>
      <c r="E216" s="5">
        <v>0.25369999999999998</v>
      </c>
      <c r="F216" s="5">
        <v>0</v>
      </c>
      <c r="G216" s="5">
        <v>3</v>
      </c>
      <c r="H216" s="5">
        <v>3</v>
      </c>
    </row>
    <row r="217" spans="1:8" ht="13.8" x14ac:dyDescent="0.25">
      <c r="A217" s="5">
        <v>215</v>
      </c>
      <c r="B217" s="5">
        <v>216</v>
      </c>
      <c r="C217" s="5">
        <v>0.1212</v>
      </c>
      <c r="D217" s="5">
        <v>0.5</v>
      </c>
      <c r="E217" s="5">
        <v>0.28360000000000002</v>
      </c>
      <c r="F217" s="5">
        <v>0</v>
      </c>
      <c r="G217" s="5">
        <v>31</v>
      </c>
      <c r="H217" s="5">
        <v>31</v>
      </c>
    </row>
    <row r="218" spans="1:8" ht="13.8" x14ac:dyDescent="0.25">
      <c r="A218" s="5">
        <v>216</v>
      </c>
      <c r="B218" s="5">
        <v>217</v>
      </c>
      <c r="C218" s="5">
        <v>0.1212</v>
      </c>
      <c r="D218" s="5">
        <v>0.5</v>
      </c>
      <c r="E218" s="5">
        <v>0.22389999999999999</v>
      </c>
      <c r="F218" s="5">
        <v>2</v>
      </c>
      <c r="G218" s="5">
        <v>75</v>
      </c>
      <c r="H218" s="5">
        <v>77</v>
      </c>
    </row>
    <row r="219" spans="1:8" ht="13.8" x14ac:dyDescent="0.25">
      <c r="A219" s="5">
        <v>217</v>
      </c>
      <c r="B219" s="5">
        <v>218</v>
      </c>
      <c r="C219" s="5">
        <v>0.1212</v>
      </c>
      <c r="D219" s="5">
        <v>0.5</v>
      </c>
      <c r="E219" s="5">
        <v>0.28360000000000002</v>
      </c>
      <c r="F219" s="5">
        <v>4</v>
      </c>
      <c r="G219" s="5">
        <v>184</v>
      </c>
      <c r="H219" s="5">
        <v>188</v>
      </c>
    </row>
    <row r="220" spans="1:8" ht="13.8" x14ac:dyDescent="0.25">
      <c r="A220" s="5">
        <v>218</v>
      </c>
      <c r="B220" s="5">
        <v>219</v>
      </c>
      <c r="C220" s="5">
        <v>0.1212</v>
      </c>
      <c r="D220" s="5">
        <v>0.5</v>
      </c>
      <c r="E220" s="5">
        <v>0.25369999999999998</v>
      </c>
      <c r="F220" s="5">
        <v>2</v>
      </c>
      <c r="G220" s="5">
        <v>92</v>
      </c>
      <c r="H220" s="5">
        <v>94</v>
      </c>
    </row>
    <row r="221" spans="1:8" ht="13.8" x14ac:dyDescent="0.25">
      <c r="A221" s="5">
        <v>219</v>
      </c>
      <c r="B221" s="5">
        <v>220</v>
      </c>
      <c r="C221" s="5">
        <v>0.1212</v>
      </c>
      <c r="D221" s="5">
        <v>0.5</v>
      </c>
      <c r="E221" s="5">
        <v>0.29849999999999999</v>
      </c>
      <c r="F221" s="5">
        <v>0</v>
      </c>
      <c r="G221" s="5">
        <v>31</v>
      </c>
      <c r="H221" s="5">
        <v>31</v>
      </c>
    </row>
    <row r="222" spans="1:8" ht="13.8" x14ac:dyDescent="0.25">
      <c r="A222" s="5">
        <v>220</v>
      </c>
      <c r="B222" s="5">
        <v>221</v>
      </c>
      <c r="C222" s="5">
        <v>0.13639999999999999</v>
      </c>
      <c r="D222" s="5">
        <v>0.47</v>
      </c>
      <c r="E222" s="5">
        <v>0.28360000000000002</v>
      </c>
      <c r="F222" s="5">
        <v>2</v>
      </c>
      <c r="G222" s="5">
        <v>28</v>
      </c>
      <c r="H222" s="5">
        <v>30</v>
      </c>
    </row>
    <row r="223" spans="1:8" ht="13.8" x14ac:dyDescent="0.25">
      <c r="A223" s="5">
        <v>221</v>
      </c>
      <c r="B223" s="5">
        <v>222</v>
      </c>
      <c r="C223" s="5">
        <v>0.18179999999999999</v>
      </c>
      <c r="D223" s="5">
        <v>0.4</v>
      </c>
      <c r="E223" s="5">
        <v>0.28360000000000002</v>
      </c>
      <c r="F223" s="5">
        <v>5</v>
      </c>
      <c r="G223" s="5">
        <v>47</v>
      </c>
      <c r="H223" s="5">
        <v>52</v>
      </c>
    </row>
    <row r="224" spans="1:8" ht="13.8" x14ac:dyDescent="0.25">
      <c r="A224" s="5">
        <v>222</v>
      </c>
      <c r="B224" s="5">
        <v>223</v>
      </c>
      <c r="C224" s="5">
        <v>0.18179999999999999</v>
      </c>
      <c r="D224" s="5">
        <v>0.4</v>
      </c>
      <c r="E224" s="5">
        <v>0.28360000000000002</v>
      </c>
      <c r="F224" s="5">
        <v>4</v>
      </c>
      <c r="G224" s="5">
        <v>50</v>
      </c>
      <c r="H224" s="5">
        <v>54</v>
      </c>
    </row>
    <row r="225" spans="1:8" ht="13.8" x14ac:dyDescent="0.25">
      <c r="A225" s="5">
        <v>223</v>
      </c>
      <c r="B225" s="5">
        <v>224</v>
      </c>
      <c r="C225" s="5">
        <v>0.19700000000000001</v>
      </c>
      <c r="D225" s="5">
        <v>0.4</v>
      </c>
      <c r="E225" s="5">
        <v>0.22389999999999999</v>
      </c>
      <c r="F225" s="5">
        <v>0</v>
      </c>
      <c r="G225" s="5">
        <v>47</v>
      </c>
      <c r="H225" s="5">
        <v>47</v>
      </c>
    </row>
    <row r="226" spans="1:8" ht="13.8" x14ac:dyDescent="0.25">
      <c r="A226" s="5">
        <v>224</v>
      </c>
      <c r="B226" s="5">
        <v>225</v>
      </c>
      <c r="C226" s="5">
        <v>0.19700000000000001</v>
      </c>
      <c r="D226" s="5">
        <v>0.4</v>
      </c>
      <c r="E226" s="5">
        <v>0.22389999999999999</v>
      </c>
      <c r="F226" s="5">
        <v>2</v>
      </c>
      <c r="G226" s="5">
        <v>43</v>
      </c>
      <c r="H226" s="5">
        <v>45</v>
      </c>
    </row>
    <row r="227" spans="1:8" ht="13.8" x14ac:dyDescent="0.25">
      <c r="A227" s="5">
        <v>225</v>
      </c>
      <c r="B227" s="5">
        <v>226</v>
      </c>
      <c r="C227" s="5">
        <v>0.21210000000000001</v>
      </c>
      <c r="D227" s="5">
        <v>0.4</v>
      </c>
      <c r="E227" s="5">
        <v>0.1343</v>
      </c>
      <c r="F227" s="5">
        <v>4</v>
      </c>
      <c r="G227" s="5">
        <v>70</v>
      </c>
      <c r="H227" s="5">
        <v>74</v>
      </c>
    </row>
    <row r="228" spans="1:8" ht="13.8" x14ac:dyDescent="0.25">
      <c r="A228" s="5">
        <v>226</v>
      </c>
      <c r="B228" s="5">
        <v>227</v>
      </c>
      <c r="C228" s="5">
        <v>0.2273</v>
      </c>
      <c r="D228" s="5">
        <v>0.4</v>
      </c>
      <c r="E228" s="5">
        <v>0.1045</v>
      </c>
      <c r="F228" s="5">
        <v>4</v>
      </c>
      <c r="G228" s="5">
        <v>174</v>
      </c>
      <c r="H228" s="5">
        <v>178</v>
      </c>
    </row>
    <row r="229" spans="1:8" ht="13.8" x14ac:dyDescent="0.25">
      <c r="A229" s="5">
        <v>227</v>
      </c>
      <c r="B229" s="5">
        <v>228</v>
      </c>
      <c r="C229" s="5">
        <v>0.19700000000000001</v>
      </c>
      <c r="D229" s="5">
        <v>0.4</v>
      </c>
      <c r="E229" s="5">
        <v>0.22389999999999999</v>
      </c>
      <c r="F229" s="5">
        <v>1</v>
      </c>
      <c r="G229" s="5">
        <v>154</v>
      </c>
      <c r="H229" s="5">
        <v>155</v>
      </c>
    </row>
    <row r="230" spans="1:8" ht="13.8" x14ac:dyDescent="0.25">
      <c r="A230" s="5">
        <v>228</v>
      </c>
      <c r="B230" s="5">
        <v>229</v>
      </c>
      <c r="C230" s="5">
        <v>0.16669999999999999</v>
      </c>
      <c r="D230" s="5">
        <v>0.47</v>
      </c>
      <c r="E230" s="5">
        <v>0.16420000000000001</v>
      </c>
      <c r="F230" s="5">
        <v>3</v>
      </c>
      <c r="G230" s="5">
        <v>92</v>
      </c>
      <c r="H230" s="5">
        <v>95</v>
      </c>
    </row>
    <row r="231" spans="1:8" ht="13.8" x14ac:dyDescent="0.25">
      <c r="A231" s="5">
        <v>229</v>
      </c>
      <c r="B231" s="5">
        <v>230</v>
      </c>
      <c r="C231" s="5">
        <v>0.16669999999999999</v>
      </c>
      <c r="D231" s="5">
        <v>0.5</v>
      </c>
      <c r="E231" s="5">
        <v>0.16420000000000001</v>
      </c>
      <c r="F231" s="5">
        <v>1</v>
      </c>
      <c r="G231" s="5">
        <v>73</v>
      </c>
      <c r="H231" s="5">
        <v>74</v>
      </c>
    </row>
    <row r="232" spans="1:8" ht="13.8" x14ac:dyDescent="0.25">
      <c r="A232" s="5">
        <v>230</v>
      </c>
      <c r="B232" s="5">
        <v>231</v>
      </c>
      <c r="C232" s="5">
        <v>0.13639999999999999</v>
      </c>
      <c r="D232" s="5">
        <v>0.59</v>
      </c>
      <c r="E232" s="5">
        <v>0.19400000000000001</v>
      </c>
      <c r="F232" s="5">
        <v>1</v>
      </c>
      <c r="G232" s="5">
        <v>37</v>
      </c>
      <c r="H232" s="5">
        <v>38</v>
      </c>
    </row>
    <row r="233" spans="1:8" ht="13.8" x14ac:dyDescent="0.25">
      <c r="A233" s="5">
        <v>231</v>
      </c>
      <c r="B233" s="5">
        <v>232</v>
      </c>
      <c r="C233" s="5">
        <v>0.1515</v>
      </c>
      <c r="D233" s="5">
        <v>0.59</v>
      </c>
      <c r="E233" s="5">
        <v>0.16420000000000001</v>
      </c>
      <c r="F233" s="5">
        <v>2</v>
      </c>
      <c r="G233" s="5">
        <v>22</v>
      </c>
      <c r="H233" s="5">
        <v>24</v>
      </c>
    </row>
    <row r="234" spans="1:8" ht="13.8" x14ac:dyDescent="0.25">
      <c r="A234" s="5">
        <v>232</v>
      </c>
      <c r="B234" s="5">
        <v>233</v>
      </c>
      <c r="C234" s="5">
        <v>0.1515</v>
      </c>
      <c r="D234" s="5">
        <v>0.59</v>
      </c>
      <c r="E234" s="5">
        <v>0.16420000000000001</v>
      </c>
      <c r="F234" s="5">
        <v>0</v>
      </c>
      <c r="G234" s="5">
        <v>18</v>
      </c>
      <c r="H234" s="5">
        <v>18</v>
      </c>
    </row>
    <row r="235" spans="1:8" ht="13.8" x14ac:dyDescent="0.25">
      <c r="A235" s="5">
        <v>233</v>
      </c>
      <c r="B235" s="5">
        <v>234</v>
      </c>
      <c r="C235" s="5">
        <v>0.16669999999999999</v>
      </c>
      <c r="D235" s="5">
        <v>0.59</v>
      </c>
      <c r="E235" s="5">
        <v>0.1045</v>
      </c>
      <c r="F235" s="5">
        <v>2</v>
      </c>
      <c r="G235" s="5">
        <v>10</v>
      </c>
      <c r="H235" s="5">
        <v>12</v>
      </c>
    </row>
    <row r="236" spans="1:8" ht="13.8" x14ac:dyDescent="0.25">
      <c r="A236" s="5">
        <v>234</v>
      </c>
      <c r="B236" s="5">
        <v>235</v>
      </c>
      <c r="C236" s="5">
        <v>0.1515</v>
      </c>
      <c r="D236" s="5">
        <v>0.59</v>
      </c>
      <c r="E236" s="5">
        <v>0.16420000000000001</v>
      </c>
      <c r="F236" s="5">
        <v>0</v>
      </c>
      <c r="G236" s="5">
        <v>3</v>
      </c>
      <c r="H236" s="5">
        <v>3</v>
      </c>
    </row>
    <row r="237" spans="1:8" ht="13.8" x14ac:dyDescent="0.25">
      <c r="A237" s="5">
        <v>235</v>
      </c>
      <c r="B237" s="5">
        <v>236</v>
      </c>
      <c r="C237" s="5">
        <v>0.1515</v>
      </c>
      <c r="D237" s="5">
        <v>0.55000000000000004</v>
      </c>
      <c r="E237" s="5">
        <v>0.19400000000000001</v>
      </c>
      <c r="F237" s="5">
        <v>0</v>
      </c>
      <c r="G237" s="5">
        <v>3</v>
      </c>
      <c r="H237" s="5">
        <v>3</v>
      </c>
    </row>
    <row r="238" spans="1:8" ht="13.8" x14ac:dyDescent="0.25">
      <c r="A238" s="5">
        <v>236</v>
      </c>
      <c r="B238" s="5">
        <v>237</v>
      </c>
      <c r="C238" s="5">
        <v>0.18179999999999999</v>
      </c>
      <c r="D238" s="5">
        <v>0.55000000000000004</v>
      </c>
      <c r="E238" s="5">
        <v>0.1343</v>
      </c>
      <c r="F238" s="5">
        <v>0</v>
      </c>
      <c r="G238" s="5">
        <v>6</v>
      </c>
      <c r="H238" s="5">
        <v>6</v>
      </c>
    </row>
    <row r="239" spans="1:8" ht="13.8" x14ac:dyDescent="0.25">
      <c r="A239" s="5">
        <v>237</v>
      </c>
      <c r="B239" s="5">
        <v>238</v>
      </c>
      <c r="C239" s="5">
        <v>0.18179999999999999</v>
      </c>
      <c r="D239" s="5">
        <v>0.55000000000000004</v>
      </c>
      <c r="E239" s="5">
        <v>0.1343</v>
      </c>
      <c r="F239" s="5">
        <v>0</v>
      </c>
      <c r="G239" s="5">
        <v>27</v>
      </c>
      <c r="H239" s="5">
        <v>27</v>
      </c>
    </row>
    <row r="240" spans="1:8" ht="13.8" x14ac:dyDescent="0.25">
      <c r="A240" s="5">
        <v>238</v>
      </c>
      <c r="B240" s="5">
        <v>239</v>
      </c>
      <c r="C240" s="5">
        <v>0.2273</v>
      </c>
      <c r="D240" s="5">
        <v>0.55000000000000004</v>
      </c>
      <c r="E240" s="5">
        <v>0</v>
      </c>
      <c r="F240" s="5">
        <v>2</v>
      </c>
      <c r="G240" s="5">
        <v>97</v>
      </c>
      <c r="H240" s="5">
        <v>99</v>
      </c>
    </row>
    <row r="241" spans="1:8" ht="13.8" x14ac:dyDescent="0.25">
      <c r="A241" s="5">
        <v>239</v>
      </c>
      <c r="B241" s="5">
        <v>240</v>
      </c>
      <c r="C241" s="5">
        <v>0.21210000000000001</v>
      </c>
      <c r="D241" s="5">
        <v>0.51</v>
      </c>
      <c r="E241" s="5">
        <v>8.9599999999999999E-2</v>
      </c>
      <c r="F241" s="5">
        <v>3</v>
      </c>
      <c r="G241" s="5">
        <v>214</v>
      </c>
      <c r="H241" s="5">
        <v>217</v>
      </c>
    </row>
    <row r="242" spans="1:8" ht="13.8" x14ac:dyDescent="0.25">
      <c r="A242" s="5">
        <v>240</v>
      </c>
      <c r="B242" s="5">
        <v>241</v>
      </c>
      <c r="C242" s="5">
        <v>0.19700000000000001</v>
      </c>
      <c r="D242" s="5">
        <v>0.51</v>
      </c>
      <c r="E242" s="5">
        <v>0.16420000000000001</v>
      </c>
      <c r="F242" s="5">
        <v>3</v>
      </c>
      <c r="G242" s="5">
        <v>127</v>
      </c>
      <c r="H242" s="5">
        <v>130</v>
      </c>
    </row>
    <row r="243" spans="1:8" ht="13.8" x14ac:dyDescent="0.25">
      <c r="A243" s="5">
        <v>241</v>
      </c>
      <c r="B243" s="5">
        <v>242</v>
      </c>
      <c r="C243" s="5">
        <v>0.21210000000000001</v>
      </c>
      <c r="D243" s="5">
        <v>0.51</v>
      </c>
      <c r="E243" s="5">
        <v>0.16420000000000001</v>
      </c>
      <c r="F243" s="5">
        <v>3</v>
      </c>
      <c r="G243" s="5">
        <v>51</v>
      </c>
      <c r="H243" s="5">
        <v>54</v>
      </c>
    </row>
    <row r="244" spans="1:8" ht="13.8" x14ac:dyDescent="0.25">
      <c r="A244" s="5">
        <v>242</v>
      </c>
      <c r="B244" s="5">
        <v>243</v>
      </c>
      <c r="C244" s="5">
        <v>0.21210000000000001</v>
      </c>
      <c r="D244" s="5">
        <v>0.47</v>
      </c>
      <c r="E244" s="5">
        <v>0.1343</v>
      </c>
      <c r="F244" s="5">
        <v>4</v>
      </c>
      <c r="G244" s="5">
        <v>31</v>
      </c>
      <c r="H244" s="5">
        <v>35</v>
      </c>
    </row>
    <row r="245" spans="1:8" ht="13.8" x14ac:dyDescent="0.25">
      <c r="A245" s="5">
        <v>243</v>
      </c>
      <c r="B245" s="5">
        <v>244</v>
      </c>
      <c r="C245" s="5">
        <v>0.2273</v>
      </c>
      <c r="D245" s="5">
        <v>0.51</v>
      </c>
      <c r="E245" s="5">
        <v>0.1045</v>
      </c>
      <c r="F245" s="5">
        <v>2</v>
      </c>
      <c r="G245" s="5">
        <v>55</v>
      </c>
      <c r="H245" s="5">
        <v>57</v>
      </c>
    </row>
    <row r="246" spans="1:8" ht="13.8" x14ac:dyDescent="0.25">
      <c r="A246" s="5">
        <v>244</v>
      </c>
      <c r="B246" s="5">
        <v>245</v>
      </c>
      <c r="C246" s="5">
        <v>0.2273</v>
      </c>
      <c r="D246" s="5">
        <v>0.59</v>
      </c>
      <c r="E246" s="5">
        <v>8.9599999999999999E-2</v>
      </c>
      <c r="F246" s="5">
        <v>6</v>
      </c>
      <c r="G246" s="5">
        <v>46</v>
      </c>
      <c r="H246" s="5">
        <v>52</v>
      </c>
    </row>
    <row r="247" spans="1:8" ht="13.8" x14ac:dyDescent="0.25">
      <c r="A247" s="5">
        <v>245</v>
      </c>
      <c r="B247" s="5">
        <v>246</v>
      </c>
      <c r="C247" s="5">
        <v>0.2273</v>
      </c>
      <c r="D247" s="5">
        <v>0.59</v>
      </c>
      <c r="E247" s="5">
        <v>8.9599999999999999E-2</v>
      </c>
      <c r="F247" s="5">
        <v>3</v>
      </c>
      <c r="G247" s="5">
        <v>60</v>
      </c>
      <c r="H247" s="5">
        <v>63</v>
      </c>
    </row>
    <row r="248" spans="1:8" ht="13.8" x14ac:dyDescent="0.25">
      <c r="A248" s="5">
        <v>246</v>
      </c>
      <c r="B248" s="5">
        <v>247</v>
      </c>
      <c r="C248" s="5">
        <v>0.19700000000000001</v>
      </c>
      <c r="D248" s="5">
        <v>0.8</v>
      </c>
      <c r="E248" s="5">
        <v>8.9599999999999999E-2</v>
      </c>
      <c r="F248" s="5">
        <v>2</v>
      </c>
      <c r="G248" s="5">
        <v>45</v>
      </c>
      <c r="H248" s="5">
        <v>47</v>
      </c>
    </row>
    <row r="249" spans="1:8" ht="13.8" x14ac:dyDescent="0.25">
      <c r="A249" s="5">
        <v>247</v>
      </c>
      <c r="B249" s="5">
        <v>248</v>
      </c>
      <c r="C249" s="5">
        <v>0.1515</v>
      </c>
      <c r="D249" s="5">
        <v>0.86</v>
      </c>
      <c r="E249" s="5">
        <v>0.22389999999999999</v>
      </c>
      <c r="F249" s="5">
        <v>4</v>
      </c>
      <c r="G249" s="5">
        <v>72</v>
      </c>
      <c r="H249" s="5">
        <v>76</v>
      </c>
    </row>
    <row r="250" spans="1:8" ht="13.8" x14ac:dyDescent="0.25">
      <c r="A250" s="5">
        <v>248</v>
      </c>
      <c r="B250" s="5">
        <v>249</v>
      </c>
      <c r="C250" s="5">
        <v>0.1515</v>
      </c>
      <c r="D250" s="5">
        <v>0.86</v>
      </c>
      <c r="E250" s="5">
        <v>0.22389999999999999</v>
      </c>
      <c r="F250" s="5">
        <v>6</v>
      </c>
      <c r="G250" s="5">
        <v>130</v>
      </c>
      <c r="H250" s="5">
        <v>136</v>
      </c>
    </row>
    <row r="251" spans="1:8" ht="13.8" x14ac:dyDescent="0.25">
      <c r="A251" s="5">
        <v>249</v>
      </c>
      <c r="B251" s="5">
        <v>250</v>
      </c>
      <c r="C251" s="5">
        <v>0.18179999999999999</v>
      </c>
      <c r="D251" s="5">
        <v>0.93</v>
      </c>
      <c r="E251" s="5">
        <v>0.1045</v>
      </c>
      <c r="F251" s="5">
        <v>1</v>
      </c>
      <c r="G251" s="5">
        <v>94</v>
      </c>
      <c r="H251" s="5">
        <v>95</v>
      </c>
    </row>
    <row r="252" spans="1:8" ht="13.8" x14ac:dyDescent="0.25">
      <c r="A252" s="5">
        <v>250</v>
      </c>
      <c r="B252" s="5">
        <v>251</v>
      </c>
      <c r="C252" s="5">
        <v>0.2273</v>
      </c>
      <c r="D252" s="5">
        <v>0.93</v>
      </c>
      <c r="E252" s="5">
        <v>0</v>
      </c>
      <c r="F252" s="5">
        <v>0</v>
      </c>
      <c r="G252" s="5">
        <v>51</v>
      </c>
      <c r="H252" s="5">
        <v>51</v>
      </c>
    </row>
    <row r="253" spans="1:8" ht="13.8" x14ac:dyDescent="0.25">
      <c r="A253" s="5">
        <v>251</v>
      </c>
      <c r="B253" s="5">
        <v>252</v>
      </c>
      <c r="C253" s="5">
        <v>0.1515</v>
      </c>
      <c r="D253" s="5">
        <v>0.93</v>
      </c>
      <c r="E253" s="5">
        <v>0.19400000000000001</v>
      </c>
      <c r="F253" s="5">
        <v>0</v>
      </c>
      <c r="G253" s="5">
        <v>32</v>
      </c>
      <c r="H253" s="5">
        <v>32</v>
      </c>
    </row>
    <row r="254" spans="1:8" ht="13.8" x14ac:dyDescent="0.25">
      <c r="A254" s="5">
        <v>252</v>
      </c>
      <c r="B254" s="5">
        <v>253</v>
      </c>
      <c r="C254" s="5">
        <v>0.19700000000000001</v>
      </c>
      <c r="D254" s="5">
        <v>0.86</v>
      </c>
      <c r="E254" s="5">
        <v>8.9599999999999999E-2</v>
      </c>
      <c r="F254" s="5">
        <v>0</v>
      </c>
      <c r="G254" s="5">
        <v>20</v>
      </c>
      <c r="H254" s="5">
        <v>20</v>
      </c>
    </row>
    <row r="255" spans="1:8" ht="13.8" x14ac:dyDescent="0.25">
      <c r="A255" s="5">
        <v>253</v>
      </c>
      <c r="B255" s="5">
        <v>254</v>
      </c>
      <c r="C255" s="5">
        <v>0.18179999999999999</v>
      </c>
      <c r="D255" s="5">
        <v>0.93</v>
      </c>
      <c r="E255" s="5">
        <v>0.1045</v>
      </c>
      <c r="F255" s="5">
        <v>1</v>
      </c>
      <c r="G255" s="5">
        <v>28</v>
      </c>
      <c r="H255" s="5">
        <v>29</v>
      </c>
    </row>
    <row r="256" spans="1:8" ht="13.8" x14ac:dyDescent="0.25">
      <c r="A256" s="5">
        <v>254</v>
      </c>
      <c r="B256" s="5">
        <v>255</v>
      </c>
      <c r="C256" s="5">
        <v>0.19700000000000001</v>
      </c>
      <c r="D256" s="5">
        <v>0.93</v>
      </c>
      <c r="E256" s="5">
        <v>8.9599999999999999E-2</v>
      </c>
      <c r="F256" s="5">
        <v>1</v>
      </c>
      <c r="G256" s="5">
        <v>18</v>
      </c>
      <c r="H256" s="5">
        <v>19</v>
      </c>
    </row>
    <row r="257" spans="1:8" ht="13.8" x14ac:dyDescent="0.25">
      <c r="A257" s="5">
        <v>255</v>
      </c>
      <c r="B257" s="5">
        <v>256</v>
      </c>
      <c r="C257" s="5">
        <v>0.19700000000000001</v>
      </c>
      <c r="D257" s="5">
        <v>0.86</v>
      </c>
      <c r="E257" s="5">
        <v>8.9599999999999999E-2</v>
      </c>
      <c r="F257" s="5">
        <v>0</v>
      </c>
      <c r="G257" s="5">
        <v>7</v>
      </c>
      <c r="H257" s="5">
        <v>7</v>
      </c>
    </row>
    <row r="258" spans="1:8" ht="13.8" x14ac:dyDescent="0.25">
      <c r="A258" s="5">
        <v>256</v>
      </c>
      <c r="B258" s="5">
        <v>257</v>
      </c>
      <c r="C258" s="5">
        <v>0.18179999999999999</v>
      </c>
      <c r="D258" s="5">
        <v>0.86</v>
      </c>
      <c r="E258" s="5">
        <v>0.1045</v>
      </c>
      <c r="F258" s="5">
        <v>0</v>
      </c>
      <c r="G258" s="5">
        <v>6</v>
      </c>
      <c r="H258" s="5">
        <v>6</v>
      </c>
    </row>
    <row r="259" spans="1:8" ht="13.8" x14ac:dyDescent="0.25">
      <c r="A259" s="5">
        <v>257</v>
      </c>
      <c r="B259" s="5">
        <v>258</v>
      </c>
      <c r="C259" s="5">
        <v>0.1515</v>
      </c>
      <c r="D259" s="5">
        <v>0.86</v>
      </c>
      <c r="E259" s="5">
        <v>0.1343</v>
      </c>
      <c r="F259" s="5">
        <v>0</v>
      </c>
      <c r="G259" s="5">
        <v>1</v>
      </c>
      <c r="H259" s="5">
        <v>1</v>
      </c>
    </row>
    <row r="260" spans="1:8" ht="13.8" x14ac:dyDescent="0.25">
      <c r="A260" s="5">
        <v>258</v>
      </c>
      <c r="B260" s="5">
        <v>259</v>
      </c>
      <c r="C260" s="5">
        <v>0.1515</v>
      </c>
      <c r="D260" s="5">
        <v>0.86</v>
      </c>
      <c r="E260" s="5">
        <v>0.16420000000000001</v>
      </c>
      <c r="F260" s="5">
        <v>0</v>
      </c>
      <c r="G260" s="5">
        <v>5</v>
      </c>
      <c r="H260" s="5">
        <v>5</v>
      </c>
    </row>
    <row r="261" spans="1:8" ht="13.8" x14ac:dyDescent="0.25">
      <c r="A261" s="5">
        <v>259</v>
      </c>
      <c r="B261" s="5">
        <v>260</v>
      </c>
      <c r="C261" s="5">
        <v>0.1515</v>
      </c>
      <c r="D261" s="5">
        <v>0.93</v>
      </c>
      <c r="E261" s="5">
        <v>0.1343</v>
      </c>
      <c r="F261" s="5">
        <v>0</v>
      </c>
      <c r="G261" s="5">
        <v>16</v>
      </c>
      <c r="H261" s="5">
        <v>16</v>
      </c>
    </row>
    <row r="262" spans="1:8" ht="13.8" x14ac:dyDescent="0.25">
      <c r="A262" s="5">
        <v>260</v>
      </c>
      <c r="B262" s="5">
        <v>261</v>
      </c>
      <c r="C262" s="5">
        <v>0.1515</v>
      </c>
      <c r="D262" s="5">
        <v>0.69</v>
      </c>
      <c r="E262" s="5">
        <v>0.1343</v>
      </c>
      <c r="F262" s="5">
        <v>0</v>
      </c>
      <c r="G262" s="5">
        <v>54</v>
      </c>
      <c r="H262" s="5">
        <v>54</v>
      </c>
    </row>
    <row r="263" spans="1:8" ht="13.8" x14ac:dyDescent="0.25">
      <c r="A263" s="5">
        <v>261</v>
      </c>
      <c r="B263" s="5">
        <v>262</v>
      </c>
      <c r="C263" s="5">
        <v>0.16669999999999999</v>
      </c>
      <c r="D263" s="5">
        <v>0.59</v>
      </c>
      <c r="E263" s="5">
        <v>0.16420000000000001</v>
      </c>
      <c r="F263" s="5">
        <v>3</v>
      </c>
      <c r="G263" s="5">
        <v>125</v>
      </c>
      <c r="H263" s="5">
        <v>128</v>
      </c>
    </row>
    <row r="264" spans="1:8" ht="13.8" x14ac:dyDescent="0.25">
      <c r="A264" s="5">
        <v>262</v>
      </c>
      <c r="B264" s="5">
        <v>263</v>
      </c>
      <c r="C264" s="5">
        <v>0.13639999999999999</v>
      </c>
      <c r="D264" s="5">
        <v>0.59</v>
      </c>
      <c r="E264" s="5">
        <v>0.32840000000000003</v>
      </c>
      <c r="F264" s="5">
        <v>3</v>
      </c>
      <c r="G264" s="5">
        <v>78</v>
      </c>
      <c r="H264" s="5">
        <v>81</v>
      </c>
    </row>
    <row r="265" spans="1:8" ht="13.8" x14ac:dyDescent="0.25">
      <c r="A265" s="5">
        <v>263</v>
      </c>
      <c r="B265" s="5">
        <v>264</v>
      </c>
      <c r="C265" s="5">
        <v>0.18179999999999999</v>
      </c>
      <c r="D265" s="5">
        <v>0.55000000000000004</v>
      </c>
      <c r="E265" s="5">
        <v>0.22389999999999999</v>
      </c>
      <c r="F265" s="5">
        <v>0</v>
      </c>
      <c r="G265" s="5">
        <v>39</v>
      </c>
      <c r="H265" s="5">
        <v>39</v>
      </c>
    </row>
    <row r="266" spans="1:8" ht="13.8" x14ac:dyDescent="0.25">
      <c r="A266" s="5">
        <v>264</v>
      </c>
      <c r="B266" s="5">
        <v>265</v>
      </c>
      <c r="C266" s="5">
        <v>0.18179999999999999</v>
      </c>
      <c r="D266" s="5">
        <v>0.51</v>
      </c>
      <c r="E266" s="5">
        <v>0.3881</v>
      </c>
      <c r="F266" s="5">
        <v>3</v>
      </c>
      <c r="G266" s="5">
        <v>32</v>
      </c>
      <c r="H266" s="5">
        <v>35</v>
      </c>
    </row>
    <row r="267" spans="1:8" ht="13.8" x14ac:dyDescent="0.25">
      <c r="A267" s="5">
        <v>265</v>
      </c>
      <c r="B267" s="5">
        <v>266</v>
      </c>
      <c r="C267" s="5">
        <v>0.1515</v>
      </c>
      <c r="D267" s="5">
        <v>0.47</v>
      </c>
      <c r="E267" s="5">
        <v>0.58209999999999995</v>
      </c>
      <c r="F267" s="5">
        <v>3</v>
      </c>
      <c r="G267" s="5">
        <v>52</v>
      </c>
      <c r="H267" s="5">
        <v>55</v>
      </c>
    </row>
    <row r="268" spans="1:8" ht="13.8" x14ac:dyDescent="0.25">
      <c r="A268" s="5">
        <v>266</v>
      </c>
      <c r="B268" s="5">
        <v>267</v>
      </c>
      <c r="C268" s="5">
        <v>0.19700000000000001</v>
      </c>
      <c r="D268" s="5">
        <v>0.44</v>
      </c>
      <c r="E268" s="5">
        <v>0.35820000000000002</v>
      </c>
      <c r="F268" s="5">
        <v>0</v>
      </c>
      <c r="G268" s="5">
        <v>49</v>
      </c>
      <c r="H268" s="5">
        <v>49</v>
      </c>
    </row>
    <row r="269" spans="1:8" ht="13.8" x14ac:dyDescent="0.25">
      <c r="A269" s="5">
        <v>267</v>
      </c>
      <c r="B269" s="5">
        <v>268</v>
      </c>
      <c r="C269" s="5">
        <v>0.18179999999999999</v>
      </c>
      <c r="D269" s="5">
        <v>0.47</v>
      </c>
      <c r="E269" s="5">
        <v>0.32840000000000003</v>
      </c>
      <c r="F269" s="5">
        <v>0</v>
      </c>
      <c r="G269" s="5">
        <v>44</v>
      </c>
      <c r="H269" s="5">
        <v>44</v>
      </c>
    </row>
    <row r="270" spans="1:8" ht="13.8" x14ac:dyDescent="0.25">
      <c r="A270" s="5">
        <v>268</v>
      </c>
      <c r="B270" s="5">
        <v>269</v>
      </c>
      <c r="C270" s="5">
        <v>0.16669999999999999</v>
      </c>
      <c r="D270" s="5">
        <v>0.47</v>
      </c>
      <c r="E270" s="5">
        <v>0.41789999999999999</v>
      </c>
      <c r="F270" s="5">
        <v>1</v>
      </c>
      <c r="G270" s="5">
        <v>48</v>
      </c>
      <c r="H270" s="5">
        <v>49</v>
      </c>
    </row>
    <row r="271" spans="1:8" ht="13.8" x14ac:dyDescent="0.25">
      <c r="A271" s="5">
        <v>269</v>
      </c>
      <c r="B271" s="5">
        <v>270</v>
      </c>
      <c r="C271" s="5">
        <v>0.19700000000000001</v>
      </c>
      <c r="D271" s="5">
        <v>0.44</v>
      </c>
      <c r="E271" s="5">
        <v>0.32840000000000003</v>
      </c>
      <c r="F271" s="5">
        <v>5</v>
      </c>
      <c r="G271" s="5">
        <v>63</v>
      </c>
      <c r="H271" s="5">
        <v>68</v>
      </c>
    </row>
    <row r="272" spans="1:8" ht="13.8" x14ac:dyDescent="0.25">
      <c r="A272" s="5">
        <v>270</v>
      </c>
      <c r="B272" s="5">
        <v>271</v>
      </c>
      <c r="C272" s="5">
        <v>0.18179999999999999</v>
      </c>
      <c r="D272" s="5">
        <v>0.47</v>
      </c>
      <c r="E272" s="5">
        <v>0.35820000000000002</v>
      </c>
      <c r="F272" s="5">
        <v>0</v>
      </c>
      <c r="G272" s="5">
        <v>139</v>
      </c>
      <c r="H272" s="5">
        <v>139</v>
      </c>
    </row>
    <row r="273" spans="1:8" ht="13.8" x14ac:dyDescent="0.25">
      <c r="A273" s="5">
        <v>271</v>
      </c>
      <c r="B273" s="5">
        <v>272</v>
      </c>
      <c r="C273" s="5">
        <v>0.1515</v>
      </c>
      <c r="D273" s="5">
        <v>0.47</v>
      </c>
      <c r="E273" s="5">
        <v>0.52239999999999998</v>
      </c>
      <c r="F273" s="5">
        <v>2</v>
      </c>
      <c r="G273" s="5">
        <v>135</v>
      </c>
      <c r="H273" s="5">
        <v>137</v>
      </c>
    </row>
    <row r="274" spans="1:8" ht="13.8" x14ac:dyDescent="0.25">
      <c r="A274" s="5">
        <v>272</v>
      </c>
      <c r="B274" s="5">
        <v>273</v>
      </c>
      <c r="C274" s="5">
        <v>0.1515</v>
      </c>
      <c r="D274" s="5">
        <v>0.47</v>
      </c>
      <c r="E274" s="5">
        <v>0.41789999999999999</v>
      </c>
      <c r="F274" s="5">
        <v>1</v>
      </c>
      <c r="G274" s="5">
        <v>82</v>
      </c>
      <c r="H274" s="5">
        <v>83</v>
      </c>
    </row>
    <row r="275" spans="1:8" ht="13.8" x14ac:dyDescent="0.25">
      <c r="A275" s="5">
        <v>273</v>
      </c>
      <c r="B275" s="5">
        <v>274</v>
      </c>
      <c r="C275" s="5">
        <v>0.13639999999999999</v>
      </c>
      <c r="D275" s="5">
        <v>0.5</v>
      </c>
      <c r="E275" s="5">
        <v>0.32840000000000003</v>
      </c>
      <c r="F275" s="5">
        <v>2</v>
      </c>
      <c r="G275" s="5">
        <v>54</v>
      </c>
      <c r="H275" s="5">
        <v>56</v>
      </c>
    </row>
    <row r="276" spans="1:8" ht="13.8" x14ac:dyDescent="0.25">
      <c r="A276" s="5">
        <v>274</v>
      </c>
      <c r="B276" s="5">
        <v>275</v>
      </c>
      <c r="C276" s="5">
        <v>0.13639999999999999</v>
      </c>
      <c r="D276" s="5">
        <v>0.55000000000000004</v>
      </c>
      <c r="E276" s="5">
        <v>0.32840000000000003</v>
      </c>
      <c r="F276" s="5">
        <v>0</v>
      </c>
      <c r="G276" s="5">
        <v>57</v>
      </c>
      <c r="H276" s="5">
        <v>57</v>
      </c>
    </row>
    <row r="277" spans="1:8" ht="13.8" x14ac:dyDescent="0.25">
      <c r="A277" s="5">
        <v>275</v>
      </c>
      <c r="B277" s="5">
        <v>276</v>
      </c>
      <c r="C277" s="5">
        <v>0.1212</v>
      </c>
      <c r="D277" s="5">
        <v>0.55000000000000004</v>
      </c>
      <c r="E277" s="5">
        <v>0.44779999999999998</v>
      </c>
      <c r="F277" s="5">
        <v>1</v>
      </c>
      <c r="G277" s="5">
        <v>32</v>
      </c>
      <c r="H277" s="5">
        <v>33</v>
      </c>
    </row>
    <row r="278" spans="1:8" ht="13.8" x14ac:dyDescent="0.25">
      <c r="A278" s="5">
        <v>276</v>
      </c>
      <c r="B278" s="5">
        <v>277</v>
      </c>
      <c r="C278" s="5">
        <v>0.1061</v>
      </c>
      <c r="D278" s="5">
        <v>0.59</v>
      </c>
      <c r="E278" s="5">
        <v>0.41789999999999999</v>
      </c>
      <c r="F278" s="5">
        <v>1</v>
      </c>
      <c r="G278" s="5">
        <v>19</v>
      </c>
      <c r="H278" s="5">
        <v>20</v>
      </c>
    </row>
    <row r="279" spans="1:8" ht="13.8" x14ac:dyDescent="0.25">
      <c r="A279" s="5">
        <v>277</v>
      </c>
      <c r="B279" s="5">
        <v>278</v>
      </c>
      <c r="C279" s="5">
        <v>0.1212</v>
      </c>
      <c r="D279" s="5">
        <v>0.59</v>
      </c>
      <c r="E279" s="5">
        <v>0.28360000000000002</v>
      </c>
      <c r="F279" s="5">
        <v>1</v>
      </c>
      <c r="G279" s="5">
        <v>6</v>
      </c>
      <c r="H279" s="5">
        <v>7</v>
      </c>
    </row>
    <row r="280" spans="1:8" ht="13.8" x14ac:dyDescent="0.25">
      <c r="A280" s="5">
        <v>278</v>
      </c>
      <c r="B280" s="5">
        <v>279</v>
      </c>
      <c r="C280" s="5">
        <v>0.1212</v>
      </c>
      <c r="D280" s="5">
        <v>0.5</v>
      </c>
      <c r="E280" s="5">
        <v>0.28360000000000002</v>
      </c>
      <c r="F280" s="5">
        <v>0</v>
      </c>
      <c r="G280" s="5">
        <v>2</v>
      </c>
      <c r="H280" s="5">
        <v>2</v>
      </c>
    </row>
    <row r="281" spans="1:8" ht="13.8" x14ac:dyDescent="0.25">
      <c r="A281" s="5">
        <v>279</v>
      </c>
      <c r="B281" s="5">
        <v>280</v>
      </c>
      <c r="C281" s="5">
        <v>0.1212</v>
      </c>
      <c r="D281" s="5">
        <v>0.5</v>
      </c>
      <c r="E281" s="5">
        <v>0.35820000000000002</v>
      </c>
      <c r="F281" s="5">
        <v>0</v>
      </c>
      <c r="G281" s="5">
        <v>2</v>
      </c>
      <c r="H281" s="5">
        <v>2</v>
      </c>
    </row>
    <row r="282" spans="1:8" ht="13.8" x14ac:dyDescent="0.25">
      <c r="A282" s="5">
        <v>280</v>
      </c>
      <c r="B282" s="5">
        <v>281</v>
      </c>
      <c r="C282" s="5">
        <v>0.1212</v>
      </c>
      <c r="D282" s="5">
        <v>0.5</v>
      </c>
      <c r="E282" s="5">
        <v>0.32840000000000003</v>
      </c>
      <c r="F282" s="5">
        <v>0</v>
      </c>
      <c r="G282" s="5">
        <v>3</v>
      </c>
      <c r="H282" s="5">
        <v>3</v>
      </c>
    </row>
    <row r="283" spans="1:8" ht="13.8" x14ac:dyDescent="0.25">
      <c r="A283" s="5">
        <v>281</v>
      </c>
      <c r="B283" s="5">
        <v>282</v>
      </c>
      <c r="C283" s="5">
        <v>0.1212</v>
      </c>
      <c r="D283" s="5">
        <v>0.5</v>
      </c>
      <c r="E283" s="5">
        <v>0.25369999999999998</v>
      </c>
      <c r="F283" s="5">
        <v>0</v>
      </c>
      <c r="G283" s="5">
        <v>4</v>
      </c>
      <c r="H283" s="5">
        <v>4</v>
      </c>
    </row>
    <row r="284" spans="1:8" ht="13.8" x14ac:dyDescent="0.25">
      <c r="A284" s="5">
        <v>282</v>
      </c>
      <c r="B284" s="5">
        <v>283</v>
      </c>
      <c r="C284" s="5">
        <v>0.1212</v>
      </c>
      <c r="D284" s="5">
        <v>0.5</v>
      </c>
      <c r="E284" s="5">
        <v>0.29849999999999999</v>
      </c>
      <c r="F284" s="5">
        <v>0</v>
      </c>
      <c r="G284" s="5">
        <v>3</v>
      </c>
      <c r="H284" s="5">
        <v>3</v>
      </c>
    </row>
    <row r="285" spans="1:8" ht="13.8" x14ac:dyDescent="0.25">
      <c r="A285" s="5">
        <v>283</v>
      </c>
      <c r="B285" s="5">
        <v>284</v>
      </c>
      <c r="C285" s="5">
        <v>0.1515</v>
      </c>
      <c r="D285" s="5">
        <v>0.54</v>
      </c>
      <c r="E285" s="5">
        <v>0.1343</v>
      </c>
      <c r="F285" s="5">
        <v>0</v>
      </c>
      <c r="G285" s="5">
        <v>28</v>
      </c>
      <c r="H285" s="5">
        <v>28</v>
      </c>
    </row>
    <row r="286" spans="1:8" ht="13.8" x14ac:dyDescent="0.25">
      <c r="A286" s="5">
        <v>284</v>
      </c>
      <c r="B286" s="5">
        <v>285</v>
      </c>
      <c r="C286" s="5">
        <v>0.1515</v>
      </c>
      <c r="D286" s="5">
        <v>0.54</v>
      </c>
      <c r="E286" s="5">
        <v>0.1343</v>
      </c>
      <c r="F286" s="5">
        <v>0</v>
      </c>
      <c r="G286" s="5">
        <v>72</v>
      </c>
      <c r="H286" s="5">
        <v>72</v>
      </c>
    </row>
    <row r="287" spans="1:8" ht="13.8" x14ac:dyDescent="0.25">
      <c r="A287" s="5">
        <v>285</v>
      </c>
      <c r="B287" s="5">
        <v>286</v>
      </c>
      <c r="C287" s="5">
        <v>0.13639999999999999</v>
      </c>
      <c r="D287" s="5">
        <v>0.5</v>
      </c>
      <c r="E287" s="5">
        <v>0.19400000000000001</v>
      </c>
      <c r="F287" s="5">
        <v>5</v>
      </c>
      <c r="G287" s="5">
        <v>197</v>
      </c>
      <c r="H287" s="5">
        <v>202</v>
      </c>
    </row>
    <row r="288" spans="1:8" ht="13.8" x14ac:dyDescent="0.25">
      <c r="A288" s="5">
        <v>286</v>
      </c>
      <c r="B288" s="5">
        <v>287</v>
      </c>
      <c r="C288" s="5">
        <v>0.1212</v>
      </c>
      <c r="D288" s="5">
        <v>0.5</v>
      </c>
      <c r="E288" s="5">
        <v>0.32840000000000003</v>
      </c>
      <c r="F288" s="5">
        <v>2</v>
      </c>
      <c r="G288" s="5">
        <v>137</v>
      </c>
      <c r="H288" s="5">
        <v>139</v>
      </c>
    </row>
    <row r="289" spans="1:8" ht="13.8" x14ac:dyDescent="0.25">
      <c r="A289" s="5">
        <v>287</v>
      </c>
      <c r="B289" s="5">
        <v>288</v>
      </c>
      <c r="C289" s="5">
        <v>0.13639999999999999</v>
      </c>
      <c r="D289" s="5">
        <v>0.5</v>
      </c>
      <c r="E289" s="5">
        <v>0.35820000000000002</v>
      </c>
      <c r="F289" s="5">
        <v>2</v>
      </c>
      <c r="G289" s="5">
        <v>36</v>
      </c>
      <c r="H289" s="5">
        <v>38</v>
      </c>
    </row>
    <row r="290" spans="1:8" ht="13.8" x14ac:dyDescent="0.25">
      <c r="A290" s="5">
        <v>288</v>
      </c>
      <c r="B290" s="5">
        <v>289</v>
      </c>
      <c r="C290" s="5">
        <v>0.16669999999999999</v>
      </c>
      <c r="D290" s="5">
        <v>0.44</v>
      </c>
      <c r="E290" s="5">
        <v>0.44779999999999998</v>
      </c>
      <c r="F290" s="5">
        <v>4</v>
      </c>
      <c r="G290" s="5">
        <v>33</v>
      </c>
      <c r="H290" s="5">
        <v>37</v>
      </c>
    </row>
    <row r="291" spans="1:8" ht="13.8" x14ac:dyDescent="0.25">
      <c r="A291" s="5">
        <v>289</v>
      </c>
      <c r="B291" s="5">
        <v>290</v>
      </c>
      <c r="C291" s="5">
        <v>0.16669999999999999</v>
      </c>
      <c r="D291" s="5">
        <v>0.44</v>
      </c>
      <c r="E291" s="5">
        <v>0.41789999999999999</v>
      </c>
      <c r="F291" s="5">
        <v>3</v>
      </c>
      <c r="G291" s="5">
        <v>49</v>
      </c>
      <c r="H291" s="5">
        <v>52</v>
      </c>
    </row>
    <row r="292" spans="1:8" ht="13.8" x14ac:dyDescent="0.25">
      <c r="A292" s="5">
        <v>290</v>
      </c>
      <c r="B292" s="5">
        <v>291</v>
      </c>
      <c r="C292" s="5">
        <v>0.19700000000000001</v>
      </c>
      <c r="D292" s="5">
        <v>0.41</v>
      </c>
      <c r="E292" s="5">
        <v>0.44779999999999998</v>
      </c>
      <c r="F292" s="5">
        <v>2</v>
      </c>
      <c r="G292" s="5">
        <v>81</v>
      </c>
      <c r="H292" s="5">
        <v>83</v>
      </c>
    </row>
    <row r="293" spans="1:8" ht="13.8" x14ac:dyDescent="0.25">
      <c r="A293" s="5">
        <v>291</v>
      </c>
      <c r="B293" s="5">
        <v>292</v>
      </c>
      <c r="C293" s="5">
        <v>0.19700000000000001</v>
      </c>
      <c r="D293" s="5">
        <v>0.41</v>
      </c>
      <c r="E293" s="5">
        <v>0.3881</v>
      </c>
      <c r="F293" s="5">
        <v>3</v>
      </c>
      <c r="G293" s="5">
        <v>39</v>
      </c>
      <c r="H293" s="5">
        <v>42</v>
      </c>
    </row>
    <row r="294" spans="1:8" ht="13.8" x14ac:dyDescent="0.25">
      <c r="A294" s="5">
        <v>292</v>
      </c>
      <c r="B294" s="5">
        <v>293</v>
      </c>
      <c r="C294" s="5">
        <v>0.21210000000000001</v>
      </c>
      <c r="D294" s="5">
        <v>0.38</v>
      </c>
      <c r="E294" s="5">
        <v>0.29849999999999999</v>
      </c>
      <c r="F294" s="5">
        <v>5</v>
      </c>
      <c r="G294" s="5">
        <v>55</v>
      </c>
      <c r="H294" s="5">
        <v>60</v>
      </c>
    </row>
    <row r="295" spans="1:8" ht="13.8" x14ac:dyDescent="0.25">
      <c r="A295" s="5">
        <v>293</v>
      </c>
      <c r="B295" s="5">
        <v>294</v>
      </c>
      <c r="C295" s="5">
        <v>0.21210000000000001</v>
      </c>
      <c r="D295" s="5">
        <v>0.38</v>
      </c>
      <c r="E295" s="5">
        <v>0.35820000000000002</v>
      </c>
      <c r="F295" s="5">
        <v>2</v>
      </c>
      <c r="G295" s="5">
        <v>76</v>
      </c>
      <c r="H295" s="5">
        <v>78</v>
      </c>
    </row>
    <row r="296" spans="1:8" ht="13.8" x14ac:dyDescent="0.25">
      <c r="A296" s="5">
        <v>294</v>
      </c>
      <c r="B296" s="5">
        <v>295</v>
      </c>
      <c r="C296" s="5">
        <v>0.18179999999999999</v>
      </c>
      <c r="D296" s="5">
        <v>0.4</v>
      </c>
      <c r="E296" s="5">
        <v>0.28360000000000002</v>
      </c>
      <c r="F296" s="5">
        <v>4</v>
      </c>
      <c r="G296" s="5">
        <v>158</v>
      </c>
      <c r="H296" s="5">
        <v>162</v>
      </c>
    </row>
    <row r="297" spans="1:8" ht="13.8" x14ac:dyDescent="0.25">
      <c r="A297" s="5">
        <v>295</v>
      </c>
      <c r="B297" s="5">
        <v>296</v>
      </c>
      <c r="C297" s="5">
        <v>0.18179999999999999</v>
      </c>
      <c r="D297" s="5">
        <v>0.4</v>
      </c>
      <c r="E297" s="5">
        <v>0.32840000000000003</v>
      </c>
      <c r="F297" s="5">
        <v>3</v>
      </c>
      <c r="G297" s="5">
        <v>141</v>
      </c>
      <c r="H297" s="5">
        <v>144</v>
      </c>
    </row>
    <row r="298" spans="1:8" ht="13.8" x14ac:dyDescent="0.25">
      <c r="A298" s="5">
        <v>296</v>
      </c>
      <c r="B298" s="5">
        <v>297</v>
      </c>
      <c r="C298" s="5">
        <v>0.1515</v>
      </c>
      <c r="D298" s="5">
        <v>0.47</v>
      </c>
      <c r="E298" s="5">
        <v>0.25369999999999998</v>
      </c>
      <c r="F298" s="5">
        <v>1</v>
      </c>
      <c r="G298" s="5">
        <v>98</v>
      </c>
      <c r="H298" s="5">
        <v>99</v>
      </c>
    </row>
    <row r="299" spans="1:8" ht="13.8" x14ac:dyDescent="0.25">
      <c r="A299" s="5">
        <v>297</v>
      </c>
      <c r="B299" s="5">
        <v>298</v>
      </c>
      <c r="C299" s="5">
        <v>0.1515</v>
      </c>
      <c r="D299" s="5">
        <v>0.47</v>
      </c>
      <c r="E299" s="5">
        <v>0.22389999999999999</v>
      </c>
      <c r="F299" s="5">
        <v>0</v>
      </c>
      <c r="G299" s="5">
        <v>64</v>
      </c>
      <c r="H299" s="5">
        <v>64</v>
      </c>
    </row>
    <row r="300" spans="1:8" ht="13.8" x14ac:dyDescent="0.25">
      <c r="A300" s="5">
        <v>298</v>
      </c>
      <c r="B300" s="5">
        <v>299</v>
      </c>
      <c r="C300" s="5">
        <v>0.1212</v>
      </c>
      <c r="D300" s="5">
        <v>0.46</v>
      </c>
      <c r="E300" s="5">
        <v>0.29849999999999999</v>
      </c>
      <c r="F300" s="5">
        <v>0</v>
      </c>
      <c r="G300" s="5">
        <v>40</v>
      </c>
      <c r="H300" s="5">
        <v>40</v>
      </c>
    </row>
    <row r="301" spans="1:8" ht="13.8" x14ac:dyDescent="0.25">
      <c r="A301" s="5">
        <v>299</v>
      </c>
      <c r="B301" s="5">
        <v>300</v>
      </c>
      <c r="C301" s="5">
        <v>0.1212</v>
      </c>
      <c r="D301" s="5">
        <v>0.46</v>
      </c>
      <c r="E301" s="5">
        <v>0.32840000000000003</v>
      </c>
      <c r="F301" s="5">
        <v>0</v>
      </c>
      <c r="G301" s="5">
        <v>30</v>
      </c>
      <c r="H301" s="5">
        <v>30</v>
      </c>
    </row>
    <row r="302" spans="1:8" ht="13.8" x14ac:dyDescent="0.25">
      <c r="A302" s="5">
        <v>300</v>
      </c>
      <c r="B302" s="5">
        <v>301</v>
      </c>
      <c r="C302" s="5">
        <v>0.13639999999999999</v>
      </c>
      <c r="D302" s="5">
        <v>0.5</v>
      </c>
      <c r="E302" s="5">
        <v>0.19400000000000001</v>
      </c>
      <c r="F302" s="5">
        <v>1</v>
      </c>
      <c r="G302" s="5">
        <v>14</v>
      </c>
      <c r="H302" s="5">
        <v>15</v>
      </c>
    </row>
    <row r="303" spans="1:8" ht="13.8" x14ac:dyDescent="0.25">
      <c r="A303" s="5">
        <v>301</v>
      </c>
      <c r="B303" s="5">
        <v>302</v>
      </c>
      <c r="C303" s="5">
        <v>0.13639999999999999</v>
      </c>
      <c r="D303" s="5">
        <v>0.5</v>
      </c>
      <c r="E303" s="5">
        <v>0.19400000000000001</v>
      </c>
      <c r="F303" s="5">
        <v>0</v>
      </c>
      <c r="G303" s="5">
        <v>14</v>
      </c>
      <c r="H303" s="5">
        <v>14</v>
      </c>
    </row>
    <row r="304" spans="1:8" ht="13.8" x14ac:dyDescent="0.25">
      <c r="A304" s="5">
        <v>302</v>
      </c>
      <c r="B304" s="5">
        <v>303</v>
      </c>
      <c r="C304" s="5">
        <v>0.1212</v>
      </c>
      <c r="D304" s="5">
        <v>0.54</v>
      </c>
      <c r="E304" s="5">
        <v>0.16420000000000001</v>
      </c>
      <c r="F304" s="5">
        <v>0</v>
      </c>
      <c r="G304" s="5">
        <v>5</v>
      </c>
      <c r="H304" s="5">
        <v>5</v>
      </c>
    </row>
    <row r="305" spans="1:8" ht="13.8" x14ac:dyDescent="0.25">
      <c r="A305" s="5">
        <v>303</v>
      </c>
      <c r="B305" s="5">
        <v>304</v>
      </c>
      <c r="C305" s="5">
        <v>0.1212</v>
      </c>
      <c r="D305" s="5">
        <v>0.54</v>
      </c>
      <c r="E305" s="5">
        <v>0.1343</v>
      </c>
      <c r="F305" s="5">
        <v>0</v>
      </c>
      <c r="G305" s="5">
        <v>1</v>
      </c>
      <c r="H305" s="5">
        <v>1</v>
      </c>
    </row>
    <row r="306" spans="1:8" ht="13.8" x14ac:dyDescent="0.25">
      <c r="A306" s="5">
        <v>304</v>
      </c>
      <c r="B306" s="5">
        <v>305</v>
      </c>
      <c r="C306" s="5">
        <v>0.13639999999999999</v>
      </c>
      <c r="D306" s="5">
        <v>0.54</v>
      </c>
      <c r="E306" s="5">
        <v>0.1045</v>
      </c>
      <c r="F306" s="5">
        <v>0</v>
      </c>
      <c r="G306" s="5">
        <v>1</v>
      </c>
      <c r="H306" s="5">
        <v>1</v>
      </c>
    </row>
    <row r="307" spans="1:8" ht="13.8" x14ac:dyDescent="0.25">
      <c r="A307" s="5">
        <v>305</v>
      </c>
      <c r="B307" s="5">
        <v>306</v>
      </c>
      <c r="C307" s="5">
        <v>0.13639999999999999</v>
      </c>
      <c r="D307" s="5">
        <v>0.54</v>
      </c>
      <c r="E307" s="5">
        <v>8.9599999999999999E-2</v>
      </c>
      <c r="F307" s="5">
        <v>0</v>
      </c>
      <c r="G307" s="5">
        <v>8</v>
      </c>
      <c r="H307" s="5">
        <v>8</v>
      </c>
    </row>
    <row r="308" spans="1:8" ht="13.8" x14ac:dyDescent="0.25">
      <c r="A308" s="5">
        <v>306</v>
      </c>
      <c r="B308" s="5">
        <v>307</v>
      </c>
      <c r="C308" s="5">
        <v>0.18179999999999999</v>
      </c>
      <c r="D308" s="5">
        <v>0.54</v>
      </c>
      <c r="E308" s="5">
        <v>0</v>
      </c>
      <c r="F308" s="5">
        <v>0</v>
      </c>
      <c r="G308" s="5">
        <v>17</v>
      </c>
      <c r="H308" s="5">
        <v>17</v>
      </c>
    </row>
    <row r="309" spans="1:8" ht="13.8" x14ac:dyDescent="0.25">
      <c r="A309" s="5">
        <v>307</v>
      </c>
      <c r="B309" s="5">
        <v>308</v>
      </c>
      <c r="C309" s="5">
        <v>0.1212</v>
      </c>
      <c r="D309" s="5">
        <v>0.74</v>
      </c>
      <c r="E309" s="5">
        <v>0.16420000000000001</v>
      </c>
      <c r="F309" s="5">
        <v>0</v>
      </c>
      <c r="G309" s="5">
        <v>70</v>
      </c>
      <c r="H309" s="5">
        <v>70</v>
      </c>
    </row>
    <row r="310" spans="1:8" ht="13.8" x14ac:dyDescent="0.25">
      <c r="A310" s="5">
        <v>308</v>
      </c>
      <c r="B310" s="5">
        <v>309</v>
      </c>
      <c r="C310" s="5">
        <v>0.16669999999999999</v>
      </c>
      <c r="D310" s="5">
        <v>0.68</v>
      </c>
      <c r="E310" s="5">
        <v>0</v>
      </c>
      <c r="F310" s="5">
        <v>2</v>
      </c>
      <c r="G310" s="5">
        <v>156</v>
      </c>
      <c r="H310" s="5">
        <v>158</v>
      </c>
    </row>
    <row r="311" spans="1:8" ht="13.8" x14ac:dyDescent="0.25">
      <c r="A311" s="5">
        <v>309</v>
      </c>
      <c r="B311" s="5">
        <v>310</v>
      </c>
      <c r="C311" s="5">
        <v>0.1515</v>
      </c>
      <c r="D311" s="5">
        <v>0.69</v>
      </c>
      <c r="E311" s="5">
        <v>0.1343</v>
      </c>
      <c r="F311" s="5">
        <v>0</v>
      </c>
      <c r="G311" s="5">
        <v>117</v>
      </c>
      <c r="H311" s="5">
        <v>117</v>
      </c>
    </row>
    <row r="312" spans="1:8" ht="13.8" x14ac:dyDescent="0.25">
      <c r="A312" s="5">
        <v>310</v>
      </c>
      <c r="B312" s="5">
        <v>311</v>
      </c>
      <c r="C312" s="5">
        <v>0.18179999999999999</v>
      </c>
      <c r="D312" s="5">
        <v>0.55000000000000004</v>
      </c>
      <c r="E312" s="5">
        <v>0.19400000000000001</v>
      </c>
      <c r="F312" s="5">
        <v>4</v>
      </c>
      <c r="G312" s="5">
        <v>40</v>
      </c>
      <c r="H312" s="5">
        <v>44</v>
      </c>
    </row>
    <row r="313" spans="1:8" ht="13.8" x14ac:dyDescent="0.25">
      <c r="A313" s="5">
        <v>311</v>
      </c>
      <c r="B313" s="5">
        <v>312</v>
      </c>
      <c r="C313" s="5">
        <v>0.16669999999999999</v>
      </c>
      <c r="D313" s="5">
        <v>0.51</v>
      </c>
      <c r="E313" s="5">
        <v>0.28360000000000002</v>
      </c>
      <c r="F313" s="5">
        <v>6</v>
      </c>
      <c r="G313" s="5">
        <v>47</v>
      </c>
      <c r="H313" s="5">
        <v>53</v>
      </c>
    </row>
    <row r="314" spans="1:8" ht="13.8" x14ac:dyDescent="0.25">
      <c r="A314" s="5">
        <v>312</v>
      </c>
      <c r="B314" s="5">
        <v>313</v>
      </c>
      <c r="C314" s="5">
        <v>0.19700000000000001</v>
      </c>
      <c r="D314" s="5">
        <v>0.44</v>
      </c>
      <c r="E314" s="5">
        <v>0.25369999999999998</v>
      </c>
      <c r="F314" s="5">
        <v>2</v>
      </c>
      <c r="G314" s="5">
        <v>59</v>
      </c>
      <c r="H314" s="5">
        <v>61</v>
      </c>
    </row>
    <row r="315" spans="1:8" ht="13.8" x14ac:dyDescent="0.25">
      <c r="A315" s="5">
        <v>313</v>
      </c>
      <c r="B315" s="5">
        <v>314</v>
      </c>
      <c r="C315" s="5">
        <v>0.19700000000000001</v>
      </c>
      <c r="D315" s="5">
        <v>0.37</v>
      </c>
      <c r="E315" s="5">
        <v>0.3881</v>
      </c>
      <c r="F315" s="5">
        <v>4</v>
      </c>
      <c r="G315" s="5">
        <v>73</v>
      </c>
      <c r="H315" s="5">
        <v>77</v>
      </c>
    </row>
    <row r="316" spans="1:8" ht="13.8" x14ac:dyDescent="0.25">
      <c r="A316" s="5">
        <v>314</v>
      </c>
      <c r="B316" s="5">
        <v>315</v>
      </c>
      <c r="C316" s="5">
        <v>0.21210000000000001</v>
      </c>
      <c r="D316" s="5">
        <v>0.41</v>
      </c>
      <c r="E316" s="5">
        <v>0.28360000000000002</v>
      </c>
      <c r="F316" s="5">
        <v>5</v>
      </c>
      <c r="G316" s="5">
        <v>59</v>
      </c>
      <c r="H316" s="5">
        <v>64</v>
      </c>
    </row>
    <row r="317" spans="1:8" ht="13.8" x14ac:dyDescent="0.25">
      <c r="A317" s="5">
        <v>315</v>
      </c>
      <c r="B317" s="5">
        <v>316</v>
      </c>
      <c r="C317" s="5">
        <v>0.2424</v>
      </c>
      <c r="D317" s="5">
        <v>0.38</v>
      </c>
      <c r="E317" s="5">
        <v>0.16420000000000001</v>
      </c>
      <c r="F317" s="5">
        <v>9</v>
      </c>
      <c r="G317" s="5">
        <v>59</v>
      </c>
      <c r="H317" s="5">
        <v>68</v>
      </c>
    </row>
    <row r="318" spans="1:8" ht="13.8" x14ac:dyDescent="0.25">
      <c r="A318" s="5">
        <v>316</v>
      </c>
      <c r="B318" s="5">
        <v>317</v>
      </c>
      <c r="C318" s="5">
        <v>0.2424</v>
      </c>
      <c r="D318" s="5">
        <v>0.41</v>
      </c>
      <c r="E318" s="5">
        <v>0.1045</v>
      </c>
      <c r="F318" s="5">
        <v>3</v>
      </c>
      <c r="G318" s="5">
        <v>87</v>
      </c>
      <c r="H318" s="5">
        <v>90</v>
      </c>
    </row>
    <row r="319" spans="1:8" ht="13.8" x14ac:dyDescent="0.25">
      <c r="A319" s="5">
        <v>317</v>
      </c>
      <c r="B319" s="5">
        <v>318</v>
      </c>
      <c r="C319" s="5">
        <v>0.2273</v>
      </c>
      <c r="D319" s="5">
        <v>0.41</v>
      </c>
      <c r="E319" s="5">
        <v>0.16420000000000001</v>
      </c>
      <c r="F319" s="5">
        <v>4</v>
      </c>
      <c r="G319" s="5">
        <v>155</v>
      </c>
      <c r="H319" s="5">
        <v>159</v>
      </c>
    </row>
    <row r="320" spans="1:8" ht="13.8" x14ac:dyDescent="0.25">
      <c r="A320" s="5">
        <v>318</v>
      </c>
      <c r="B320" s="5">
        <v>319</v>
      </c>
      <c r="C320" s="5">
        <v>0.2576</v>
      </c>
      <c r="D320" s="5">
        <v>0.47</v>
      </c>
      <c r="E320" s="5">
        <v>0</v>
      </c>
      <c r="F320" s="5">
        <v>5</v>
      </c>
      <c r="G320" s="5">
        <v>134</v>
      </c>
      <c r="H320" s="5">
        <v>139</v>
      </c>
    </row>
    <row r="321" spans="1:8" ht="13.8" x14ac:dyDescent="0.25">
      <c r="A321" s="5">
        <v>319</v>
      </c>
      <c r="B321" s="5">
        <v>320</v>
      </c>
      <c r="C321" s="5">
        <v>0.19700000000000001</v>
      </c>
      <c r="D321" s="5">
        <v>0.59</v>
      </c>
      <c r="E321" s="5">
        <v>8.9599999999999999E-2</v>
      </c>
      <c r="F321" s="5">
        <v>3</v>
      </c>
      <c r="G321" s="5">
        <v>89</v>
      </c>
      <c r="H321" s="5">
        <v>92</v>
      </c>
    </row>
    <row r="322" spans="1:8" ht="13.8" x14ac:dyDescent="0.25">
      <c r="A322" s="5">
        <v>320</v>
      </c>
      <c r="B322" s="5">
        <v>321</v>
      </c>
      <c r="C322" s="5">
        <v>0.2424</v>
      </c>
      <c r="D322" s="5">
        <v>0.59</v>
      </c>
      <c r="E322" s="5">
        <v>0</v>
      </c>
      <c r="F322" s="5">
        <v>0</v>
      </c>
      <c r="G322" s="5">
        <v>68</v>
      </c>
      <c r="H322" s="5">
        <v>68</v>
      </c>
    </row>
    <row r="323" spans="1:8" ht="13.8" x14ac:dyDescent="0.25">
      <c r="A323" s="5">
        <v>321</v>
      </c>
      <c r="B323" s="5">
        <v>322</v>
      </c>
      <c r="C323" s="5">
        <v>0.2273</v>
      </c>
      <c r="D323" s="5">
        <v>0.69</v>
      </c>
      <c r="E323" s="5">
        <v>0</v>
      </c>
      <c r="F323" s="5">
        <v>4</v>
      </c>
      <c r="G323" s="5">
        <v>48</v>
      </c>
      <c r="H323" s="5">
        <v>52</v>
      </c>
    </row>
    <row r="324" spans="1:8" ht="13.8" x14ac:dyDescent="0.25">
      <c r="A324" s="5">
        <v>322</v>
      </c>
      <c r="B324" s="5">
        <v>323</v>
      </c>
      <c r="C324" s="5">
        <v>0.2273</v>
      </c>
      <c r="D324" s="5">
        <v>0.69</v>
      </c>
      <c r="E324" s="5">
        <v>0</v>
      </c>
      <c r="F324" s="5">
        <v>2</v>
      </c>
      <c r="G324" s="5">
        <v>34</v>
      </c>
      <c r="H324" s="5">
        <v>36</v>
      </c>
    </row>
    <row r="325" spans="1:8" ht="13.8" x14ac:dyDescent="0.25">
      <c r="A325" s="5">
        <v>323</v>
      </c>
      <c r="B325" s="5">
        <v>324</v>
      </c>
      <c r="C325" s="5">
        <v>0.2424</v>
      </c>
      <c r="D325" s="5">
        <v>0.55000000000000004</v>
      </c>
      <c r="E325" s="5">
        <v>0</v>
      </c>
      <c r="F325" s="5">
        <v>1</v>
      </c>
      <c r="G325" s="5">
        <v>26</v>
      </c>
      <c r="H325" s="5">
        <v>27</v>
      </c>
    </row>
    <row r="326" spans="1:8" ht="13.8" x14ac:dyDescent="0.25">
      <c r="A326" s="5">
        <v>324</v>
      </c>
      <c r="B326" s="5">
        <v>325</v>
      </c>
      <c r="C326" s="5">
        <v>0.2424</v>
      </c>
      <c r="D326" s="5">
        <v>0.55000000000000004</v>
      </c>
      <c r="E326" s="5">
        <v>0</v>
      </c>
      <c r="F326" s="5">
        <v>3</v>
      </c>
      <c r="G326" s="5">
        <v>25</v>
      </c>
      <c r="H326" s="5">
        <v>28</v>
      </c>
    </row>
    <row r="327" spans="1:8" ht="13.8" x14ac:dyDescent="0.25">
      <c r="A327" s="5">
        <v>325</v>
      </c>
      <c r="B327" s="5">
        <v>326</v>
      </c>
      <c r="C327" s="5">
        <v>0.19700000000000001</v>
      </c>
      <c r="D327" s="5">
        <v>0.59</v>
      </c>
      <c r="E327" s="5">
        <v>8.9599999999999999E-2</v>
      </c>
      <c r="F327" s="5">
        <v>2</v>
      </c>
      <c r="G327" s="5">
        <v>18</v>
      </c>
      <c r="H327" s="5">
        <v>20</v>
      </c>
    </row>
    <row r="328" spans="1:8" ht="13.8" x14ac:dyDescent="0.25">
      <c r="A328" s="5">
        <v>326</v>
      </c>
      <c r="B328" s="5">
        <v>327</v>
      </c>
      <c r="C328" s="5">
        <v>0.19700000000000001</v>
      </c>
      <c r="D328" s="5">
        <v>0.59</v>
      </c>
      <c r="E328" s="5">
        <v>8.9599999999999999E-2</v>
      </c>
      <c r="F328" s="5">
        <v>0</v>
      </c>
      <c r="G328" s="5">
        <v>12</v>
      </c>
      <c r="H328" s="5">
        <v>12</v>
      </c>
    </row>
    <row r="329" spans="1:8" ht="13.8" x14ac:dyDescent="0.25">
      <c r="A329" s="5">
        <v>327</v>
      </c>
      <c r="B329" s="5">
        <v>328</v>
      </c>
      <c r="C329" s="5">
        <v>0.2273</v>
      </c>
      <c r="D329" s="5">
        <v>0.59</v>
      </c>
      <c r="E329" s="5">
        <v>0</v>
      </c>
      <c r="F329" s="5">
        <v>1</v>
      </c>
      <c r="G329" s="5">
        <v>7</v>
      </c>
      <c r="H329" s="5">
        <v>8</v>
      </c>
    </row>
    <row r="330" spans="1:8" ht="13.8" x14ac:dyDescent="0.25">
      <c r="A330" s="5">
        <v>328</v>
      </c>
      <c r="B330" s="5">
        <v>329</v>
      </c>
      <c r="C330" s="5">
        <v>0.2273</v>
      </c>
      <c r="D330" s="5">
        <v>0.59</v>
      </c>
      <c r="E330" s="5">
        <v>0</v>
      </c>
      <c r="F330" s="5">
        <v>0</v>
      </c>
      <c r="G330" s="5">
        <v>5</v>
      </c>
      <c r="H330" s="5">
        <v>5</v>
      </c>
    </row>
    <row r="331" spans="1:8" ht="13.8" x14ac:dyDescent="0.25">
      <c r="A331" s="5">
        <v>329</v>
      </c>
      <c r="B331" s="5">
        <v>330</v>
      </c>
      <c r="C331" s="5">
        <v>0.2273</v>
      </c>
      <c r="D331" s="5">
        <v>0.59</v>
      </c>
      <c r="E331" s="5">
        <v>0</v>
      </c>
      <c r="F331" s="5">
        <v>0</v>
      </c>
      <c r="G331" s="5">
        <v>1</v>
      </c>
      <c r="H331" s="5">
        <v>1</v>
      </c>
    </row>
    <row r="332" spans="1:8" ht="13.8" x14ac:dyDescent="0.25">
      <c r="A332" s="5">
        <v>330</v>
      </c>
      <c r="B332" s="5">
        <v>331</v>
      </c>
      <c r="C332" s="5">
        <v>0.16669999999999999</v>
      </c>
      <c r="D332" s="5">
        <v>0.63</v>
      </c>
      <c r="E332" s="5">
        <v>0.1045</v>
      </c>
      <c r="F332" s="5">
        <v>1</v>
      </c>
      <c r="G332" s="5">
        <v>2</v>
      </c>
      <c r="H332" s="5">
        <v>3</v>
      </c>
    </row>
    <row r="333" spans="1:8" ht="13.8" x14ac:dyDescent="0.25">
      <c r="A333" s="5">
        <v>331</v>
      </c>
      <c r="B333" s="5">
        <v>332</v>
      </c>
      <c r="C333" s="5">
        <v>0.21210000000000001</v>
      </c>
      <c r="D333" s="5">
        <v>0.63</v>
      </c>
      <c r="E333" s="5">
        <v>0</v>
      </c>
      <c r="F333" s="5">
        <v>1</v>
      </c>
      <c r="G333" s="5">
        <v>9</v>
      </c>
      <c r="H333" s="5">
        <v>10</v>
      </c>
    </row>
    <row r="334" spans="1:8" ht="13.8" x14ac:dyDescent="0.25">
      <c r="A334" s="5">
        <v>332</v>
      </c>
      <c r="B334" s="5">
        <v>333</v>
      </c>
      <c r="C334" s="5">
        <v>0.1515</v>
      </c>
      <c r="D334" s="5">
        <v>0.63</v>
      </c>
      <c r="E334" s="5">
        <v>0.1343</v>
      </c>
      <c r="F334" s="5">
        <v>1</v>
      </c>
      <c r="G334" s="5">
        <v>22</v>
      </c>
      <c r="H334" s="5">
        <v>23</v>
      </c>
    </row>
    <row r="335" spans="1:8" ht="13.8" x14ac:dyDescent="0.25">
      <c r="A335" s="5">
        <v>333</v>
      </c>
      <c r="B335" s="5">
        <v>334</v>
      </c>
      <c r="C335" s="5">
        <v>0.18179999999999999</v>
      </c>
      <c r="D335" s="5">
        <v>0.64</v>
      </c>
      <c r="E335" s="5">
        <v>0.1343</v>
      </c>
      <c r="F335" s="5">
        <v>2</v>
      </c>
      <c r="G335" s="5">
        <v>31</v>
      </c>
      <c r="H335" s="5">
        <v>33</v>
      </c>
    </row>
    <row r="336" spans="1:8" ht="13.8" x14ac:dyDescent="0.25">
      <c r="A336" s="5">
        <v>334</v>
      </c>
      <c r="B336" s="5">
        <v>335</v>
      </c>
      <c r="C336" s="5">
        <v>0.19700000000000001</v>
      </c>
      <c r="D336" s="5">
        <v>0.59</v>
      </c>
      <c r="E336" s="5">
        <v>0.16420000000000001</v>
      </c>
      <c r="F336" s="5">
        <v>2</v>
      </c>
      <c r="G336" s="5">
        <v>57</v>
      </c>
      <c r="H336" s="5">
        <v>59</v>
      </c>
    </row>
    <row r="337" spans="1:8" ht="13.8" x14ac:dyDescent="0.25">
      <c r="A337" s="5">
        <v>335</v>
      </c>
      <c r="B337" s="5">
        <v>336</v>
      </c>
      <c r="C337" s="5">
        <v>0.19700000000000001</v>
      </c>
      <c r="D337" s="5">
        <v>0.55000000000000004</v>
      </c>
      <c r="E337" s="5">
        <v>0.22389999999999999</v>
      </c>
      <c r="F337" s="5">
        <v>18</v>
      </c>
      <c r="G337" s="5">
        <v>54</v>
      </c>
      <c r="H337" s="5">
        <v>72</v>
      </c>
    </row>
    <row r="338" spans="1:8" ht="13.8" x14ac:dyDescent="0.25">
      <c r="A338" s="5">
        <v>336</v>
      </c>
      <c r="B338" s="5">
        <v>337</v>
      </c>
      <c r="C338" s="5">
        <v>0.2273</v>
      </c>
      <c r="D338" s="5">
        <v>0.48</v>
      </c>
      <c r="E338" s="5">
        <v>0.22389999999999999</v>
      </c>
      <c r="F338" s="5">
        <v>15</v>
      </c>
      <c r="G338" s="5">
        <v>74</v>
      </c>
      <c r="H338" s="5">
        <v>89</v>
      </c>
    </row>
    <row r="339" spans="1:8" ht="13.8" x14ac:dyDescent="0.25">
      <c r="A339" s="5">
        <v>337</v>
      </c>
      <c r="B339" s="5">
        <v>338</v>
      </c>
      <c r="C339" s="5">
        <v>0.2576</v>
      </c>
      <c r="D339" s="5">
        <v>0.38</v>
      </c>
      <c r="E339" s="5">
        <v>0.29849999999999999</v>
      </c>
      <c r="F339" s="5">
        <v>21</v>
      </c>
      <c r="G339" s="5">
        <v>80</v>
      </c>
      <c r="H339" s="5">
        <v>101</v>
      </c>
    </row>
    <row r="340" spans="1:8" ht="13.8" x14ac:dyDescent="0.25">
      <c r="A340" s="5">
        <v>338</v>
      </c>
      <c r="B340" s="5">
        <v>339</v>
      </c>
      <c r="C340" s="5">
        <v>0.28789999999999999</v>
      </c>
      <c r="D340" s="5">
        <v>0.39</v>
      </c>
      <c r="E340" s="5">
        <v>0.28360000000000002</v>
      </c>
      <c r="F340" s="5">
        <v>26</v>
      </c>
      <c r="G340" s="5">
        <v>92</v>
      </c>
      <c r="H340" s="5">
        <v>118</v>
      </c>
    </row>
    <row r="341" spans="1:8" ht="13.8" x14ac:dyDescent="0.25">
      <c r="A341" s="5">
        <v>339</v>
      </c>
      <c r="B341" s="5">
        <v>340</v>
      </c>
      <c r="C341" s="5">
        <v>0.31819999999999998</v>
      </c>
      <c r="D341" s="5">
        <v>0.36</v>
      </c>
      <c r="E341" s="5">
        <v>0.19400000000000001</v>
      </c>
      <c r="F341" s="5">
        <v>21</v>
      </c>
      <c r="G341" s="5">
        <v>108</v>
      </c>
      <c r="H341" s="5">
        <v>129</v>
      </c>
    </row>
    <row r="342" spans="1:8" ht="13.8" x14ac:dyDescent="0.25">
      <c r="A342" s="5">
        <v>340</v>
      </c>
      <c r="B342" s="5">
        <v>341</v>
      </c>
      <c r="C342" s="5">
        <v>0.33329999999999999</v>
      </c>
      <c r="D342" s="5">
        <v>0.34</v>
      </c>
      <c r="E342" s="5">
        <v>0.19400000000000001</v>
      </c>
      <c r="F342" s="5">
        <v>33</v>
      </c>
      <c r="G342" s="5">
        <v>95</v>
      </c>
      <c r="H342" s="5">
        <v>128</v>
      </c>
    </row>
    <row r="343" spans="1:8" ht="13.8" x14ac:dyDescent="0.25">
      <c r="A343" s="5">
        <v>341</v>
      </c>
      <c r="B343" s="5">
        <v>342</v>
      </c>
      <c r="C343" s="5">
        <v>0.30299999999999999</v>
      </c>
      <c r="D343" s="5">
        <v>0.36</v>
      </c>
      <c r="E343" s="5">
        <v>0.28360000000000002</v>
      </c>
      <c r="F343" s="5">
        <v>29</v>
      </c>
      <c r="G343" s="5">
        <v>54</v>
      </c>
      <c r="H343" s="5">
        <v>83</v>
      </c>
    </row>
    <row r="344" spans="1:8" ht="13.8" x14ac:dyDescent="0.25">
      <c r="A344" s="5">
        <v>342</v>
      </c>
      <c r="B344" s="5">
        <v>343</v>
      </c>
      <c r="C344" s="5">
        <v>0.28789999999999999</v>
      </c>
      <c r="D344" s="5">
        <v>0.45</v>
      </c>
      <c r="E344" s="5">
        <v>0.25369999999999998</v>
      </c>
      <c r="F344" s="5">
        <v>15</v>
      </c>
      <c r="G344" s="5">
        <v>69</v>
      </c>
      <c r="H344" s="5">
        <v>84</v>
      </c>
    </row>
    <row r="345" spans="1:8" ht="13.8" x14ac:dyDescent="0.25">
      <c r="A345" s="5">
        <v>343</v>
      </c>
      <c r="B345" s="5">
        <v>344</v>
      </c>
      <c r="C345" s="5">
        <v>0.30299999999999999</v>
      </c>
      <c r="D345" s="5">
        <v>0.39</v>
      </c>
      <c r="E345" s="5">
        <v>0.25369999999999998</v>
      </c>
      <c r="F345" s="5">
        <v>14</v>
      </c>
      <c r="G345" s="5">
        <v>60</v>
      </c>
      <c r="H345" s="5">
        <v>74</v>
      </c>
    </row>
    <row r="346" spans="1:8" ht="13.8" x14ac:dyDescent="0.25">
      <c r="A346" s="5">
        <v>344</v>
      </c>
      <c r="B346" s="5">
        <v>345</v>
      </c>
      <c r="C346" s="5">
        <v>0.30299999999999999</v>
      </c>
      <c r="D346" s="5">
        <v>0.39</v>
      </c>
      <c r="E346" s="5">
        <v>0.25369999999999998</v>
      </c>
      <c r="F346" s="5">
        <v>6</v>
      </c>
      <c r="G346" s="5">
        <v>35</v>
      </c>
      <c r="H346" s="5">
        <v>41</v>
      </c>
    </row>
    <row r="347" spans="1:8" ht="13.8" x14ac:dyDescent="0.25">
      <c r="A347" s="5">
        <v>345</v>
      </c>
      <c r="B347" s="5">
        <v>346</v>
      </c>
      <c r="C347" s="5">
        <v>0.30299999999999999</v>
      </c>
      <c r="D347" s="5">
        <v>0.39</v>
      </c>
      <c r="E347" s="5">
        <v>0.22389999999999999</v>
      </c>
      <c r="F347" s="5">
        <v>6</v>
      </c>
      <c r="G347" s="5">
        <v>51</v>
      </c>
      <c r="H347" s="5">
        <v>57</v>
      </c>
    </row>
    <row r="348" spans="1:8" ht="13.8" x14ac:dyDescent="0.25">
      <c r="A348" s="5">
        <v>346</v>
      </c>
      <c r="B348" s="5">
        <v>347</v>
      </c>
      <c r="C348" s="5">
        <v>0.31819999999999998</v>
      </c>
      <c r="D348" s="5">
        <v>0.42</v>
      </c>
      <c r="E348" s="5">
        <v>0.1045</v>
      </c>
      <c r="F348" s="5">
        <v>0</v>
      </c>
      <c r="G348" s="5">
        <v>26</v>
      </c>
      <c r="H348" s="5">
        <v>26</v>
      </c>
    </row>
    <row r="349" spans="1:8" ht="13.8" x14ac:dyDescent="0.25">
      <c r="A349" s="5">
        <v>347</v>
      </c>
      <c r="B349" s="5">
        <v>348</v>
      </c>
      <c r="C349" s="5">
        <v>0.28789999999999999</v>
      </c>
      <c r="D349" s="5">
        <v>0.45</v>
      </c>
      <c r="E349" s="5">
        <v>0.28360000000000002</v>
      </c>
      <c r="F349" s="5">
        <v>5</v>
      </c>
      <c r="G349" s="5">
        <v>39</v>
      </c>
      <c r="H349" s="5">
        <v>44</v>
      </c>
    </row>
    <row r="350" spans="1:8" ht="13.8" x14ac:dyDescent="0.25">
      <c r="A350" s="5">
        <v>348</v>
      </c>
      <c r="B350" s="5">
        <v>349</v>
      </c>
      <c r="C350" s="5">
        <v>0.30299999999999999</v>
      </c>
      <c r="D350" s="5">
        <v>0.56000000000000005</v>
      </c>
      <c r="E350" s="5">
        <v>0</v>
      </c>
      <c r="F350" s="5">
        <v>6</v>
      </c>
      <c r="G350" s="5">
        <v>33</v>
      </c>
      <c r="H350" s="5">
        <v>39</v>
      </c>
    </row>
    <row r="351" spans="1:8" ht="13.8" x14ac:dyDescent="0.25">
      <c r="A351" s="5">
        <v>349</v>
      </c>
      <c r="B351" s="5">
        <v>350</v>
      </c>
      <c r="C351" s="5">
        <v>0.2727</v>
      </c>
      <c r="D351" s="5">
        <v>0.56000000000000005</v>
      </c>
      <c r="E351" s="5">
        <v>0.1343</v>
      </c>
      <c r="F351" s="5">
        <v>4</v>
      </c>
      <c r="G351" s="5">
        <v>19</v>
      </c>
      <c r="H351" s="5">
        <v>23</v>
      </c>
    </row>
    <row r="352" spans="1:8" ht="13.8" x14ac:dyDescent="0.25">
      <c r="A352" s="5">
        <v>350</v>
      </c>
      <c r="B352" s="5">
        <v>351</v>
      </c>
      <c r="C352" s="5">
        <v>0.28789999999999999</v>
      </c>
      <c r="D352" s="5">
        <v>0.56000000000000005</v>
      </c>
      <c r="E352" s="5">
        <v>8.9599999999999999E-2</v>
      </c>
      <c r="F352" s="5">
        <v>3</v>
      </c>
      <c r="G352" s="5">
        <v>13</v>
      </c>
      <c r="H352" s="5">
        <v>16</v>
      </c>
    </row>
    <row r="353" spans="1:8" ht="13.8" x14ac:dyDescent="0.25">
      <c r="A353" s="5">
        <v>351</v>
      </c>
      <c r="B353" s="5">
        <v>352</v>
      </c>
      <c r="C353" s="5">
        <v>0.2727</v>
      </c>
      <c r="D353" s="5">
        <v>0.69</v>
      </c>
      <c r="E353" s="5">
        <v>0</v>
      </c>
      <c r="F353" s="5">
        <v>9</v>
      </c>
      <c r="G353" s="5">
        <v>6</v>
      </c>
      <c r="H353" s="5">
        <v>15</v>
      </c>
    </row>
    <row r="354" spans="1:8" ht="13.8" x14ac:dyDescent="0.25">
      <c r="A354" s="5">
        <v>352</v>
      </c>
      <c r="B354" s="5">
        <v>353</v>
      </c>
      <c r="C354" s="5">
        <v>0.2576</v>
      </c>
      <c r="D354" s="5">
        <v>0.56000000000000005</v>
      </c>
      <c r="E354" s="5">
        <v>0.16420000000000001</v>
      </c>
      <c r="F354" s="5">
        <v>0</v>
      </c>
      <c r="G354" s="5">
        <v>1</v>
      </c>
      <c r="H354" s="5">
        <v>1</v>
      </c>
    </row>
    <row r="355" spans="1:8" ht="13.8" x14ac:dyDescent="0.25">
      <c r="A355" s="5">
        <v>353</v>
      </c>
      <c r="B355" s="5">
        <v>354</v>
      </c>
      <c r="C355" s="5">
        <v>0.2576</v>
      </c>
      <c r="D355" s="5">
        <v>0.56000000000000005</v>
      </c>
      <c r="E355" s="5">
        <v>0.16420000000000001</v>
      </c>
      <c r="F355" s="5">
        <v>1</v>
      </c>
      <c r="G355" s="5">
        <v>1</v>
      </c>
      <c r="H355" s="5">
        <v>2</v>
      </c>
    </row>
    <row r="356" spans="1:8" ht="13.8" x14ac:dyDescent="0.25">
      <c r="A356" s="5">
        <v>354</v>
      </c>
      <c r="B356" s="5">
        <v>355</v>
      </c>
      <c r="C356" s="5">
        <v>0.2576</v>
      </c>
      <c r="D356" s="5">
        <v>0.56000000000000005</v>
      </c>
      <c r="E356" s="5">
        <v>0.16420000000000001</v>
      </c>
      <c r="F356" s="5">
        <v>0</v>
      </c>
      <c r="G356" s="5">
        <v>1</v>
      </c>
      <c r="H356" s="5">
        <v>1</v>
      </c>
    </row>
    <row r="357" spans="1:8" ht="13.8" x14ac:dyDescent="0.25">
      <c r="A357" s="5">
        <v>355</v>
      </c>
      <c r="B357" s="5">
        <v>356</v>
      </c>
      <c r="C357" s="5">
        <v>0.21210000000000001</v>
      </c>
      <c r="D357" s="5">
        <v>0.56000000000000005</v>
      </c>
      <c r="E357" s="5">
        <v>0.29849999999999999</v>
      </c>
      <c r="F357" s="5">
        <v>0</v>
      </c>
      <c r="G357" s="5">
        <v>3</v>
      </c>
      <c r="H357" s="5">
        <v>3</v>
      </c>
    </row>
    <row r="358" spans="1:8" ht="13.8" x14ac:dyDescent="0.25">
      <c r="A358" s="5">
        <v>356</v>
      </c>
      <c r="B358" s="5">
        <v>357</v>
      </c>
      <c r="C358" s="5">
        <v>0.21210000000000001</v>
      </c>
      <c r="D358" s="5">
        <v>0.55000000000000004</v>
      </c>
      <c r="E358" s="5">
        <v>0.28360000000000002</v>
      </c>
      <c r="F358" s="5">
        <v>0</v>
      </c>
      <c r="G358" s="5">
        <v>18</v>
      </c>
      <c r="H358" s="5">
        <v>18</v>
      </c>
    </row>
    <row r="359" spans="1:8" ht="13.8" x14ac:dyDescent="0.25">
      <c r="A359" s="5">
        <v>357</v>
      </c>
      <c r="B359" s="5">
        <v>358</v>
      </c>
      <c r="C359" s="5">
        <v>0.21210000000000001</v>
      </c>
      <c r="D359" s="5">
        <v>0.51</v>
      </c>
      <c r="E359" s="5">
        <v>0.25369999999999998</v>
      </c>
      <c r="F359" s="5">
        <v>3</v>
      </c>
      <c r="G359" s="5">
        <v>29</v>
      </c>
      <c r="H359" s="5">
        <v>32</v>
      </c>
    </row>
    <row r="360" spans="1:8" ht="13.8" x14ac:dyDescent="0.25">
      <c r="A360" s="5">
        <v>358</v>
      </c>
      <c r="B360" s="5">
        <v>359</v>
      </c>
      <c r="C360" s="5">
        <v>0.21210000000000001</v>
      </c>
      <c r="D360" s="5">
        <v>0.51</v>
      </c>
      <c r="E360" s="5">
        <v>0.28360000000000002</v>
      </c>
      <c r="F360" s="5">
        <v>8</v>
      </c>
      <c r="G360" s="5">
        <v>71</v>
      </c>
      <c r="H360" s="5">
        <v>79</v>
      </c>
    </row>
    <row r="361" spans="1:8" ht="13.8" x14ac:dyDescent="0.25">
      <c r="A361" s="5">
        <v>359</v>
      </c>
      <c r="B361" s="5">
        <v>360</v>
      </c>
      <c r="C361" s="5">
        <v>0.2273</v>
      </c>
      <c r="D361" s="5">
        <v>0.44</v>
      </c>
      <c r="E361" s="5">
        <v>0.25369999999999998</v>
      </c>
      <c r="F361" s="5">
        <v>23</v>
      </c>
      <c r="G361" s="5">
        <v>70</v>
      </c>
      <c r="H361" s="5">
        <v>93</v>
      </c>
    </row>
    <row r="362" spans="1:8" ht="13.8" x14ac:dyDescent="0.25">
      <c r="A362" s="5">
        <v>360</v>
      </c>
      <c r="B362" s="5">
        <v>361</v>
      </c>
      <c r="C362" s="5">
        <v>0.21210000000000001</v>
      </c>
      <c r="D362" s="5">
        <v>0.41</v>
      </c>
      <c r="E362" s="5">
        <v>0.28360000000000002</v>
      </c>
      <c r="F362" s="5">
        <v>29</v>
      </c>
      <c r="G362" s="5">
        <v>75</v>
      </c>
      <c r="H362" s="5">
        <v>104</v>
      </c>
    </row>
    <row r="363" spans="1:8" ht="13.8" x14ac:dyDescent="0.25">
      <c r="A363" s="5">
        <v>361</v>
      </c>
      <c r="B363" s="5">
        <v>362</v>
      </c>
      <c r="C363" s="5">
        <v>0.2273</v>
      </c>
      <c r="D363" s="5">
        <v>0.35</v>
      </c>
      <c r="E363" s="5">
        <v>0.29849999999999999</v>
      </c>
      <c r="F363" s="5">
        <v>23</v>
      </c>
      <c r="G363" s="5">
        <v>95</v>
      </c>
      <c r="H363" s="5">
        <v>118</v>
      </c>
    </row>
    <row r="364" spans="1:8" ht="13.8" x14ac:dyDescent="0.25">
      <c r="A364" s="5">
        <v>362</v>
      </c>
      <c r="B364" s="5">
        <v>363</v>
      </c>
      <c r="C364" s="5">
        <v>0.2727</v>
      </c>
      <c r="D364" s="5">
        <v>0.36</v>
      </c>
      <c r="E364" s="5">
        <v>0.25369999999999998</v>
      </c>
      <c r="F364" s="5">
        <v>22</v>
      </c>
      <c r="G364" s="5">
        <v>69</v>
      </c>
      <c r="H364" s="5">
        <v>91</v>
      </c>
    </row>
    <row r="365" spans="1:8" ht="13.8" x14ac:dyDescent="0.25">
      <c r="A365" s="5">
        <v>363</v>
      </c>
      <c r="B365" s="5">
        <v>364</v>
      </c>
      <c r="C365" s="5">
        <v>0.2424</v>
      </c>
      <c r="D365" s="5">
        <v>0.38</v>
      </c>
      <c r="E365" s="5">
        <v>0.25369999999999998</v>
      </c>
      <c r="F365" s="5">
        <v>35</v>
      </c>
      <c r="G365" s="5">
        <v>78</v>
      </c>
      <c r="H365" s="5">
        <v>113</v>
      </c>
    </row>
    <row r="366" spans="1:8" ht="13.8" x14ac:dyDescent="0.25">
      <c r="A366" s="5">
        <v>364</v>
      </c>
      <c r="B366" s="5">
        <v>365</v>
      </c>
      <c r="C366" s="5">
        <v>0.2273</v>
      </c>
      <c r="D366" s="5">
        <v>0.38</v>
      </c>
      <c r="E366" s="5">
        <v>0.22389999999999999</v>
      </c>
      <c r="F366" s="5">
        <v>22</v>
      </c>
      <c r="G366" s="5">
        <v>77</v>
      </c>
      <c r="H366" s="5">
        <v>99</v>
      </c>
    </row>
    <row r="367" spans="1:8" ht="13.8" x14ac:dyDescent="0.25">
      <c r="A367" s="5">
        <v>365</v>
      </c>
      <c r="B367" s="5">
        <v>366</v>
      </c>
      <c r="C367" s="5">
        <v>0.21210000000000001</v>
      </c>
      <c r="D367" s="5">
        <v>0.37</v>
      </c>
      <c r="E367" s="5">
        <v>0.25369999999999998</v>
      </c>
      <c r="F367" s="5">
        <v>23</v>
      </c>
      <c r="G367" s="5">
        <v>82</v>
      </c>
      <c r="H367" s="5">
        <v>105</v>
      </c>
    </row>
    <row r="368" spans="1:8" ht="13.8" x14ac:dyDescent="0.25">
      <c r="A368" s="5">
        <v>366</v>
      </c>
      <c r="B368" s="5">
        <v>367</v>
      </c>
      <c r="C368" s="5">
        <v>0.21210000000000001</v>
      </c>
      <c r="D368" s="5">
        <v>0.4</v>
      </c>
      <c r="E368" s="5">
        <v>0.16420000000000001</v>
      </c>
      <c r="F368" s="5">
        <v>11</v>
      </c>
      <c r="G368" s="5">
        <v>56</v>
      </c>
      <c r="H368" s="5">
        <v>67</v>
      </c>
    </row>
    <row r="369" spans="1:8" ht="13.8" x14ac:dyDescent="0.25">
      <c r="A369" s="5">
        <v>367</v>
      </c>
      <c r="B369" s="5">
        <v>368</v>
      </c>
      <c r="C369" s="5">
        <v>0.19700000000000001</v>
      </c>
      <c r="D369" s="5">
        <v>0.47</v>
      </c>
      <c r="E369" s="5">
        <v>0.1343</v>
      </c>
      <c r="F369" s="5">
        <v>14</v>
      </c>
      <c r="G369" s="5">
        <v>47</v>
      </c>
      <c r="H369" s="5">
        <v>61</v>
      </c>
    </row>
    <row r="370" spans="1:8" ht="13.8" x14ac:dyDescent="0.25">
      <c r="A370" s="5">
        <v>368</v>
      </c>
      <c r="B370" s="5">
        <v>369</v>
      </c>
      <c r="C370" s="5">
        <v>0.19700000000000001</v>
      </c>
      <c r="D370" s="5">
        <v>0.47</v>
      </c>
      <c r="E370" s="5">
        <v>0.16420000000000001</v>
      </c>
      <c r="F370" s="5">
        <v>7</v>
      </c>
      <c r="G370" s="5">
        <v>50</v>
      </c>
      <c r="H370" s="5">
        <v>57</v>
      </c>
    </row>
    <row r="371" spans="1:8" ht="13.8" x14ac:dyDescent="0.25">
      <c r="A371" s="5">
        <v>369</v>
      </c>
      <c r="B371" s="5">
        <v>370</v>
      </c>
      <c r="C371" s="5">
        <v>0.19700000000000001</v>
      </c>
      <c r="D371" s="5">
        <v>0.51</v>
      </c>
      <c r="E371" s="5">
        <v>0.16420000000000001</v>
      </c>
      <c r="F371" s="5">
        <v>6</v>
      </c>
      <c r="G371" s="5">
        <v>22</v>
      </c>
      <c r="H371" s="5">
        <v>28</v>
      </c>
    </row>
    <row r="372" spans="1:8" ht="13.8" x14ac:dyDescent="0.25">
      <c r="A372" s="5">
        <v>370</v>
      </c>
      <c r="B372" s="5">
        <v>371</v>
      </c>
      <c r="C372" s="5">
        <v>0.21210000000000001</v>
      </c>
      <c r="D372" s="5">
        <v>0.49</v>
      </c>
      <c r="E372" s="5">
        <v>0.1343</v>
      </c>
      <c r="F372" s="5">
        <v>2</v>
      </c>
      <c r="G372" s="5">
        <v>19</v>
      </c>
      <c r="H372" s="5">
        <v>21</v>
      </c>
    </row>
    <row r="373" spans="1:8" ht="13.8" x14ac:dyDescent="0.25">
      <c r="A373" s="5">
        <v>371</v>
      </c>
      <c r="B373" s="5">
        <v>372</v>
      </c>
      <c r="C373" s="5">
        <v>0.2273</v>
      </c>
      <c r="D373" s="5">
        <v>0.4</v>
      </c>
      <c r="E373" s="5">
        <v>0.1045</v>
      </c>
      <c r="F373" s="5">
        <v>0</v>
      </c>
      <c r="G373" s="5">
        <v>18</v>
      </c>
      <c r="H373" s="5">
        <v>18</v>
      </c>
    </row>
    <row r="374" spans="1:8" ht="13.8" x14ac:dyDescent="0.25">
      <c r="A374" s="5">
        <v>372</v>
      </c>
      <c r="B374" s="5">
        <v>373</v>
      </c>
      <c r="C374" s="5">
        <v>0.19700000000000001</v>
      </c>
      <c r="D374" s="5">
        <v>0.47</v>
      </c>
      <c r="E374" s="5">
        <v>0.22389999999999999</v>
      </c>
      <c r="F374" s="5">
        <v>1</v>
      </c>
      <c r="G374" s="5">
        <v>16</v>
      </c>
      <c r="H374" s="5">
        <v>17</v>
      </c>
    </row>
    <row r="375" spans="1:8" ht="13.8" x14ac:dyDescent="0.25">
      <c r="A375" s="5">
        <v>373</v>
      </c>
      <c r="B375" s="5">
        <v>374</v>
      </c>
      <c r="C375" s="5">
        <v>0.19700000000000001</v>
      </c>
      <c r="D375" s="5">
        <v>0.44</v>
      </c>
      <c r="E375" s="5">
        <v>0.19400000000000001</v>
      </c>
      <c r="F375" s="5">
        <v>1</v>
      </c>
      <c r="G375" s="5">
        <v>15</v>
      </c>
      <c r="H375" s="5">
        <v>16</v>
      </c>
    </row>
    <row r="376" spans="1:8" ht="13.8" x14ac:dyDescent="0.25">
      <c r="A376" s="5">
        <v>374</v>
      </c>
      <c r="B376" s="5">
        <v>375</v>
      </c>
      <c r="C376" s="5">
        <v>0.16669999999999999</v>
      </c>
      <c r="D376" s="5">
        <v>0.43</v>
      </c>
      <c r="E376" s="5">
        <v>0.25369999999999998</v>
      </c>
      <c r="F376" s="5">
        <v>0</v>
      </c>
      <c r="G376" s="5">
        <v>8</v>
      </c>
      <c r="H376" s="5">
        <v>8</v>
      </c>
    </row>
    <row r="377" spans="1:8" ht="13.8" x14ac:dyDescent="0.25">
      <c r="A377" s="5">
        <v>375</v>
      </c>
      <c r="B377" s="5">
        <v>376</v>
      </c>
      <c r="C377" s="5">
        <v>0.18179999999999999</v>
      </c>
      <c r="D377" s="5">
        <v>0.43</v>
      </c>
      <c r="E377" s="5">
        <v>0.19400000000000001</v>
      </c>
      <c r="F377" s="5">
        <v>0</v>
      </c>
      <c r="G377" s="5">
        <v>2</v>
      </c>
      <c r="H377" s="5">
        <v>2</v>
      </c>
    </row>
    <row r="378" spans="1:8" ht="13.8" x14ac:dyDescent="0.25">
      <c r="A378" s="5">
        <v>376</v>
      </c>
      <c r="B378" s="5">
        <v>377</v>
      </c>
      <c r="C378" s="5">
        <v>0.19700000000000001</v>
      </c>
      <c r="D378" s="5">
        <v>0.43</v>
      </c>
      <c r="E378" s="5">
        <v>0.1343</v>
      </c>
      <c r="F378" s="5">
        <v>1</v>
      </c>
      <c r="G378" s="5">
        <v>2</v>
      </c>
      <c r="H378" s="5">
        <v>3</v>
      </c>
    </row>
    <row r="379" spans="1:8" ht="13.8" x14ac:dyDescent="0.25">
      <c r="A379" s="5">
        <v>377</v>
      </c>
      <c r="B379" s="5">
        <v>378</v>
      </c>
      <c r="C379" s="5">
        <v>0.19700000000000001</v>
      </c>
      <c r="D379" s="5">
        <v>0.43</v>
      </c>
      <c r="E379" s="5">
        <v>0.16420000000000001</v>
      </c>
      <c r="F379" s="5">
        <v>0</v>
      </c>
      <c r="G379" s="5">
        <v>1</v>
      </c>
      <c r="H379" s="5">
        <v>1</v>
      </c>
    </row>
    <row r="380" spans="1:8" ht="13.8" x14ac:dyDescent="0.25">
      <c r="A380" s="5">
        <v>378</v>
      </c>
      <c r="B380" s="5">
        <v>379</v>
      </c>
      <c r="C380" s="5">
        <v>0.18179999999999999</v>
      </c>
      <c r="D380" s="5">
        <v>0.43</v>
      </c>
      <c r="E380" s="5">
        <v>0.19400000000000001</v>
      </c>
      <c r="F380" s="5">
        <v>0</v>
      </c>
      <c r="G380" s="5">
        <v>5</v>
      </c>
      <c r="H380" s="5">
        <v>5</v>
      </c>
    </row>
    <row r="381" spans="1:8" ht="13.8" x14ac:dyDescent="0.25">
      <c r="A381" s="5">
        <v>379</v>
      </c>
      <c r="B381" s="5">
        <v>380</v>
      </c>
      <c r="C381" s="5">
        <v>0.18179999999999999</v>
      </c>
      <c r="D381" s="5">
        <v>0.5</v>
      </c>
      <c r="E381" s="5">
        <v>0.1343</v>
      </c>
      <c r="F381" s="5">
        <v>4</v>
      </c>
      <c r="G381" s="5">
        <v>9</v>
      </c>
      <c r="H381" s="5">
        <v>13</v>
      </c>
    </row>
    <row r="382" spans="1:8" ht="13.8" x14ac:dyDescent="0.25">
      <c r="A382" s="5">
        <v>380</v>
      </c>
      <c r="B382" s="5">
        <v>381</v>
      </c>
      <c r="C382" s="5">
        <v>0.1515</v>
      </c>
      <c r="D382" s="5">
        <v>0.47</v>
      </c>
      <c r="E382" s="5">
        <v>0.22389999999999999</v>
      </c>
      <c r="F382" s="5">
        <v>3</v>
      </c>
      <c r="G382" s="5">
        <v>30</v>
      </c>
      <c r="H382" s="5">
        <v>33</v>
      </c>
    </row>
    <row r="383" spans="1:8" ht="13.8" x14ac:dyDescent="0.25">
      <c r="A383" s="5">
        <v>381</v>
      </c>
      <c r="B383" s="5">
        <v>382</v>
      </c>
      <c r="C383" s="5">
        <v>0.1515</v>
      </c>
      <c r="D383" s="5">
        <v>0.47</v>
      </c>
      <c r="E383" s="5">
        <v>0.22389999999999999</v>
      </c>
      <c r="F383" s="5">
        <v>8</v>
      </c>
      <c r="G383" s="5">
        <v>39</v>
      </c>
      <c r="H383" s="5">
        <v>47</v>
      </c>
    </row>
    <row r="384" spans="1:8" ht="13.8" x14ac:dyDescent="0.25">
      <c r="A384" s="5">
        <v>382</v>
      </c>
      <c r="B384" s="5">
        <v>383</v>
      </c>
      <c r="C384" s="5">
        <v>0.1515</v>
      </c>
      <c r="D384" s="5">
        <v>0.5</v>
      </c>
      <c r="E384" s="5">
        <v>0.25369999999999998</v>
      </c>
      <c r="F384" s="5">
        <v>7</v>
      </c>
      <c r="G384" s="5">
        <v>50</v>
      </c>
      <c r="H384" s="5">
        <v>57</v>
      </c>
    </row>
    <row r="385" spans="1:8" ht="13.8" x14ac:dyDescent="0.25">
      <c r="A385" s="5">
        <v>383</v>
      </c>
      <c r="B385" s="5">
        <v>384</v>
      </c>
      <c r="C385" s="5">
        <v>0.1515</v>
      </c>
      <c r="D385" s="5">
        <v>0.55000000000000004</v>
      </c>
      <c r="E385" s="5">
        <v>0.19400000000000001</v>
      </c>
      <c r="F385" s="5">
        <v>9</v>
      </c>
      <c r="G385" s="5">
        <v>55</v>
      </c>
      <c r="H385" s="5">
        <v>64</v>
      </c>
    </row>
    <row r="386" spans="1:8" ht="13.8" x14ac:dyDescent="0.25">
      <c r="A386" s="5">
        <v>384</v>
      </c>
      <c r="B386" s="5">
        <v>385</v>
      </c>
      <c r="C386" s="5">
        <v>0.19700000000000001</v>
      </c>
      <c r="D386" s="5">
        <v>0.47</v>
      </c>
      <c r="E386" s="5">
        <v>0.1343</v>
      </c>
      <c r="F386" s="5">
        <v>10</v>
      </c>
      <c r="G386" s="5">
        <v>70</v>
      </c>
      <c r="H386" s="5">
        <v>80</v>
      </c>
    </row>
    <row r="387" spans="1:8" ht="13.8" x14ac:dyDescent="0.25">
      <c r="A387" s="5">
        <v>385</v>
      </c>
      <c r="B387" s="5">
        <v>386</v>
      </c>
      <c r="C387" s="5">
        <v>0.19700000000000001</v>
      </c>
      <c r="D387" s="5">
        <v>0.47</v>
      </c>
      <c r="E387" s="5">
        <v>0.1343</v>
      </c>
      <c r="F387" s="5">
        <v>13</v>
      </c>
      <c r="G387" s="5">
        <v>80</v>
      </c>
      <c r="H387" s="5">
        <v>93</v>
      </c>
    </row>
    <row r="388" spans="1:8" ht="13.8" x14ac:dyDescent="0.25">
      <c r="A388" s="5">
        <v>386</v>
      </c>
      <c r="B388" s="5">
        <v>387</v>
      </c>
      <c r="C388" s="5">
        <v>0.21210000000000001</v>
      </c>
      <c r="D388" s="5">
        <v>0.43</v>
      </c>
      <c r="E388" s="5">
        <v>0.1045</v>
      </c>
      <c r="F388" s="5">
        <v>12</v>
      </c>
      <c r="G388" s="5">
        <v>74</v>
      </c>
      <c r="H388" s="5">
        <v>86</v>
      </c>
    </row>
    <row r="389" spans="1:8" ht="13.8" x14ac:dyDescent="0.25">
      <c r="A389" s="5">
        <v>387</v>
      </c>
      <c r="B389" s="5">
        <v>388</v>
      </c>
      <c r="C389" s="5">
        <v>0.21210000000000001</v>
      </c>
      <c r="D389" s="5">
        <v>0.47</v>
      </c>
      <c r="E389" s="5">
        <v>0.16420000000000001</v>
      </c>
      <c r="F389" s="5">
        <v>21</v>
      </c>
      <c r="G389" s="5">
        <v>72</v>
      </c>
      <c r="H389" s="5">
        <v>93</v>
      </c>
    </row>
    <row r="390" spans="1:8" ht="13.8" x14ac:dyDescent="0.25">
      <c r="A390" s="5">
        <v>388</v>
      </c>
      <c r="B390" s="5">
        <v>389</v>
      </c>
      <c r="C390" s="5">
        <v>0.21210000000000001</v>
      </c>
      <c r="D390" s="5">
        <v>0.47</v>
      </c>
      <c r="E390" s="5">
        <v>0.16420000000000001</v>
      </c>
      <c r="F390" s="5">
        <v>6</v>
      </c>
      <c r="G390" s="5">
        <v>76</v>
      </c>
      <c r="H390" s="5">
        <v>82</v>
      </c>
    </row>
    <row r="391" spans="1:8" ht="13.8" x14ac:dyDescent="0.25">
      <c r="A391" s="5">
        <v>389</v>
      </c>
      <c r="B391" s="5">
        <v>390</v>
      </c>
      <c r="C391" s="5">
        <v>0.19700000000000001</v>
      </c>
      <c r="D391" s="5">
        <v>0.51</v>
      </c>
      <c r="E391" s="5">
        <v>0.19400000000000001</v>
      </c>
      <c r="F391" s="5">
        <v>4</v>
      </c>
      <c r="G391" s="5">
        <v>67</v>
      </c>
      <c r="H391" s="5">
        <v>71</v>
      </c>
    </row>
    <row r="392" spans="1:8" ht="13.8" x14ac:dyDescent="0.25">
      <c r="A392" s="5">
        <v>390</v>
      </c>
      <c r="B392" s="5">
        <v>391</v>
      </c>
      <c r="C392" s="5">
        <v>0.16669999999999999</v>
      </c>
      <c r="D392" s="5">
        <v>0.55000000000000004</v>
      </c>
      <c r="E392" s="5">
        <v>0.25369999999999998</v>
      </c>
      <c r="F392" s="5">
        <v>7</v>
      </c>
      <c r="G392" s="5">
        <v>85</v>
      </c>
      <c r="H392" s="5">
        <v>92</v>
      </c>
    </row>
    <row r="393" spans="1:8" ht="13.8" x14ac:dyDescent="0.25">
      <c r="A393" s="5">
        <v>391</v>
      </c>
      <c r="B393" s="5">
        <v>392</v>
      </c>
      <c r="C393" s="5">
        <v>0.18179999999999999</v>
      </c>
      <c r="D393" s="5">
        <v>0.59</v>
      </c>
      <c r="E393" s="5">
        <v>0.19400000000000001</v>
      </c>
      <c r="F393" s="5">
        <v>2</v>
      </c>
      <c r="G393" s="5">
        <v>58</v>
      </c>
      <c r="H393" s="5">
        <v>60</v>
      </c>
    </row>
    <row r="394" spans="1:8" ht="13.8" x14ac:dyDescent="0.25">
      <c r="A394" s="5">
        <v>392</v>
      </c>
      <c r="B394" s="5">
        <v>393</v>
      </c>
      <c r="C394" s="5">
        <v>0.1515</v>
      </c>
      <c r="D394" s="5">
        <v>0.8</v>
      </c>
      <c r="E394" s="5">
        <v>0.19400000000000001</v>
      </c>
      <c r="F394" s="5">
        <v>4</v>
      </c>
      <c r="G394" s="5">
        <v>29</v>
      </c>
      <c r="H394" s="5">
        <v>33</v>
      </c>
    </row>
    <row r="395" spans="1:8" ht="13.8" x14ac:dyDescent="0.25">
      <c r="A395" s="5">
        <v>393</v>
      </c>
      <c r="B395" s="5">
        <v>394</v>
      </c>
      <c r="C395" s="5">
        <v>0.1515</v>
      </c>
      <c r="D395" s="5">
        <v>0.8</v>
      </c>
      <c r="E395" s="5">
        <v>0.19400000000000001</v>
      </c>
      <c r="F395" s="5">
        <v>3</v>
      </c>
      <c r="G395" s="5">
        <v>24</v>
      </c>
      <c r="H395" s="5">
        <v>27</v>
      </c>
    </row>
    <row r="396" spans="1:8" ht="13.8" x14ac:dyDescent="0.25">
      <c r="A396" s="5">
        <v>394</v>
      </c>
      <c r="B396" s="5">
        <v>395</v>
      </c>
      <c r="C396" s="5">
        <v>0.1212</v>
      </c>
      <c r="D396" s="5">
        <v>0.93</v>
      </c>
      <c r="E396" s="5">
        <v>0.25369999999999998</v>
      </c>
      <c r="F396" s="5">
        <v>0</v>
      </c>
      <c r="G396" s="5">
        <v>13</v>
      </c>
      <c r="H396" s="5">
        <v>13</v>
      </c>
    </row>
    <row r="397" spans="1:8" ht="13.8" x14ac:dyDescent="0.25">
      <c r="A397" s="5">
        <v>395</v>
      </c>
      <c r="B397" s="5">
        <v>396</v>
      </c>
      <c r="C397" s="5">
        <v>0.13639999999999999</v>
      </c>
      <c r="D397" s="5">
        <v>0.86</v>
      </c>
      <c r="E397" s="5">
        <v>0.28360000000000002</v>
      </c>
      <c r="F397" s="5">
        <v>1</v>
      </c>
      <c r="G397" s="5">
        <v>3</v>
      </c>
      <c r="H397" s="5">
        <v>4</v>
      </c>
    </row>
    <row r="398" spans="1:8" ht="13.8" x14ac:dyDescent="0.25">
      <c r="A398" s="5">
        <v>396</v>
      </c>
      <c r="B398" s="5">
        <v>397</v>
      </c>
      <c r="C398" s="5">
        <v>0.18179999999999999</v>
      </c>
      <c r="D398" s="5">
        <v>0.86</v>
      </c>
      <c r="E398" s="5">
        <v>0.32840000000000003</v>
      </c>
      <c r="F398" s="5">
        <v>0</v>
      </c>
      <c r="G398" s="5">
        <v>3</v>
      </c>
      <c r="H398" s="5">
        <v>3</v>
      </c>
    </row>
    <row r="399" spans="1:8" ht="13.8" x14ac:dyDescent="0.25">
      <c r="A399" s="5">
        <v>397</v>
      </c>
      <c r="B399" s="5">
        <v>398</v>
      </c>
      <c r="C399" s="5">
        <v>0.19700000000000001</v>
      </c>
      <c r="D399" s="5">
        <v>0.86</v>
      </c>
      <c r="E399" s="5">
        <v>0.22389999999999999</v>
      </c>
      <c r="F399" s="5">
        <v>0</v>
      </c>
      <c r="G399" s="5">
        <v>22</v>
      </c>
      <c r="H399" s="5">
        <v>22</v>
      </c>
    </row>
    <row r="400" spans="1:8" ht="13.8" x14ac:dyDescent="0.25">
      <c r="A400" s="5">
        <v>398</v>
      </c>
      <c r="B400" s="5">
        <v>399</v>
      </c>
      <c r="C400" s="5">
        <v>0.2273</v>
      </c>
      <c r="D400" s="5">
        <v>0.8</v>
      </c>
      <c r="E400" s="5">
        <v>0.16420000000000001</v>
      </c>
      <c r="F400" s="5">
        <v>2</v>
      </c>
      <c r="G400" s="5">
        <v>26</v>
      </c>
      <c r="H400" s="5">
        <v>28</v>
      </c>
    </row>
    <row r="401" spans="1:8" ht="13.8" x14ac:dyDescent="0.25">
      <c r="A401" s="5">
        <v>399</v>
      </c>
      <c r="B401" s="5">
        <v>400</v>
      </c>
      <c r="C401" s="5">
        <v>0.2273</v>
      </c>
      <c r="D401" s="5">
        <v>0.87</v>
      </c>
      <c r="E401" s="5">
        <v>0.16420000000000001</v>
      </c>
      <c r="F401" s="5">
        <v>3</v>
      </c>
      <c r="G401" s="5">
        <v>32</v>
      </c>
      <c r="H401" s="5">
        <v>35</v>
      </c>
    </row>
    <row r="402" spans="1:8" ht="13.8" x14ac:dyDescent="0.25">
      <c r="A402" s="5">
        <v>400</v>
      </c>
      <c r="B402" s="5">
        <v>401</v>
      </c>
      <c r="C402" s="5">
        <v>0.2273</v>
      </c>
      <c r="D402" s="5">
        <v>0.87</v>
      </c>
      <c r="E402" s="5">
        <v>0.19400000000000001</v>
      </c>
      <c r="F402" s="5">
        <v>0</v>
      </c>
      <c r="G402" s="5">
        <v>61</v>
      </c>
      <c r="H402" s="5">
        <v>61</v>
      </c>
    </row>
    <row r="403" spans="1:8" ht="13.8" x14ac:dyDescent="0.25">
      <c r="A403" s="5">
        <v>401</v>
      </c>
      <c r="B403" s="5">
        <v>402</v>
      </c>
      <c r="C403" s="5">
        <v>0.2273</v>
      </c>
      <c r="D403" s="5">
        <v>0.82</v>
      </c>
      <c r="E403" s="5">
        <v>0.19400000000000001</v>
      </c>
      <c r="F403" s="5">
        <v>1</v>
      </c>
      <c r="G403" s="5">
        <v>124</v>
      </c>
      <c r="H403" s="5">
        <v>125</v>
      </c>
    </row>
    <row r="404" spans="1:8" ht="13.8" x14ac:dyDescent="0.25">
      <c r="A404" s="5">
        <v>402</v>
      </c>
      <c r="B404" s="5">
        <v>403</v>
      </c>
      <c r="C404" s="5">
        <v>0.2273</v>
      </c>
      <c r="D404" s="5">
        <v>0.8</v>
      </c>
      <c r="E404" s="5">
        <v>0.16420000000000001</v>
      </c>
      <c r="F404" s="5">
        <v>1</v>
      </c>
      <c r="G404" s="5">
        <v>132</v>
      </c>
      <c r="H404" s="5">
        <v>133</v>
      </c>
    </row>
    <row r="405" spans="1:8" ht="13.8" x14ac:dyDescent="0.25">
      <c r="A405" s="5">
        <v>403</v>
      </c>
      <c r="B405" s="5">
        <v>404</v>
      </c>
      <c r="C405" s="5">
        <v>0.2273</v>
      </c>
      <c r="D405" s="5">
        <v>0.8</v>
      </c>
      <c r="E405" s="5">
        <v>0.1343</v>
      </c>
      <c r="F405" s="5">
        <v>1</v>
      </c>
      <c r="G405" s="5">
        <v>98</v>
      </c>
      <c r="H405" s="5">
        <v>99</v>
      </c>
    </row>
    <row r="406" spans="1:8" ht="13.8" x14ac:dyDescent="0.25">
      <c r="A406" s="5">
        <v>404</v>
      </c>
      <c r="B406" s="5">
        <v>405</v>
      </c>
      <c r="C406" s="5">
        <v>0.2727</v>
      </c>
      <c r="D406" s="5">
        <v>0.87</v>
      </c>
      <c r="E406" s="5">
        <v>0</v>
      </c>
      <c r="F406" s="5">
        <v>0</v>
      </c>
      <c r="G406" s="5">
        <v>83</v>
      </c>
      <c r="H406" s="5">
        <v>83</v>
      </c>
    </row>
    <row r="407" spans="1:8" ht="13.8" x14ac:dyDescent="0.25">
      <c r="A407" s="5">
        <v>405</v>
      </c>
      <c r="B407" s="5">
        <v>406</v>
      </c>
      <c r="C407" s="5">
        <v>0.2424</v>
      </c>
      <c r="D407" s="5">
        <v>0.93</v>
      </c>
      <c r="E407" s="5">
        <v>0.1045</v>
      </c>
      <c r="F407" s="5">
        <v>0</v>
      </c>
      <c r="G407" s="5">
        <v>41</v>
      </c>
      <c r="H407" s="5">
        <v>41</v>
      </c>
    </row>
    <row r="408" spans="1:8" ht="13.8" x14ac:dyDescent="0.25">
      <c r="A408" s="5">
        <v>406</v>
      </c>
      <c r="B408" s="5">
        <v>407</v>
      </c>
      <c r="C408" s="5">
        <v>0.2576</v>
      </c>
      <c r="D408" s="5">
        <v>0.93</v>
      </c>
      <c r="E408" s="5">
        <v>8.9599999999999999E-2</v>
      </c>
      <c r="F408" s="5">
        <v>0</v>
      </c>
      <c r="G408" s="5">
        <v>33</v>
      </c>
      <c r="H408" s="5">
        <v>33</v>
      </c>
    </row>
    <row r="409" spans="1:8" ht="13.8" x14ac:dyDescent="0.25">
      <c r="A409" s="5">
        <v>407</v>
      </c>
      <c r="B409" s="5">
        <v>408</v>
      </c>
      <c r="C409" s="5">
        <v>0.2727</v>
      </c>
      <c r="D409" s="5">
        <v>0.93</v>
      </c>
      <c r="E409" s="5">
        <v>0</v>
      </c>
      <c r="F409" s="5">
        <v>1</v>
      </c>
      <c r="G409" s="5">
        <v>19</v>
      </c>
      <c r="H409" s="5">
        <v>20</v>
      </c>
    </row>
    <row r="410" spans="1:8" ht="13.8" x14ac:dyDescent="0.25">
      <c r="A410" s="5">
        <v>408</v>
      </c>
      <c r="B410" s="5">
        <v>409</v>
      </c>
      <c r="C410" s="5">
        <v>0.2727</v>
      </c>
      <c r="D410" s="5">
        <v>0.93</v>
      </c>
      <c r="E410" s="5">
        <v>0</v>
      </c>
      <c r="F410" s="5">
        <v>0</v>
      </c>
      <c r="G410" s="5">
        <v>3</v>
      </c>
      <c r="H410" s="5">
        <v>3</v>
      </c>
    </row>
    <row r="411" spans="1:8" ht="13.8" x14ac:dyDescent="0.25">
      <c r="A411" s="5">
        <v>409</v>
      </c>
      <c r="B411" s="5">
        <v>410</v>
      </c>
      <c r="C411" s="5">
        <v>0.2273</v>
      </c>
      <c r="D411" s="5">
        <v>0.93</v>
      </c>
      <c r="E411" s="5">
        <v>0.1343</v>
      </c>
      <c r="F411" s="5">
        <v>1</v>
      </c>
      <c r="G411" s="5">
        <v>6</v>
      </c>
      <c r="H411" s="5">
        <v>7</v>
      </c>
    </row>
    <row r="412" spans="1:8" ht="13.8" x14ac:dyDescent="0.25">
      <c r="A412" s="5">
        <v>410</v>
      </c>
      <c r="B412" s="5">
        <v>411</v>
      </c>
      <c r="C412" s="5">
        <v>0.2273</v>
      </c>
      <c r="D412" s="5">
        <v>0.93</v>
      </c>
      <c r="E412" s="5">
        <v>0.1343</v>
      </c>
      <c r="F412" s="5">
        <v>0</v>
      </c>
      <c r="G412" s="5">
        <v>3</v>
      </c>
      <c r="H412" s="5">
        <v>3</v>
      </c>
    </row>
    <row r="413" spans="1:8" ht="13.8" x14ac:dyDescent="0.25">
      <c r="A413" s="5">
        <v>411</v>
      </c>
      <c r="B413" s="5">
        <v>412</v>
      </c>
      <c r="C413" s="5">
        <v>0.2273</v>
      </c>
      <c r="D413" s="5">
        <v>0.93</v>
      </c>
      <c r="E413" s="5">
        <v>0.1343</v>
      </c>
      <c r="F413" s="5">
        <v>1</v>
      </c>
      <c r="G413" s="5">
        <v>1</v>
      </c>
      <c r="H413" s="5">
        <v>2</v>
      </c>
    </row>
    <row r="414" spans="1:8" ht="13.8" x14ac:dyDescent="0.25">
      <c r="A414" s="5">
        <v>412</v>
      </c>
      <c r="B414" s="5">
        <v>413</v>
      </c>
      <c r="C414" s="5">
        <v>0.2576</v>
      </c>
      <c r="D414" s="5">
        <v>0.93</v>
      </c>
      <c r="E414" s="5">
        <v>8.9599999999999999E-2</v>
      </c>
      <c r="F414" s="5">
        <v>0</v>
      </c>
      <c r="G414" s="5">
        <v>7</v>
      </c>
      <c r="H414" s="5">
        <v>7</v>
      </c>
    </row>
    <row r="415" spans="1:8" ht="13.8" x14ac:dyDescent="0.25">
      <c r="A415" s="5">
        <v>413</v>
      </c>
      <c r="B415" s="5">
        <v>414</v>
      </c>
      <c r="C415" s="5">
        <v>0.2576</v>
      </c>
      <c r="D415" s="5">
        <v>0.93</v>
      </c>
      <c r="E415" s="5">
        <v>8.9599999999999999E-2</v>
      </c>
      <c r="F415" s="5">
        <v>0</v>
      </c>
      <c r="G415" s="5">
        <v>32</v>
      </c>
      <c r="H415" s="5">
        <v>32</v>
      </c>
    </row>
    <row r="416" spans="1:8" ht="13.8" x14ac:dyDescent="0.25">
      <c r="A416" s="5">
        <v>414</v>
      </c>
      <c r="B416" s="5">
        <v>415</v>
      </c>
      <c r="C416" s="5">
        <v>0.2576</v>
      </c>
      <c r="D416" s="5">
        <v>0.92</v>
      </c>
      <c r="E416" s="5">
        <v>0.1045</v>
      </c>
      <c r="F416" s="5">
        <v>1</v>
      </c>
      <c r="G416" s="5">
        <v>89</v>
      </c>
      <c r="H416" s="5">
        <v>90</v>
      </c>
    </row>
    <row r="417" spans="1:8" ht="13.8" x14ac:dyDescent="0.25">
      <c r="A417" s="5">
        <v>415</v>
      </c>
      <c r="B417" s="5">
        <v>416</v>
      </c>
      <c r="C417" s="5">
        <v>0.2576</v>
      </c>
      <c r="D417" s="5">
        <v>0.93</v>
      </c>
      <c r="E417" s="5">
        <v>0.1045</v>
      </c>
      <c r="F417" s="5">
        <v>1</v>
      </c>
      <c r="G417" s="5">
        <v>196</v>
      </c>
      <c r="H417" s="5">
        <v>197</v>
      </c>
    </row>
    <row r="418" spans="1:8" ht="13.8" x14ac:dyDescent="0.25">
      <c r="A418" s="5">
        <v>416</v>
      </c>
      <c r="B418" s="5">
        <v>417</v>
      </c>
      <c r="C418" s="5">
        <v>0.2576</v>
      </c>
      <c r="D418" s="5">
        <v>0.93</v>
      </c>
      <c r="E418" s="5">
        <v>0.1045</v>
      </c>
      <c r="F418" s="5">
        <v>2</v>
      </c>
      <c r="G418" s="5">
        <v>107</v>
      </c>
      <c r="H418" s="5">
        <v>109</v>
      </c>
    </row>
    <row r="419" spans="1:8" ht="13.8" x14ac:dyDescent="0.25">
      <c r="A419" s="5">
        <v>417</v>
      </c>
      <c r="B419" s="5">
        <v>418</v>
      </c>
      <c r="C419" s="5">
        <v>0.2727</v>
      </c>
      <c r="D419" s="5">
        <v>0.93</v>
      </c>
      <c r="E419" s="5">
        <v>0.1343</v>
      </c>
      <c r="F419" s="5">
        <v>1</v>
      </c>
      <c r="G419" s="5">
        <v>46</v>
      </c>
      <c r="H419" s="5">
        <v>47</v>
      </c>
    </row>
    <row r="420" spans="1:8" ht="13.8" x14ac:dyDescent="0.25">
      <c r="A420" s="5">
        <v>418</v>
      </c>
      <c r="B420" s="5">
        <v>419</v>
      </c>
      <c r="C420" s="5">
        <v>0.30299999999999999</v>
      </c>
      <c r="D420" s="5">
        <v>0.87</v>
      </c>
      <c r="E420" s="5">
        <v>8.9599999999999999E-2</v>
      </c>
      <c r="F420" s="5">
        <v>5</v>
      </c>
      <c r="G420" s="5">
        <v>47</v>
      </c>
      <c r="H420" s="5">
        <v>52</v>
      </c>
    </row>
    <row r="421" spans="1:8" ht="13.8" x14ac:dyDescent="0.25">
      <c r="A421" s="5">
        <v>419</v>
      </c>
      <c r="B421" s="5">
        <v>420</v>
      </c>
      <c r="C421" s="5">
        <v>0.31819999999999998</v>
      </c>
      <c r="D421" s="5">
        <v>0.81</v>
      </c>
      <c r="E421" s="5">
        <v>8.9599999999999999E-2</v>
      </c>
      <c r="F421" s="5">
        <v>5</v>
      </c>
      <c r="G421" s="5">
        <v>65</v>
      </c>
      <c r="H421" s="5">
        <v>70</v>
      </c>
    </row>
    <row r="422" spans="1:8" ht="13.8" x14ac:dyDescent="0.25">
      <c r="A422" s="5">
        <v>420</v>
      </c>
      <c r="B422" s="5">
        <v>421</v>
      </c>
      <c r="C422" s="5">
        <v>0.40910000000000002</v>
      </c>
      <c r="D422" s="5">
        <v>0.62</v>
      </c>
      <c r="E422" s="5">
        <v>0.28360000000000002</v>
      </c>
      <c r="F422" s="5">
        <v>11</v>
      </c>
      <c r="G422" s="5">
        <v>67</v>
      </c>
      <c r="H422" s="5">
        <v>78</v>
      </c>
    </row>
    <row r="423" spans="1:8" ht="13.8" x14ac:dyDescent="0.25">
      <c r="A423" s="5">
        <v>421</v>
      </c>
      <c r="B423" s="5">
        <v>422</v>
      </c>
      <c r="C423" s="5">
        <v>0.40910000000000002</v>
      </c>
      <c r="D423" s="5">
        <v>0.57999999999999996</v>
      </c>
      <c r="E423" s="5">
        <v>0.25369999999999998</v>
      </c>
      <c r="F423" s="5">
        <v>7</v>
      </c>
      <c r="G423" s="5">
        <v>68</v>
      </c>
      <c r="H423" s="5">
        <v>75</v>
      </c>
    </row>
    <row r="424" spans="1:8" ht="13.8" x14ac:dyDescent="0.25">
      <c r="A424" s="5">
        <v>422</v>
      </c>
      <c r="B424" s="5">
        <v>423</v>
      </c>
      <c r="C424" s="5">
        <v>0.40910000000000002</v>
      </c>
      <c r="D424" s="5">
        <v>0.54</v>
      </c>
      <c r="E424" s="5">
        <v>0.28360000000000002</v>
      </c>
      <c r="F424" s="5">
        <v>4</v>
      </c>
      <c r="G424" s="5">
        <v>78</v>
      </c>
      <c r="H424" s="5">
        <v>82</v>
      </c>
    </row>
    <row r="425" spans="1:8" ht="13.8" x14ac:dyDescent="0.25">
      <c r="A425" s="5">
        <v>423</v>
      </c>
      <c r="B425" s="5">
        <v>424</v>
      </c>
      <c r="C425" s="5">
        <v>0.39389999999999997</v>
      </c>
      <c r="D425" s="5">
        <v>0.57999999999999996</v>
      </c>
      <c r="E425" s="5">
        <v>0.3881</v>
      </c>
      <c r="F425" s="5">
        <v>10</v>
      </c>
      <c r="G425" s="5">
        <v>94</v>
      </c>
      <c r="H425" s="5">
        <v>104</v>
      </c>
    </row>
    <row r="426" spans="1:8" ht="13.8" x14ac:dyDescent="0.25">
      <c r="A426" s="5">
        <v>424</v>
      </c>
      <c r="B426" s="5">
        <v>425</v>
      </c>
      <c r="C426" s="5">
        <v>0.33329999999999999</v>
      </c>
      <c r="D426" s="5">
        <v>0.56999999999999995</v>
      </c>
      <c r="E426" s="5">
        <v>0.32840000000000003</v>
      </c>
      <c r="F426" s="5">
        <v>7</v>
      </c>
      <c r="G426" s="5">
        <v>190</v>
      </c>
      <c r="H426" s="5">
        <v>197</v>
      </c>
    </row>
    <row r="427" spans="1:8" ht="13.8" x14ac:dyDescent="0.25">
      <c r="A427" s="5">
        <v>425</v>
      </c>
      <c r="B427" s="5">
        <v>426</v>
      </c>
      <c r="C427" s="5">
        <v>0.31819999999999998</v>
      </c>
      <c r="D427" s="5">
        <v>0.61</v>
      </c>
      <c r="E427" s="5">
        <v>0.28360000000000002</v>
      </c>
      <c r="F427" s="5">
        <v>5</v>
      </c>
      <c r="G427" s="5">
        <v>156</v>
      </c>
      <c r="H427" s="5">
        <v>161</v>
      </c>
    </row>
    <row r="428" spans="1:8" ht="13.8" x14ac:dyDescent="0.25">
      <c r="A428" s="5">
        <v>426</v>
      </c>
      <c r="B428" s="5">
        <v>427</v>
      </c>
      <c r="C428" s="5">
        <v>0.28789999999999999</v>
      </c>
      <c r="D428" s="5">
        <v>0.56999999999999995</v>
      </c>
      <c r="E428" s="5">
        <v>0.41789999999999999</v>
      </c>
      <c r="F428" s="5">
        <v>4</v>
      </c>
      <c r="G428" s="5">
        <v>108</v>
      </c>
      <c r="H428" s="5">
        <v>112</v>
      </c>
    </row>
    <row r="429" spans="1:8" ht="13.8" x14ac:dyDescent="0.25">
      <c r="A429" s="5">
        <v>427</v>
      </c>
      <c r="B429" s="5">
        <v>428</v>
      </c>
      <c r="C429" s="5">
        <v>0.30299999999999999</v>
      </c>
      <c r="D429" s="5">
        <v>0.49</v>
      </c>
      <c r="E429" s="5">
        <v>0.29849999999999999</v>
      </c>
      <c r="F429" s="5">
        <v>2</v>
      </c>
      <c r="G429" s="5">
        <v>74</v>
      </c>
      <c r="H429" s="5">
        <v>76</v>
      </c>
    </row>
    <row r="430" spans="1:8" ht="13.8" x14ac:dyDescent="0.25">
      <c r="A430" s="5">
        <v>428</v>
      </c>
      <c r="B430" s="5">
        <v>429</v>
      </c>
      <c r="C430" s="5">
        <v>0.28789999999999999</v>
      </c>
      <c r="D430" s="5">
        <v>0.49</v>
      </c>
      <c r="E430" s="5">
        <v>0.41789999999999999</v>
      </c>
      <c r="F430" s="5">
        <v>4</v>
      </c>
      <c r="G430" s="5">
        <v>55</v>
      </c>
      <c r="H430" s="5">
        <v>59</v>
      </c>
    </row>
    <row r="431" spans="1:8" ht="13.8" x14ac:dyDescent="0.25">
      <c r="A431" s="5">
        <v>429</v>
      </c>
      <c r="B431" s="5">
        <v>430</v>
      </c>
      <c r="C431" s="5">
        <v>0.30299999999999999</v>
      </c>
      <c r="D431" s="5">
        <v>0.52</v>
      </c>
      <c r="E431" s="5">
        <v>0.16420000000000001</v>
      </c>
      <c r="F431" s="5">
        <v>6</v>
      </c>
      <c r="G431" s="5">
        <v>53</v>
      </c>
      <c r="H431" s="5">
        <v>59</v>
      </c>
    </row>
    <row r="432" spans="1:8" ht="13.8" x14ac:dyDescent="0.25">
      <c r="A432" s="5">
        <v>430</v>
      </c>
      <c r="B432" s="5">
        <v>431</v>
      </c>
      <c r="C432" s="5">
        <v>0.2727</v>
      </c>
      <c r="D432" s="5">
        <v>0.52</v>
      </c>
      <c r="E432" s="5">
        <v>0.4627</v>
      </c>
      <c r="F432" s="5">
        <v>1</v>
      </c>
      <c r="G432" s="5">
        <v>27</v>
      </c>
      <c r="H432" s="5">
        <v>28</v>
      </c>
    </row>
    <row r="433" spans="1:8" ht="13.8" x14ac:dyDescent="0.25">
      <c r="A433" s="5">
        <v>431</v>
      </c>
      <c r="B433" s="5">
        <v>432</v>
      </c>
      <c r="C433" s="5">
        <v>0.2273</v>
      </c>
      <c r="D433" s="5">
        <v>0.56000000000000005</v>
      </c>
      <c r="E433" s="5">
        <v>0.3881</v>
      </c>
      <c r="F433" s="5">
        <v>5</v>
      </c>
      <c r="G433" s="5">
        <v>8</v>
      </c>
      <c r="H433" s="5">
        <v>13</v>
      </c>
    </row>
    <row r="434" spans="1:8" ht="13.8" x14ac:dyDescent="0.25">
      <c r="A434" s="5">
        <v>432</v>
      </c>
      <c r="B434" s="5">
        <v>433</v>
      </c>
      <c r="C434" s="5">
        <v>0.2727</v>
      </c>
      <c r="D434" s="5">
        <v>0.56000000000000005</v>
      </c>
      <c r="E434" s="5">
        <v>0</v>
      </c>
      <c r="F434" s="5">
        <v>2</v>
      </c>
      <c r="G434" s="5">
        <v>3</v>
      </c>
      <c r="H434" s="5">
        <v>5</v>
      </c>
    </row>
    <row r="435" spans="1:8" ht="13.8" x14ac:dyDescent="0.25">
      <c r="A435" s="5">
        <v>433</v>
      </c>
      <c r="B435" s="5">
        <v>434</v>
      </c>
      <c r="C435" s="5">
        <v>0.2727</v>
      </c>
      <c r="D435" s="5">
        <v>0.56000000000000005</v>
      </c>
      <c r="E435" s="5">
        <v>0</v>
      </c>
      <c r="F435" s="5">
        <v>0</v>
      </c>
      <c r="G435" s="5">
        <v>2</v>
      </c>
      <c r="H435" s="5">
        <v>2</v>
      </c>
    </row>
    <row r="436" spans="1:8" ht="13.8" x14ac:dyDescent="0.25">
      <c r="A436" s="5">
        <v>434</v>
      </c>
      <c r="B436" s="5">
        <v>435</v>
      </c>
      <c r="C436" s="5">
        <v>0.2576</v>
      </c>
      <c r="D436" s="5">
        <v>0.56000000000000005</v>
      </c>
      <c r="E436" s="5">
        <v>0.16420000000000001</v>
      </c>
      <c r="F436" s="5">
        <v>0</v>
      </c>
      <c r="G436" s="5">
        <v>1</v>
      </c>
      <c r="H436" s="5">
        <v>1</v>
      </c>
    </row>
    <row r="437" spans="1:8" ht="13.8" x14ac:dyDescent="0.25">
      <c r="A437" s="5">
        <v>435</v>
      </c>
      <c r="B437" s="5">
        <v>436</v>
      </c>
      <c r="C437" s="5">
        <v>0.2576</v>
      </c>
      <c r="D437" s="5">
        <v>0.56000000000000005</v>
      </c>
      <c r="E437" s="5">
        <v>0.16420000000000001</v>
      </c>
      <c r="F437" s="5">
        <v>0</v>
      </c>
      <c r="G437" s="5">
        <v>1</v>
      </c>
      <c r="H437" s="5">
        <v>1</v>
      </c>
    </row>
    <row r="438" spans="1:8" ht="13.8" x14ac:dyDescent="0.25">
      <c r="A438" s="5">
        <v>436</v>
      </c>
      <c r="B438" s="5">
        <v>437</v>
      </c>
      <c r="C438" s="5">
        <v>0.2273</v>
      </c>
      <c r="D438" s="5">
        <v>0.6</v>
      </c>
      <c r="E438" s="5">
        <v>0.22389999999999999</v>
      </c>
      <c r="F438" s="5">
        <v>0</v>
      </c>
      <c r="G438" s="5">
        <v>6</v>
      </c>
      <c r="H438" s="5">
        <v>6</v>
      </c>
    </row>
    <row r="439" spans="1:8" ht="13.8" x14ac:dyDescent="0.25">
      <c r="A439" s="5">
        <v>437</v>
      </c>
      <c r="B439" s="5">
        <v>438</v>
      </c>
      <c r="C439" s="5">
        <v>0.21210000000000001</v>
      </c>
      <c r="D439" s="5">
        <v>0.6</v>
      </c>
      <c r="E439" s="5">
        <v>0.22389999999999999</v>
      </c>
      <c r="F439" s="5">
        <v>0</v>
      </c>
      <c r="G439" s="5">
        <v>35</v>
      </c>
      <c r="H439" s="5">
        <v>35</v>
      </c>
    </row>
    <row r="440" spans="1:8" ht="13.8" x14ac:dyDescent="0.25">
      <c r="A440" s="5">
        <v>438</v>
      </c>
      <c r="B440" s="5">
        <v>439</v>
      </c>
      <c r="C440" s="5">
        <v>0.21210000000000001</v>
      </c>
      <c r="D440" s="5">
        <v>0.55000000000000004</v>
      </c>
      <c r="E440" s="5">
        <v>0.22389999999999999</v>
      </c>
      <c r="F440" s="5">
        <v>1</v>
      </c>
      <c r="G440" s="5">
        <v>100</v>
      </c>
      <c r="H440" s="5">
        <v>101</v>
      </c>
    </row>
    <row r="441" spans="1:8" ht="13.8" x14ac:dyDescent="0.25">
      <c r="A441" s="5">
        <v>439</v>
      </c>
      <c r="B441" s="5">
        <v>440</v>
      </c>
      <c r="C441" s="5">
        <v>0.21210000000000001</v>
      </c>
      <c r="D441" s="5">
        <v>0.55000000000000004</v>
      </c>
      <c r="E441" s="5">
        <v>0.28360000000000002</v>
      </c>
      <c r="F441" s="5">
        <v>2</v>
      </c>
      <c r="G441" s="5">
        <v>247</v>
      </c>
      <c r="H441" s="5">
        <v>249</v>
      </c>
    </row>
    <row r="442" spans="1:8" ht="13.8" x14ac:dyDescent="0.25">
      <c r="A442" s="5">
        <v>440</v>
      </c>
      <c r="B442" s="5">
        <v>441</v>
      </c>
      <c r="C442" s="5">
        <v>0.2273</v>
      </c>
      <c r="D442" s="5">
        <v>0.52</v>
      </c>
      <c r="E442" s="5">
        <v>0.22389999999999999</v>
      </c>
      <c r="F442" s="5">
        <v>3</v>
      </c>
      <c r="G442" s="5">
        <v>140</v>
      </c>
      <c r="H442" s="5">
        <v>143</v>
      </c>
    </row>
    <row r="443" spans="1:8" ht="13.8" x14ac:dyDescent="0.25">
      <c r="A443" s="5">
        <v>441</v>
      </c>
      <c r="B443" s="5">
        <v>442</v>
      </c>
      <c r="C443" s="5">
        <v>0.2273</v>
      </c>
      <c r="D443" s="5">
        <v>0.48</v>
      </c>
      <c r="E443" s="5">
        <v>0.29849999999999999</v>
      </c>
      <c r="F443" s="5">
        <v>1</v>
      </c>
      <c r="G443" s="5">
        <v>56</v>
      </c>
      <c r="H443" s="5">
        <v>57</v>
      </c>
    </row>
    <row r="444" spans="1:8" ht="13.8" x14ac:dyDescent="0.25">
      <c r="A444" s="5">
        <v>442</v>
      </c>
      <c r="B444" s="5">
        <v>443</v>
      </c>
      <c r="C444" s="5">
        <v>0.2727</v>
      </c>
      <c r="D444" s="5">
        <v>0.45</v>
      </c>
      <c r="E444" s="5">
        <v>0.16420000000000001</v>
      </c>
      <c r="F444" s="5">
        <v>5</v>
      </c>
      <c r="G444" s="5">
        <v>63</v>
      </c>
      <c r="H444" s="5">
        <v>68</v>
      </c>
    </row>
    <row r="445" spans="1:8" ht="13.8" x14ac:dyDescent="0.25">
      <c r="A445" s="5">
        <v>443</v>
      </c>
      <c r="B445" s="5">
        <v>444</v>
      </c>
      <c r="C445" s="5">
        <v>0.33329999999999999</v>
      </c>
      <c r="D445" s="5">
        <v>0.42</v>
      </c>
      <c r="E445" s="5">
        <v>0</v>
      </c>
      <c r="F445" s="5">
        <v>7</v>
      </c>
      <c r="G445" s="5">
        <v>77</v>
      </c>
      <c r="H445" s="5">
        <v>84</v>
      </c>
    </row>
    <row r="446" spans="1:8" ht="13.8" x14ac:dyDescent="0.25">
      <c r="A446" s="5">
        <v>444</v>
      </c>
      <c r="B446" s="5">
        <v>445</v>
      </c>
      <c r="C446" s="5">
        <v>0.28789999999999999</v>
      </c>
      <c r="D446" s="5">
        <v>0.45</v>
      </c>
      <c r="E446" s="5">
        <v>0.1045</v>
      </c>
      <c r="F446" s="5">
        <v>12</v>
      </c>
      <c r="G446" s="5">
        <v>86</v>
      </c>
      <c r="H446" s="5">
        <v>98</v>
      </c>
    </row>
    <row r="447" spans="1:8" ht="13.8" x14ac:dyDescent="0.25">
      <c r="A447" s="5">
        <v>445</v>
      </c>
      <c r="B447" s="5">
        <v>446</v>
      </c>
      <c r="C447" s="5">
        <v>0.30299999999999999</v>
      </c>
      <c r="D447" s="5">
        <v>0.45</v>
      </c>
      <c r="E447" s="5">
        <v>0.1343</v>
      </c>
      <c r="F447" s="5">
        <v>6</v>
      </c>
      <c r="G447" s="5">
        <v>75</v>
      </c>
      <c r="H447" s="5">
        <v>81</v>
      </c>
    </row>
    <row r="448" spans="1:8" ht="13.8" x14ac:dyDescent="0.25">
      <c r="A448" s="5">
        <v>446</v>
      </c>
      <c r="B448" s="5">
        <v>447</v>
      </c>
      <c r="C448" s="5">
        <v>0.31819999999999998</v>
      </c>
      <c r="D448" s="5">
        <v>0.45</v>
      </c>
      <c r="E448" s="5">
        <v>0.19400000000000001</v>
      </c>
      <c r="F448" s="5">
        <v>8</v>
      </c>
      <c r="G448" s="5">
        <v>62</v>
      </c>
      <c r="H448" s="5">
        <v>70</v>
      </c>
    </row>
    <row r="449" spans="1:8" ht="13.8" x14ac:dyDescent="0.25">
      <c r="A449" s="5">
        <v>447</v>
      </c>
      <c r="B449" s="5">
        <v>448</v>
      </c>
      <c r="C449" s="5">
        <v>0.30299999999999999</v>
      </c>
      <c r="D449" s="5">
        <v>0.49</v>
      </c>
      <c r="E449" s="5">
        <v>0.1343</v>
      </c>
      <c r="F449" s="5">
        <v>8</v>
      </c>
      <c r="G449" s="5">
        <v>83</v>
      </c>
      <c r="H449" s="5">
        <v>91</v>
      </c>
    </row>
    <row r="450" spans="1:8" ht="13.8" x14ac:dyDescent="0.25">
      <c r="A450" s="5">
        <v>448</v>
      </c>
      <c r="B450" s="5">
        <v>449</v>
      </c>
      <c r="C450" s="5">
        <v>0.31819999999999998</v>
      </c>
      <c r="D450" s="5">
        <v>0.49</v>
      </c>
      <c r="E450" s="5">
        <v>0.1045</v>
      </c>
      <c r="F450" s="5">
        <v>8</v>
      </c>
      <c r="G450" s="5">
        <v>207</v>
      </c>
      <c r="H450" s="5">
        <v>215</v>
      </c>
    </row>
    <row r="451" spans="1:8" ht="13.8" x14ac:dyDescent="0.25">
      <c r="A451" s="5">
        <v>449</v>
      </c>
      <c r="B451" s="5">
        <v>450</v>
      </c>
      <c r="C451" s="5">
        <v>0.2576</v>
      </c>
      <c r="D451" s="5">
        <v>0.56000000000000005</v>
      </c>
      <c r="E451" s="5">
        <v>0.19400000000000001</v>
      </c>
      <c r="F451" s="5">
        <v>1</v>
      </c>
      <c r="G451" s="5">
        <v>184</v>
      </c>
      <c r="H451" s="5">
        <v>185</v>
      </c>
    </row>
    <row r="452" spans="1:8" ht="13.8" x14ac:dyDescent="0.25">
      <c r="A452" s="5">
        <v>450</v>
      </c>
      <c r="B452" s="5">
        <v>451</v>
      </c>
      <c r="C452" s="5">
        <v>0.2273</v>
      </c>
      <c r="D452" s="5">
        <v>0.56000000000000005</v>
      </c>
      <c r="E452" s="5">
        <v>0.32840000000000003</v>
      </c>
      <c r="F452" s="5">
        <v>6</v>
      </c>
      <c r="G452" s="5">
        <v>146</v>
      </c>
      <c r="H452" s="5">
        <v>152</v>
      </c>
    </row>
    <row r="453" spans="1:8" ht="13.8" x14ac:dyDescent="0.25">
      <c r="A453" s="5">
        <v>451</v>
      </c>
      <c r="B453" s="5">
        <v>452</v>
      </c>
      <c r="C453" s="5">
        <v>0.2424</v>
      </c>
      <c r="D453" s="5">
        <v>0.6</v>
      </c>
      <c r="E453" s="5">
        <v>0.28360000000000002</v>
      </c>
      <c r="F453" s="5">
        <v>2</v>
      </c>
      <c r="G453" s="5">
        <v>124</v>
      </c>
      <c r="H453" s="5">
        <v>126</v>
      </c>
    </row>
    <row r="454" spans="1:8" ht="13.8" x14ac:dyDescent="0.25">
      <c r="A454" s="5">
        <v>452</v>
      </c>
      <c r="B454" s="5">
        <v>453</v>
      </c>
      <c r="C454" s="5">
        <v>0.2273</v>
      </c>
      <c r="D454" s="5">
        <v>0.6</v>
      </c>
      <c r="E454" s="5">
        <v>0.25369999999999998</v>
      </c>
      <c r="F454" s="5">
        <v>3</v>
      </c>
      <c r="G454" s="5">
        <v>54</v>
      </c>
      <c r="H454" s="5">
        <v>57</v>
      </c>
    </row>
    <row r="455" spans="1:8" ht="13.8" x14ac:dyDescent="0.25">
      <c r="A455" s="5">
        <v>453</v>
      </c>
      <c r="B455" s="5">
        <v>454</v>
      </c>
      <c r="C455" s="5">
        <v>0.21210000000000001</v>
      </c>
      <c r="D455" s="5">
        <v>0.65</v>
      </c>
      <c r="E455" s="5">
        <v>0.28360000000000002</v>
      </c>
      <c r="F455" s="5">
        <v>0</v>
      </c>
      <c r="G455" s="5">
        <v>56</v>
      </c>
      <c r="H455" s="5">
        <v>56</v>
      </c>
    </row>
    <row r="456" spans="1:8" ht="13.8" x14ac:dyDescent="0.25">
      <c r="A456" s="5">
        <v>454</v>
      </c>
      <c r="B456" s="5">
        <v>455</v>
      </c>
      <c r="C456" s="5">
        <v>0.21210000000000001</v>
      </c>
      <c r="D456" s="5">
        <v>0.65</v>
      </c>
      <c r="E456" s="5">
        <v>0.32840000000000003</v>
      </c>
      <c r="F456" s="5">
        <v>3</v>
      </c>
      <c r="G456" s="5">
        <v>28</v>
      </c>
      <c r="H456" s="5">
        <v>31</v>
      </c>
    </row>
    <row r="457" spans="1:8" ht="13.8" x14ac:dyDescent="0.25">
      <c r="A457" s="5">
        <v>455</v>
      </c>
      <c r="B457" s="5">
        <v>456</v>
      </c>
      <c r="C457" s="5">
        <v>0.2273</v>
      </c>
      <c r="D457" s="5">
        <v>0.7</v>
      </c>
      <c r="E457" s="5">
        <v>0.25369999999999998</v>
      </c>
      <c r="F457" s="5">
        <v>1</v>
      </c>
      <c r="G457" s="5">
        <v>20</v>
      </c>
      <c r="H457" s="5">
        <v>21</v>
      </c>
    </row>
    <row r="458" spans="1:8" ht="13.8" x14ac:dyDescent="0.25">
      <c r="A458" s="5">
        <v>456</v>
      </c>
      <c r="B458" s="5">
        <v>457</v>
      </c>
      <c r="C458" s="5">
        <v>0.2273</v>
      </c>
      <c r="D458" s="5">
        <v>0.7</v>
      </c>
      <c r="E458" s="5">
        <v>0.25369999999999998</v>
      </c>
      <c r="F458" s="5">
        <v>0</v>
      </c>
      <c r="G458" s="5">
        <v>6</v>
      </c>
      <c r="H458" s="5">
        <v>6</v>
      </c>
    </row>
    <row r="459" spans="1:8" ht="13.8" x14ac:dyDescent="0.25">
      <c r="A459" s="5">
        <v>457</v>
      </c>
      <c r="B459" s="5">
        <v>458</v>
      </c>
      <c r="C459" s="5">
        <v>0.2424</v>
      </c>
      <c r="D459" s="5">
        <v>0.75</v>
      </c>
      <c r="E459" s="5">
        <v>0.16420000000000001</v>
      </c>
      <c r="F459" s="5">
        <v>0</v>
      </c>
      <c r="G459" s="5">
        <v>2</v>
      </c>
      <c r="H459" s="5">
        <v>2</v>
      </c>
    </row>
    <row r="460" spans="1:8" ht="13.8" x14ac:dyDescent="0.25">
      <c r="A460" s="5">
        <v>458</v>
      </c>
      <c r="B460" s="5">
        <v>459</v>
      </c>
      <c r="C460" s="5">
        <v>0.21210000000000001</v>
      </c>
      <c r="D460" s="5">
        <v>0.8</v>
      </c>
      <c r="E460" s="5">
        <v>0.29849999999999999</v>
      </c>
      <c r="F460" s="5">
        <v>0</v>
      </c>
      <c r="G460" s="5">
        <v>1</v>
      </c>
      <c r="H460" s="5">
        <v>1</v>
      </c>
    </row>
    <row r="461" spans="1:8" ht="13.8" x14ac:dyDescent="0.25">
      <c r="A461" s="5">
        <v>459</v>
      </c>
      <c r="B461" s="5">
        <v>460</v>
      </c>
      <c r="C461" s="5">
        <v>0.2576</v>
      </c>
      <c r="D461" s="5">
        <v>0.87</v>
      </c>
      <c r="E461" s="5">
        <v>8.9599999999999999E-2</v>
      </c>
      <c r="F461" s="5">
        <v>0</v>
      </c>
      <c r="G461" s="5">
        <v>1</v>
      </c>
      <c r="H461" s="5">
        <v>1</v>
      </c>
    </row>
    <row r="462" spans="1:8" ht="13.8" x14ac:dyDescent="0.25">
      <c r="A462" s="5">
        <v>460</v>
      </c>
      <c r="B462" s="5">
        <v>461</v>
      </c>
      <c r="C462" s="5">
        <v>0.19700000000000001</v>
      </c>
      <c r="D462" s="5">
        <v>0.6</v>
      </c>
      <c r="E462" s="5">
        <v>0.41789999999999999</v>
      </c>
      <c r="F462" s="5">
        <v>1</v>
      </c>
      <c r="G462" s="5">
        <v>4</v>
      </c>
      <c r="H462" s="5">
        <v>5</v>
      </c>
    </row>
    <row r="463" spans="1:8" ht="13.8" x14ac:dyDescent="0.25">
      <c r="A463" s="5">
        <v>461</v>
      </c>
      <c r="B463" s="5">
        <v>462</v>
      </c>
      <c r="C463" s="5">
        <v>0.21210000000000001</v>
      </c>
      <c r="D463" s="5">
        <v>0.55000000000000004</v>
      </c>
      <c r="E463" s="5">
        <v>0.25369999999999998</v>
      </c>
      <c r="F463" s="5">
        <v>0</v>
      </c>
      <c r="G463" s="5">
        <v>27</v>
      </c>
      <c r="H463" s="5">
        <v>27</v>
      </c>
    </row>
    <row r="464" spans="1:8" ht="13.8" x14ac:dyDescent="0.25">
      <c r="A464" s="5">
        <v>462</v>
      </c>
      <c r="B464" s="5">
        <v>463</v>
      </c>
      <c r="C464" s="5">
        <v>0.18179999999999999</v>
      </c>
      <c r="D464" s="5">
        <v>0.51</v>
      </c>
      <c r="E464" s="5">
        <v>0.28360000000000002</v>
      </c>
      <c r="F464" s="5">
        <v>2</v>
      </c>
      <c r="G464" s="5">
        <v>66</v>
      </c>
      <c r="H464" s="5">
        <v>68</v>
      </c>
    </row>
    <row r="465" spans="1:8" ht="13.8" x14ac:dyDescent="0.25">
      <c r="A465" s="5">
        <v>463</v>
      </c>
      <c r="B465" s="5">
        <v>464</v>
      </c>
      <c r="C465" s="5">
        <v>0.18179999999999999</v>
      </c>
      <c r="D465" s="5">
        <v>0.47</v>
      </c>
      <c r="E465" s="5">
        <v>0.32840000000000003</v>
      </c>
      <c r="F465" s="5">
        <v>7</v>
      </c>
      <c r="G465" s="5">
        <v>210</v>
      </c>
      <c r="H465" s="5">
        <v>217</v>
      </c>
    </row>
    <row r="466" spans="1:8" ht="13.8" x14ac:dyDescent="0.25">
      <c r="A466" s="5">
        <v>464</v>
      </c>
      <c r="B466" s="5">
        <v>465</v>
      </c>
      <c r="C466" s="5">
        <v>0.18179999999999999</v>
      </c>
      <c r="D466" s="5">
        <v>0.51</v>
      </c>
      <c r="E466" s="5">
        <v>0.35820000000000002</v>
      </c>
      <c r="F466" s="5">
        <v>7</v>
      </c>
      <c r="G466" s="5">
        <v>159</v>
      </c>
      <c r="H466" s="5">
        <v>166</v>
      </c>
    </row>
    <row r="467" spans="1:8" ht="13.8" x14ac:dyDescent="0.25">
      <c r="A467" s="5">
        <v>465</v>
      </c>
      <c r="B467" s="5">
        <v>466</v>
      </c>
      <c r="C467" s="5">
        <v>0.16669999999999999</v>
      </c>
      <c r="D467" s="5">
        <v>0.47</v>
      </c>
      <c r="E467" s="5">
        <v>0.4627</v>
      </c>
      <c r="F467" s="5">
        <v>6</v>
      </c>
      <c r="G467" s="5">
        <v>57</v>
      </c>
      <c r="H467" s="5">
        <v>63</v>
      </c>
    </row>
    <row r="468" spans="1:8" ht="13.8" x14ac:dyDescent="0.25">
      <c r="A468" s="5">
        <v>466</v>
      </c>
      <c r="B468" s="5">
        <v>467</v>
      </c>
      <c r="C468" s="5">
        <v>0.18179999999999999</v>
      </c>
      <c r="D468" s="5">
        <v>0.41</v>
      </c>
      <c r="E468" s="5">
        <v>0.4627</v>
      </c>
      <c r="F468" s="5">
        <v>6</v>
      </c>
      <c r="G468" s="5">
        <v>53</v>
      </c>
      <c r="H468" s="5">
        <v>59</v>
      </c>
    </row>
    <row r="469" spans="1:8" ht="13.8" x14ac:dyDescent="0.25">
      <c r="A469" s="5">
        <v>467</v>
      </c>
      <c r="B469" s="5">
        <v>468</v>
      </c>
      <c r="C469" s="5">
        <v>0.18179999999999999</v>
      </c>
      <c r="D469" s="5">
        <v>0.27</v>
      </c>
      <c r="E469" s="5">
        <v>0.58209999999999995</v>
      </c>
      <c r="F469" s="5">
        <v>11</v>
      </c>
      <c r="G469" s="5">
        <v>67</v>
      </c>
      <c r="H469" s="5">
        <v>78</v>
      </c>
    </row>
    <row r="470" spans="1:8" ht="13.8" x14ac:dyDescent="0.25">
      <c r="A470" s="5">
        <v>468</v>
      </c>
      <c r="B470" s="5">
        <v>469</v>
      </c>
      <c r="C470" s="5">
        <v>0.1515</v>
      </c>
      <c r="D470" s="5">
        <v>0.21</v>
      </c>
      <c r="E470" s="5">
        <v>0.58209999999999995</v>
      </c>
      <c r="F470" s="5">
        <v>8</v>
      </c>
      <c r="G470" s="5">
        <v>65</v>
      </c>
      <c r="H470" s="5">
        <v>73</v>
      </c>
    </row>
    <row r="471" spans="1:8" ht="13.8" x14ac:dyDescent="0.25">
      <c r="A471" s="5">
        <v>469</v>
      </c>
      <c r="B471" s="5">
        <v>470</v>
      </c>
      <c r="C471" s="5">
        <v>0.1515</v>
      </c>
      <c r="D471" s="5">
        <v>0.25</v>
      </c>
      <c r="E471" s="5">
        <v>0.52239999999999998</v>
      </c>
      <c r="F471" s="5">
        <v>6</v>
      </c>
      <c r="G471" s="5">
        <v>56</v>
      </c>
      <c r="H471" s="5">
        <v>62</v>
      </c>
    </row>
    <row r="472" spans="1:8" ht="13.8" x14ac:dyDescent="0.25">
      <c r="A472" s="5">
        <v>470</v>
      </c>
      <c r="B472" s="5">
        <v>471</v>
      </c>
      <c r="C472" s="5">
        <v>0.1212</v>
      </c>
      <c r="D472" s="5">
        <v>0.26</v>
      </c>
      <c r="E472" s="5">
        <v>0.44779999999999998</v>
      </c>
      <c r="F472" s="5">
        <v>4</v>
      </c>
      <c r="G472" s="5">
        <v>61</v>
      </c>
      <c r="H472" s="5">
        <v>65</v>
      </c>
    </row>
    <row r="473" spans="1:8" ht="13.8" x14ac:dyDescent="0.25">
      <c r="A473" s="5">
        <v>471</v>
      </c>
      <c r="B473" s="5">
        <v>472</v>
      </c>
      <c r="C473" s="5">
        <v>0.13639999999999999</v>
      </c>
      <c r="D473" s="5">
        <v>0.26</v>
      </c>
      <c r="E473" s="5">
        <v>0.35820000000000002</v>
      </c>
      <c r="F473" s="5">
        <v>0</v>
      </c>
      <c r="G473" s="5">
        <v>97</v>
      </c>
      <c r="H473" s="5">
        <v>97</v>
      </c>
    </row>
    <row r="474" spans="1:8" ht="13.8" x14ac:dyDescent="0.25">
      <c r="A474" s="5">
        <v>472</v>
      </c>
      <c r="B474" s="5">
        <v>473</v>
      </c>
      <c r="C474" s="5">
        <v>0.1212</v>
      </c>
      <c r="D474" s="5">
        <v>0.28000000000000003</v>
      </c>
      <c r="E474" s="5">
        <v>0.35820000000000002</v>
      </c>
      <c r="F474" s="5">
        <v>10</v>
      </c>
      <c r="G474" s="5">
        <v>151</v>
      </c>
      <c r="H474" s="5">
        <v>161</v>
      </c>
    </row>
    <row r="475" spans="1:8" ht="13.8" x14ac:dyDescent="0.25">
      <c r="A475" s="5">
        <v>473</v>
      </c>
      <c r="B475" s="5">
        <v>474</v>
      </c>
      <c r="C475" s="5">
        <v>0.1212</v>
      </c>
      <c r="D475" s="5">
        <v>0.3</v>
      </c>
      <c r="E475" s="5">
        <v>0.25369999999999998</v>
      </c>
      <c r="F475" s="5">
        <v>1</v>
      </c>
      <c r="G475" s="5">
        <v>119</v>
      </c>
      <c r="H475" s="5">
        <v>120</v>
      </c>
    </row>
    <row r="476" spans="1:8" ht="13.8" x14ac:dyDescent="0.25">
      <c r="A476" s="5">
        <v>474</v>
      </c>
      <c r="B476" s="5">
        <v>475</v>
      </c>
      <c r="C476" s="5">
        <v>0.1061</v>
      </c>
      <c r="D476" s="5">
        <v>0.3</v>
      </c>
      <c r="E476" s="5">
        <v>0.32840000000000003</v>
      </c>
      <c r="F476" s="5">
        <v>3</v>
      </c>
      <c r="G476" s="5">
        <v>93</v>
      </c>
      <c r="H476" s="5">
        <v>96</v>
      </c>
    </row>
    <row r="477" spans="1:8" ht="13.8" x14ac:dyDescent="0.25">
      <c r="A477" s="5">
        <v>475</v>
      </c>
      <c r="B477" s="5">
        <v>476</v>
      </c>
      <c r="C477" s="5">
        <v>7.5800000000000006E-2</v>
      </c>
      <c r="D477" s="5">
        <v>0.33</v>
      </c>
      <c r="E477" s="5">
        <v>0.41789999999999999</v>
      </c>
      <c r="F477" s="5">
        <v>1</v>
      </c>
      <c r="G477" s="5">
        <v>52</v>
      </c>
      <c r="H477" s="5">
        <v>53</v>
      </c>
    </row>
    <row r="478" spans="1:8" ht="13.8" x14ac:dyDescent="0.25">
      <c r="A478" s="5">
        <v>476</v>
      </c>
      <c r="B478" s="5">
        <v>477</v>
      </c>
      <c r="C478" s="5">
        <v>7.5800000000000006E-2</v>
      </c>
      <c r="D478" s="5">
        <v>0.38</v>
      </c>
      <c r="E478" s="5">
        <v>0.28360000000000002</v>
      </c>
      <c r="F478" s="5">
        <v>0</v>
      </c>
      <c r="G478" s="5">
        <v>41</v>
      </c>
      <c r="H478" s="5">
        <v>41</v>
      </c>
    </row>
    <row r="479" spans="1:8" ht="13.8" x14ac:dyDescent="0.25">
      <c r="A479" s="5">
        <v>477</v>
      </c>
      <c r="B479" s="5">
        <v>478</v>
      </c>
      <c r="C479" s="5">
        <v>3.0300000000000001E-2</v>
      </c>
      <c r="D479" s="5">
        <v>0.41</v>
      </c>
      <c r="E479" s="5">
        <v>0.3881</v>
      </c>
      <c r="F479" s="5">
        <v>1</v>
      </c>
      <c r="G479" s="5">
        <v>33</v>
      </c>
      <c r="H479" s="5">
        <v>34</v>
      </c>
    </row>
    <row r="480" spans="1:8" ht="13.8" x14ac:dyDescent="0.25">
      <c r="A480" s="5">
        <v>478</v>
      </c>
      <c r="B480" s="5">
        <v>479</v>
      </c>
      <c r="C480" s="5">
        <v>4.5499999999999999E-2</v>
      </c>
      <c r="D480" s="5">
        <v>0.38</v>
      </c>
      <c r="E480" s="5">
        <v>0.32840000000000003</v>
      </c>
      <c r="F480" s="5">
        <v>0</v>
      </c>
      <c r="G480" s="5">
        <v>27</v>
      </c>
      <c r="H480" s="5">
        <v>27</v>
      </c>
    </row>
    <row r="481" spans="1:8" ht="13.8" x14ac:dyDescent="0.25">
      <c r="A481" s="5">
        <v>479</v>
      </c>
      <c r="B481" s="5">
        <v>480</v>
      </c>
      <c r="C481" s="5">
        <v>3.0300000000000001E-2</v>
      </c>
      <c r="D481" s="5">
        <v>0.45</v>
      </c>
      <c r="E481" s="5">
        <v>0.25369999999999998</v>
      </c>
      <c r="F481" s="5">
        <v>0</v>
      </c>
      <c r="G481" s="5">
        <v>13</v>
      </c>
      <c r="H481" s="5">
        <v>13</v>
      </c>
    </row>
    <row r="482" spans="1:8" ht="13.8" x14ac:dyDescent="0.25">
      <c r="A482" s="5">
        <v>480</v>
      </c>
      <c r="B482" s="5">
        <v>481</v>
      </c>
      <c r="C482" s="5">
        <v>0</v>
      </c>
      <c r="D482" s="5">
        <v>0.41</v>
      </c>
      <c r="E482" s="5">
        <v>0.3881</v>
      </c>
      <c r="F482" s="5">
        <v>3</v>
      </c>
      <c r="G482" s="5">
        <v>9</v>
      </c>
      <c r="H482" s="5">
        <v>12</v>
      </c>
    </row>
    <row r="483" spans="1:8" ht="13.8" x14ac:dyDescent="0.25">
      <c r="A483" s="5">
        <v>481</v>
      </c>
      <c r="B483" s="5">
        <v>482</v>
      </c>
      <c r="C483" s="5">
        <v>3.0300000000000001E-2</v>
      </c>
      <c r="D483" s="5">
        <v>0.41</v>
      </c>
      <c r="E483" s="5">
        <v>0.25369999999999998</v>
      </c>
      <c r="F483" s="5">
        <v>0</v>
      </c>
      <c r="G483" s="5">
        <v>11</v>
      </c>
      <c r="H483" s="5">
        <v>11</v>
      </c>
    </row>
    <row r="484" spans="1:8" ht="13.8" x14ac:dyDescent="0.25">
      <c r="A484" s="5">
        <v>482</v>
      </c>
      <c r="B484" s="5">
        <v>483</v>
      </c>
      <c r="C484" s="5">
        <v>3.0300000000000001E-2</v>
      </c>
      <c r="D484" s="5">
        <v>0.41</v>
      </c>
      <c r="E484" s="5">
        <v>0.28360000000000002</v>
      </c>
      <c r="F484" s="5">
        <v>1</v>
      </c>
      <c r="G484" s="5">
        <v>6</v>
      </c>
      <c r="H484" s="5">
        <v>7</v>
      </c>
    </row>
    <row r="485" spans="1:8" ht="13.8" x14ac:dyDescent="0.25">
      <c r="A485" s="5">
        <v>483</v>
      </c>
      <c r="B485" s="5">
        <v>484</v>
      </c>
      <c r="C485" s="5">
        <v>1.52E-2</v>
      </c>
      <c r="D485" s="5">
        <v>0.48</v>
      </c>
      <c r="E485" s="5">
        <v>0.29849999999999999</v>
      </c>
      <c r="F485" s="5">
        <v>0</v>
      </c>
      <c r="G485" s="5">
        <v>3</v>
      </c>
      <c r="H485" s="5">
        <v>3</v>
      </c>
    </row>
    <row r="486" spans="1:8" ht="13.8" x14ac:dyDescent="0.25">
      <c r="A486" s="5">
        <v>484</v>
      </c>
      <c r="B486" s="5">
        <v>485</v>
      </c>
      <c r="C486" s="5">
        <v>3.0300000000000001E-2</v>
      </c>
      <c r="D486" s="5">
        <v>0.44</v>
      </c>
      <c r="E486" s="5">
        <v>0.22389999999999999</v>
      </c>
      <c r="F486" s="5">
        <v>0</v>
      </c>
      <c r="G486" s="5">
        <v>2</v>
      </c>
      <c r="H486" s="5">
        <v>2</v>
      </c>
    </row>
    <row r="487" spans="1:8" ht="13.8" x14ac:dyDescent="0.25">
      <c r="A487" s="5">
        <v>485</v>
      </c>
      <c r="B487" s="5">
        <v>486</v>
      </c>
      <c r="C487" s="5">
        <v>1.52E-2</v>
      </c>
      <c r="D487" s="5">
        <v>0.44</v>
      </c>
      <c r="E487" s="5">
        <v>0.28360000000000002</v>
      </c>
      <c r="F487" s="5">
        <v>0</v>
      </c>
      <c r="G487" s="5">
        <v>8</v>
      </c>
      <c r="H487" s="5">
        <v>8</v>
      </c>
    </row>
    <row r="488" spans="1:8" ht="13.8" x14ac:dyDescent="0.25">
      <c r="A488" s="5">
        <v>486</v>
      </c>
      <c r="B488" s="5">
        <v>487</v>
      </c>
      <c r="C488" s="5">
        <v>0</v>
      </c>
      <c r="D488" s="5">
        <v>0.44</v>
      </c>
      <c r="E488" s="5">
        <v>0.32840000000000003</v>
      </c>
      <c r="F488" s="5">
        <v>1</v>
      </c>
      <c r="G488" s="5">
        <v>26</v>
      </c>
      <c r="H488" s="5">
        <v>27</v>
      </c>
    </row>
    <row r="489" spans="1:8" ht="13.8" x14ac:dyDescent="0.25">
      <c r="A489" s="5">
        <v>487</v>
      </c>
      <c r="B489" s="5">
        <v>488</v>
      </c>
      <c r="C489" s="5">
        <v>3.0300000000000001E-2</v>
      </c>
      <c r="D489" s="5">
        <v>0.41</v>
      </c>
      <c r="E489" s="5">
        <v>0.25369999999999998</v>
      </c>
      <c r="F489" s="5">
        <v>3</v>
      </c>
      <c r="G489" s="5">
        <v>37</v>
      </c>
      <c r="H489" s="5">
        <v>40</v>
      </c>
    </row>
    <row r="490" spans="1:8" ht="13.8" x14ac:dyDescent="0.25">
      <c r="A490" s="5">
        <v>488</v>
      </c>
      <c r="B490" s="5">
        <v>489</v>
      </c>
      <c r="C490" s="5">
        <v>6.0600000000000001E-2</v>
      </c>
      <c r="D490" s="5">
        <v>0.41</v>
      </c>
      <c r="E490" s="5">
        <v>0.16420000000000001</v>
      </c>
      <c r="F490" s="5">
        <v>3</v>
      </c>
      <c r="G490" s="5">
        <v>50</v>
      </c>
      <c r="H490" s="5">
        <v>53</v>
      </c>
    </row>
    <row r="491" spans="1:8" ht="13.8" x14ac:dyDescent="0.25">
      <c r="A491" s="5">
        <v>489</v>
      </c>
      <c r="B491" s="5">
        <v>490</v>
      </c>
      <c r="C491" s="5">
        <v>7.5800000000000006E-2</v>
      </c>
      <c r="D491" s="5">
        <v>0.38</v>
      </c>
      <c r="E491" s="5">
        <v>0.1343</v>
      </c>
      <c r="F491" s="5">
        <v>4</v>
      </c>
      <c r="G491" s="5">
        <v>59</v>
      </c>
      <c r="H491" s="5">
        <v>63</v>
      </c>
    </row>
    <row r="492" spans="1:8" ht="13.8" x14ac:dyDescent="0.25">
      <c r="A492" s="5">
        <v>490</v>
      </c>
      <c r="B492" s="5">
        <v>491</v>
      </c>
      <c r="C492" s="5">
        <v>0.1061</v>
      </c>
      <c r="D492" s="5">
        <v>0.38</v>
      </c>
      <c r="E492" s="5">
        <v>0.1045</v>
      </c>
      <c r="F492" s="5">
        <v>10</v>
      </c>
      <c r="G492" s="5">
        <v>60</v>
      </c>
      <c r="H492" s="5">
        <v>70</v>
      </c>
    </row>
    <row r="493" spans="1:8" ht="13.8" x14ac:dyDescent="0.25">
      <c r="A493" s="5">
        <v>491</v>
      </c>
      <c r="B493" s="5">
        <v>492</v>
      </c>
      <c r="C493" s="5">
        <v>0.16669999999999999</v>
      </c>
      <c r="D493" s="5">
        <v>0.35</v>
      </c>
      <c r="E493" s="5">
        <v>0</v>
      </c>
      <c r="F493" s="5">
        <v>12</v>
      </c>
      <c r="G493" s="5">
        <v>72</v>
      </c>
      <c r="H493" s="5">
        <v>84</v>
      </c>
    </row>
    <row r="494" spans="1:8" ht="13.8" x14ac:dyDescent="0.25">
      <c r="A494" s="5">
        <v>492</v>
      </c>
      <c r="B494" s="5">
        <v>493</v>
      </c>
      <c r="C494" s="5">
        <v>0.13639999999999999</v>
      </c>
      <c r="D494" s="5">
        <v>0.33</v>
      </c>
      <c r="E494" s="5">
        <v>0.1045</v>
      </c>
      <c r="F494" s="5">
        <v>11</v>
      </c>
      <c r="G494" s="5">
        <v>64</v>
      </c>
      <c r="H494" s="5">
        <v>75</v>
      </c>
    </row>
    <row r="495" spans="1:8" ht="13.8" x14ac:dyDescent="0.25">
      <c r="A495" s="5">
        <v>493</v>
      </c>
      <c r="B495" s="5">
        <v>494</v>
      </c>
      <c r="C495" s="5">
        <v>0.1515</v>
      </c>
      <c r="D495" s="5">
        <v>0.28000000000000003</v>
      </c>
      <c r="E495" s="5">
        <v>0</v>
      </c>
      <c r="F495" s="5">
        <v>10</v>
      </c>
      <c r="G495" s="5">
        <v>93</v>
      </c>
      <c r="H495" s="5">
        <v>103</v>
      </c>
    </row>
    <row r="496" spans="1:8" ht="13.8" x14ac:dyDescent="0.25">
      <c r="A496" s="5">
        <v>494</v>
      </c>
      <c r="B496" s="5">
        <v>495</v>
      </c>
      <c r="C496" s="5">
        <v>0.13639999999999999</v>
      </c>
      <c r="D496" s="5">
        <v>0.28000000000000003</v>
      </c>
      <c r="E496" s="5">
        <v>0.19400000000000001</v>
      </c>
      <c r="F496" s="5">
        <v>11</v>
      </c>
      <c r="G496" s="5">
        <v>72</v>
      </c>
      <c r="H496" s="5">
        <v>83</v>
      </c>
    </row>
    <row r="497" spans="1:8" ht="13.8" x14ac:dyDescent="0.25">
      <c r="A497" s="5">
        <v>495</v>
      </c>
      <c r="B497" s="5">
        <v>496</v>
      </c>
      <c r="C497" s="5">
        <v>0.19700000000000001</v>
      </c>
      <c r="D497" s="5">
        <v>0.28000000000000003</v>
      </c>
      <c r="E497" s="5">
        <v>0</v>
      </c>
      <c r="F497" s="5">
        <v>8</v>
      </c>
      <c r="G497" s="5">
        <v>59</v>
      </c>
      <c r="H497" s="5">
        <v>67</v>
      </c>
    </row>
    <row r="498" spans="1:8" ht="13.8" x14ac:dyDescent="0.25">
      <c r="A498" s="5">
        <v>496</v>
      </c>
      <c r="B498" s="5">
        <v>497</v>
      </c>
      <c r="C498" s="5">
        <v>9.0899999999999995E-2</v>
      </c>
      <c r="D498" s="5">
        <v>0.35</v>
      </c>
      <c r="E498" s="5">
        <v>0.19400000000000001</v>
      </c>
      <c r="F498" s="5">
        <v>0</v>
      </c>
      <c r="G498" s="5">
        <v>54</v>
      </c>
      <c r="H498" s="5">
        <v>54</v>
      </c>
    </row>
    <row r="499" spans="1:8" ht="13.8" x14ac:dyDescent="0.25">
      <c r="A499" s="5">
        <v>497</v>
      </c>
      <c r="B499" s="5">
        <v>498</v>
      </c>
      <c r="C499" s="5">
        <v>0.1061</v>
      </c>
      <c r="D499" s="5">
        <v>0.35</v>
      </c>
      <c r="E499" s="5">
        <v>0.1343</v>
      </c>
      <c r="F499" s="5">
        <v>6</v>
      </c>
      <c r="G499" s="5">
        <v>53</v>
      </c>
      <c r="H499" s="5">
        <v>59</v>
      </c>
    </row>
    <row r="500" spans="1:8" ht="13.8" x14ac:dyDescent="0.25">
      <c r="A500" s="5">
        <v>498</v>
      </c>
      <c r="B500" s="5">
        <v>499</v>
      </c>
      <c r="C500" s="5">
        <v>7.5800000000000006E-2</v>
      </c>
      <c r="D500" s="5">
        <v>0.45</v>
      </c>
      <c r="E500" s="5">
        <v>0.16420000000000001</v>
      </c>
      <c r="F500" s="5">
        <v>1</v>
      </c>
      <c r="G500" s="5">
        <v>44</v>
      </c>
      <c r="H500" s="5">
        <v>45</v>
      </c>
    </row>
    <row r="501" spans="1:8" ht="13.8" x14ac:dyDescent="0.25">
      <c r="A501" s="5">
        <v>499</v>
      </c>
      <c r="B501" s="5">
        <v>500</v>
      </c>
      <c r="C501" s="5">
        <v>0.1061</v>
      </c>
      <c r="D501" s="5">
        <v>0.41</v>
      </c>
      <c r="E501" s="5">
        <v>8.9599999999999999E-2</v>
      </c>
      <c r="F501" s="5">
        <v>0</v>
      </c>
      <c r="G501" s="5">
        <v>39</v>
      </c>
      <c r="H501" s="5">
        <v>39</v>
      </c>
    </row>
    <row r="502" spans="1:8" ht="13.8" x14ac:dyDescent="0.25">
      <c r="A502" s="5">
        <v>500</v>
      </c>
      <c r="B502" s="5">
        <v>501</v>
      </c>
      <c r="C502" s="5">
        <v>0.1515</v>
      </c>
      <c r="D502" s="5">
        <v>0.49</v>
      </c>
      <c r="E502" s="5">
        <v>0</v>
      </c>
      <c r="F502" s="5">
        <v>7</v>
      </c>
      <c r="G502" s="5">
        <v>23</v>
      </c>
      <c r="H502" s="5">
        <v>30</v>
      </c>
    </row>
    <row r="503" spans="1:8" ht="13.8" x14ac:dyDescent="0.25">
      <c r="A503" s="5">
        <v>501</v>
      </c>
      <c r="B503" s="5">
        <v>502</v>
      </c>
      <c r="C503" s="5">
        <v>7.5800000000000006E-2</v>
      </c>
      <c r="D503" s="5">
        <v>0.56999999999999995</v>
      </c>
      <c r="E503" s="5">
        <v>0.1045</v>
      </c>
      <c r="F503" s="5">
        <v>2</v>
      </c>
      <c r="G503" s="5">
        <v>31</v>
      </c>
      <c r="H503" s="5">
        <v>33</v>
      </c>
    </row>
    <row r="504" spans="1:8" ht="13.8" x14ac:dyDescent="0.25">
      <c r="A504" s="5">
        <v>502</v>
      </c>
      <c r="B504" s="5">
        <v>503</v>
      </c>
      <c r="C504" s="5">
        <v>7.5800000000000006E-2</v>
      </c>
      <c r="D504" s="5">
        <v>0.56999999999999995</v>
      </c>
      <c r="E504" s="5">
        <v>0.1045</v>
      </c>
      <c r="F504" s="5">
        <v>2</v>
      </c>
      <c r="G504" s="5">
        <v>20</v>
      </c>
      <c r="H504" s="5">
        <v>22</v>
      </c>
    </row>
    <row r="505" spans="1:8" ht="13.8" x14ac:dyDescent="0.25">
      <c r="A505" s="5">
        <v>503</v>
      </c>
      <c r="B505" s="5">
        <v>504</v>
      </c>
      <c r="C505" s="5">
        <v>7.5800000000000006E-2</v>
      </c>
      <c r="D505" s="5">
        <v>0.56999999999999995</v>
      </c>
      <c r="E505" s="5">
        <v>0.1045</v>
      </c>
      <c r="F505" s="5">
        <v>1</v>
      </c>
      <c r="G505" s="5">
        <v>12</v>
      </c>
      <c r="H505" s="5">
        <v>13</v>
      </c>
    </row>
    <row r="506" spans="1:8" ht="13.8" x14ac:dyDescent="0.25">
      <c r="A506" s="5">
        <v>504</v>
      </c>
      <c r="B506" s="5">
        <v>505</v>
      </c>
      <c r="C506" s="5">
        <v>6.0600000000000001E-2</v>
      </c>
      <c r="D506" s="5">
        <v>0.62</v>
      </c>
      <c r="E506" s="5">
        <v>0.1343</v>
      </c>
      <c r="F506" s="5">
        <v>3</v>
      </c>
      <c r="G506" s="5">
        <v>15</v>
      </c>
      <c r="H506" s="5">
        <v>18</v>
      </c>
    </row>
    <row r="507" spans="1:8" ht="13.8" x14ac:dyDescent="0.25">
      <c r="A507" s="5">
        <v>505</v>
      </c>
      <c r="B507" s="5">
        <v>506</v>
      </c>
      <c r="C507" s="5">
        <v>6.0600000000000001E-2</v>
      </c>
      <c r="D507" s="5">
        <v>0.62</v>
      </c>
      <c r="E507" s="5">
        <v>0.1343</v>
      </c>
      <c r="F507" s="5">
        <v>1</v>
      </c>
      <c r="G507" s="5">
        <v>4</v>
      </c>
      <c r="H507" s="5">
        <v>5</v>
      </c>
    </row>
    <row r="508" spans="1:8" ht="13.8" x14ac:dyDescent="0.25">
      <c r="A508" s="5">
        <v>506</v>
      </c>
      <c r="B508" s="5">
        <v>507</v>
      </c>
      <c r="C508" s="5">
        <v>7.5800000000000006E-2</v>
      </c>
      <c r="D508" s="5">
        <v>0.56999999999999995</v>
      </c>
      <c r="E508" s="5">
        <v>0.1045</v>
      </c>
      <c r="F508" s="5">
        <v>0</v>
      </c>
      <c r="G508" s="5">
        <v>3</v>
      </c>
      <c r="H508" s="5">
        <v>3</v>
      </c>
    </row>
    <row r="509" spans="1:8" ht="13.8" x14ac:dyDescent="0.25">
      <c r="A509" s="5">
        <v>507</v>
      </c>
      <c r="B509" s="5">
        <v>508</v>
      </c>
      <c r="C509" s="5">
        <v>7.5800000000000006E-2</v>
      </c>
      <c r="D509" s="5">
        <v>0.56999999999999995</v>
      </c>
      <c r="E509" s="5">
        <v>0.1045</v>
      </c>
      <c r="F509" s="5">
        <v>0</v>
      </c>
      <c r="G509" s="5">
        <v>1</v>
      </c>
      <c r="H509" s="5">
        <v>1</v>
      </c>
    </row>
    <row r="510" spans="1:8" ht="13.8" x14ac:dyDescent="0.25">
      <c r="A510" s="5">
        <v>508</v>
      </c>
      <c r="B510" s="5">
        <v>509</v>
      </c>
      <c r="C510" s="5">
        <v>0.1061</v>
      </c>
      <c r="D510" s="5">
        <v>0.57999999999999996</v>
      </c>
      <c r="E510" s="5">
        <v>0.16420000000000001</v>
      </c>
      <c r="F510" s="5">
        <v>1</v>
      </c>
      <c r="G510" s="5">
        <v>1</v>
      </c>
      <c r="H510" s="5">
        <v>2</v>
      </c>
    </row>
    <row r="511" spans="1:8" ht="13.8" x14ac:dyDescent="0.25">
      <c r="A511" s="5">
        <v>509</v>
      </c>
      <c r="B511" s="5">
        <v>510</v>
      </c>
      <c r="C511" s="5">
        <v>7.5800000000000006E-2</v>
      </c>
      <c r="D511" s="5">
        <v>0.62</v>
      </c>
      <c r="E511" s="5">
        <v>0.16420000000000001</v>
      </c>
      <c r="F511" s="5">
        <v>2</v>
      </c>
      <c r="G511" s="5">
        <v>17</v>
      </c>
      <c r="H511" s="5">
        <v>19</v>
      </c>
    </row>
    <row r="512" spans="1:8" ht="13.8" x14ac:dyDescent="0.25">
      <c r="A512" s="5">
        <v>510</v>
      </c>
      <c r="B512" s="5">
        <v>511</v>
      </c>
      <c r="C512" s="5">
        <v>7.5800000000000006E-2</v>
      </c>
      <c r="D512" s="5">
        <v>0.54</v>
      </c>
      <c r="E512" s="5">
        <v>0.35820000000000002</v>
      </c>
      <c r="F512" s="5">
        <v>3</v>
      </c>
      <c r="G512" s="5">
        <v>25</v>
      </c>
      <c r="H512" s="5">
        <v>28</v>
      </c>
    </row>
    <row r="513" spans="1:8" ht="13.8" x14ac:dyDescent="0.25">
      <c r="A513" s="5">
        <v>511</v>
      </c>
      <c r="B513" s="5">
        <v>512</v>
      </c>
      <c r="C513" s="5">
        <v>0.1061</v>
      </c>
      <c r="D513" s="5">
        <v>0.46</v>
      </c>
      <c r="E513" s="5">
        <v>0.3881</v>
      </c>
      <c r="F513" s="5">
        <v>7</v>
      </c>
      <c r="G513" s="5">
        <v>51</v>
      </c>
      <c r="H513" s="5">
        <v>58</v>
      </c>
    </row>
    <row r="514" spans="1:8" ht="13.8" x14ac:dyDescent="0.25">
      <c r="A514" s="5">
        <v>512</v>
      </c>
      <c r="B514" s="5">
        <v>513</v>
      </c>
      <c r="C514" s="5">
        <v>0.13639999999999999</v>
      </c>
      <c r="D514" s="5">
        <v>0.43</v>
      </c>
      <c r="E514" s="5">
        <v>0.22389999999999999</v>
      </c>
      <c r="F514" s="5">
        <v>22</v>
      </c>
      <c r="G514" s="5">
        <v>77</v>
      </c>
      <c r="H514" s="5">
        <v>99</v>
      </c>
    </row>
    <row r="515" spans="1:8" ht="13.8" x14ac:dyDescent="0.25">
      <c r="A515" s="5">
        <v>513</v>
      </c>
      <c r="B515" s="5">
        <v>514</v>
      </c>
      <c r="C515" s="5">
        <v>0.1212</v>
      </c>
      <c r="D515" s="5">
        <v>0.37</v>
      </c>
      <c r="E515" s="5">
        <v>0.4627</v>
      </c>
      <c r="F515" s="5">
        <v>24</v>
      </c>
      <c r="G515" s="5">
        <v>92</v>
      </c>
      <c r="H515" s="5">
        <v>116</v>
      </c>
    </row>
    <row r="516" spans="1:8" ht="13.8" x14ac:dyDescent="0.25">
      <c r="A516" s="5">
        <v>514</v>
      </c>
      <c r="B516" s="5">
        <v>515</v>
      </c>
      <c r="C516" s="5">
        <v>0.1061</v>
      </c>
      <c r="D516" s="5">
        <v>0.33</v>
      </c>
      <c r="E516" s="5">
        <v>0.3881</v>
      </c>
      <c r="F516" s="5">
        <v>12</v>
      </c>
      <c r="G516" s="5">
        <v>75</v>
      </c>
      <c r="H516" s="5">
        <v>87</v>
      </c>
    </row>
    <row r="517" spans="1:8" ht="13.8" x14ac:dyDescent="0.25">
      <c r="A517" s="5">
        <v>515</v>
      </c>
      <c r="B517" s="5">
        <v>516</v>
      </c>
      <c r="C517" s="5">
        <v>0.13639999999999999</v>
      </c>
      <c r="D517" s="5">
        <v>0.28000000000000003</v>
      </c>
      <c r="E517" s="5">
        <v>0.35820000000000002</v>
      </c>
      <c r="F517" s="5">
        <v>17</v>
      </c>
      <c r="G517" s="5">
        <v>93</v>
      </c>
      <c r="H517" s="5">
        <v>110</v>
      </c>
    </row>
    <row r="518" spans="1:8" ht="13.8" x14ac:dyDescent="0.25">
      <c r="A518" s="5">
        <v>516</v>
      </c>
      <c r="B518" s="5">
        <v>517</v>
      </c>
      <c r="C518" s="5">
        <v>0.13639999999999999</v>
      </c>
      <c r="D518" s="5">
        <v>0.28000000000000003</v>
      </c>
      <c r="E518" s="5">
        <v>0.35820000000000002</v>
      </c>
      <c r="F518" s="5">
        <v>13</v>
      </c>
      <c r="G518" s="5">
        <v>64</v>
      </c>
      <c r="H518" s="5">
        <v>77</v>
      </c>
    </row>
    <row r="519" spans="1:8" ht="13.8" x14ac:dyDescent="0.25">
      <c r="A519" s="5">
        <v>517</v>
      </c>
      <c r="B519" s="5">
        <v>518</v>
      </c>
      <c r="C519" s="5">
        <v>0.13639999999999999</v>
      </c>
      <c r="D519" s="5">
        <v>0.26</v>
      </c>
      <c r="E519" s="5">
        <v>0.32840000000000003</v>
      </c>
      <c r="F519" s="5">
        <v>9</v>
      </c>
      <c r="G519" s="5">
        <v>56</v>
      </c>
      <c r="H519" s="5">
        <v>65</v>
      </c>
    </row>
    <row r="520" spans="1:8" ht="13.8" x14ac:dyDescent="0.25">
      <c r="A520" s="5">
        <v>518</v>
      </c>
      <c r="B520" s="5">
        <v>519</v>
      </c>
      <c r="C520" s="5">
        <v>0.1061</v>
      </c>
      <c r="D520" s="5">
        <v>0.26</v>
      </c>
      <c r="E520" s="5">
        <v>0.3881</v>
      </c>
      <c r="F520" s="5">
        <v>5</v>
      </c>
      <c r="G520" s="5">
        <v>50</v>
      </c>
      <c r="H520" s="5">
        <v>55</v>
      </c>
    </row>
    <row r="521" spans="1:8" ht="13.8" x14ac:dyDescent="0.25">
      <c r="A521" s="5">
        <v>519</v>
      </c>
      <c r="B521" s="5">
        <v>520</v>
      </c>
      <c r="C521" s="5">
        <v>0.1212</v>
      </c>
      <c r="D521" s="5">
        <v>0.3</v>
      </c>
      <c r="E521" s="5">
        <v>0.25369999999999998</v>
      </c>
      <c r="F521" s="5">
        <v>5</v>
      </c>
      <c r="G521" s="5">
        <v>44</v>
      </c>
      <c r="H521" s="5">
        <v>49</v>
      </c>
    </row>
    <row r="522" spans="1:8" ht="13.8" x14ac:dyDescent="0.25">
      <c r="A522" s="5">
        <v>520</v>
      </c>
      <c r="B522" s="5">
        <v>521</v>
      </c>
      <c r="C522" s="5">
        <v>0.1212</v>
      </c>
      <c r="D522" s="5">
        <v>0.3</v>
      </c>
      <c r="E522" s="5">
        <v>0.28360000000000002</v>
      </c>
      <c r="F522" s="5">
        <v>5</v>
      </c>
      <c r="G522" s="5">
        <v>45</v>
      </c>
      <c r="H522" s="5">
        <v>50</v>
      </c>
    </row>
    <row r="523" spans="1:8" ht="13.8" x14ac:dyDescent="0.25">
      <c r="A523" s="5">
        <v>521</v>
      </c>
      <c r="B523" s="5">
        <v>522</v>
      </c>
      <c r="C523" s="5">
        <v>0.1061</v>
      </c>
      <c r="D523" s="5">
        <v>0.36</v>
      </c>
      <c r="E523" s="5">
        <v>0.25369999999999998</v>
      </c>
      <c r="F523" s="5">
        <v>4</v>
      </c>
      <c r="G523" s="5">
        <v>31</v>
      </c>
      <c r="H523" s="5">
        <v>35</v>
      </c>
    </row>
    <row r="524" spans="1:8" ht="13.8" x14ac:dyDescent="0.25">
      <c r="A524" s="5">
        <v>522</v>
      </c>
      <c r="B524" s="5">
        <v>523</v>
      </c>
      <c r="C524" s="5">
        <v>0.1061</v>
      </c>
      <c r="D524" s="5">
        <v>0.36</v>
      </c>
      <c r="E524" s="5">
        <v>0.19400000000000001</v>
      </c>
      <c r="F524" s="5">
        <v>5</v>
      </c>
      <c r="G524" s="5">
        <v>20</v>
      </c>
      <c r="H524" s="5">
        <v>25</v>
      </c>
    </row>
    <row r="525" spans="1:8" ht="13.8" x14ac:dyDescent="0.25">
      <c r="A525" s="5">
        <v>523</v>
      </c>
      <c r="B525" s="5">
        <v>524</v>
      </c>
      <c r="C525" s="5">
        <v>9.0899999999999995E-2</v>
      </c>
      <c r="D525" s="5">
        <v>0.38</v>
      </c>
      <c r="E525" s="5">
        <v>0.19400000000000001</v>
      </c>
      <c r="F525" s="5">
        <v>5</v>
      </c>
      <c r="G525" s="5">
        <v>23</v>
      </c>
      <c r="H525" s="5">
        <v>28</v>
      </c>
    </row>
    <row r="526" spans="1:8" ht="13.8" x14ac:dyDescent="0.25">
      <c r="A526" s="5">
        <v>524</v>
      </c>
      <c r="B526" s="5">
        <v>525</v>
      </c>
      <c r="C526" s="5">
        <v>6.0600000000000001E-2</v>
      </c>
      <c r="D526" s="5">
        <v>0.41</v>
      </c>
      <c r="E526" s="5">
        <v>0.22389999999999999</v>
      </c>
      <c r="F526" s="5">
        <v>4</v>
      </c>
      <c r="G526" s="5">
        <v>17</v>
      </c>
      <c r="H526" s="5">
        <v>21</v>
      </c>
    </row>
    <row r="527" spans="1:8" ht="13.8" x14ac:dyDescent="0.25">
      <c r="A527" s="5">
        <v>525</v>
      </c>
      <c r="B527" s="5">
        <v>526</v>
      </c>
      <c r="C527" s="5">
        <v>6.0600000000000001E-2</v>
      </c>
      <c r="D527" s="5">
        <v>0.41</v>
      </c>
      <c r="E527" s="5">
        <v>0.19400000000000001</v>
      </c>
      <c r="F527" s="5">
        <v>0</v>
      </c>
      <c r="G527" s="5">
        <v>7</v>
      </c>
      <c r="H527" s="5">
        <v>7</v>
      </c>
    </row>
    <row r="528" spans="1:8" ht="13.8" x14ac:dyDescent="0.25">
      <c r="A528" s="5">
        <v>526</v>
      </c>
      <c r="B528" s="5">
        <v>527</v>
      </c>
      <c r="C528" s="5">
        <v>4.5499999999999999E-2</v>
      </c>
      <c r="D528" s="5">
        <v>0.45</v>
      </c>
      <c r="E528" s="5">
        <v>0.19400000000000001</v>
      </c>
      <c r="F528" s="5">
        <v>0</v>
      </c>
      <c r="G528" s="5">
        <v>1</v>
      </c>
      <c r="H528" s="5">
        <v>1</v>
      </c>
    </row>
    <row r="529" spans="1:8" ht="13.8" x14ac:dyDescent="0.25">
      <c r="A529" s="5">
        <v>527</v>
      </c>
      <c r="B529" s="5">
        <v>528</v>
      </c>
      <c r="C529" s="5">
        <v>3.0300000000000001E-2</v>
      </c>
      <c r="D529" s="5">
        <v>0.45</v>
      </c>
      <c r="E529" s="5">
        <v>0.25369999999999998</v>
      </c>
      <c r="F529" s="5">
        <v>0</v>
      </c>
      <c r="G529" s="5">
        <v>1</v>
      </c>
      <c r="H529" s="5">
        <v>1</v>
      </c>
    </row>
    <row r="530" spans="1:8" ht="13.8" x14ac:dyDescent="0.25">
      <c r="A530" s="5">
        <v>528</v>
      </c>
      <c r="B530" s="5">
        <v>529</v>
      </c>
      <c r="C530" s="5">
        <v>6.0600000000000001E-2</v>
      </c>
      <c r="D530" s="5">
        <v>0.48</v>
      </c>
      <c r="E530" s="5">
        <v>0.1343</v>
      </c>
      <c r="F530" s="5">
        <v>0</v>
      </c>
      <c r="G530" s="5">
        <v>1</v>
      </c>
      <c r="H530" s="5">
        <v>1</v>
      </c>
    </row>
    <row r="531" spans="1:8" ht="13.8" x14ac:dyDescent="0.25">
      <c r="A531" s="5">
        <v>529</v>
      </c>
      <c r="B531" s="5">
        <v>530</v>
      </c>
      <c r="C531" s="5">
        <v>6.0600000000000001E-2</v>
      </c>
      <c r="D531" s="5">
        <v>0.48</v>
      </c>
      <c r="E531" s="5">
        <v>0.1343</v>
      </c>
      <c r="F531" s="5">
        <v>0</v>
      </c>
      <c r="G531" s="5">
        <v>5</v>
      </c>
      <c r="H531" s="5">
        <v>5</v>
      </c>
    </row>
    <row r="532" spans="1:8" ht="13.8" x14ac:dyDescent="0.25">
      <c r="A532" s="5">
        <v>530</v>
      </c>
      <c r="B532" s="5">
        <v>531</v>
      </c>
      <c r="C532" s="5">
        <v>7.5800000000000006E-2</v>
      </c>
      <c r="D532" s="5">
        <v>0.48</v>
      </c>
      <c r="E532" s="5">
        <v>8.9599999999999999E-2</v>
      </c>
      <c r="F532" s="5">
        <v>0</v>
      </c>
      <c r="G532" s="5">
        <v>15</v>
      </c>
      <c r="H532" s="5">
        <v>15</v>
      </c>
    </row>
    <row r="533" spans="1:8" ht="13.8" x14ac:dyDescent="0.25">
      <c r="A533" s="5">
        <v>531</v>
      </c>
      <c r="B533" s="5">
        <v>532</v>
      </c>
      <c r="C533" s="5">
        <v>0.1212</v>
      </c>
      <c r="D533" s="5">
        <v>0.48</v>
      </c>
      <c r="E533" s="5">
        <v>0</v>
      </c>
      <c r="F533" s="5">
        <v>5</v>
      </c>
      <c r="G533" s="5">
        <v>79</v>
      </c>
      <c r="H533" s="5">
        <v>84</v>
      </c>
    </row>
    <row r="534" spans="1:8" ht="13.8" x14ac:dyDescent="0.25">
      <c r="A534" s="5">
        <v>532</v>
      </c>
      <c r="B534" s="5">
        <v>533</v>
      </c>
      <c r="C534" s="5">
        <v>0.13639999999999999</v>
      </c>
      <c r="D534" s="5">
        <v>0.49</v>
      </c>
      <c r="E534" s="5">
        <v>0</v>
      </c>
      <c r="F534" s="5">
        <v>6</v>
      </c>
      <c r="G534" s="5">
        <v>171</v>
      </c>
      <c r="H534" s="5">
        <v>177</v>
      </c>
    </row>
    <row r="535" spans="1:8" ht="13.8" x14ac:dyDescent="0.25">
      <c r="A535" s="5">
        <v>533</v>
      </c>
      <c r="B535" s="5">
        <v>534</v>
      </c>
      <c r="C535" s="5">
        <v>0.1515</v>
      </c>
      <c r="D535" s="5">
        <v>0.41</v>
      </c>
      <c r="E535" s="5">
        <v>0</v>
      </c>
      <c r="F535" s="5">
        <v>4</v>
      </c>
      <c r="G535" s="5">
        <v>98</v>
      </c>
      <c r="H535" s="5">
        <v>102</v>
      </c>
    </row>
    <row r="536" spans="1:8" ht="13.8" x14ac:dyDescent="0.25">
      <c r="A536" s="5">
        <v>534</v>
      </c>
      <c r="B536" s="5">
        <v>535</v>
      </c>
      <c r="C536" s="5">
        <v>0.13639999999999999</v>
      </c>
      <c r="D536" s="5">
        <v>0.42</v>
      </c>
      <c r="E536" s="5">
        <v>0</v>
      </c>
      <c r="F536" s="5">
        <v>6</v>
      </c>
      <c r="G536" s="5">
        <v>34</v>
      </c>
      <c r="H536" s="5">
        <v>40</v>
      </c>
    </row>
    <row r="537" spans="1:8" ht="13.8" x14ac:dyDescent="0.25">
      <c r="A537" s="5">
        <v>535</v>
      </c>
      <c r="B537" s="5">
        <v>536</v>
      </c>
      <c r="C537" s="5">
        <v>0.1212</v>
      </c>
      <c r="D537" s="5">
        <v>0.46</v>
      </c>
      <c r="E537" s="5">
        <v>0.1343</v>
      </c>
      <c r="F537" s="5">
        <v>3</v>
      </c>
      <c r="G537" s="5">
        <v>43</v>
      </c>
      <c r="H537" s="5">
        <v>46</v>
      </c>
    </row>
    <row r="538" spans="1:8" ht="13.8" x14ac:dyDescent="0.25">
      <c r="A538" s="5">
        <v>536</v>
      </c>
      <c r="B538" s="5">
        <v>537</v>
      </c>
      <c r="C538" s="5">
        <v>0.13639999999999999</v>
      </c>
      <c r="D538" s="5">
        <v>0.42</v>
      </c>
      <c r="E538" s="5">
        <v>0.19400000000000001</v>
      </c>
      <c r="F538" s="5">
        <v>11</v>
      </c>
      <c r="G538" s="5">
        <v>52</v>
      </c>
      <c r="H538" s="5">
        <v>63</v>
      </c>
    </row>
    <row r="539" spans="1:8" ht="13.8" x14ac:dyDescent="0.25">
      <c r="A539" s="5">
        <v>537</v>
      </c>
      <c r="B539" s="5">
        <v>538</v>
      </c>
      <c r="C539" s="5">
        <v>0.13639999999999999</v>
      </c>
      <c r="D539" s="5">
        <v>0.43</v>
      </c>
      <c r="E539" s="5">
        <v>0.22389999999999999</v>
      </c>
      <c r="F539" s="5">
        <v>6</v>
      </c>
      <c r="G539" s="5">
        <v>54</v>
      </c>
      <c r="H539" s="5">
        <v>60</v>
      </c>
    </row>
    <row r="540" spans="1:8" ht="13.8" x14ac:dyDescent="0.25">
      <c r="A540" s="5">
        <v>538</v>
      </c>
      <c r="B540" s="5">
        <v>539</v>
      </c>
      <c r="C540" s="5">
        <v>0.13639999999999999</v>
      </c>
      <c r="D540" s="5">
        <v>0.46</v>
      </c>
      <c r="E540" s="5">
        <v>0.22389999999999999</v>
      </c>
      <c r="F540" s="5">
        <v>2</v>
      </c>
      <c r="G540" s="5">
        <v>43</v>
      </c>
      <c r="H540" s="5">
        <v>45</v>
      </c>
    </row>
    <row r="541" spans="1:8" ht="13.8" x14ac:dyDescent="0.25">
      <c r="A541" s="5">
        <v>539</v>
      </c>
      <c r="B541" s="5">
        <v>540</v>
      </c>
      <c r="C541" s="5">
        <v>0.16669999999999999</v>
      </c>
      <c r="D541" s="5">
        <v>0.4</v>
      </c>
      <c r="E541" s="5">
        <v>0.16420000000000001</v>
      </c>
      <c r="F541" s="5">
        <v>7</v>
      </c>
      <c r="G541" s="5">
        <v>50</v>
      </c>
      <c r="H541" s="5">
        <v>57</v>
      </c>
    </row>
    <row r="542" spans="1:8" ht="13.8" x14ac:dyDescent="0.25">
      <c r="A542" s="5">
        <v>540</v>
      </c>
      <c r="B542" s="5">
        <v>541</v>
      </c>
      <c r="C542" s="5">
        <v>0.1515</v>
      </c>
      <c r="D542" s="5">
        <v>0.47</v>
      </c>
      <c r="E542" s="5">
        <v>0.25369999999999998</v>
      </c>
      <c r="F542" s="5">
        <v>4</v>
      </c>
      <c r="G542" s="5">
        <v>66</v>
      </c>
      <c r="H542" s="5">
        <v>70</v>
      </c>
    </row>
    <row r="543" spans="1:8" ht="13.8" x14ac:dyDescent="0.25">
      <c r="A543" s="5">
        <v>541</v>
      </c>
      <c r="B543" s="5">
        <v>542</v>
      </c>
      <c r="C543" s="5">
        <v>0.1212</v>
      </c>
      <c r="D543" s="5">
        <v>0.5</v>
      </c>
      <c r="E543" s="5">
        <v>0.25369999999999998</v>
      </c>
      <c r="F543" s="5">
        <v>6</v>
      </c>
      <c r="G543" s="5">
        <v>178</v>
      </c>
      <c r="H543" s="5">
        <v>184</v>
      </c>
    </row>
    <row r="544" spans="1:8" ht="13.8" x14ac:dyDescent="0.25">
      <c r="A544" s="5">
        <v>542</v>
      </c>
      <c r="B544" s="5">
        <v>543</v>
      </c>
      <c r="C544" s="5">
        <v>0.13639999999999999</v>
      </c>
      <c r="D544" s="5">
        <v>0.59</v>
      </c>
      <c r="E544" s="5">
        <v>0.19400000000000001</v>
      </c>
      <c r="F544" s="5">
        <v>8</v>
      </c>
      <c r="G544" s="5">
        <v>145</v>
      </c>
      <c r="H544" s="5">
        <v>153</v>
      </c>
    </row>
    <row r="545" spans="1:8" ht="13.8" x14ac:dyDescent="0.25">
      <c r="A545" s="5">
        <v>543</v>
      </c>
      <c r="B545" s="5">
        <v>544</v>
      </c>
      <c r="C545" s="5">
        <v>0.1515</v>
      </c>
      <c r="D545" s="5">
        <v>0.54</v>
      </c>
      <c r="E545" s="5">
        <v>0.16420000000000001</v>
      </c>
      <c r="F545" s="5">
        <v>5</v>
      </c>
      <c r="G545" s="5">
        <v>101</v>
      </c>
      <c r="H545" s="5">
        <v>106</v>
      </c>
    </row>
    <row r="546" spans="1:8" ht="13.8" x14ac:dyDescent="0.25">
      <c r="A546" s="5">
        <v>544</v>
      </c>
      <c r="B546" s="5">
        <v>545</v>
      </c>
      <c r="C546" s="5">
        <v>0.13639999999999999</v>
      </c>
      <c r="D546" s="5">
        <v>0.59</v>
      </c>
      <c r="E546" s="5">
        <v>0.19400000000000001</v>
      </c>
      <c r="F546" s="5">
        <v>1</v>
      </c>
      <c r="G546" s="5">
        <v>80</v>
      </c>
      <c r="H546" s="5">
        <v>81</v>
      </c>
    </row>
    <row r="547" spans="1:8" ht="13.8" x14ac:dyDescent="0.25">
      <c r="A547" s="5">
        <v>545</v>
      </c>
      <c r="B547" s="5">
        <v>546</v>
      </c>
      <c r="C547" s="5">
        <v>0.1515</v>
      </c>
      <c r="D547" s="5">
        <v>0.63</v>
      </c>
      <c r="E547" s="5">
        <v>0.16420000000000001</v>
      </c>
      <c r="F547" s="5">
        <v>6</v>
      </c>
      <c r="G547" s="5">
        <v>53</v>
      </c>
      <c r="H547" s="5">
        <v>59</v>
      </c>
    </row>
    <row r="548" spans="1:8" ht="13.8" x14ac:dyDescent="0.25">
      <c r="A548" s="5">
        <v>546</v>
      </c>
      <c r="B548" s="5">
        <v>547</v>
      </c>
      <c r="C548" s="5">
        <v>0.13639999999999999</v>
      </c>
      <c r="D548" s="5">
        <v>0.63</v>
      </c>
      <c r="E548" s="5">
        <v>0.22389999999999999</v>
      </c>
      <c r="F548" s="5">
        <v>3</v>
      </c>
      <c r="G548" s="5">
        <v>32</v>
      </c>
      <c r="H548" s="5">
        <v>35</v>
      </c>
    </row>
    <row r="549" spans="1:8" ht="13.8" x14ac:dyDescent="0.25">
      <c r="A549" s="5">
        <v>547</v>
      </c>
      <c r="B549" s="5">
        <v>548</v>
      </c>
      <c r="C549" s="5">
        <v>0.1515</v>
      </c>
      <c r="D549" s="5">
        <v>0.64</v>
      </c>
      <c r="E549" s="5">
        <v>0.25369999999999998</v>
      </c>
      <c r="F549" s="5">
        <v>3</v>
      </c>
      <c r="G549" s="5">
        <v>21</v>
      </c>
      <c r="H549" s="5">
        <v>24</v>
      </c>
    </row>
    <row r="550" spans="1:8" ht="13.8" x14ac:dyDescent="0.25">
      <c r="A550" s="5">
        <v>548</v>
      </c>
      <c r="B550" s="5">
        <v>549</v>
      </c>
      <c r="C550" s="5">
        <v>0.13639999999999999</v>
      </c>
      <c r="D550" s="5">
        <v>0.69</v>
      </c>
      <c r="E550" s="5">
        <v>0.28360000000000002</v>
      </c>
      <c r="F550" s="5">
        <v>3</v>
      </c>
      <c r="G550" s="5">
        <v>6</v>
      </c>
      <c r="H550" s="5">
        <v>9</v>
      </c>
    </row>
    <row r="551" spans="1:8" ht="13.8" x14ac:dyDescent="0.25">
      <c r="A551" s="5">
        <v>549</v>
      </c>
      <c r="B551" s="5">
        <v>550</v>
      </c>
      <c r="C551" s="5">
        <v>0.16669999999999999</v>
      </c>
      <c r="D551" s="5">
        <v>0.69</v>
      </c>
      <c r="E551" s="5">
        <v>0.16420000000000001</v>
      </c>
      <c r="F551" s="5">
        <v>0</v>
      </c>
      <c r="G551" s="5">
        <v>5</v>
      </c>
      <c r="H551" s="5">
        <v>5</v>
      </c>
    </row>
    <row r="552" spans="1:8" ht="13.8" x14ac:dyDescent="0.25">
      <c r="A552" s="5">
        <v>550</v>
      </c>
      <c r="B552" s="5">
        <v>551</v>
      </c>
      <c r="C552" s="5">
        <v>0.1515</v>
      </c>
      <c r="D552" s="5">
        <v>0.69</v>
      </c>
      <c r="E552" s="5">
        <v>0.22389999999999999</v>
      </c>
      <c r="F552" s="5">
        <v>0</v>
      </c>
      <c r="G552" s="5">
        <v>2</v>
      </c>
      <c r="H552" s="5">
        <v>2</v>
      </c>
    </row>
    <row r="553" spans="1:8" ht="13.8" x14ac:dyDescent="0.25">
      <c r="A553" s="5">
        <v>551</v>
      </c>
      <c r="B553" s="5">
        <v>552</v>
      </c>
      <c r="C553" s="5">
        <v>0.16669999999999999</v>
      </c>
      <c r="D553" s="5">
        <v>0.74</v>
      </c>
      <c r="E553" s="5">
        <v>0.1045</v>
      </c>
      <c r="F553" s="5">
        <v>0</v>
      </c>
      <c r="G553" s="5">
        <v>1</v>
      </c>
      <c r="H553" s="5">
        <v>1</v>
      </c>
    </row>
    <row r="554" spans="1:8" ht="13.8" x14ac:dyDescent="0.25">
      <c r="A554" s="5">
        <v>552</v>
      </c>
      <c r="B554" s="5">
        <v>553</v>
      </c>
      <c r="C554" s="5">
        <v>0.13639999999999999</v>
      </c>
      <c r="D554" s="5">
        <v>0.74</v>
      </c>
      <c r="E554" s="5">
        <v>0.22389999999999999</v>
      </c>
      <c r="F554" s="5">
        <v>0</v>
      </c>
      <c r="G554" s="5">
        <v>9</v>
      </c>
      <c r="H554" s="5">
        <v>9</v>
      </c>
    </row>
    <row r="555" spans="1:8" ht="13.8" x14ac:dyDescent="0.25">
      <c r="A555" s="5">
        <v>553</v>
      </c>
      <c r="B555" s="5">
        <v>554</v>
      </c>
      <c r="C555" s="5">
        <v>0.18179999999999999</v>
      </c>
      <c r="D555" s="5">
        <v>0.74</v>
      </c>
      <c r="E555" s="5">
        <v>0.1045</v>
      </c>
      <c r="F555" s="5">
        <v>1</v>
      </c>
      <c r="G555" s="5">
        <v>35</v>
      </c>
      <c r="H555" s="5">
        <v>36</v>
      </c>
    </row>
    <row r="556" spans="1:8" ht="13.8" x14ac:dyDescent="0.25">
      <c r="A556" s="5">
        <v>554</v>
      </c>
      <c r="B556" s="5">
        <v>555</v>
      </c>
      <c r="C556" s="5">
        <v>0.1515</v>
      </c>
      <c r="D556" s="5">
        <v>0.74</v>
      </c>
      <c r="E556" s="5">
        <v>0.22389999999999999</v>
      </c>
      <c r="F556" s="5">
        <v>5</v>
      </c>
      <c r="G556" s="5">
        <v>103</v>
      </c>
      <c r="H556" s="5">
        <v>108</v>
      </c>
    </row>
    <row r="557" spans="1:8" ht="13.8" x14ac:dyDescent="0.25">
      <c r="A557" s="5">
        <v>555</v>
      </c>
      <c r="B557" s="5">
        <v>556</v>
      </c>
      <c r="C557" s="5">
        <v>0.18179999999999999</v>
      </c>
      <c r="D557" s="5">
        <v>0.74</v>
      </c>
      <c r="E557" s="5">
        <v>0.1343</v>
      </c>
      <c r="F557" s="5">
        <v>5</v>
      </c>
      <c r="G557" s="5">
        <v>233</v>
      </c>
      <c r="H557" s="5">
        <v>238</v>
      </c>
    </row>
    <row r="558" spans="1:8" ht="13.8" x14ac:dyDescent="0.25">
      <c r="A558" s="5">
        <v>556</v>
      </c>
      <c r="B558" s="5">
        <v>557</v>
      </c>
      <c r="C558" s="5">
        <v>0.2273</v>
      </c>
      <c r="D558" s="5">
        <v>0.64</v>
      </c>
      <c r="E558" s="5">
        <v>8.9599999999999999E-2</v>
      </c>
      <c r="F558" s="5">
        <v>10</v>
      </c>
      <c r="G558" s="5">
        <v>134</v>
      </c>
      <c r="H558" s="5">
        <v>144</v>
      </c>
    </row>
    <row r="559" spans="1:8" ht="13.8" x14ac:dyDescent="0.25">
      <c r="A559" s="5">
        <v>557</v>
      </c>
      <c r="B559" s="5">
        <v>558</v>
      </c>
      <c r="C559" s="5">
        <v>0.2424</v>
      </c>
      <c r="D559" s="5">
        <v>0.6</v>
      </c>
      <c r="E559" s="5">
        <v>0.1045</v>
      </c>
      <c r="F559" s="5">
        <v>6</v>
      </c>
      <c r="G559" s="5">
        <v>49</v>
      </c>
      <c r="H559" s="5">
        <v>55</v>
      </c>
    </row>
    <row r="560" spans="1:8" ht="13.8" x14ac:dyDescent="0.25">
      <c r="A560" s="5">
        <v>558</v>
      </c>
      <c r="B560" s="5">
        <v>559</v>
      </c>
      <c r="C560" s="5">
        <v>0.2424</v>
      </c>
      <c r="D560" s="5">
        <v>0.6</v>
      </c>
      <c r="E560" s="5">
        <v>0.1343</v>
      </c>
      <c r="F560" s="5">
        <v>6</v>
      </c>
      <c r="G560" s="5">
        <v>55</v>
      </c>
      <c r="H560" s="5">
        <v>61</v>
      </c>
    </row>
    <row r="561" spans="1:8" ht="13.8" x14ac:dyDescent="0.25">
      <c r="A561" s="5">
        <v>559</v>
      </c>
      <c r="B561" s="5">
        <v>560</v>
      </c>
      <c r="C561" s="5">
        <v>0.28789999999999999</v>
      </c>
      <c r="D561" s="5">
        <v>0.56000000000000005</v>
      </c>
      <c r="E561" s="5">
        <v>8.9599999999999999E-2</v>
      </c>
      <c r="F561" s="5">
        <v>21</v>
      </c>
      <c r="G561" s="5">
        <v>85</v>
      </c>
      <c r="H561" s="5">
        <v>106</v>
      </c>
    </row>
    <row r="562" spans="1:8" ht="13.8" x14ac:dyDescent="0.25">
      <c r="A562" s="5">
        <v>560</v>
      </c>
      <c r="B562" s="5">
        <v>561</v>
      </c>
      <c r="C562" s="5">
        <v>0.2727</v>
      </c>
      <c r="D562" s="5">
        <v>0.56000000000000005</v>
      </c>
      <c r="E562" s="5">
        <v>0.1343</v>
      </c>
      <c r="F562" s="5">
        <v>21</v>
      </c>
      <c r="G562" s="5">
        <v>72</v>
      </c>
      <c r="H562" s="5">
        <v>93</v>
      </c>
    </row>
    <row r="563" spans="1:8" ht="13.8" x14ac:dyDescent="0.25">
      <c r="A563" s="5">
        <v>561</v>
      </c>
      <c r="B563" s="5">
        <v>562</v>
      </c>
      <c r="C563" s="5">
        <v>0.33329999999999999</v>
      </c>
      <c r="D563" s="5">
        <v>0.45</v>
      </c>
      <c r="E563" s="5">
        <v>0</v>
      </c>
      <c r="F563" s="5">
        <v>11</v>
      </c>
      <c r="G563" s="5">
        <v>57</v>
      </c>
      <c r="H563" s="5">
        <v>68</v>
      </c>
    </row>
    <row r="564" spans="1:8" ht="13.8" x14ac:dyDescent="0.25">
      <c r="A564" s="5">
        <v>562</v>
      </c>
      <c r="B564" s="5">
        <v>563</v>
      </c>
      <c r="C564" s="5">
        <v>0.34849999999999998</v>
      </c>
      <c r="D564" s="5">
        <v>0.42</v>
      </c>
      <c r="E564" s="5">
        <v>0</v>
      </c>
      <c r="F564" s="5">
        <v>21</v>
      </c>
      <c r="G564" s="5">
        <v>63</v>
      </c>
      <c r="H564" s="5">
        <v>84</v>
      </c>
    </row>
    <row r="565" spans="1:8" ht="13.8" x14ac:dyDescent="0.25">
      <c r="A565" s="5">
        <v>563</v>
      </c>
      <c r="B565" s="5">
        <v>564</v>
      </c>
      <c r="C565" s="5">
        <v>0.34849999999999998</v>
      </c>
      <c r="D565" s="5">
        <v>0.42</v>
      </c>
      <c r="E565" s="5">
        <v>0</v>
      </c>
      <c r="F565" s="5">
        <v>14</v>
      </c>
      <c r="G565" s="5">
        <v>102</v>
      </c>
      <c r="H565" s="5">
        <v>116</v>
      </c>
    </row>
    <row r="566" spans="1:8" ht="13.8" x14ac:dyDescent="0.25">
      <c r="A566" s="5">
        <v>564</v>
      </c>
      <c r="B566" s="5">
        <v>565</v>
      </c>
      <c r="C566" s="5">
        <v>0.33329999999999999</v>
      </c>
      <c r="D566" s="5">
        <v>0.45</v>
      </c>
      <c r="E566" s="5">
        <v>0</v>
      </c>
      <c r="F566" s="5">
        <v>14</v>
      </c>
      <c r="G566" s="5">
        <v>208</v>
      </c>
      <c r="H566" s="5">
        <v>222</v>
      </c>
    </row>
    <row r="567" spans="1:8" ht="13.8" x14ac:dyDescent="0.25">
      <c r="A567" s="5">
        <v>565</v>
      </c>
      <c r="B567" s="5">
        <v>566</v>
      </c>
      <c r="C567" s="5">
        <v>0.31819999999999998</v>
      </c>
      <c r="D567" s="5">
        <v>0.49</v>
      </c>
      <c r="E567" s="5">
        <v>8.9599999999999999E-2</v>
      </c>
      <c r="F567" s="5">
        <v>7</v>
      </c>
      <c r="G567" s="5">
        <v>218</v>
      </c>
      <c r="H567" s="5">
        <v>225</v>
      </c>
    </row>
    <row r="568" spans="1:8" ht="13.8" x14ac:dyDescent="0.25">
      <c r="A568" s="5">
        <v>566</v>
      </c>
      <c r="B568" s="5">
        <v>567</v>
      </c>
      <c r="C568" s="5">
        <v>0.2576</v>
      </c>
      <c r="D568" s="5">
        <v>0.65</v>
      </c>
      <c r="E568" s="5">
        <v>0.16420000000000001</v>
      </c>
      <c r="F568" s="5">
        <v>13</v>
      </c>
      <c r="G568" s="5">
        <v>133</v>
      </c>
      <c r="H568" s="5">
        <v>146</v>
      </c>
    </row>
    <row r="569" spans="1:8" ht="13.8" x14ac:dyDescent="0.25">
      <c r="A569" s="5">
        <v>567</v>
      </c>
      <c r="B569" s="5">
        <v>568</v>
      </c>
      <c r="C569" s="5">
        <v>0.2273</v>
      </c>
      <c r="D569" s="5">
        <v>0.65</v>
      </c>
      <c r="E569" s="5">
        <v>0.19400000000000001</v>
      </c>
      <c r="F569" s="5">
        <v>16</v>
      </c>
      <c r="G569" s="5">
        <v>103</v>
      </c>
      <c r="H569" s="5">
        <v>119</v>
      </c>
    </row>
    <row r="570" spans="1:8" ht="13.8" x14ac:dyDescent="0.25">
      <c r="A570" s="5">
        <v>568</v>
      </c>
      <c r="B570" s="5">
        <v>569</v>
      </c>
      <c r="C570" s="5">
        <v>0.2273</v>
      </c>
      <c r="D570" s="5">
        <v>0.65</v>
      </c>
      <c r="E570" s="5">
        <v>0.19400000000000001</v>
      </c>
      <c r="F570" s="5">
        <v>5</v>
      </c>
      <c r="G570" s="5">
        <v>40</v>
      </c>
      <c r="H570" s="5">
        <v>45</v>
      </c>
    </row>
    <row r="571" spans="1:8" ht="13.8" x14ac:dyDescent="0.25">
      <c r="A571" s="5">
        <v>569</v>
      </c>
      <c r="B571" s="5">
        <v>570</v>
      </c>
      <c r="C571" s="5">
        <v>0.2273</v>
      </c>
      <c r="D571" s="5">
        <v>0.64</v>
      </c>
      <c r="E571" s="5">
        <v>0.16420000000000001</v>
      </c>
      <c r="F571" s="5">
        <v>4</v>
      </c>
      <c r="G571" s="5">
        <v>49</v>
      </c>
      <c r="H571" s="5">
        <v>53</v>
      </c>
    </row>
    <row r="572" spans="1:8" ht="13.8" x14ac:dyDescent="0.25">
      <c r="A572" s="5">
        <v>570</v>
      </c>
      <c r="B572" s="5">
        <v>571</v>
      </c>
      <c r="C572" s="5">
        <v>0.2273</v>
      </c>
      <c r="D572" s="5">
        <v>0.64</v>
      </c>
      <c r="E572" s="5">
        <v>0.16420000000000001</v>
      </c>
      <c r="F572" s="5">
        <v>3</v>
      </c>
      <c r="G572" s="5">
        <v>37</v>
      </c>
      <c r="H572" s="5">
        <v>40</v>
      </c>
    </row>
    <row r="573" spans="1:8" ht="13.8" x14ac:dyDescent="0.25">
      <c r="A573" s="5">
        <v>571</v>
      </c>
      <c r="B573" s="5">
        <v>572</v>
      </c>
      <c r="C573" s="5">
        <v>0.2273</v>
      </c>
      <c r="D573" s="5">
        <v>0.69</v>
      </c>
      <c r="E573" s="5">
        <v>0.1343</v>
      </c>
      <c r="F573" s="5">
        <v>3</v>
      </c>
      <c r="G573" s="5">
        <v>14</v>
      </c>
      <c r="H573" s="5">
        <v>17</v>
      </c>
    </row>
    <row r="574" spans="1:8" ht="13.8" x14ac:dyDescent="0.25">
      <c r="A574" s="5">
        <v>572</v>
      </c>
      <c r="B574" s="5">
        <v>573</v>
      </c>
      <c r="C574" s="5">
        <v>0.2424</v>
      </c>
      <c r="D574" s="5">
        <v>0.65</v>
      </c>
      <c r="E574" s="5">
        <v>0.1343</v>
      </c>
      <c r="F574" s="5">
        <v>0</v>
      </c>
      <c r="G574" s="5">
        <v>5</v>
      </c>
      <c r="H574" s="5">
        <v>5</v>
      </c>
    </row>
    <row r="575" spans="1:8" ht="13.8" x14ac:dyDescent="0.25">
      <c r="A575" s="5">
        <v>573</v>
      </c>
      <c r="B575" s="5">
        <v>574</v>
      </c>
      <c r="C575" s="5">
        <v>0.2273</v>
      </c>
      <c r="D575" s="5">
        <v>0.69</v>
      </c>
      <c r="E575" s="5">
        <v>0.19400000000000001</v>
      </c>
      <c r="F575" s="5">
        <v>3</v>
      </c>
      <c r="G575" s="5">
        <v>7</v>
      </c>
      <c r="H575" s="5">
        <v>10</v>
      </c>
    </row>
    <row r="576" spans="1:8" ht="13.8" x14ac:dyDescent="0.25">
      <c r="A576" s="5">
        <v>574</v>
      </c>
      <c r="B576" s="5">
        <v>575</v>
      </c>
      <c r="C576" s="5">
        <v>0.18179999999999999</v>
      </c>
      <c r="D576" s="5">
        <v>0.86</v>
      </c>
      <c r="E576" s="5">
        <v>0.28360000000000002</v>
      </c>
      <c r="F576" s="5">
        <v>0</v>
      </c>
      <c r="G576" s="5">
        <v>1</v>
      </c>
      <c r="H576" s="5">
        <v>1</v>
      </c>
    </row>
    <row r="577" spans="1:8" ht="13.8" x14ac:dyDescent="0.25">
      <c r="A577" s="5">
        <v>575</v>
      </c>
      <c r="B577" s="5">
        <v>576</v>
      </c>
      <c r="C577" s="5">
        <v>0.18179999999999999</v>
      </c>
      <c r="D577" s="5">
        <v>0.86</v>
      </c>
      <c r="E577" s="5">
        <v>0.28360000000000002</v>
      </c>
      <c r="F577" s="5">
        <v>0</v>
      </c>
      <c r="G577" s="5">
        <v>8</v>
      </c>
      <c r="H577" s="5">
        <v>8</v>
      </c>
    </row>
    <row r="578" spans="1:8" ht="13.8" x14ac:dyDescent="0.25">
      <c r="A578" s="5">
        <v>576</v>
      </c>
      <c r="B578" s="5">
        <v>577</v>
      </c>
      <c r="C578" s="5">
        <v>0.21210000000000001</v>
      </c>
      <c r="D578" s="5">
        <v>0.87</v>
      </c>
      <c r="E578" s="5">
        <v>0.29849999999999999</v>
      </c>
      <c r="F578" s="5">
        <v>1</v>
      </c>
      <c r="G578" s="5">
        <v>29</v>
      </c>
      <c r="H578" s="5">
        <v>30</v>
      </c>
    </row>
    <row r="579" spans="1:8" ht="13.8" x14ac:dyDescent="0.25">
      <c r="A579" s="5">
        <v>577</v>
      </c>
      <c r="B579" s="5">
        <v>578</v>
      </c>
      <c r="C579" s="5">
        <v>0.21210000000000001</v>
      </c>
      <c r="D579" s="5">
        <v>0.87</v>
      </c>
      <c r="E579" s="5">
        <v>0.29849999999999999</v>
      </c>
      <c r="F579" s="5">
        <v>3</v>
      </c>
      <c r="G579" s="5">
        <v>69</v>
      </c>
      <c r="H579" s="5">
        <v>72</v>
      </c>
    </row>
    <row r="580" spans="1:8" ht="13.8" x14ac:dyDescent="0.25">
      <c r="A580" s="5">
        <v>578</v>
      </c>
      <c r="B580" s="5">
        <v>579</v>
      </c>
      <c r="C580" s="5">
        <v>0.21210000000000001</v>
      </c>
      <c r="D580" s="5">
        <v>0.87</v>
      </c>
      <c r="E580" s="5">
        <v>0.29849999999999999</v>
      </c>
      <c r="F580" s="5">
        <v>3</v>
      </c>
      <c r="G580" s="5">
        <v>55</v>
      </c>
      <c r="H580" s="5">
        <v>58</v>
      </c>
    </row>
    <row r="581" spans="1:8" ht="13.8" x14ac:dyDescent="0.25">
      <c r="A581" s="5">
        <v>579</v>
      </c>
      <c r="B581" s="5">
        <v>580</v>
      </c>
      <c r="C581" s="5">
        <v>0.21210000000000001</v>
      </c>
      <c r="D581" s="5">
        <v>0.93</v>
      </c>
      <c r="E581" s="5">
        <v>0.28360000000000002</v>
      </c>
      <c r="F581" s="5">
        <v>2</v>
      </c>
      <c r="G581" s="5">
        <v>26</v>
      </c>
      <c r="H581" s="5">
        <v>28</v>
      </c>
    </row>
    <row r="582" spans="1:8" ht="13.8" x14ac:dyDescent="0.25">
      <c r="A582" s="5">
        <v>580</v>
      </c>
      <c r="B582" s="5">
        <v>581</v>
      </c>
      <c r="C582" s="5">
        <v>0.19700000000000001</v>
      </c>
      <c r="D582" s="5">
        <v>0.93</v>
      </c>
      <c r="E582" s="5">
        <v>0.32840000000000003</v>
      </c>
      <c r="F582" s="5">
        <v>6</v>
      </c>
      <c r="G582" s="5">
        <v>35</v>
      </c>
      <c r="H582" s="5">
        <v>41</v>
      </c>
    </row>
    <row r="583" spans="1:8" ht="13.8" x14ac:dyDescent="0.25">
      <c r="A583" s="5">
        <v>581</v>
      </c>
      <c r="B583" s="5">
        <v>582</v>
      </c>
      <c r="C583" s="5">
        <v>0.19700000000000001</v>
      </c>
      <c r="D583" s="5">
        <v>0.93</v>
      </c>
      <c r="E583" s="5">
        <v>0.32840000000000003</v>
      </c>
      <c r="F583" s="5">
        <v>7</v>
      </c>
      <c r="G583" s="5">
        <v>41</v>
      </c>
      <c r="H583" s="5">
        <v>48</v>
      </c>
    </row>
    <row r="584" spans="1:8" ht="13.8" x14ac:dyDescent="0.25">
      <c r="A584" s="5">
        <v>582</v>
      </c>
      <c r="B584" s="5">
        <v>583</v>
      </c>
      <c r="C584" s="5">
        <v>0.19700000000000001</v>
      </c>
      <c r="D584" s="5">
        <v>0.93</v>
      </c>
      <c r="E584" s="5">
        <v>0.32840000000000003</v>
      </c>
      <c r="F584" s="5">
        <v>4</v>
      </c>
      <c r="G584" s="5">
        <v>43</v>
      </c>
      <c r="H584" s="5">
        <v>47</v>
      </c>
    </row>
    <row r="585" spans="1:8" ht="13.8" x14ac:dyDescent="0.25">
      <c r="A585" s="5">
        <v>583</v>
      </c>
      <c r="B585" s="5">
        <v>584</v>
      </c>
      <c r="C585" s="5">
        <v>0.19700000000000001</v>
      </c>
      <c r="D585" s="5">
        <v>0.93</v>
      </c>
      <c r="E585" s="5">
        <v>0.35820000000000002</v>
      </c>
      <c r="F585" s="5">
        <v>0</v>
      </c>
      <c r="G585" s="5">
        <v>36</v>
      </c>
      <c r="H585" s="5">
        <v>36</v>
      </c>
    </row>
    <row r="586" spans="1:8" ht="13.8" x14ac:dyDescent="0.25">
      <c r="A586" s="5">
        <v>584</v>
      </c>
      <c r="B586" s="5">
        <v>585</v>
      </c>
      <c r="C586" s="5">
        <v>0.18179999999999999</v>
      </c>
      <c r="D586" s="5">
        <v>0.93</v>
      </c>
      <c r="E586" s="5">
        <v>0.4627</v>
      </c>
      <c r="F586" s="5">
        <v>1</v>
      </c>
      <c r="G586" s="5">
        <v>42</v>
      </c>
      <c r="H586" s="5">
        <v>43</v>
      </c>
    </row>
    <row r="587" spans="1:8" ht="13.8" x14ac:dyDescent="0.25">
      <c r="A587" s="5">
        <v>585</v>
      </c>
      <c r="B587" s="5">
        <v>586</v>
      </c>
      <c r="C587" s="5">
        <v>0.19700000000000001</v>
      </c>
      <c r="D587" s="5">
        <v>0.93</v>
      </c>
      <c r="E587" s="5">
        <v>0.32840000000000003</v>
      </c>
      <c r="F587" s="5">
        <v>1</v>
      </c>
      <c r="G587" s="5">
        <v>35</v>
      </c>
      <c r="H587" s="5">
        <v>36</v>
      </c>
    </row>
    <row r="588" spans="1:8" ht="13.8" x14ac:dyDescent="0.25">
      <c r="A588" s="5">
        <v>586</v>
      </c>
      <c r="B588" s="5">
        <v>587</v>
      </c>
      <c r="C588" s="5">
        <v>0.18179999999999999</v>
      </c>
      <c r="D588" s="5">
        <v>0.93</v>
      </c>
      <c r="E588" s="5">
        <v>0.35820000000000002</v>
      </c>
      <c r="F588" s="5">
        <v>0</v>
      </c>
      <c r="G588" s="5">
        <v>26</v>
      </c>
      <c r="H588" s="5">
        <v>26</v>
      </c>
    </row>
    <row r="589" spans="1:8" ht="13.8" x14ac:dyDescent="0.25">
      <c r="A589" s="5">
        <v>587</v>
      </c>
      <c r="B589" s="5">
        <v>588</v>
      </c>
      <c r="C589" s="5">
        <v>0.2273</v>
      </c>
      <c r="D589" s="5">
        <v>0.55000000000000004</v>
      </c>
      <c r="E589" s="5">
        <v>0.19400000000000001</v>
      </c>
      <c r="F589" s="5">
        <v>1</v>
      </c>
      <c r="G589" s="5">
        <v>23</v>
      </c>
      <c r="H589" s="5">
        <v>24</v>
      </c>
    </row>
    <row r="590" spans="1:8" ht="13.8" x14ac:dyDescent="0.25">
      <c r="A590" s="5">
        <v>588</v>
      </c>
      <c r="B590" s="5">
        <v>589</v>
      </c>
      <c r="C590" s="5">
        <v>0.2424</v>
      </c>
      <c r="D590" s="5">
        <v>0.55000000000000004</v>
      </c>
      <c r="E590" s="5">
        <v>0.1045</v>
      </c>
      <c r="F590" s="5">
        <v>2</v>
      </c>
      <c r="G590" s="5">
        <v>82</v>
      </c>
      <c r="H590" s="5">
        <v>84</v>
      </c>
    </row>
    <row r="591" spans="1:8" ht="13.8" x14ac:dyDescent="0.25">
      <c r="A591" s="5">
        <v>589</v>
      </c>
      <c r="B591" s="5">
        <v>590</v>
      </c>
      <c r="C591" s="5">
        <v>0.2273</v>
      </c>
      <c r="D591" s="5">
        <v>0.69</v>
      </c>
      <c r="E591" s="5">
        <v>8.9599999999999999E-2</v>
      </c>
      <c r="F591" s="5">
        <v>3</v>
      </c>
      <c r="G591" s="5">
        <v>101</v>
      </c>
      <c r="H591" s="5">
        <v>104</v>
      </c>
    </row>
    <row r="592" spans="1:8" ht="13.8" x14ac:dyDescent="0.25">
      <c r="A592" s="5">
        <v>590</v>
      </c>
      <c r="B592" s="5">
        <v>591</v>
      </c>
      <c r="C592" s="5">
        <v>0.2273</v>
      </c>
      <c r="D592" s="5">
        <v>0.69</v>
      </c>
      <c r="E592" s="5">
        <v>8.9599999999999999E-2</v>
      </c>
      <c r="F592" s="5">
        <v>3</v>
      </c>
      <c r="G592" s="5">
        <v>76</v>
      </c>
      <c r="H592" s="5">
        <v>79</v>
      </c>
    </row>
    <row r="593" spans="1:8" ht="13.8" x14ac:dyDescent="0.25">
      <c r="A593" s="5">
        <v>591</v>
      </c>
      <c r="B593" s="5">
        <v>592</v>
      </c>
      <c r="C593" s="5">
        <v>0.21210000000000001</v>
      </c>
      <c r="D593" s="5">
        <v>0.74</v>
      </c>
      <c r="E593" s="5">
        <v>8.9599999999999999E-2</v>
      </c>
      <c r="F593" s="5">
        <v>4</v>
      </c>
      <c r="G593" s="5">
        <v>55</v>
      </c>
      <c r="H593" s="5">
        <v>59</v>
      </c>
    </row>
    <row r="594" spans="1:8" ht="13.8" x14ac:dyDescent="0.25">
      <c r="A594" s="5">
        <v>592</v>
      </c>
      <c r="B594" s="5">
        <v>593</v>
      </c>
      <c r="C594" s="5">
        <v>0.21210000000000001</v>
      </c>
      <c r="D594" s="5">
        <v>0.74</v>
      </c>
      <c r="E594" s="5">
        <v>8.9599999999999999E-2</v>
      </c>
      <c r="F594" s="5">
        <v>2</v>
      </c>
      <c r="G594" s="5">
        <v>36</v>
      </c>
      <c r="H594" s="5">
        <v>38</v>
      </c>
    </row>
    <row r="595" spans="1:8" ht="13.8" x14ac:dyDescent="0.25">
      <c r="A595" s="5">
        <v>593</v>
      </c>
      <c r="B595" s="5">
        <v>594</v>
      </c>
      <c r="C595" s="5">
        <v>0.21210000000000001</v>
      </c>
      <c r="D595" s="5">
        <v>0.74</v>
      </c>
      <c r="E595" s="5">
        <v>8.9599999999999999E-2</v>
      </c>
      <c r="F595" s="5">
        <v>0</v>
      </c>
      <c r="G595" s="5">
        <v>27</v>
      </c>
      <c r="H595" s="5">
        <v>27</v>
      </c>
    </row>
    <row r="596" spans="1:8" ht="13.8" x14ac:dyDescent="0.25">
      <c r="A596" s="5">
        <v>594</v>
      </c>
      <c r="B596" s="5">
        <v>595</v>
      </c>
      <c r="C596" s="5">
        <v>0.19700000000000001</v>
      </c>
      <c r="D596" s="5">
        <v>0.8</v>
      </c>
      <c r="E596" s="5">
        <v>0.16420000000000001</v>
      </c>
      <c r="F596" s="5">
        <v>0</v>
      </c>
      <c r="G596" s="5">
        <v>16</v>
      </c>
      <c r="H596" s="5">
        <v>16</v>
      </c>
    </row>
    <row r="597" spans="1:8" ht="13.8" x14ac:dyDescent="0.25">
      <c r="A597" s="5">
        <v>595</v>
      </c>
      <c r="B597" s="5">
        <v>596</v>
      </c>
      <c r="C597" s="5">
        <v>0.21210000000000001</v>
      </c>
      <c r="D597" s="5">
        <v>0.75</v>
      </c>
      <c r="E597" s="5">
        <v>0.1343</v>
      </c>
      <c r="F597" s="5">
        <v>0</v>
      </c>
      <c r="G597" s="5">
        <v>9</v>
      </c>
      <c r="H597" s="5">
        <v>9</v>
      </c>
    </row>
    <row r="598" spans="1:8" ht="13.8" x14ac:dyDescent="0.25">
      <c r="A598" s="5">
        <v>596</v>
      </c>
      <c r="B598" s="5">
        <v>597</v>
      </c>
      <c r="C598" s="5">
        <v>0.21210000000000001</v>
      </c>
      <c r="D598" s="5">
        <v>0.75</v>
      </c>
      <c r="E598" s="5">
        <v>0.1343</v>
      </c>
      <c r="F598" s="5">
        <v>1</v>
      </c>
      <c r="G598" s="5">
        <v>2</v>
      </c>
      <c r="H598" s="5">
        <v>3</v>
      </c>
    </row>
    <row r="599" spans="1:8" ht="13.8" x14ac:dyDescent="0.25">
      <c r="A599" s="5">
        <v>597</v>
      </c>
      <c r="B599" s="5">
        <v>598</v>
      </c>
      <c r="C599" s="5">
        <v>0.21210000000000001</v>
      </c>
      <c r="D599" s="5">
        <v>0.75</v>
      </c>
      <c r="E599" s="5">
        <v>0.16420000000000001</v>
      </c>
      <c r="F599" s="5">
        <v>0</v>
      </c>
      <c r="G599" s="5">
        <v>2</v>
      </c>
      <c r="H599" s="5">
        <v>2</v>
      </c>
    </row>
    <row r="600" spans="1:8" ht="13.8" x14ac:dyDescent="0.25">
      <c r="A600" s="5">
        <v>598</v>
      </c>
      <c r="B600" s="5">
        <v>599</v>
      </c>
      <c r="C600" s="5">
        <v>0.2273</v>
      </c>
      <c r="D600" s="5">
        <v>0.75</v>
      </c>
      <c r="E600" s="5">
        <v>0.1045</v>
      </c>
      <c r="F600" s="5">
        <v>1</v>
      </c>
      <c r="G600" s="5">
        <v>0</v>
      </c>
      <c r="H600" s="5">
        <v>1</v>
      </c>
    </row>
    <row r="601" spans="1:8" ht="13.8" x14ac:dyDescent="0.25">
      <c r="A601" s="5">
        <v>599</v>
      </c>
      <c r="B601" s="5">
        <v>600</v>
      </c>
      <c r="C601" s="5">
        <v>0.21210000000000001</v>
      </c>
      <c r="D601" s="5">
        <v>0.8</v>
      </c>
      <c r="E601" s="5">
        <v>0.1045</v>
      </c>
      <c r="F601" s="5">
        <v>0</v>
      </c>
      <c r="G601" s="5">
        <v>4</v>
      </c>
      <c r="H601" s="5">
        <v>4</v>
      </c>
    </row>
    <row r="602" spans="1:8" ht="13.8" x14ac:dyDescent="0.25">
      <c r="A602" s="5">
        <v>600</v>
      </c>
      <c r="B602" s="5">
        <v>601</v>
      </c>
      <c r="C602" s="5">
        <v>0.19700000000000001</v>
      </c>
      <c r="D602" s="5">
        <v>0.8</v>
      </c>
      <c r="E602" s="5">
        <v>0.1343</v>
      </c>
      <c r="F602" s="5">
        <v>0</v>
      </c>
      <c r="G602" s="5">
        <v>16</v>
      </c>
      <c r="H602" s="5">
        <v>16</v>
      </c>
    </row>
    <row r="603" spans="1:8" ht="13.8" x14ac:dyDescent="0.25">
      <c r="A603" s="5">
        <v>601</v>
      </c>
      <c r="B603" s="5">
        <v>602</v>
      </c>
      <c r="C603" s="5">
        <v>0.19700000000000001</v>
      </c>
      <c r="D603" s="5">
        <v>0.86</v>
      </c>
      <c r="E603" s="5">
        <v>8.9599999999999999E-2</v>
      </c>
      <c r="F603" s="5">
        <v>2</v>
      </c>
      <c r="G603" s="5">
        <v>58</v>
      </c>
      <c r="H603" s="5">
        <v>60</v>
      </c>
    </row>
    <row r="604" spans="1:8" ht="13.8" x14ac:dyDescent="0.25">
      <c r="A604" s="5">
        <v>602</v>
      </c>
      <c r="B604" s="5">
        <v>603</v>
      </c>
      <c r="C604" s="5">
        <v>0.19700000000000001</v>
      </c>
      <c r="D604" s="5">
        <v>0.86</v>
      </c>
      <c r="E604" s="5">
        <v>8.9599999999999999E-2</v>
      </c>
      <c r="F604" s="5">
        <v>2</v>
      </c>
      <c r="G604" s="5">
        <v>155</v>
      </c>
      <c r="H604" s="5">
        <v>157</v>
      </c>
    </row>
    <row r="605" spans="1:8" ht="13.8" x14ac:dyDescent="0.25">
      <c r="A605" s="5">
        <v>603</v>
      </c>
      <c r="B605" s="5">
        <v>604</v>
      </c>
      <c r="C605" s="5">
        <v>0.21210000000000001</v>
      </c>
      <c r="D605" s="5">
        <v>0.86</v>
      </c>
      <c r="E605" s="5">
        <v>8.9599999999999999E-2</v>
      </c>
      <c r="F605" s="5">
        <v>6</v>
      </c>
      <c r="G605" s="5">
        <v>95</v>
      </c>
      <c r="H605" s="5">
        <v>101</v>
      </c>
    </row>
    <row r="606" spans="1:8" ht="13.8" x14ac:dyDescent="0.25">
      <c r="A606" s="5">
        <v>604</v>
      </c>
      <c r="B606" s="5">
        <v>605</v>
      </c>
      <c r="C606" s="5">
        <v>0.21210000000000001</v>
      </c>
      <c r="D606" s="5">
        <v>0.86</v>
      </c>
      <c r="E606" s="5">
        <v>0.1045</v>
      </c>
      <c r="F606" s="5">
        <v>0</v>
      </c>
      <c r="G606" s="5">
        <v>49</v>
      </c>
      <c r="H606" s="5">
        <v>49</v>
      </c>
    </row>
    <row r="607" spans="1:8" ht="13.8" x14ac:dyDescent="0.25">
      <c r="A607" s="5">
        <v>605</v>
      </c>
      <c r="B607" s="5">
        <v>606</v>
      </c>
      <c r="C607" s="5">
        <v>0.21210000000000001</v>
      </c>
      <c r="D607" s="5">
        <v>0.93</v>
      </c>
      <c r="E607" s="5">
        <v>0.1045</v>
      </c>
      <c r="F607" s="5">
        <v>0</v>
      </c>
      <c r="G607" s="5">
        <v>30</v>
      </c>
      <c r="H607" s="5">
        <v>30</v>
      </c>
    </row>
    <row r="608" spans="1:8" ht="13.8" x14ac:dyDescent="0.25">
      <c r="A608" s="5">
        <v>606</v>
      </c>
      <c r="B608" s="5">
        <v>607</v>
      </c>
      <c r="C608" s="5">
        <v>0.21210000000000001</v>
      </c>
      <c r="D608" s="5">
        <v>0.93</v>
      </c>
      <c r="E608" s="5">
        <v>0.1045</v>
      </c>
      <c r="F608" s="5">
        <v>1</v>
      </c>
      <c r="G608" s="5">
        <v>28</v>
      </c>
      <c r="H608" s="5">
        <v>29</v>
      </c>
    </row>
    <row r="609" spans="1:8" ht="13.8" x14ac:dyDescent="0.25">
      <c r="A609" s="5">
        <v>607</v>
      </c>
      <c r="B609" s="5">
        <v>608</v>
      </c>
      <c r="C609" s="5">
        <v>0.21210000000000001</v>
      </c>
      <c r="D609" s="5">
        <v>0.93</v>
      </c>
      <c r="E609" s="5">
        <v>0.1045</v>
      </c>
      <c r="F609" s="5">
        <v>0</v>
      </c>
      <c r="G609" s="5">
        <v>31</v>
      </c>
      <c r="H609" s="5">
        <v>31</v>
      </c>
    </row>
    <row r="610" spans="1:8" ht="13.8" x14ac:dyDescent="0.25">
      <c r="A610" s="5">
        <v>608</v>
      </c>
      <c r="B610" s="5">
        <v>609</v>
      </c>
      <c r="C610" s="5">
        <v>0.2727</v>
      </c>
      <c r="D610" s="5">
        <v>0.8</v>
      </c>
      <c r="E610" s="5">
        <v>0</v>
      </c>
      <c r="F610" s="5">
        <v>2</v>
      </c>
      <c r="G610" s="5">
        <v>36</v>
      </c>
      <c r="H610" s="5">
        <v>38</v>
      </c>
    </row>
    <row r="611" spans="1:8" ht="13.8" x14ac:dyDescent="0.25">
      <c r="A611" s="5">
        <v>609</v>
      </c>
      <c r="B611" s="5">
        <v>610</v>
      </c>
      <c r="C611" s="5">
        <v>0.2576</v>
      </c>
      <c r="D611" s="5">
        <v>0.86</v>
      </c>
      <c r="E611" s="5">
        <v>0</v>
      </c>
      <c r="F611" s="5">
        <v>1</v>
      </c>
      <c r="G611" s="5">
        <v>40</v>
      </c>
      <c r="H611" s="5">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57534-C5C3-4BFC-AF27-9CE39D704FF6}">
  <dimension ref="A1:P1222"/>
  <sheetViews>
    <sheetView workbookViewId="0">
      <selection activeCell="R11" sqref="R11"/>
    </sheetView>
  </sheetViews>
  <sheetFormatPr defaultRowHeight="13.2" x14ac:dyDescent="0.25"/>
  <cols>
    <col min="1" max="1" width="11" customWidth="1"/>
    <col min="2" max="2" width="11.44140625" style="19" customWidth="1"/>
    <col min="3" max="3" width="10.44140625" customWidth="1"/>
    <col min="4" max="4" width="8" customWidth="1"/>
    <col min="5" max="5" width="8.44140625" customWidth="1"/>
    <col min="6" max="6" width="11.21875" customWidth="1"/>
    <col min="7" max="7" width="11.109375" customWidth="1"/>
    <col min="8" max="8" width="12" customWidth="1"/>
    <col min="9" max="9" width="13.5546875" customWidth="1"/>
    <col min="10" max="10" width="10.44140625" customWidth="1"/>
    <col min="11" max="11" width="11.88671875" customWidth="1"/>
    <col min="12" max="13" width="10.33203125" customWidth="1"/>
    <col min="14" max="14" width="12.5546875" bestFit="1" customWidth="1"/>
    <col min="15" max="15" width="8.77734375" bestFit="1" customWidth="1"/>
    <col min="16" max="16" width="12.109375" bestFit="1" customWidth="1"/>
    <col min="17" max="17" width="7.77734375" customWidth="1"/>
  </cols>
  <sheetData>
    <row r="1" spans="1:16" x14ac:dyDescent="0.25">
      <c r="A1" s="9" t="s">
        <v>0</v>
      </c>
      <c r="B1" s="18" t="s">
        <v>1</v>
      </c>
      <c r="C1" s="9" t="s">
        <v>2</v>
      </c>
      <c r="D1" s="9" t="s">
        <v>4</v>
      </c>
      <c r="E1" s="9" t="s">
        <v>5</v>
      </c>
      <c r="F1" s="9" t="s">
        <v>6</v>
      </c>
      <c r="G1" s="9" t="s">
        <v>7</v>
      </c>
      <c r="H1" s="9" t="s">
        <v>8</v>
      </c>
      <c r="I1" s="9" t="s">
        <v>9</v>
      </c>
      <c r="J1" s="9" t="s">
        <v>10</v>
      </c>
      <c r="K1" s="9" t="s">
        <v>11</v>
      </c>
      <c r="L1" s="9" t="s">
        <v>12</v>
      </c>
      <c r="M1" s="9" t="s">
        <v>13</v>
      </c>
      <c r="N1" s="9" t="s">
        <v>14</v>
      </c>
      <c r="O1" s="9" t="s">
        <v>15</v>
      </c>
      <c r="P1" s="9" t="s">
        <v>16</v>
      </c>
    </row>
    <row r="2" spans="1:16" x14ac:dyDescent="0.25">
      <c r="A2">
        <v>1</v>
      </c>
      <c r="B2" s="19">
        <v>40544</v>
      </c>
      <c r="C2">
        <v>1</v>
      </c>
      <c r="D2">
        <v>1</v>
      </c>
      <c r="E2">
        <v>0</v>
      </c>
      <c r="F2" t="b">
        <v>0</v>
      </c>
      <c r="G2">
        <v>6</v>
      </c>
      <c r="H2">
        <v>1</v>
      </c>
      <c r="I2">
        <v>0.24</v>
      </c>
      <c r="J2">
        <v>0</v>
      </c>
      <c r="K2">
        <v>0.28789999999999999</v>
      </c>
      <c r="L2">
        <v>0.81</v>
      </c>
      <c r="M2">
        <v>0</v>
      </c>
      <c r="N2">
        <v>3</v>
      </c>
      <c r="O2">
        <v>13</v>
      </c>
      <c r="P2">
        <v>16</v>
      </c>
    </row>
    <row r="3" spans="1:16" x14ac:dyDescent="0.25">
      <c r="A3">
        <v>2</v>
      </c>
      <c r="B3" s="19">
        <v>40544</v>
      </c>
      <c r="C3">
        <v>1</v>
      </c>
      <c r="D3">
        <v>1</v>
      </c>
      <c r="E3">
        <v>1</v>
      </c>
      <c r="F3" t="b">
        <v>0</v>
      </c>
      <c r="G3">
        <v>6</v>
      </c>
      <c r="H3">
        <v>1</v>
      </c>
      <c r="I3">
        <v>0.22</v>
      </c>
      <c r="J3">
        <v>0</v>
      </c>
      <c r="K3">
        <v>0.28789999999999999</v>
      </c>
      <c r="L3">
        <v>0.81</v>
      </c>
      <c r="M3">
        <v>0</v>
      </c>
      <c r="N3">
        <v>3</v>
      </c>
      <c r="O3">
        <v>13</v>
      </c>
      <c r="P3">
        <v>16</v>
      </c>
    </row>
    <row r="4" spans="1:16" x14ac:dyDescent="0.25">
      <c r="A4">
        <v>3</v>
      </c>
      <c r="B4" s="19">
        <v>40544</v>
      </c>
      <c r="C4">
        <v>1</v>
      </c>
      <c r="D4">
        <v>1</v>
      </c>
      <c r="E4">
        <v>2</v>
      </c>
      <c r="F4" t="b">
        <v>0</v>
      </c>
      <c r="G4">
        <v>6</v>
      </c>
      <c r="H4">
        <v>1</v>
      </c>
      <c r="I4">
        <v>0.22</v>
      </c>
      <c r="J4">
        <v>0</v>
      </c>
      <c r="K4">
        <v>0.28789999999999999</v>
      </c>
      <c r="L4">
        <v>0.81</v>
      </c>
      <c r="M4">
        <v>0</v>
      </c>
      <c r="N4">
        <v>3</v>
      </c>
      <c r="O4">
        <v>13</v>
      </c>
      <c r="P4">
        <v>16</v>
      </c>
    </row>
    <row r="5" spans="1:16" x14ac:dyDescent="0.25">
      <c r="A5">
        <v>4</v>
      </c>
      <c r="B5" s="19">
        <v>40544</v>
      </c>
      <c r="C5">
        <v>1</v>
      </c>
      <c r="D5">
        <v>1</v>
      </c>
      <c r="E5">
        <v>3</v>
      </c>
      <c r="F5" t="b">
        <v>0</v>
      </c>
      <c r="G5">
        <v>6</v>
      </c>
      <c r="H5">
        <v>1</v>
      </c>
      <c r="I5">
        <v>0.24</v>
      </c>
      <c r="J5">
        <v>0</v>
      </c>
      <c r="K5">
        <v>0.28789999999999999</v>
      </c>
      <c r="L5">
        <v>0.81</v>
      </c>
      <c r="M5">
        <v>0</v>
      </c>
      <c r="N5">
        <v>3</v>
      </c>
      <c r="O5">
        <v>13</v>
      </c>
      <c r="P5">
        <v>16</v>
      </c>
    </row>
    <row r="6" spans="1:16" x14ac:dyDescent="0.25">
      <c r="A6">
        <v>5</v>
      </c>
      <c r="B6" s="19">
        <v>40544</v>
      </c>
      <c r="C6">
        <v>1</v>
      </c>
      <c r="D6">
        <v>1</v>
      </c>
      <c r="E6">
        <v>4</v>
      </c>
      <c r="F6" t="b">
        <v>0</v>
      </c>
      <c r="G6">
        <v>6</v>
      </c>
      <c r="H6">
        <v>1</v>
      </c>
      <c r="I6">
        <v>0.24</v>
      </c>
      <c r="J6">
        <v>0</v>
      </c>
      <c r="K6">
        <v>0.28789999999999999</v>
      </c>
      <c r="L6">
        <v>0.81</v>
      </c>
      <c r="M6">
        <v>0</v>
      </c>
      <c r="N6">
        <v>3</v>
      </c>
      <c r="O6">
        <v>13</v>
      </c>
      <c r="P6">
        <v>16</v>
      </c>
    </row>
    <row r="7" spans="1:16" x14ac:dyDescent="0.25">
      <c r="A7">
        <v>6</v>
      </c>
      <c r="B7" s="19">
        <v>40544</v>
      </c>
      <c r="C7">
        <v>1</v>
      </c>
      <c r="D7">
        <v>1</v>
      </c>
      <c r="E7">
        <v>5</v>
      </c>
      <c r="F7" t="b">
        <v>0</v>
      </c>
      <c r="G7">
        <v>6</v>
      </c>
      <c r="H7">
        <v>2</v>
      </c>
      <c r="I7">
        <v>0.24</v>
      </c>
      <c r="J7">
        <v>0</v>
      </c>
      <c r="K7">
        <v>0.28789999999999999</v>
      </c>
      <c r="L7">
        <v>0.81</v>
      </c>
      <c r="M7">
        <v>0</v>
      </c>
      <c r="N7">
        <v>3</v>
      </c>
      <c r="O7">
        <v>13</v>
      </c>
      <c r="P7">
        <v>16</v>
      </c>
    </row>
    <row r="8" spans="1:16" x14ac:dyDescent="0.25">
      <c r="A8">
        <v>7</v>
      </c>
      <c r="B8" s="19">
        <v>40544</v>
      </c>
      <c r="C8">
        <v>1</v>
      </c>
      <c r="D8">
        <v>1</v>
      </c>
      <c r="E8">
        <v>6</v>
      </c>
      <c r="F8" t="b">
        <v>0</v>
      </c>
      <c r="G8">
        <v>6</v>
      </c>
      <c r="H8">
        <v>1</v>
      </c>
      <c r="I8">
        <v>0.22</v>
      </c>
      <c r="J8">
        <v>0</v>
      </c>
      <c r="K8">
        <v>0.28789999999999999</v>
      </c>
      <c r="L8">
        <v>0.81</v>
      </c>
      <c r="M8">
        <v>0</v>
      </c>
      <c r="N8">
        <v>3</v>
      </c>
      <c r="O8">
        <v>13</v>
      </c>
      <c r="P8">
        <v>16</v>
      </c>
    </row>
    <row r="9" spans="1:16" x14ac:dyDescent="0.25">
      <c r="A9">
        <v>8</v>
      </c>
      <c r="B9" s="19">
        <v>40544</v>
      </c>
      <c r="C9">
        <v>1</v>
      </c>
      <c r="D9">
        <v>1</v>
      </c>
      <c r="E9">
        <v>7</v>
      </c>
      <c r="F9" t="b">
        <v>0</v>
      </c>
      <c r="G9">
        <v>6</v>
      </c>
      <c r="H9">
        <v>1</v>
      </c>
      <c r="I9">
        <v>0.2</v>
      </c>
      <c r="J9">
        <v>0</v>
      </c>
      <c r="K9">
        <v>0.28789999999999999</v>
      </c>
      <c r="L9">
        <v>0.81</v>
      </c>
      <c r="M9">
        <v>0</v>
      </c>
      <c r="N9">
        <v>3</v>
      </c>
      <c r="O9">
        <v>13</v>
      </c>
      <c r="P9">
        <v>16</v>
      </c>
    </row>
    <row r="10" spans="1:16" x14ac:dyDescent="0.25">
      <c r="A10">
        <v>9</v>
      </c>
      <c r="B10" s="19">
        <v>40544</v>
      </c>
      <c r="C10">
        <v>1</v>
      </c>
      <c r="D10">
        <v>1</v>
      </c>
      <c r="E10">
        <v>8</v>
      </c>
      <c r="F10" t="b">
        <v>0</v>
      </c>
      <c r="G10">
        <v>6</v>
      </c>
      <c r="H10">
        <v>1</v>
      </c>
      <c r="I10">
        <v>0.24</v>
      </c>
      <c r="J10">
        <v>0</v>
      </c>
      <c r="K10">
        <v>0.28789999999999999</v>
      </c>
      <c r="L10">
        <v>0.81</v>
      </c>
      <c r="M10">
        <v>0</v>
      </c>
      <c r="N10">
        <v>3</v>
      </c>
      <c r="O10">
        <v>13</v>
      </c>
      <c r="P10">
        <v>16</v>
      </c>
    </row>
    <row r="11" spans="1:16" x14ac:dyDescent="0.25">
      <c r="A11">
        <v>10</v>
      </c>
      <c r="B11" s="19">
        <v>40544</v>
      </c>
      <c r="C11">
        <v>1</v>
      </c>
      <c r="D11">
        <v>1</v>
      </c>
      <c r="E11">
        <v>9</v>
      </c>
      <c r="F11" t="b">
        <v>0</v>
      </c>
      <c r="G11">
        <v>6</v>
      </c>
      <c r="H11">
        <v>1</v>
      </c>
      <c r="I11">
        <v>0.32</v>
      </c>
      <c r="J11">
        <v>0</v>
      </c>
      <c r="K11">
        <v>0.28789999999999999</v>
      </c>
      <c r="L11">
        <v>0.81</v>
      </c>
      <c r="M11">
        <v>0</v>
      </c>
      <c r="N11">
        <v>3</v>
      </c>
      <c r="O11">
        <v>13</v>
      </c>
      <c r="P11">
        <v>16</v>
      </c>
    </row>
    <row r="12" spans="1:16" x14ac:dyDescent="0.25">
      <c r="A12">
        <v>11</v>
      </c>
      <c r="B12" s="19">
        <v>40544</v>
      </c>
      <c r="C12">
        <v>1</v>
      </c>
      <c r="D12">
        <v>1</v>
      </c>
      <c r="E12">
        <v>10</v>
      </c>
      <c r="F12" t="b">
        <v>0</v>
      </c>
      <c r="G12">
        <v>6</v>
      </c>
      <c r="H12">
        <v>1</v>
      </c>
      <c r="I12">
        <v>0.38</v>
      </c>
      <c r="J12">
        <v>0</v>
      </c>
      <c r="K12">
        <v>0.28789999999999999</v>
      </c>
      <c r="L12">
        <v>0.81</v>
      </c>
      <c r="M12">
        <v>0</v>
      </c>
      <c r="N12">
        <v>3</v>
      </c>
      <c r="O12">
        <v>13</v>
      </c>
      <c r="P12">
        <v>16</v>
      </c>
    </row>
    <row r="13" spans="1:16" x14ac:dyDescent="0.25">
      <c r="A13">
        <v>12</v>
      </c>
      <c r="B13" s="19">
        <v>40544</v>
      </c>
      <c r="C13">
        <v>1</v>
      </c>
      <c r="D13">
        <v>1</v>
      </c>
      <c r="E13">
        <v>11</v>
      </c>
      <c r="F13" t="b">
        <v>0</v>
      </c>
      <c r="G13">
        <v>6</v>
      </c>
      <c r="H13">
        <v>1</v>
      </c>
      <c r="I13">
        <v>0.36</v>
      </c>
      <c r="J13">
        <v>0</v>
      </c>
      <c r="K13">
        <v>0.28789999999999999</v>
      </c>
      <c r="L13">
        <v>0.81</v>
      </c>
      <c r="M13">
        <v>0</v>
      </c>
      <c r="N13">
        <v>3</v>
      </c>
      <c r="O13">
        <v>13</v>
      </c>
      <c r="P13">
        <v>16</v>
      </c>
    </row>
    <row r="14" spans="1:16" x14ac:dyDescent="0.25">
      <c r="A14">
        <v>13</v>
      </c>
      <c r="B14" s="19">
        <v>40544</v>
      </c>
      <c r="C14">
        <v>1</v>
      </c>
      <c r="D14">
        <v>1</v>
      </c>
      <c r="E14">
        <v>12</v>
      </c>
      <c r="F14" t="b">
        <v>0</v>
      </c>
      <c r="G14">
        <v>6</v>
      </c>
      <c r="H14">
        <v>1</v>
      </c>
      <c r="I14">
        <v>0.42</v>
      </c>
      <c r="J14">
        <v>0</v>
      </c>
      <c r="K14">
        <v>0.28789999999999999</v>
      </c>
      <c r="L14">
        <v>0.81</v>
      </c>
      <c r="M14">
        <v>0</v>
      </c>
      <c r="N14">
        <v>3</v>
      </c>
      <c r="O14">
        <v>13</v>
      </c>
      <c r="P14">
        <v>16</v>
      </c>
    </row>
    <row r="15" spans="1:16" x14ac:dyDescent="0.25">
      <c r="A15">
        <v>14</v>
      </c>
      <c r="B15" s="19">
        <v>40544</v>
      </c>
      <c r="C15">
        <v>1</v>
      </c>
      <c r="D15">
        <v>1</v>
      </c>
      <c r="E15">
        <v>13</v>
      </c>
      <c r="F15" t="b">
        <v>0</v>
      </c>
      <c r="G15">
        <v>6</v>
      </c>
      <c r="H15">
        <v>2</v>
      </c>
      <c r="I15">
        <v>0.46</v>
      </c>
      <c r="J15">
        <v>0</v>
      </c>
      <c r="K15">
        <v>0.28789999999999999</v>
      </c>
      <c r="L15">
        <v>0.81</v>
      </c>
      <c r="M15">
        <v>0</v>
      </c>
      <c r="N15">
        <v>3</v>
      </c>
      <c r="O15">
        <v>13</v>
      </c>
      <c r="P15">
        <v>16</v>
      </c>
    </row>
    <row r="16" spans="1:16" x14ac:dyDescent="0.25">
      <c r="A16">
        <v>15</v>
      </c>
      <c r="B16" s="19">
        <v>40544</v>
      </c>
      <c r="C16">
        <v>1</v>
      </c>
      <c r="D16">
        <v>1</v>
      </c>
      <c r="E16">
        <v>14</v>
      </c>
      <c r="F16" t="b">
        <v>0</v>
      </c>
      <c r="G16">
        <v>6</v>
      </c>
      <c r="H16">
        <v>2</v>
      </c>
      <c r="I16">
        <v>0.46</v>
      </c>
      <c r="J16">
        <v>0</v>
      </c>
      <c r="K16">
        <v>0.28789999999999999</v>
      </c>
      <c r="L16">
        <v>0.81</v>
      </c>
      <c r="M16">
        <v>0</v>
      </c>
      <c r="N16">
        <v>3</v>
      </c>
      <c r="O16">
        <v>13</v>
      </c>
      <c r="P16">
        <v>16</v>
      </c>
    </row>
    <row r="17" spans="1:16" x14ac:dyDescent="0.25">
      <c r="A17">
        <v>16</v>
      </c>
      <c r="B17" s="19">
        <v>40544</v>
      </c>
      <c r="C17">
        <v>1</v>
      </c>
      <c r="D17">
        <v>1</v>
      </c>
      <c r="E17">
        <v>15</v>
      </c>
      <c r="F17" t="b">
        <v>0</v>
      </c>
      <c r="G17">
        <v>6</v>
      </c>
      <c r="H17">
        <v>2</v>
      </c>
      <c r="I17">
        <v>0.44</v>
      </c>
      <c r="J17">
        <v>0</v>
      </c>
      <c r="K17">
        <v>0.28789999999999999</v>
      </c>
      <c r="L17">
        <v>0.81</v>
      </c>
      <c r="M17">
        <v>0</v>
      </c>
      <c r="N17">
        <v>3</v>
      </c>
      <c r="O17">
        <v>13</v>
      </c>
      <c r="P17">
        <v>16</v>
      </c>
    </row>
    <row r="18" spans="1:16" x14ac:dyDescent="0.25">
      <c r="A18">
        <v>17</v>
      </c>
      <c r="B18" s="19">
        <v>40544</v>
      </c>
      <c r="C18">
        <v>1</v>
      </c>
      <c r="D18">
        <v>1</v>
      </c>
      <c r="E18">
        <v>16</v>
      </c>
      <c r="F18" t="b">
        <v>0</v>
      </c>
      <c r="G18">
        <v>6</v>
      </c>
      <c r="H18">
        <v>2</v>
      </c>
      <c r="I18">
        <v>0.42</v>
      </c>
      <c r="J18">
        <v>0</v>
      </c>
      <c r="K18">
        <v>0.28789999999999999</v>
      </c>
      <c r="L18">
        <v>0.81</v>
      </c>
      <c r="M18">
        <v>0</v>
      </c>
      <c r="N18">
        <v>3</v>
      </c>
      <c r="O18">
        <v>13</v>
      </c>
      <c r="P18">
        <v>16</v>
      </c>
    </row>
    <row r="19" spans="1:16" x14ac:dyDescent="0.25">
      <c r="A19">
        <v>18</v>
      </c>
      <c r="B19" s="19">
        <v>40544</v>
      </c>
      <c r="C19">
        <v>1</v>
      </c>
      <c r="D19">
        <v>1</v>
      </c>
      <c r="E19">
        <v>17</v>
      </c>
      <c r="F19" t="b">
        <v>0</v>
      </c>
      <c r="G19">
        <v>6</v>
      </c>
      <c r="H19">
        <v>2</v>
      </c>
      <c r="I19">
        <v>0.44</v>
      </c>
      <c r="J19">
        <v>0</v>
      </c>
      <c r="K19">
        <v>0.28789999999999999</v>
      </c>
      <c r="L19">
        <v>0.81</v>
      </c>
      <c r="M19">
        <v>0</v>
      </c>
      <c r="N19">
        <v>3</v>
      </c>
      <c r="O19">
        <v>13</v>
      </c>
      <c r="P19">
        <v>16</v>
      </c>
    </row>
    <row r="20" spans="1:16" x14ac:dyDescent="0.25">
      <c r="A20">
        <v>19</v>
      </c>
      <c r="B20" s="19">
        <v>40544</v>
      </c>
      <c r="C20">
        <v>1</v>
      </c>
      <c r="D20">
        <v>1</v>
      </c>
      <c r="E20">
        <v>18</v>
      </c>
      <c r="F20" t="b">
        <v>0</v>
      </c>
      <c r="G20">
        <v>6</v>
      </c>
      <c r="H20">
        <v>3</v>
      </c>
      <c r="I20">
        <v>0.42</v>
      </c>
      <c r="J20">
        <v>0</v>
      </c>
      <c r="K20">
        <v>0.28789999999999999</v>
      </c>
      <c r="L20">
        <v>0.81</v>
      </c>
      <c r="M20">
        <v>0</v>
      </c>
      <c r="N20">
        <v>3</v>
      </c>
      <c r="O20">
        <v>13</v>
      </c>
      <c r="P20">
        <v>16</v>
      </c>
    </row>
    <row r="21" spans="1:16" x14ac:dyDescent="0.25">
      <c r="A21">
        <v>20</v>
      </c>
      <c r="B21" s="19">
        <v>40544</v>
      </c>
      <c r="C21">
        <v>1</v>
      </c>
      <c r="D21">
        <v>1</v>
      </c>
      <c r="E21">
        <v>19</v>
      </c>
      <c r="F21" t="b">
        <v>0</v>
      </c>
      <c r="G21">
        <v>6</v>
      </c>
      <c r="H21">
        <v>3</v>
      </c>
      <c r="I21">
        <v>0.42</v>
      </c>
      <c r="J21">
        <v>0</v>
      </c>
      <c r="K21">
        <v>0.28789999999999999</v>
      </c>
      <c r="L21">
        <v>0.81</v>
      </c>
      <c r="M21">
        <v>0</v>
      </c>
      <c r="N21">
        <v>3</v>
      </c>
      <c r="O21">
        <v>13</v>
      </c>
      <c r="P21">
        <v>16</v>
      </c>
    </row>
    <row r="22" spans="1:16" x14ac:dyDescent="0.25">
      <c r="A22">
        <v>21</v>
      </c>
      <c r="B22" s="19">
        <v>40544</v>
      </c>
      <c r="C22">
        <v>1</v>
      </c>
      <c r="D22">
        <v>1</v>
      </c>
      <c r="E22">
        <v>20</v>
      </c>
      <c r="F22" t="b">
        <v>0</v>
      </c>
      <c r="G22">
        <v>6</v>
      </c>
      <c r="H22">
        <v>2</v>
      </c>
      <c r="I22">
        <v>0.4</v>
      </c>
      <c r="J22">
        <v>0</v>
      </c>
      <c r="K22">
        <v>0.28789999999999999</v>
      </c>
      <c r="L22">
        <v>0.81</v>
      </c>
      <c r="M22">
        <v>0</v>
      </c>
      <c r="N22">
        <v>3</v>
      </c>
      <c r="O22">
        <v>13</v>
      </c>
      <c r="P22">
        <v>16</v>
      </c>
    </row>
    <row r="23" spans="1:16" x14ac:dyDescent="0.25">
      <c r="A23">
        <v>22</v>
      </c>
      <c r="B23" s="19">
        <v>40544</v>
      </c>
      <c r="C23">
        <v>1</v>
      </c>
      <c r="D23">
        <v>1</v>
      </c>
      <c r="E23">
        <v>21</v>
      </c>
      <c r="F23" t="b">
        <v>0</v>
      </c>
      <c r="G23">
        <v>6</v>
      </c>
      <c r="H23">
        <v>2</v>
      </c>
      <c r="I23">
        <v>0.4</v>
      </c>
      <c r="J23">
        <v>0</v>
      </c>
      <c r="K23">
        <v>0.28789999999999999</v>
      </c>
      <c r="L23">
        <v>0.81</v>
      </c>
      <c r="M23">
        <v>0</v>
      </c>
      <c r="N23">
        <v>3</v>
      </c>
      <c r="O23">
        <v>13</v>
      </c>
      <c r="P23">
        <v>16</v>
      </c>
    </row>
    <row r="24" spans="1:16" x14ac:dyDescent="0.25">
      <c r="A24">
        <v>23</v>
      </c>
      <c r="B24" s="19">
        <v>40544</v>
      </c>
      <c r="C24">
        <v>1</v>
      </c>
      <c r="D24">
        <v>1</v>
      </c>
      <c r="E24">
        <v>22</v>
      </c>
      <c r="F24" t="b">
        <v>0</v>
      </c>
      <c r="G24">
        <v>6</v>
      </c>
      <c r="H24">
        <v>2</v>
      </c>
      <c r="I24">
        <v>0.4</v>
      </c>
      <c r="J24">
        <v>0</v>
      </c>
      <c r="K24">
        <v>0.28789999999999999</v>
      </c>
      <c r="L24">
        <v>0.81</v>
      </c>
      <c r="M24">
        <v>0</v>
      </c>
      <c r="N24">
        <v>3</v>
      </c>
      <c r="O24">
        <v>13</v>
      </c>
      <c r="P24">
        <v>16</v>
      </c>
    </row>
    <row r="25" spans="1:16" x14ac:dyDescent="0.25">
      <c r="A25">
        <v>24</v>
      </c>
      <c r="B25" s="19">
        <v>40544</v>
      </c>
      <c r="C25">
        <v>1</v>
      </c>
      <c r="D25">
        <v>1</v>
      </c>
      <c r="E25">
        <v>23</v>
      </c>
      <c r="F25" t="b">
        <v>0</v>
      </c>
      <c r="G25">
        <v>6</v>
      </c>
      <c r="H25">
        <v>2</v>
      </c>
      <c r="I25">
        <v>0.46</v>
      </c>
      <c r="J25">
        <v>0</v>
      </c>
      <c r="K25">
        <v>0.28789999999999999</v>
      </c>
      <c r="L25">
        <v>0.81</v>
      </c>
      <c r="M25">
        <v>0</v>
      </c>
      <c r="N25">
        <v>3</v>
      </c>
      <c r="O25">
        <v>13</v>
      </c>
      <c r="P25">
        <v>16</v>
      </c>
    </row>
    <row r="26" spans="1:16" x14ac:dyDescent="0.25">
      <c r="A26">
        <v>25</v>
      </c>
      <c r="B26" s="19">
        <v>40545</v>
      </c>
      <c r="C26">
        <v>1</v>
      </c>
      <c r="D26">
        <v>1</v>
      </c>
      <c r="E26">
        <v>0</v>
      </c>
      <c r="F26" t="b">
        <v>0</v>
      </c>
      <c r="G26">
        <v>0</v>
      </c>
      <c r="H26">
        <v>2</v>
      </c>
      <c r="I26">
        <v>0.46</v>
      </c>
      <c r="J26">
        <v>0</v>
      </c>
      <c r="K26">
        <v>0.28789999999999999</v>
      </c>
      <c r="L26">
        <v>0.81</v>
      </c>
      <c r="M26">
        <v>0</v>
      </c>
      <c r="N26">
        <v>3</v>
      </c>
      <c r="O26">
        <v>13</v>
      </c>
      <c r="P26">
        <v>16</v>
      </c>
    </row>
    <row r="27" spans="1:16" x14ac:dyDescent="0.25">
      <c r="A27">
        <v>26</v>
      </c>
      <c r="B27" s="19">
        <v>40545</v>
      </c>
      <c r="C27">
        <v>1</v>
      </c>
      <c r="D27">
        <v>1</v>
      </c>
      <c r="E27">
        <v>1</v>
      </c>
      <c r="F27" t="b">
        <v>0</v>
      </c>
      <c r="G27">
        <v>0</v>
      </c>
      <c r="H27">
        <v>2</v>
      </c>
      <c r="I27">
        <v>0.44</v>
      </c>
      <c r="J27">
        <v>0</v>
      </c>
      <c r="K27">
        <v>0.28789999999999999</v>
      </c>
      <c r="L27">
        <v>0.81</v>
      </c>
      <c r="M27">
        <v>0</v>
      </c>
      <c r="N27">
        <v>3</v>
      </c>
      <c r="O27">
        <v>13</v>
      </c>
      <c r="P27">
        <v>16</v>
      </c>
    </row>
    <row r="28" spans="1:16" x14ac:dyDescent="0.25">
      <c r="A28">
        <v>27</v>
      </c>
      <c r="B28" s="19">
        <v>40545</v>
      </c>
      <c r="C28">
        <v>1</v>
      </c>
      <c r="D28">
        <v>1</v>
      </c>
      <c r="E28">
        <v>2</v>
      </c>
      <c r="F28" t="b">
        <v>0</v>
      </c>
      <c r="G28">
        <v>0</v>
      </c>
      <c r="H28">
        <v>2</v>
      </c>
      <c r="I28">
        <v>0.42</v>
      </c>
      <c r="J28">
        <v>0</v>
      </c>
      <c r="K28">
        <v>0.28789999999999999</v>
      </c>
      <c r="L28">
        <v>0.81</v>
      </c>
      <c r="M28">
        <v>0</v>
      </c>
      <c r="N28">
        <v>3</v>
      </c>
      <c r="O28">
        <v>13</v>
      </c>
      <c r="P28">
        <v>16</v>
      </c>
    </row>
    <row r="29" spans="1:16" x14ac:dyDescent="0.25">
      <c r="A29">
        <v>28</v>
      </c>
      <c r="B29" s="19">
        <v>40545</v>
      </c>
      <c r="C29">
        <v>1</v>
      </c>
      <c r="D29">
        <v>1</v>
      </c>
      <c r="E29">
        <v>3</v>
      </c>
      <c r="F29" t="b">
        <v>0</v>
      </c>
      <c r="G29">
        <v>0</v>
      </c>
      <c r="H29">
        <v>2</v>
      </c>
      <c r="I29">
        <v>0.46</v>
      </c>
      <c r="J29">
        <v>0</v>
      </c>
      <c r="K29">
        <v>0.28789999999999999</v>
      </c>
      <c r="L29">
        <v>0.81</v>
      </c>
      <c r="M29">
        <v>0</v>
      </c>
      <c r="N29">
        <v>3</v>
      </c>
      <c r="O29">
        <v>13</v>
      </c>
      <c r="P29">
        <v>16</v>
      </c>
    </row>
    <row r="30" spans="1:16" x14ac:dyDescent="0.25">
      <c r="A30">
        <v>29</v>
      </c>
      <c r="B30" s="19">
        <v>40545</v>
      </c>
      <c r="C30">
        <v>1</v>
      </c>
      <c r="D30">
        <v>1</v>
      </c>
      <c r="E30">
        <v>4</v>
      </c>
      <c r="F30" t="b">
        <v>0</v>
      </c>
      <c r="G30">
        <v>0</v>
      </c>
      <c r="H30">
        <v>2</v>
      </c>
      <c r="I30">
        <v>0.46</v>
      </c>
      <c r="J30">
        <v>0</v>
      </c>
      <c r="K30">
        <v>0.28789999999999999</v>
      </c>
      <c r="L30">
        <v>0.81</v>
      </c>
      <c r="M30">
        <v>0</v>
      </c>
      <c r="N30">
        <v>3</v>
      </c>
      <c r="O30">
        <v>13</v>
      </c>
      <c r="P30">
        <v>16</v>
      </c>
    </row>
    <row r="31" spans="1:16" x14ac:dyDescent="0.25">
      <c r="A31">
        <v>30</v>
      </c>
      <c r="B31" s="19">
        <v>40545</v>
      </c>
      <c r="C31">
        <v>1</v>
      </c>
      <c r="D31">
        <v>1</v>
      </c>
      <c r="E31">
        <v>6</v>
      </c>
      <c r="F31" t="b">
        <v>0</v>
      </c>
      <c r="G31">
        <v>0</v>
      </c>
      <c r="H31">
        <v>3</v>
      </c>
      <c r="I31">
        <v>0.42</v>
      </c>
      <c r="J31">
        <v>0</v>
      </c>
      <c r="K31">
        <v>0.28789999999999999</v>
      </c>
      <c r="L31">
        <v>0.81</v>
      </c>
      <c r="M31">
        <v>0</v>
      </c>
      <c r="N31">
        <v>3</v>
      </c>
      <c r="O31">
        <v>13</v>
      </c>
      <c r="P31">
        <v>16</v>
      </c>
    </row>
    <row r="32" spans="1:16" x14ac:dyDescent="0.25">
      <c r="A32">
        <v>31</v>
      </c>
      <c r="B32" s="19">
        <v>40545</v>
      </c>
      <c r="C32">
        <v>1</v>
      </c>
      <c r="D32">
        <v>1</v>
      </c>
      <c r="E32">
        <v>7</v>
      </c>
      <c r="F32" t="b">
        <v>0</v>
      </c>
      <c r="G32">
        <v>0</v>
      </c>
      <c r="H32">
        <v>2</v>
      </c>
      <c r="I32">
        <v>0.4</v>
      </c>
      <c r="J32">
        <v>0</v>
      </c>
      <c r="K32">
        <v>0.28789999999999999</v>
      </c>
      <c r="L32">
        <v>0.81</v>
      </c>
      <c r="M32">
        <v>0</v>
      </c>
      <c r="N32">
        <v>3</v>
      </c>
      <c r="O32">
        <v>13</v>
      </c>
      <c r="P32">
        <v>16</v>
      </c>
    </row>
    <row r="33" spans="1:16" x14ac:dyDescent="0.25">
      <c r="A33">
        <v>32</v>
      </c>
      <c r="B33" s="19">
        <v>40545</v>
      </c>
      <c r="C33">
        <v>1</v>
      </c>
      <c r="D33">
        <v>1</v>
      </c>
      <c r="E33">
        <v>8</v>
      </c>
      <c r="F33" t="b">
        <v>0</v>
      </c>
      <c r="G33">
        <v>0</v>
      </c>
      <c r="H33">
        <v>3</v>
      </c>
      <c r="I33">
        <v>0.4</v>
      </c>
      <c r="J33">
        <v>0</v>
      </c>
      <c r="K33">
        <v>0.28789999999999999</v>
      </c>
      <c r="L33">
        <v>0.81</v>
      </c>
      <c r="M33">
        <v>0</v>
      </c>
      <c r="N33">
        <v>3</v>
      </c>
      <c r="O33">
        <v>13</v>
      </c>
      <c r="P33">
        <v>16</v>
      </c>
    </row>
    <row r="34" spans="1:16" x14ac:dyDescent="0.25">
      <c r="A34">
        <v>33</v>
      </c>
      <c r="B34" s="19">
        <v>40545</v>
      </c>
      <c r="C34">
        <v>1</v>
      </c>
      <c r="D34">
        <v>1</v>
      </c>
      <c r="E34">
        <v>9</v>
      </c>
      <c r="F34" t="b">
        <v>0</v>
      </c>
      <c r="G34">
        <v>0</v>
      </c>
      <c r="H34">
        <v>2</v>
      </c>
      <c r="I34">
        <v>0.38</v>
      </c>
      <c r="J34">
        <v>0</v>
      </c>
      <c r="K34">
        <v>0.28789999999999999</v>
      </c>
      <c r="L34">
        <v>0.81</v>
      </c>
      <c r="M34">
        <v>0</v>
      </c>
      <c r="N34">
        <v>3</v>
      </c>
      <c r="O34">
        <v>13</v>
      </c>
      <c r="P34">
        <v>16</v>
      </c>
    </row>
    <row r="35" spans="1:16" x14ac:dyDescent="0.25">
      <c r="A35">
        <v>34</v>
      </c>
      <c r="B35" s="19">
        <v>40545</v>
      </c>
      <c r="C35">
        <v>1</v>
      </c>
      <c r="D35">
        <v>1</v>
      </c>
      <c r="E35">
        <v>10</v>
      </c>
      <c r="F35" t="b">
        <v>0</v>
      </c>
      <c r="G35">
        <v>0</v>
      </c>
      <c r="H35">
        <v>2</v>
      </c>
      <c r="I35">
        <v>0.36</v>
      </c>
      <c r="J35">
        <v>0</v>
      </c>
      <c r="K35">
        <v>0.28789999999999999</v>
      </c>
      <c r="L35">
        <v>0.81</v>
      </c>
      <c r="M35">
        <v>0</v>
      </c>
      <c r="N35">
        <v>3</v>
      </c>
      <c r="O35">
        <v>13</v>
      </c>
      <c r="P35">
        <v>16</v>
      </c>
    </row>
    <row r="36" spans="1:16" x14ac:dyDescent="0.25">
      <c r="A36">
        <v>35</v>
      </c>
      <c r="B36" s="19">
        <v>40545</v>
      </c>
      <c r="C36">
        <v>1</v>
      </c>
      <c r="D36">
        <v>1</v>
      </c>
      <c r="E36">
        <v>11</v>
      </c>
      <c r="F36" t="b">
        <v>0</v>
      </c>
      <c r="G36">
        <v>0</v>
      </c>
      <c r="H36">
        <v>2</v>
      </c>
      <c r="I36">
        <v>0.36</v>
      </c>
      <c r="J36">
        <v>0</v>
      </c>
      <c r="K36">
        <v>0.28789999999999999</v>
      </c>
      <c r="L36">
        <v>0.81</v>
      </c>
      <c r="M36">
        <v>0</v>
      </c>
      <c r="N36">
        <v>3</v>
      </c>
      <c r="O36">
        <v>13</v>
      </c>
      <c r="P36">
        <v>16</v>
      </c>
    </row>
    <row r="37" spans="1:16" x14ac:dyDescent="0.25">
      <c r="A37">
        <v>36</v>
      </c>
      <c r="B37" s="19">
        <v>40545</v>
      </c>
      <c r="C37">
        <v>1</v>
      </c>
      <c r="D37">
        <v>1</v>
      </c>
      <c r="E37">
        <v>12</v>
      </c>
      <c r="F37" t="b">
        <v>0</v>
      </c>
      <c r="G37">
        <v>0</v>
      </c>
      <c r="H37">
        <v>2</v>
      </c>
      <c r="I37">
        <v>0.36</v>
      </c>
      <c r="J37">
        <v>0</v>
      </c>
      <c r="K37">
        <v>0.28789999999999999</v>
      </c>
      <c r="L37">
        <v>0.81</v>
      </c>
      <c r="M37">
        <v>0</v>
      </c>
      <c r="N37">
        <v>3</v>
      </c>
      <c r="O37">
        <v>13</v>
      </c>
      <c r="P37">
        <v>16</v>
      </c>
    </row>
    <row r="38" spans="1:16" x14ac:dyDescent="0.25">
      <c r="A38">
        <v>37</v>
      </c>
      <c r="B38" s="19">
        <v>40545</v>
      </c>
      <c r="C38">
        <v>1</v>
      </c>
      <c r="D38">
        <v>1</v>
      </c>
      <c r="E38">
        <v>13</v>
      </c>
      <c r="F38" t="b">
        <v>0</v>
      </c>
      <c r="G38">
        <v>0</v>
      </c>
      <c r="H38">
        <v>2</v>
      </c>
      <c r="I38">
        <v>0.36</v>
      </c>
      <c r="J38">
        <v>0</v>
      </c>
      <c r="K38">
        <v>0.28789999999999999</v>
      </c>
      <c r="L38">
        <v>0.81</v>
      </c>
      <c r="M38">
        <v>0</v>
      </c>
      <c r="N38">
        <v>3</v>
      </c>
      <c r="O38">
        <v>13</v>
      </c>
      <c r="P38">
        <v>16</v>
      </c>
    </row>
    <row r="39" spans="1:16" x14ac:dyDescent="0.25">
      <c r="A39">
        <v>38</v>
      </c>
      <c r="B39" s="19">
        <v>40545</v>
      </c>
      <c r="C39">
        <v>1</v>
      </c>
      <c r="D39">
        <v>1</v>
      </c>
      <c r="E39">
        <v>14</v>
      </c>
      <c r="F39" t="b">
        <v>0</v>
      </c>
      <c r="G39">
        <v>0</v>
      </c>
      <c r="H39">
        <v>3</v>
      </c>
      <c r="I39">
        <v>0.36</v>
      </c>
      <c r="J39">
        <v>0</v>
      </c>
      <c r="K39">
        <v>0.28789999999999999</v>
      </c>
      <c r="L39">
        <v>0.81</v>
      </c>
      <c r="M39">
        <v>0</v>
      </c>
      <c r="N39">
        <v>3</v>
      </c>
      <c r="O39">
        <v>13</v>
      </c>
      <c r="P39">
        <v>16</v>
      </c>
    </row>
    <row r="40" spans="1:16" x14ac:dyDescent="0.25">
      <c r="A40">
        <v>39</v>
      </c>
      <c r="B40" s="19">
        <v>40545</v>
      </c>
      <c r="C40">
        <v>1</v>
      </c>
      <c r="D40">
        <v>1</v>
      </c>
      <c r="E40">
        <v>15</v>
      </c>
      <c r="F40" t="b">
        <v>0</v>
      </c>
      <c r="G40">
        <v>0</v>
      </c>
      <c r="H40">
        <v>3</v>
      </c>
      <c r="I40">
        <v>0.34</v>
      </c>
      <c r="J40">
        <v>0</v>
      </c>
      <c r="K40">
        <v>0.28789999999999999</v>
      </c>
      <c r="L40">
        <v>0.81</v>
      </c>
      <c r="M40">
        <v>0</v>
      </c>
      <c r="N40">
        <v>3</v>
      </c>
      <c r="O40">
        <v>13</v>
      </c>
      <c r="P40">
        <v>16</v>
      </c>
    </row>
    <row r="41" spans="1:16" x14ac:dyDescent="0.25">
      <c r="A41">
        <v>40</v>
      </c>
      <c r="B41" s="19">
        <v>40545</v>
      </c>
      <c r="C41">
        <v>1</v>
      </c>
      <c r="D41">
        <v>1</v>
      </c>
      <c r="E41">
        <v>16</v>
      </c>
      <c r="F41" t="b">
        <v>0</v>
      </c>
      <c r="G41">
        <v>0</v>
      </c>
      <c r="H41">
        <v>3</v>
      </c>
      <c r="I41">
        <v>0.34</v>
      </c>
      <c r="J41">
        <v>0</v>
      </c>
      <c r="K41">
        <v>0.28789999999999999</v>
      </c>
      <c r="L41">
        <v>0.81</v>
      </c>
      <c r="M41">
        <v>0</v>
      </c>
      <c r="N41">
        <v>3</v>
      </c>
      <c r="O41">
        <v>13</v>
      </c>
      <c r="P41">
        <v>16</v>
      </c>
    </row>
    <row r="42" spans="1:16" x14ac:dyDescent="0.25">
      <c r="A42">
        <v>41</v>
      </c>
      <c r="B42" s="19">
        <v>40545</v>
      </c>
      <c r="C42">
        <v>1</v>
      </c>
      <c r="D42">
        <v>1</v>
      </c>
      <c r="E42">
        <v>17</v>
      </c>
      <c r="F42" t="b">
        <v>0</v>
      </c>
      <c r="G42">
        <v>0</v>
      </c>
      <c r="H42">
        <v>1</v>
      </c>
      <c r="I42">
        <v>0.34</v>
      </c>
      <c r="J42">
        <v>0</v>
      </c>
      <c r="K42">
        <v>0.28789999999999999</v>
      </c>
      <c r="L42">
        <v>0.81</v>
      </c>
      <c r="M42">
        <v>0</v>
      </c>
      <c r="N42">
        <v>3</v>
      </c>
      <c r="O42">
        <v>13</v>
      </c>
      <c r="P42">
        <v>16</v>
      </c>
    </row>
    <row r="43" spans="1:16" x14ac:dyDescent="0.25">
      <c r="A43">
        <v>42</v>
      </c>
      <c r="B43" s="19">
        <v>40545</v>
      </c>
      <c r="C43">
        <v>1</v>
      </c>
      <c r="D43">
        <v>1</v>
      </c>
      <c r="E43">
        <v>18</v>
      </c>
      <c r="F43" t="b">
        <v>0</v>
      </c>
      <c r="G43">
        <v>0</v>
      </c>
      <c r="H43">
        <v>2</v>
      </c>
      <c r="I43">
        <v>0.36</v>
      </c>
      <c r="J43">
        <v>0</v>
      </c>
      <c r="K43">
        <v>0.28789999999999999</v>
      </c>
      <c r="L43">
        <v>0.81</v>
      </c>
      <c r="M43">
        <v>0</v>
      </c>
      <c r="N43">
        <v>3</v>
      </c>
      <c r="O43">
        <v>13</v>
      </c>
      <c r="P43">
        <v>16</v>
      </c>
    </row>
    <row r="44" spans="1:16" x14ac:dyDescent="0.25">
      <c r="A44">
        <v>43</v>
      </c>
      <c r="B44" s="19">
        <v>40545</v>
      </c>
      <c r="C44">
        <v>1</v>
      </c>
      <c r="D44">
        <v>1</v>
      </c>
      <c r="E44">
        <v>19</v>
      </c>
      <c r="F44" t="b">
        <v>0</v>
      </c>
      <c r="G44">
        <v>0</v>
      </c>
      <c r="H44">
        <v>1</v>
      </c>
      <c r="I44">
        <v>0.32</v>
      </c>
      <c r="J44">
        <v>0</v>
      </c>
      <c r="K44">
        <v>0.28789999999999999</v>
      </c>
      <c r="L44">
        <v>0.81</v>
      </c>
      <c r="M44">
        <v>0</v>
      </c>
      <c r="N44">
        <v>3</v>
      </c>
      <c r="O44">
        <v>13</v>
      </c>
      <c r="P44">
        <v>16</v>
      </c>
    </row>
    <row r="45" spans="1:16" x14ac:dyDescent="0.25">
      <c r="A45">
        <v>44</v>
      </c>
      <c r="B45" s="19">
        <v>40545</v>
      </c>
      <c r="C45">
        <v>1</v>
      </c>
      <c r="D45">
        <v>1</v>
      </c>
      <c r="E45">
        <v>20</v>
      </c>
      <c r="F45" t="b">
        <v>0</v>
      </c>
      <c r="G45">
        <v>0</v>
      </c>
      <c r="H45">
        <v>1</v>
      </c>
      <c r="I45">
        <v>0.3</v>
      </c>
      <c r="J45">
        <v>0</v>
      </c>
      <c r="K45">
        <v>0.28789999999999999</v>
      </c>
      <c r="L45">
        <v>0.81</v>
      </c>
      <c r="M45">
        <v>0</v>
      </c>
      <c r="N45">
        <v>3</v>
      </c>
      <c r="O45">
        <v>13</v>
      </c>
      <c r="P45">
        <v>16</v>
      </c>
    </row>
    <row r="46" spans="1:16" x14ac:dyDescent="0.25">
      <c r="A46">
        <v>45</v>
      </c>
      <c r="B46" s="19">
        <v>40545</v>
      </c>
      <c r="C46">
        <v>1</v>
      </c>
      <c r="D46">
        <v>1</v>
      </c>
      <c r="E46">
        <v>21</v>
      </c>
      <c r="F46" t="b">
        <v>0</v>
      </c>
      <c r="G46">
        <v>0</v>
      </c>
      <c r="H46">
        <v>1</v>
      </c>
      <c r="I46">
        <v>0.26</v>
      </c>
      <c r="J46">
        <v>0</v>
      </c>
      <c r="K46">
        <v>0.28789999999999999</v>
      </c>
      <c r="L46">
        <v>0.81</v>
      </c>
      <c r="M46">
        <v>0</v>
      </c>
      <c r="N46">
        <v>3</v>
      </c>
      <c r="O46">
        <v>13</v>
      </c>
      <c r="P46">
        <v>16</v>
      </c>
    </row>
    <row r="47" spans="1:16" x14ac:dyDescent="0.25">
      <c r="A47">
        <v>46</v>
      </c>
      <c r="B47" s="19">
        <v>40545</v>
      </c>
      <c r="C47">
        <v>1</v>
      </c>
      <c r="D47">
        <v>1</v>
      </c>
      <c r="E47">
        <v>22</v>
      </c>
      <c r="F47" t="b">
        <v>0</v>
      </c>
      <c r="G47">
        <v>0</v>
      </c>
      <c r="H47">
        <v>1</v>
      </c>
      <c r="I47">
        <v>0.24</v>
      </c>
      <c r="J47">
        <v>0</v>
      </c>
      <c r="K47">
        <v>0.28789999999999999</v>
      </c>
      <c r="L47">
        <v>0.81</v>
      </c>
      <c r="M47">
        <v>0</v>
      </c>
      <c r="N47">
        <v>3</v>
      </c>
      <c r="O47">
        <v>13</v>
      </c>
      <c r="P47">
        <v>16</v>
      </c>
    </row>
    <row r="48" spans="1:16" x14ac:dyDescent="0.25">
      <c r="A48">
        <v>47</v>
      </c>
      <c r="B48" s="19">
        <v>40545</v>
      </c>
      <c r="C48">
        <v>1</v>
      </c>
      <c r="D48">
        <v>1</v>
      </c>
      <c r="E48">
        <v>23</v>
      </c>
      <c r="F48" t="b">
        <v>0</v>
      </c>
      <c r="G48">
        <v>0</v>
      </c>
      <c r="H48">
        <v>1</v>
      </c>
      <c r="I48">
        <v>0.22</v>
      </c>
      <c r="J48">
        <v>0</v>
      </c>
      <c r="K48">
        <v>0.28789999999999999</v>
      </c>
      <c r="L48">
        <v>0.81</v>
      </c>
      <c r="M48">
        <v>0</v>
      </c>
      <c r="N48">
        <v>3</v>
      </c>
      <c r="O48">
        <v>13</v>
      </c>
      <c r="P48">
        <v>16</v>
      </c>
    </row>
    <row r="49" spans="1:16" x14ac:dyDescent="0.25">
      <c r="A49">
        <v>48</v>
      </c>
      <c r="B49" s="19">
        <v>40546</v>
      </c>
      <c r="C49">
        <v>1</v>
      </c>
      <c r="D49">
        <v>1</v>
      </c>
      <c r="E49">
        <v>0</v>
      </c>
      <c r="F49" t="b">
        <v>0</v>
      </c>
      <c r="G49">
        <v>1</v>
      </c>
      <c r="H49">
        <v>1</v>
      </c>
      <c r="I49">
        <v>0.22</v>
      </c>
      <c r="J49">
        <v>0</v>
      </c>
      <c r="K49">
        <v>0.28789999999999999</v>
      </c>
      <c r="L49">
        <v>0.81</v>
      </c>
      <c r="M49">
        <v>0</v>
      </c>
      <c r="N49">
        <v>3</v>
      </c>
      <c r="O49">
        <v>13</v>
      </c>
      <c r="P49">
        <v>16</v>
      </c>
    </row>
    <row r="50" spans="1:16" x14ac:dyDescent="0.25">
      <c r="A50">
        <v>49</v>
      </c>
      <c r="B50" s="19">
        <v>40546</v>
      </c>
      <c r="C50">
        <v>1</v>
      </c>
      <c r="D50">
        <v>1</v>
      </c>
      <c r="E50">
        <v>1</v>
      </c>
      <c r="F50" t="b">
        <v>0</v>
      </c>
      <c r="G50">
        <v>1</v>
      </c>
      <c r="H50">
        <v>1</v>
      </c>
      <c r="I50">
        <v>0.2</v>
      </c>
      <c r="J50">
        <v>0</v>
      </c>
      <c r="K50">
        <v>0.28789999999999999</v>
      </c>
      <c r="L50">
        <v>0.81</v>
      </c>
      <c r="M50">
        <v>0</v>
      </c>
      <c r="N50">
        <v>3</v>
      </c>
      <c r="O50">
        <v>13</v>
      </c>
      <c r="P50">
        <v>16</v>
      </c>
    </row>
    <row r="51" spans="1:16" x14ac:dyDescent="0.25">
      <c r="A51">
        <v>50</v>
      </c>
      <c r="B51" s="19">
        <v>40546</v>
      </c>
      <c r="C51">
        <v>1</v>
      </c>
      <c r="D51">
        <v>1</v>
      </c>
      <c r="E51">
        <v>4</v>
      </c>
      <c r="F51" t="b">
        <v>0</v>
      </c>
      <c r="G51">
        <v>1</v>
      </c>
      <c r="H51">
        <v>1</v>
      </c>
      <c r="I51">
        <v>0.16</v>
      </c>
      <c r="J51">
        <v>0</v>
      </c>
      <c r="K51">
        <v>0.28789999999999999</v>
      </c>
      <c r="L51">
        <v>0.81</v>
      </c>
      <c r="M51">
        <v>0</v>
      </c>
      <c r="N51">
        <v>3</v>
      </c>
      <c r="O51">
        <v>13</v>
      </c>
      <c r="P51">
        <v>16</v>
      </c>
    </row>
    <row r="52" spans="1:16" x14ac:dyDescent="0.25">
      <c r="A52">
        <v>51</v>
      </c>
      <c r="B52" s="19">
        <v>40546</v>
      </c>
      <c r="C52">
        <v>1</v>
      </c>
      <c r="D52">
        <v>1</v>
      </c>
      <c r="E52">
        <v>5</v>
      </c>
      <c r="F52" t="b">
        <v>0</v>
      </c>
      <c r="G52">
        <v>1</v>
      </c>
      <c r="H52">
        <v>1</v>
      </c>
      <c r="I52">
        <v>0.16</v>
      </c>
      <c r="J52">
        <v>0</v>
      </c>
      <c r="K52">
        <v>0.28789999999999999</v>
      </c>
      <c r="L52">
        <v>0.81</v>
      </c>
      <c r="M52">
        <v>0</v>
      </c>
      <c r="N52">
        <v>3</v>
      </c>
      <c r="O52">
        <v>13</v>
      </c>
      <c r="P52">
        <v>16</v>
      </c>
    </row>
    <row r="53" spans="1:16" x14ac:dyDescent="0.25">
      <c r="A53">
        <v>52</v>
      </c>
      <c r="B53" s="19">
        <v>40546</v>
      </c>
      <c r="C53">
        <v>1</v>
      </c>
      <c r="D53">
        <v>1</v>
      </c>
      <c r="E53">
        <v>6</v>
      </c>
      <c r="F53" t="b">
        <v>0</v>
      </c>
      <c r="G53">
        <v>1</v>
      </c>
      <c r="H53">
        <v>1</v>
      </c>
      <c r="I53">
        <v>0.14000000000000001</v>
      </c>
      <c r="J53">
        <v>0</v>
      </c>
      <c r="K53">
        <v>0.28789999999999999</v>
      </c>
      <c r="L53">
        <v>0.81</v>
      </c>
      <c r="M53">
        <v>0</v>
      </c>
      <c r="N53">
        <v>3</v>
      </c>
      <c r="O53">
        <v>13</v>
      </c>
      <c r="P53">
        <v>16</v>
      </c>
    </row>
    <row r="54" spans="1:16" x14ac:dyDescent="0.25">
      <c r="A54">
        <v>53</v>
      </c>
      <c r="B54" s="19">
        <v>40546</v>
      </c>
      <c r="C54">
        <v>1</v>
      </c>
      <c r="D54">
        <v>1</v>
      </c>
      <c r="E54">
        <v>7</v>
      </c>
      <c r="F54" t="b">
        <v>0</v>
      </c>
      <c r="G54">
        <v>1</v>
      </c>
      <c r="H54">
        <v>1</v>
      </c>
      <c r="I54">
        <v>0.14000000000000001</v>
      </c>
      <c r="J54">
        <v>0</v>
      </c>
      <c r="K54">
        <v>0.28789999999999999</v>
      </c>
      <c r="L54">
        <v>0.81</v>
      </c>
      <c r="M54">
        <v>0</v>
      </c>
      <c r="N54">
        <v>3</v>
      </c>
      <c r="O54">
        <v>13</v>
      </c>
      <c r="P54">
        <v>16</v>
      </c>
    </row>
    <row r="55" spans="1:16" x14ac:dyDescent="0.25">
      <c r="A55">
        <v>54</v>
      </c>
      <c r="B55" s="19">
        <v>40546</v>
      </c>
      <c r="C55">
        <v>1</v>
      </c>
      <c r="D55">
        <v>1</v>
      </c>
      <c r="E55">
        <v>8</v>
      </c>
      <c r="F55" t="b">
        <v>0</v>
      </c>
      <c r="G55">
        <v>1</v>
      </c>
      <c r="H55">
        <v>1</v>
      </c>
      <c r="I55">
        <v>0.14000000000000001</v>
      </c>
      <c r="J55">
        <v>0</v>
      </c>
      <c r="K55">
        <v>0.28789999999999999</v>
      </c>
      <c r="L55">
        <v>0.81</v>
      </c>
      <c r="M55">
        <v>0</v>
      </c>
      <c r="N55">
        <v>3</v>
      </c>
      <c r="O55">
        <v>13</v>
      </c>
      <c r="P55">
        <v>16</v>
      </c>
    </row>
    <row r="56" spans="1:16" x14ac:dyDescent="0.25">
      <c r="A56">
        <v>55</v>
      </c>
      <c r="B56" s="19">
        <v>40546</v>
      </c>
      <c r="C56">
        <v>1</v>
      </c>
      <c r="D56">
        <v>1</v>
      </c>
      <c r="E56">
        <v>9</v>
      </c>
      <c r="F56" t="b">
        <v>0</v>
      </c>
      <c r="G56">
        <v>1</v>
      </c>
      <c r="H56">
        <v>1</v>
      </c>
      <c r="I56">
        <v>0.16</v>
      </c>
      <c r="J56">
        <v>0</v>
      </c>
      <c r="K56">
        <v>0.28789999999999999</v>
      </c>
      <c r="L56">
        <v>0.81</v>
      </c>
      <c r="M56">
        <v>0</v>
      </c>
      <c r="N56">
        <v>3</v>
      </c>
      <c r="O56">
        <v>13</v>
      </c>
      <c r="P56">
        <v>16</v>
      </c>
    </row>
    <row r="57" spans="1:16" x14ac:dyDescent="0.25">
      <c r="A57">
        <v>56</v>
      </c>
      <c r="B57" s="19">
        <v>40546</v>
      </c>
      <c r="C57">
        <v>1</v>
      </c>
      <c r="D57">
        <v>1</v>
      </c>
      <c r="E57">
        <v>10</v>
      </c>
      <c r="F57" t="b">
        <v>0</v>
      </c>
      <c r="G57">
        <v>1</v>
      </c>
      <c r="H57">
        <v>1</v>
      </c>
      <c r="I57">
        <v>0.18</v>
      </c>
      <c r="J57">
        <v>0</v>
      </c>
      <c r="K57">
        <v>0.28789999999999999</v>
      </c>
      <c r="L57">
        <v>0.81</v>
      </c>
      <c r="M57">
        <v>0</v>
      </c>
      <c r="N57">
        <v>3</v>
      </c>
      <c r="O57">
        <v>13</v>
      </c>
      <c r="P57">
        <v>16</v>
      </c>
    </row>
    <row r="58" spans="1:16" x14ac:dyDescent="0.25">
      <c r="A58">
        <v>57</v>
      </c>
      <c r="B58" s="19">
        <v>40546</v>
      </c>
      <c r="C58">
        <v>1</v>
      </c>
      <c r="D58">
        <v>1</v>
      </c>
      <c r="E58">
        <v>11</v>
      </c>
      <c r="F58" t="b">
        <v>0</v>
      </c>
      <c r="G58">
        <v>1</v>
      </c>
      <c r="H58">
        <v>1</v>
      </c>
      <c r="I58">
        <v>0.2</v>
      </c>
      <c r="J58">
        <v>0</v>
      </c>
      <c r="K58">
        <v>0.28789999999999999</v>
      </c>
      <c r="L58">
        <v>0.81</v>
      </c>
      <c r="M58">
        <v>0</v>
      </c>
      <c r="N58">
        <v>3</v>
      </c>
      <c r="O58">
        <v>13</v>
      </c>
      <c r="P58">
        <v>16</v>
      </c>
    </row>
    <row r="59" spans="1:16" x14ac:dyDescent="0.25">
      <c r="A59">
        <v>58</v>
      </c>
      <c r="B59" s="19">
        <v>40546</v>
      </c>
      <c r="C59">
        <v>1</v>
      </c>
      <c r="D59">
        <v>1</v>
      </c>
      <c r="E59">
        <v>12</v>
      </c>
      <c r="F59" t="b">
        <v>0</v>
      </c>
      <c r="G59">
        <v>1</v>
      </c>
      <c r="H59">
        <v>1</v>
      </c>
      <c r="I59">
        <v>0.22</v>
      </c>
      <c r="J59">
        <v>0</v>
      </c>
      <c r="K59">
        <v>0.28789999999999999</v>
      </c>
      <c r="L59">
        <v>0.81</v>
      </c>
      <c r="M59">
        <v>0</v>
      </c>
      <c r="N59">
        <v>3</v>
      </c>
      <c r="O59">
        <v>13</v>
      </c>
      <c r="P59">
        <v>16</v>
      </c>
    </row>
    <row r="60" spans="1:16" x14ac:dyDescent="0.25">
      <c r="A60">
        <v>59</v>
      </c>
      <c r="B60" s="19">
        <v>40546</v>
      </c>
      <c r="C60">
        <v>1</v>
      </c>
      <c r="D60">
        <v>1</v>
      </c>
      <c r="E60">
        <v>13</v>
      </c>
      <c r="F60" t="b">
        <v>0</v>
      </c>
      <c r="G60">
        <v>1</v>
      </c>
      <c r="H60">
        <v>1</v>
      </c>
      <c r="I60">
        <v>0.24</v>
      </c>
      <c r="J60">
        <v>0</v>
      </c>
      <c r="K60">
        <v>0.28789999999999999</v>
      </c>
      <c r="L60">
        <v>0.81</v>
      </c>
      <c r="M60">
        <v>0</v>
      </c>
      <c r="N60">
        <v>3</v>
      </c>
      <c r="O60">
        <v>13</v>
      </c>
      <c r="P60">
        <v>16</v>
      </c>
    </row>
    <row r="61" spans="1:16" x14ac:dyDescent="0.25">
      <c r="A61">
        <v>60</v>
      </c>
      <c r="B61" s="19">
        <v>40546</v>
      </c>
      <c r="C61">
        <v>1</v>
      </c>
      <c r="D61">
        <v>1</v>
      </c>
      <c r="E61">
        <v>14</v>
      </c>
      <c r="F61" t="b">
        <v>0</v>
      </c>
      <c r="G61">
        <v>1</v>
      </c>
      <c r="H61">
        <v>1</v>
      </c>
      <c r="I61">
        <v>0.26</v>
      </c>
      <c r="J61">
        <v>0</v>
      </c>
      <c r="K61">
        <v>0.28789999999999999</v>
      </c>
      <c r="L61">
        <v>0.81</v>
      </c>
      <c r="M61">
        <v>0</v>
      </c>
      <c r="N61">
        <v>3</v>
      </c>
      <c r="O61">
        <v>13</v>
      </c>
      <c r="P61">
        <v>16</v>
      </c>
    </row>
    <row r="62" spans="1:16" x14ac:dyDescent="0.25">
      <c r="A62">
        <v>61</v>
      </c>
      <c r="B62" s="19">
        <v>40546</v>
      </c>
      <c r="C62">
        <v>1</v>
      </c>
      <c r="D62">
        <v>1</v>
      </c>
      <c r="E62">
        <v>15</v>
      </c>
      <c r="F62" t="b">
        <v>0</v>
      </c>
      <c r="G62">
        <v>1</v>
      </c>
      <c r="H62">
        <v>1</v>
      </c>
      <c r="I62">
        <v>0.26</v>
      </c>
      <c r="J62">
        <v>0</v>
      </c>
      <c r="K62">
        <v>0.28789999999999999</v>
      </c>
      <c r="L62">
        <v>0.81</v>
      </c>
      <c r="M62">
        <v>0</v>
      </c>
      <c r="N62">
        <v>3</v>
      </c>
      <c r="O62">
        <v>13</v>
      </c>
      <c r="P62">
        <v>16</v>
      </c>
    </row>
    <row r="63" spans="1:16" x14ac:dyDescent="0.25">
      <c r="A63">
        <v>62</v>
      </c>
      <c r="B63" s="19">
        <v>40546</v>
      </c>
      <c r="C63">
        <v>1</v>
      </c>
      <c r="D63">
        <v>1</v>
      </c>
      <c r="E63">
        <v>16</v>
      </c>
      <c r="F63" t="b">
        <v>0</v>
      </c>
      <c r="G63">
        <v>1</v>
      </c>
      <c r="H63">
        <v>1</v>
      </c>
      <c r="I63">
        <v>0.26</v>
      </c>
      <c r="J63">
        <v>0</v>
      </c>
      <c r="K63">
        <v>0.28789999999999999</v>
      </c>
      <c r="L63">
        <v>0.81</v>
      </c>
      <c r="M63">
        <v>0</v>
      </c>
      <c r="N63">
        <v>3</v>
      </c>
      <c r="O63">
        <v>13</v>
      </c>
      <c r="P63">
        <v>16</v>
      </c>
    </row>
    <row r="64" spans="1:16" x14ac:dyDescent="0.25">
      <c r="A64">
        <v>63</v>
      </c>
      <c r="B64" s="19">
        <v>40546</v>
      </c>
      <c r="C64">
        <v>1</v>
      </c>
      <c r="D64">
        <v>1</v>
      </c>
      <c r="E64">
        <v>17</v>
      </c>
      <c r="F64" t="b">
        <v>0</v>
      </c>
      <c r="G64">
        <v>1</v>
      </c>
      <c r="H64">
        <v>1</v>
      </c>
      <c r="I64">
        <v>0.24</v>
      </c>
      <c r="J64">
        <v>0</v>
      </c>
      <c r="K64">
        <v>0.28789999999999999</v>
      </c>
      <c r="L64">
        <v>0.81</v>
      </c>
      <c r="M64">
        <v>0</v>
      </c>
      <c r="N64">
        <v>3</v>
      </c>
      <c r="O64">
        <v>13</v>
      </c>
      <c r="P64">
        <v>16</v>
      </c>
    </row>
    <row r="65" spans="1:16" x14ac:dyDescent="0.25">
      <c r="A65">
        <v>64</v>
      </c>
      <c r="B65" s="19">
        <v>40546</v>
      </c>
      <c r="C65">
        <v>1</v>
      </c>
      <c r="D65">
        <v>1</v>
      </c>
      <c r="E65">
        <v>18</v>
      </c>
      <c r="F65" t="b">
        <v>0</v>
      </c>
      <c r="G65">
        <v>1</v>
      </c>
      <c r="H65">
        <v>1</v>
      </c>
      <c r="I65">
        <v>0.24</v>
      </c>
      <c r="J65">
        <v>0</v>
      </c>
      <c r="K65">
        <v>0.28789999999999999</v>
      </c>
      <c r="L65">
        <v>0.81</v>
      </c>
      <c r="M65">
        <v>0</v>
      </c>
      <c r="N65">
        <v>3</v>
      </c>
      <c r="O65">
        <v>13</v>
      </c>
      <c r="P65">
        <v>16</v>
      </c>
    </row>
    <row r="66" spans="1:16" x14ac:dyDescent="0.25">
      <c r="A66">
        <v>65</v>
      </c>
      <c r="B66" s="19">
        <v>40546</v>
      </c>
      <c r="C66">
        <v>1</v>
      </c>
      <c r="D66">
        <v>1</v>
      </c>
      <c r="E66">
        <v>19</v>
      </c>
      <c r="F66" t="b">
        <v>0</v>
      </c>
      <c r="G66">
        <v>1</v>
      </c>
      <c r="H66">
        <v>1</v>
      </c>
      <c r="I66">
        <v>0.2</v>
      </c>
      <c r="J66">
        <v>0</v>
      </c>
      <c r="K66">
        <v>0.28789999999999999</v>
      </c>
      <c r="L66">
        <v>0.81</v>
      </c>
      <c r="M66">
        <v>0</v>
      </c>
      <c r="N66">
        <v>3</v>
      </c>
      <c r="O66">
        <v>13</v>
      </c>
      <c r="P66">
        <v>16</v>
      </c>
    </row>
    <row r="67" spans="1:16" x14ac:dyDescent="0.25">
      <c r="A67">
        <v>66</v>
      </c>
      <c r="B67" s="19">
        <v>40546</v>
      </c>
      <c r="C67">
        <v>1</v>
      </c>
      <c r="D67">
        <v>1</v>
      </c>
      <c r="E67">
        <v>20</v>
      </c>
      <c r="F67" t="b">
        <v>0</v>
      </c>
      <c r="G67">
        <v>1</v>
      </c>
      <c r="H67">
        <v>1</v>
      </c>
      <c r="I67">
        <v>0.2</v>
      </c>
      <c r="J67">
        <v>0</v>
      </c>
      <c r="K67">
        <v>0.28789999999999999</v>
      </c>
      <c r="L67">
        <v>0.81</v>
      </c>
      <c r="M67">
        <v>0</v>
      </c>
      <c r="N67">
        <v>3</v>
      </c>
      <c r="O67">
        <v>13</v>
      </c>
      <c r="P67">
        <v>16</v>
      </c>
    </row>
    <row r="68" spans="1:16" x14ac:dyDescent="0.25">
      <c r="A68">
        <v>67</v>
      </c>
      <c r="B68" s="19">
        <v>40546</v>
      </c>
      <c r="C68">
        <v>1</v>
      </c>
      <c r="D68">
        <v>1</v>
      </c>
      <c r="E68">
        <v>21</v>
      </c>
      <c r="F68" t="b">
        <v>0</v>
      </c>
      <c r="G68">
        <v>1</v>
      </c>
      <c r="H68">
        <v>1</v>
      </c>
      <c r="I68">
        <v>0.18</v>
      </c>
      <c r="J68">
        <v>0</v>
      </c>
      <c r="K68">
        <v>0.28789999999999999</v>
      </c>
      <c r="L68">
        <v>0.81</v>
      </c>
      <c r="M68">
        <v>0</v>
      </c>
      <c r="N68">
        <v>3</v>
      </c>
      <c r="O68">
        <v>13</v>
      </c>
      <c r="P68">
        <v>16</v>
      </c>
    </row>
    <row r="69" spans="1:16" x14ac:dyDescent="0.25">
      <c r="A69">
        <v>68</v>
      </c>
      <c r="B69" s="19">
        <v>40546</v>
      </c>
      <c r="C69">
        <v>1</v>
      </c>
      <c r="D69">
        <v>1</v>
      </c>
      <c r="E69">
        <v>22</v>
      </c>
      <c r="F69" t="b">
        <v>0</v>
      </c>
      <c r="G69">
        <v>1</v>
      </c>
      <c r="H69">
        <v>1</v>
      </c>
      <c r="I69">
        <v>0.14000000000000001</v>
      </c>
      <c r="J69">
        <v>0</v>
      </c>
      <c r="K69">
        <v>0.28789999999999999</v>
      </c>
      <c r="L69">
        <v>0.81</v>
      </c>
      <c r="M69">
        <v>0</v>
      </c>
      <c r="N69">
        <v>3</v>
      </c>
      <c r="O69">
        <v>13</v>
      </c>
      <c r="P69">
        <v>16</v>
      </c>
    </row>
    <row r="70" spans="1:16" x14ac:dyDescent="0.25">
      <c r="A70">
        <v>69</v>
      </c>
      <c r="B70" s="19">
        <v>40546</v>
      </c>
      <c r="C70">
        <v>1</v>
      </c>
      <c r="D70">
        <v>1</v>
      </c>
      <c r="E70">
        <v>23</v>
      </c>
      <c r="F70" t="b">
        <v>0</v>
      </c>
      <c r="G70">
        <v>1</v>
      </c>
      <c r="H70">
        <v>1</v>
      </c>
      <c r="I70">
        <v>0.18</v>
      </c>
      <c r="J70">
        <v>0</v>
      </c>
      <c r="K70">
        <v>0.28789999999999999</v>
      </c>
      <c r="L70">
        <v>0.81</v>
      </c>
      <c r="M70">
        <v>0</v>
      </c>
      <c r="N70">
        <v>3</v>
      </c>
      <c r="O70">
        <v>13</v>
      </c>
      <c r="P70">
        <v>16</v>
      </c>
    </row>
    <row r="71" spans="1:16" x14ac:dyDescent="0.25">
      <c r="A71">
        <v>70</v>
      </c>
      <c r="B71" s="19">
        <v>40547</v>
      </c>
      <c r="C71">
        <v>1</v>
      </c>
      <c r="D71">
        <v>1</v>
      </c>
      <c r="E71">
        <v>0</v>
      </c>
      <c r="F71" t="b">
        <v>0</v>
      </c>
      <c r="G71">
        <v>2</v>
      </c>
      <c r="H71">
        <v>1</v>
      </c>
      <c r="I71">
        <v>0.16</v>
      </c>
      <c r="J71">
        <v>0</v>
      </c>
      <c r="K71">
        <v>0.28789999999999999</v>
      </c>
      <c r="L71">
        <v>0.81</v>
      </c>
      <c r="M71">
        <v>0</v>
      </c>
      <c r="N71">
        <v>3</v>
      </c>
      <c r="O71">
        <v>13</v>
      </c>
      <c r="P71">
        <v>16</v>
      </c>
    </row>
    <row r="72" spans="1:16" x14ac:dyDescent="0.25">
      <c r="A72">
        <v>71</v>
      </c>
      <c r="B72" s="19">
        <v>40547</v>
      </c>
      <c r="C72">
        <v>1</v>
      </c>
      <c r="D72">
        <v>1</v>
      </c>
      <c r="E72">
        <v>1</v>
      </c>
      <c r="F72" t="b">
        <v>0</v>
      </c>
      <c r="G72">
        <v>2</v>
      </c>
      <c r="H72">
        <v>1</v>
      </c>
      <c r="I72">
        <v>0.16</v>
      </c>
      <c r="J72">
        <v>0</v>
      </c>
      <c r="K72">
        <v>0.28789999999999999</v>
      </c>
      <c r="L72">
        <v>0.81</v>
      </c>
      <c r="M72">
        <v>0</v>
      </c>
      <c r="N72">
        <v>3</v>
      </c>
      <c r="O72">
        <v>13</v>
      </c>
      <c r="P72">
        <v>16</v>
      </c>
    </row>
    <row r="73" spans="1:16" x14ac:dyDescent="0.25">
      <c r="A73">
        <v>72</v>
      </c>
      <c r="B73" s="19">
        <v>40547</v>
      </c>
      <c r="C73">
        <v>1</v>
      </c>
      <c r="D73">
        <v>1</v>
      </c>
      <c r="E73">
        <v>2</v>
      </c>
      <c r="F73" t="b">
        <v>0</v>
      </c>
      <c r="G73">
        <v>2</v>
      </c>
      <c r="H73">
        <v>1</v>
      </c>
      <c r="I73">
        <v>0.14000000000000001</v>
      </c>
      <c r="J73">
        <v>0</v>
      </c>
      <c r="K73">
        <v>0.28789999999999999</v>
      </c>
      <c r="L73">
        <v>0.81</v>
      </c>
      <c r="M73">
        <v>0</v>
      </c>
      <c r="N73">
        <v>3</v>
      </c>
      <c r="O73">
        <v>13</v>
      </c>
      <c r="P73">
        <v>16</v>
      </c>
    </row>
    <row r="74" spans="1:16" x14ac:dyDescent="0.25">
      <c r="A74">
        <v>73</v>
      </c>
      <c r="B74" s="19">
        <v>40547</v>
      </c>
      <c r="C74">
        <v>1</v>
      </c>
      <c r="D74">
        <v>1</v>
      </c>
      <c r="E74">
        <v>4</v>
      </c>
      <c r="F74" t="b">
        <v>0</v>
      </c>
      <c r="G74">
        <v>2</v>
      </c>
      <c r="H74">
        <v>1</v>
      </c>
      <c r="I74">
        <v>0.14000000000000001</v>
      </c>
      <c r="J74">
        <v>0</v>
      </c>
      <c r="K74">
        <v>0.28789999999999999</v>
      </c>
      <c r="L74">
        <v>0.81</v>
      </c>
      <c r="M74">
        <v>0</v>
      </c>
      <c r="N74">
        <v>3</v>
      </c>
      <c r="O74">
        <v>13</v>
      </c>
      <c r="P74">
        <v>16</v>
      </c>
    </row>
    <row r="75" spans="1:16" x14ac:dyDescent="0.25">
      <c r="A75">
        <v>74</v>
      </c>
      <c r="B75" s="19">
        <v>40547</v>
      </c>
      <c r="C75">
        <v>1</v>
      </c>
      <c r="D75">
        <v>1</v>
      </c>
      <c r="E75">
        <v>5</v>
      </c>
      <c r="F75" t="b">
        <v>0</v>
      </c>
      <c r="G75">
        <v>2</v>
      </c>
      <c r="H75">
        <v>1</v>
      </c>
      <c r="I75">
        <v>0.12</v>
      </c>
      <c r="J75">
        <v>0</v>
      </c>
      <c r="K75">
        <v>0.28789999999999999</v>
      </c>
      <c r="L75">
        <v>0.81</v>
      </c>
      <c r="M75">
        <v>0</v>
      </c>
      <c r="N75">
        <v>3</v>
      </c>
      <c r="O75">
        <v>13</v>
      </c>
      <c r="P75">
        <v>16</v>
      </c>
    </row>
    <row r="76" spans="1:16" x14ac:dyDescent="0.25">
      <c r="A76">
        <v>75</v>
      </c>
      <c r="B76" s="19">
        <v>40547</v>
      </c>
      <c r="C76">
        <v>1</v>
      </c>
      <c r="D76">
        <v>1</v>
      </c>
      <c r="E76">
        <v>6</v>
      </c>
      <c r="F76" t="b">
        <v>0</v>
      </c>
      <c r="G76">
        <v>2</v>
      </c>
      <c r="H76">
        <v>1</v>
      </c>
      <c r="I76">
        <v>0.12</v>
      </c>
      <c r="J76">
        <v>0</v>
      </c>
      <c r="K76">
        <v>0.28789999999999999</v>
      </c>
      <c r="L76">
        <v>0.81</v>
      </c>
      <c r="M76">
        <v>0</v>
      </c>
      <c r="N76">
        <v>3</v>
      </c>
      <c r="O76">
        <v>13</v>
      </c>
      <c r="P76">
        <v>16</v>
      </c>
    </row>
    <row r="77" spans="1:16" x14ac:dyDescent="0.25">
      <c r="A77">
        <v>76</v>
      </c>
      <c r="B77" s="19">
        <v>40547</v>
      </c>
      <c r="C77">
        <v>1</v>
      </c>
      <c r="D77">
        <v>1</v>
      </c>
      <c r="E77">
        <v>7</v>
      </c>
      <c r="F77" t="b">
        <v>0</v>
      </c>
      <c r="G77">
        <v>2</v>
      </c>
      <c r="H77">
        <v>1</v>
      </c>
      <c r="I77">
        <v>0.12</v>
      </c>
      <c r="J77">
        <v>0</v>
      </c>
      <c r="K77">
        <v>0.28789999999999999</v>
      </c>
      <c r="L77">
        <v>0.81</v>
      </c>
      <c r="M77">
        <v>0</v>
      </c>
      <c r="N77">
        <v>3</v>
      </c>
      <c r="O77">
        <v>13</v>
      </c>
      <c r="P77">
        <v>16</v>
      </c>
    </row>
    <row r="78" spans="1:16" x14ac:dyDescent="0.25">
      <c r="A78">
        <v>77</v>
      </c>
      <c r="B78" s="19">
        <v>40547</v>
      </c>
      <c r="C78">
        <v>1</v>
      </c>
      <c r="D78">
        <v>1</v>
      </c>
      <c r="E78">
        <v>8</v>
      </c>
      <c r="F78" t="b">
        <v>0</v>
      </c>
      <c r="G78">
        <v>2</v>
      </c>
      <c r="H78">
        <v>1</v>
      </c>
      <c r="I78">
        <v>0.14000000000000001</v>
      </c>
      <c r="J78">
        <v>0</v>
      </c>
      <c r="K78">
        <v>0.28789999999999999</v>
      </c>
      <c r="L78">
        <v>0.81</v>
      </c>
      <c r="M78">
        <v>0</v>
      </c>
      <c r="N78">
        <v>3</v>
      </c>
      <c r="O78">
        <v>13</v>
      </c>
      <c r="P78">
        <v>16</v>
      </c>
    </row>
    <row r="79" spans="1:16" x14ac:dyDescent="0.25">
      <c r="A79">
        <v>78</v>
      </c>
      <c r="B79" s="19">
        <v>40547</v>
      </c>
      <c r="C79">
        <v>1</v>
      </c>
      <c r="D79">
        <v>1</v>
      </c>
      <c r="E79">
        <v>9</v>
      </c>
      <c r="F79" t="b">
        <v>0</v>
      </c>
      <c r="G79">
        <v>2</v>
      </c>
      <c r="H79">
        <v>1</v>
      </c>
      <c r="I79">
        <v>0.16</v>
      </c>
      <c r="J79">
        <v>0</v>
      </c>
      <c r="K79">
        <v>0.28789999999999999</v>
      </c>
      <c r="L79">
        <v>0.81</v>
      </c>
      <c r="M79">
        <v>0</v>
      </c>
      <c r="N79">
        <v>3</v>
      </c>
      <c r="O79">
        <v>13</v>
      </c>
      <c r="P79">
        <v>16</v>
      </c>
    </row>
    <row r="80" spans="1:16" x14ac:dyDescent="0.25">
      <c r="A80">
        <v>79</v>
      </c>
      <c r="B80" s="19">
        <v>40547</v>
      </c>
      <c r="C80">
        <v>1</v>
      </c>
      <c r="D80">
        <v>1</v>
      </c>
      <c r="E80">
        <v>10</v>
      </c>
      <c r="F80" t="b">
        <v>0</v>
      </c>
      <c r="G80">
        <v>2</v>
      </c>
      <c r="H80">
        <v>2</v>
      </c>
      <c r="I80">
        <v>0.16</v>
      </c>
      <c r="J80">
        <v>0</v>
      </c>
      <c r="K80">
        <v>0.28789999999999999</v>
      </c>
      <c r="L80">
        <v>0.81</v>
      </c>
      <c r="M80">
        <v>0</v>
      </c>
      <c r="N80">
        <v>3</v>
      </c>
      <c r="O80">
        <v>13</v>
      </c>
      <c r="P80">
        <v>16</v>
      </c>
    </row>
    <row r="81" spans="1:16" x14ac:dyDescent="0.25">
      <c r="A81">
        <v>80</v>
      </c>
      <c r="B81" s="19">
        <v>40547</v>
      </c>
      <c r="C81">
        <v>1</v>
      </c>
      <c r="D81">
        <v>1</v>
      </c>
      <c r="E81">
        <v>11</v>
      </c>
      <c r="F81" t="b">
        <v>0</v>
      </c>
      <c r="G81">
        <v>2</v>
      </c>
      <c r="H81">
        <v>1</v>
      </c>
      <c r="I81">
        <v>0.22</v>
      </c>
      <c r="J81">
        <v>0</v>
      </c>
      <c r="K81">
        <v>0.28789999999999999</v>
      </c>
      <c r="L81">
        <v>0.81</v>
      </c>
      <c r="M81">
        <v>0</v>
      </c>
      <c r="N81">
        <v>3</v>
      </c>
      <c r="O81">
        <v>13</v>
      </c>
      <c r="P81">
        <v>16</v>
      </c>
    </row>
    <row r="82" spans="1:16" x14ac:dyDescent="0.25">
      <c r="A82">
        <v>81</v>
      </c>
      <c r="B82" s="19">
        <v>40547</v>
      </c>
      <c r="C82">
        <v>1</v>
      </c>
      <c r="D82">
        <v>1</v>
      </c>
      <c r="E82">
        <v>12</v>
      </c>
      <c r="F82" t="b">
        <v>0</v>
      </c>
      <c r="G82">
        <v>2</v>
      </c>
      <c r="H82">
        <v>1</v>
      </c>
      <c r="I82">
        <v>0.22</v>
      </c>
      <c r="J82">
        <v>0</v>
      </c>
      <c r="K82">
        <v>0.28789999999999999</v>
      </c>
      <c r="L82">
        <v>0.81</v>
      </c>
      <c r="M82">
        <v>0</v>
      </c>
      <c r="N82">
        <v>3</v>
      </c>
      <c r="O82">
        <v>13</v>
      </c>
      <c r="P82">
        <v>16</v>
      </c>
    </row>
    <row r="83" spans="1:16" x14ac:dyDescent="0.25">
      <c r="A83">
        <v>82</v>
      </c>
      <c r="B83" s="19">
        <v>40547</v>
      </c>
      <c r="C83">
        <v>1</v>
      </c>
      <c r="D83">
        <v>1</v>
      </c>
      <c r="E83">
        <v>13</v>
      </c>
      <c r="F83" t="b">
        <v>0</v>
      </c>
      <c r="G83">
        <v>2</v>
      </c>
      <c r="H83">
        <v>1</v>
      </c>
      <c r="I83">
        <v>0.24</v>
      </c>
      <c r="J83">
        <v>0</v>
      </c>
      <c r="K83">
        <v>0.28789999999999999</v>
      </c>
      <c r="L83">
        <v>0.81</v>
      </c>
      <c r="M83">
        <v>0</v>
      </c>
      <c r="N83">
        <v>3</v>
      </c>
      <c r="O83">
        <v>13</v>
      </c>
      <c r="P83">
        <v>16</v>
      </c>
    </row>
    <row r="84" spans="1:16" x14ac:dyDescent="0.25">
      <c r="A84">
        <v>83</v>
      </c>
      <c r="B84" s="19">
        <v>40547</v>
      </c>
      <c r="C84">
        <v>1</v>
      </c>
      <c r="D84">
        <v>1</v>
      </c>
      <c r="E84">
        <v>14</v>
      </c>
      <c r="F84" t="b">
        <v>0</v>
      </c>
      <c r="G84">
        <v>2</v>
      </c>
      <c r="H84">
        <v>1</v>
      </c>
      <c r="I84">
        <v>0.26</v>
      </c>
      <c r="J84">
        <v>0</v>
      </c>
      <c r="K84">
        <v>0.28789999999999999</v>
      </c>
      <c r="L84">
        <v>0.81</v>
      </c>
      <c r="M84">
        <v>0</v>
      </c>
      <c r="N84">
        <v>3</v>
      </c>
      <c r="O84">
        <v>13</v>
      </c>
      <c r="P84">
        <v>16</v>
      </c>
    </row>
    <row r="85" spans="1:16" x14ac:dyDescent="0.25">
      <c r="A85">
        <v>84</v>
      </c>
      <c r="B85" s="19">
        <v>40547</v>
      </c>
      <c r="C85">
        <v>1</v>
      </c>
      <c r="D85">
        <v>1</v>
      </c>
      <c r="E85">
        <v>15</v>
      </c>
      <c r="F85" t="b">
        <v>0</v>
      </c>
      <c r="G85">
        <v>2</v>
      </c>
      <c r="H85">
        <v>1</v>
      </c>
      <c r="I85">
        <v>0.28000000000000003</v>
      </c>
      <c r="J85">
        <v>0</v>
      </c>
      <c r="K85">
        <v>0.28789999999999999</v>
      </c>
      <c r="L85">
        <v>0.81</v>
      </c>
      <c r="M85">
        <v>0</v>
      </c>
      <c r="N85">
        <v>3</v>
      </c>
      <c r="O85">
        <v>13</v>
      </c>
      <c r="P85">
        <v>16</v>
      </c>
    </row>
    <row r="86" spans="1:16" x14ac:dyDescent="0.25">
      <c r="A86">
        <v>85</v>
      </c>
      <c r="B86" s="19">
        <v>40547</v>
      </c>
      <c r="C86">
        <v>1</v>
      </c>
      <c r="D86">
        <v>1</v>
      </c>
      <c r="E86">
        <v>16</v>
      </c>
      <c r="F86" t="b">
        <v>0</v>
      </c>
      <c r="G86">
        <v>2</v>
      </c>
      <c r="H86">
        <v>1</v>
      </c>
      <c r="I86">
        <v>0.3</v>
      </c>
      <c r="J86">
        <v>0</v>
      </c>
      <c r="K86">
        <v>0.28789999999999999</v>
      </c>
      <c r="L86">
        <v>0.81</v>
      </c>
      <c r="M86">
        <v>0</v>
      </c>
      <c r="N86">
        <v>3</v>
      </c>
      <c r="O86">
        <v>13</v>
      </c>
      <c r="P86">
        <v>16</v>
      </c>
    </row>
    <row r="87" spans="1:16" x14ac:dyDescent="0.25">
      <c r="A87">
        <v>86</v>
      </c>
      <c r="B87" s="19">
        <v>40547</v>
      </c>
      <c r="C87">
        <v>1</v>
      </c>
      <c r="D87">
        <v>1</v>
      </c>
      <c r="E87">
        <v>17</v>
      </c>
      <c r="F87" t="b">
        <v>0</v>
      </c>
      <c r="G87">
        <v>2</v>
      </c>
      <c r="H87">
        <v>1</v>
      </c>
      <c r="I87">
        <v>0.28000000000000003</v>
      </c>
      <c r="J87">
        <v>0</v>
      </c>
      <c r="K87">
        <v>0.28789999999999999</v>
      </c>
      <c r="L87">
        <v>0.81</v>
      </c>
      <c r="M87">
        <v>0</v>
      </c>
      <c r="N87">
        <v>3</v>
      </c>
      <c r="O87">
        <v>13</v>
      </c>
      <c r="P87">
        <v>16</v>
      </c>
    </row>
    <row r="88" spans="1:16" x14ac:dyDescent="0.25">
      <c r="A88">
        <v>87</v>
      </c>
      <c r="B88" s="19">
        <v>40547</v>
      </c>
      <c r="C88">
        <v>1</v>
      </c>
      <c r="D88">
        <v>1</v>
      </c>
      <c r="E88">
        <v>18</v>
      </c>
      <c r="F88" t="b">
        <v>0</v>
      </c>
      <c r="G88">
        <v>2</v>
      </c>
      <c r="H88">
        <v>1</v>
      </c>
      <c r="I88">
        <v>0.26</v>
      </c>
      <c r="J88">
        <v>0</v>
      </c>
      <c r="K88">
        <v>0.28789999999999999</v>
      </c>
      <c r="L88">
        <v>0.81</v>
      </c>
      <c r="M88">
        <v>0</v>
      </c>
      <c r="N88">
        <v>3</v>
      </c>
      <c r="O88">
        <v>13</v>
      </c>
      <c r="P88">
        <v>16</v>
      </c>
    </row>
    <row r="89" spans="1:16" x14ac:dyDescent="0.25">
      <c r="A89">
        <v>88</v>
      </c>
      <c r="B89" s="19">
        <v>40547</v>
      </c>
      <c r="C89">
        <v>1</v>
      </c>
      <c r="D89">
        <v>1</v>
      </c>
      <c r="E89">
        <v>19</v>
      </c>
      <c r="F89" t="b">
        <v>0</v>
      </c>
      <c r="G89">
        <v>2</v>
      </c>
      <c r="H89">
        <v>1</v>
      </c>
      <c r="I89">
        <v>0.24</v>
      </c>
      <c r="J89">
        <v>0</v>
      </c>
      <c r="K89">
        <v>0.28789999999999999</v>
      </c>
      <c r="L89">
        <v>0.81</v>
      </c>
      <c r="M89">
        <v>0</v>
      </c>
      <c r="N89">
        <v>3</v>
      </c>
      <c r="O89">
        <v>13</v>
      </c>
      <c r="P89">
        <v>16</v>
      </c>
    </row>
    <row r="90" spans="1:16" x14ac:dyDescent="0.25">
      <c r="A90">
        <v>89</v>
      </c>
      <c r="B90" s="19">
        <v>40547</v>
      </c>
      <c r="C90">
        <v>1</v>
      </c>
      <c r="D90">
        <v>1</v>
      </c>
      <c r="E90">
        <v>20</v>
      </c>
      <c r="F90" t="b">
        <v>0</v>
      </c>
      <c r="G90">
        <v>2</v>
      </c>
      <c r="H90">
        <v>1</v>
      </c>
      <c r="I90">
        <v>0.24</v>
      </c>
      <c r="J90">
        <v>0</v>
      </c>
      <c r="K90">
        <v>0.28789999999999999</v>
      </c>
      <c r="L90">
        <v>0.81</v>
      </c>
      <c r="M90">
        <v>0</v>
      </c>
      <c r="N90">
        <v>3</v>
      </c>
      <c r="O90">
        <v>13</v>
      </c>
      <c r="P90">
        <v>16</v>
      </c>
    </row>
    <row r="91" spans="1:16" x14ac:dyDescent="0.25">
      <c r="A91">
        <v>90</v>
      </c>
      <c r="B91" s="19">
        <v>40547</v>
      </c>
      <c r="C91">
        <v>1</v>
      </c>
      <c r="D91">
        <v>1</v>
      </c>
      <c r="E91">
        <v>21</v>
      </c>
      <c r="F91" t="b">
        <v>0</v>
      </c>
      <c r="G91">
        <v>2</v>
      </c>
      <c r="H91">
        <v>1</v>
      </c>
      <c r="I91">
        <v>0.22</v>
      </c>
      <c r="J91">
        <v>0</v>
      </c>
      <c r="K91">
        <v>0.28789999999999999</v>
      </c>
      <c r="L91">
        <v>0.81</v>
      </c>
      <c r="M91">
        <v>0</v>
      </c>
      <c r="N91">
        <v>3</v>
      </c>
      <c r="O91">
        <v>13</v>
      </c>
      <c r="P91">
        <v>16</v>
      </c>
    </row>
    <row r="92" spans="1:16" x14ac:dyDescent="0.25">
      <c r="A92">
        <v>91</v>
      </c>
      <c r="B92" s="19">
        <v>40547</v>
      </c>
      <c r="C92">
        <v>1</v>
      </c>
      <c r="D92">
        <v>1</v>
      </c>
      <c r="E92">
        <v>22</v>
      </c>
      <c r="F92" t="b">
        <v>0</v>
      </c>
      <c r="G92">
        <v>2</v>
      </c>
      <c r="H92">
        <v>1</v>
      </c>
      <c r="I92">
        <v>0.22</v>
      </c>
      <c r="J92">
        <v>0</v>
      </c>
      <c r="K92">
        <v>0.28789999999999999</v>
      </c>
      <c r="L92">
        <v>0.81</v>
      </c>
      <c r="M92">
        <v>0</v>
      </c>
      <c r="N92">
        <v>3</v>
      </c>
      <c r="O92">
        <v>13</v>
      </c>
      <c r="P92">
        <v>16</v>
      </c>
    </row>
    <row r="93" spans="1:16" x14ac:dyDescent="0.25">
      <c r="A93">
        <v>92</v>
      </c>
      <c r="B93" s="19">
        <v>40547</v>
      </c>
      <c r="C93">
        <v>1</v>
      </c>
      <c r="D93">
        <v>1</v>
      </c>
      <c r="E93">
        <v>23</v>
      </c>
      <c r="F93" t="b">
        <v>0</v>
      </c>
      <c r="G93">
        <v>2</v>
      </c>
      <c r="H93">
        <v>1</v>
      </c>
      <c r="I93">
        <v>0.2</v>
      </c>
      <c r="J93">
        <v>0</v>
      </c>
      <c r="K93">
        <v>0.28789999999999999</v>
      </c>
      <c r="L93">
        <v>0.81</v>
      </c>
      <c r="M93">
        <v>0</v>
      </c>
      <c r="N93">
        <v>3</v>
      </c>
      <c r="O93">
        <v>13</v>
      </c>
      <c r="P93">
        <v>16</v>
      </c>
    </row>
    <row r="94" spans="1:16" x14ac:dyDescent="0.25">
      <c r="A94">
        <v>93</v>
      </c>
      <c r="B94" s="19">
        <v>40548</v>
      </c>
      <c r="C94">
        <v>1</v>
      </c>
      <c r="D94">
        <v>1</v>
      </c>
      <c r="E94">
        <v>0</v>
      </c>
      <c r="F94" t="b">
        <v>0</v>
      </c>
      <c r="G94">
        <v>3</v>
      </c>
      <c r="H94">
        <v>1</v>
      </c>
      <c r="I94">
        <v>0.2</v>
      </c>
      <c r="J94">
        <v>0</v>
      </c>
      <c r="K94">
        <v>0.28789999999999999</v>
      </c>
      <c r="L94">
        <v>0.81</v>
      </c>
      <c r="M94">
        <v>0</v>
      </c>
      <c r="N94">
        <v>3</v>
      </c>
      <c r="O94">
        <v>13</v>
      </c>
      <c r="P94">
        <v>16</v>
      </c>
    </row>
    <row r="95" spans="1:16" x14ac:dyDescent="0.25">
      <c r="A95">
        <v>94</v>
      </c>
      <c r="B95" s="19">
        <v>40548</v>
      </c>
      <c r="C95">
        <v>1</v>
      </c>
      <c r="D95">
        <v>1</v>
      </c>
      <c r="E95">
        <v>1</v>
      </c>
      <c r="F95" t="b">
        <v>0</v>
      </c>
      <c r="G95">
        <v>3</v>
      </c>
      <c r="H95">
        <v>1</v>
      </c>
      <c r="I95">
        <v>0.16</v>
      </c>
      <c r="J95">
        <v>0</v>
      </c>
      <c r="K95">
        <v>0.28789999999999999</v>
      </c>
      <c r="L95">
        <v>0.81</v>
      </c>
      <c r="M95">
        <v>0</v>
      </c>
      <c r="N95">
        <v>3</v>
      </c>
      <c r="O95">
        <v>13</v>
      </c>
      <c r="P95">
        <v>16</v>
      </c>
    </row>
    <row r="96" spans="1:16" x14ac:dyDescent="0.25">
      <c r="A96">
        <v>95</v>
      </c>
      <c r="B96" s="19">
        <v>40548</v>
      </c>
      <c r="C96">
        <v>1</v>
      </c>
      <c r="D96">
        <v>1</v>
      </c>
      <c r="E96">
        <v>2</v>
      </c>
      <c r="F96" t="b">
        <v>0</v>
      </c>
      <c r="G96">
        <v>3</v>
      </c>
      <c r="H96">
        <v>1</v>
      </c>
      <c r="I96">
        <v>0.16</v>
      </c>
      <c r="J96">
        <v>0</v>
      </c>
      <c r="K96">
        <v>0.28789999999999999</v>
      </c>
      <c r="L96">
        <v>0.81</v>
      </c>
      <c r="M96">
        <v>0</v>
      </c>
      <c r="N96">
        <v>3</v>
      </c>
      <c r="O96">
        <v>13</v>
      </c>
      <c r="P96">
        <v>16</v>
      </c>
    </row>
    <row r="97" spans="1:16" x14ac:dyDescent="0.25">
      <c r="A97">
        <v>96</v>
      </c>
      <c r="B97" s="19">
        <v>40548</v>
      </c>
      <c r="C97">
        <v>1</v>
      </c>
      <c r="D97">
        <v>1</v>
      </c>
      <c r="E97">
        <v>4</v>
      </c>
      <c r="F97" t="b">
        <v>0</v>
      </c>
      <c r="G97">
        <v>3</v>
      </c>
      <c r="H97">
        <v>1</v>
      </c>
      <c r="I97">
        <v>0.24</v>
      </c>
      <c r="J97">
        <v>0</v>
      </c>
      <c r="K97">
        <v>0.28789999999999999</v>
      </c>
      <c r="L97">
        <v>0.81</v>
      </c>
      <c r="M97">
        <v>0</v>
      </c>
      <c r="N97">
        <v>3</v>
      </c>
      <c r="O97">
        <v>13</v>
      </c>
      <c r="P97">
        <v>16</v>
      </c>
    </row>
    <row r="98" spans="1:16" x14ac:dyDescent="0.25">
      <c r="A98">
        <v>97</v>
      </c>
      <c r="B98" s="19">
        <v>40548</v>
      </c>
      <c r="C98">
        <v>1</v>
      </c>
      <c r="D98">
        <v>1</v>
      </c>
      <c r="E98">
        <v>5</v>
      </c>
      <c r="F98" t="b">
        <v>0</v>
      </c>
      <c r="G98">
        <v>3</v>
      </c>
      <c r="H98">
        <v>1</v>
      </c>
      <c r="I98">
        <v>0.22</v>
      </c>
      <c r="J98">
        <v>0</v>
      </c>
      <c r="K98">
        <v>0.28789999999999999</v>
      </c>
      <c r="L98">
        <v>0.81</v>
      </c>
      <c r="M98">
        <v>0</v>
      </c>
      <c r="N98">
        <v>3</v>
      </c>
      <c r="O98">
        <v>13</v>
      </c>
      <c r="P98">
        <v>16</v>
      </c>
    </row>
    <row r="99" spans="1:16" x14ac:dyDescent="0.25">
      <c r="A99">
        <v>98</v>
      </c>
      <c r="B99" s="19">
        <v>40548</v>
      </c>
      <c r="C99">
        <v>1</v>
      </c>
      <c r="D99">
        <v>1</v>
      </c>
      <c r="E99">
        <v>6</v>
      </c>
      <c r="F99" t="b">
        <v>0</v>
      </c>
      <c r="G99">
        <v>3</v>
      </c>
      <c r="H99">
        <v>1</v>
      </c>
      <c r="I99">
        <v>0.2</v>
      </c>
      <c r="J99">
        <v>0</v>
      </c>
      <c r="K99">
        <v>0.28789999999999999</v>
      </c>
      <c r="L99">
        <v>0.81</v>
      </c>
      <c r="M99">
        <v>0</v>
      </c>
      <c r="N99">
        <v>3</v>
      </c>
      <c r="O99">
        <v>13</v>
      </c>
      <c r="P99">
        <v>16</v>
      </c>
    </row>
    <row r="100" spans="1:16" x14ac:dyDescent="0.25">
      <c r="A100">
        <v>99</v>
      </c>
      <c r="B100" s="19">
        <v>40548</v>
      </c>
      <c r="C100">
        <v>1</v>
      </c>
      <c r="D100">
        <v>1</v>
      </c>
      <c r="E100">
        <v>7</v>
      </c>
      <c r="F100" t="b">
        <v>0</v>
      </c>
      <c r="G100">
        <v>3</v>
      </c>
      <c r="H100">
        <v>1</v>
      </c>
      <c r="I100">
        <v>0.18</v>
      </c>
      <c r="J100">
        <v>0</v>
      </c>
      <c r="K100">
        <v>0.28789999999999999</v>
      </c>
      <c r="L100">
        <v>0.81</v>
      </c>
      <c r="M100">
        <v>0</v>
      </c>
      <c r="N100">
        <v>3</v>
      </c>
      <c r="O100">
        <v>13</v>
      </c>
      <c r="P100">
        <v>16</v>
      </c>
    </row>
    <row r="101" spans="1:16" x14ac:dyDescent="0.25">
      <c r="A101">
        <v>100</v>
      </c>
      <c r="B101" s="19">
        <v>40548</v>
      </c>
      <c r="C101">
        <v>1</v>
      </c>
      <c r="D101">
        <v>1</v>
      </c>
      <c r="E101">
        <v>8</v>
      </c>
      <c r="F101" t="b">
        <v>0</v>
      </c>
      <c r="G101">
        <v>3</v>
      </c>
      <c r="H101">
        <v>1</v>
      </c>
      <c r="I101">
        <v>0.2</v>
      </c>
      <c r="J101">
        <v>0</v>
      </c>
      <c r="K101">
        <v>0.28789999999999999</v>
      </c>
      <c r="L101">
        <v>0.81</v>
      </c>
      <c r="M101">
        <v>0</v>
      </c>
      <c r="N101">
        <v>3</v>
      </c>
      <c r="O101">
        <v>13</v>
      </c>
      <c r="P101">
        <v>16</v>
      </c>
    </row>
    <row r="102" spans="1:16" x14ac:dyDescent="0.25">
      <c r="A102">
        <v>101</v>
      </c>
      <c r="B102" s="19">
        <v>40548</v>
      </c>
      <c r="C102">
        <v>1</v>
      </c>
      <c r="D102">
        <v>1</v>
      </c>
      <c r="E102">
        <v>9</v>
      </c>
      <c r="F102" t="b">
        <v>0</v>
      </c>
      <c r="G102">
        <v>3</v>
      </c>
      <c r="H102">
        <v>1</v>
      </c>
      <c r="I102">
        <v>0.22</v>
      </c>
      <c r="J102">
        <v>0</v>
      </c>
      <c r="K102">
        <v>0.28789999999999999</v>
      </c>
      <c r="L102">
        <v>0.81</v>
      </c>
      <c r="M102">
        <v>0</v>
      </c>
      <c r="N102">
        <v>3</v>
      </c>
      <c r="O102">
        <v>13</v>
      </c>
      <c r="P102">
        <v>16</v>
      </c>
    </row>
    <row r="103" spans="1:16" x14ac:dyDescent="0.25">
      <c r="A103">
        <v>102</v>
      </c>
      <c r="B103" s="19">
        <v>40548</v>
      </c>
      <c r="C103">
        <v>1</v>
      </c>
      <c r="D103">
        <v>1</v>
      </c>
      <c r="E103">
        <v>10</v>
      </c>
      <c r="F103" t="b">
        <v>0</v>
      </c>
      <c r="G103">
        <v>3</v>
      </c>
      <c r="H103">
        <v>1</v>
      </c>
      <c r="I103">
        <v>0.22</v>
      </c>
      <c r="J103">
        <v>0</v>
      </c>
      <c r="K103">
        <v>0.28789999999999999</v>
      </c>
      <c r="L103">
        <v>0.81</v>
      </c>
      <c r="M103">
        <v>0</v>
      </c>
      <c r="N103">
        <v>3</v>
      </c>
      <c r="O103">
        <v>13</v>
      </c>
      <c r="P103">
        <v>16</v>
      </c>
    </row>
    <row r="104" spans="1:16" x14ac:dyDescent="0.25">
      <c r="A104">
        <v>103</v>
      </c>
      <c r="B104" s="19">
        <v>40548</v>
      </c>
      <c r="C104">
        <v>1</v>
      </c>
      <c r="D104">
        <v>1</v>
      </c>
      <c r="E104">
        <v>11</v>
      </c>
      <c r="F104" t="b">
        <v>0</v>
      </c>
      <c r="G104">
        <v>3</v>
      </c>
      <c r="H104">
        <v>1</v>
      </c>
      <c r="I104">
        <v>0.26</v>
      </c>
      <c r="J104">
        <v>0</v>
      </c>
      <c r="K104">
        <v>0.28789999999999999</v>
      </c>
      <c r="L104">
        <v>0.81</v>
      </c>
      <c r="M104">
        <v>0</v>
      </c>
      <c r="N104">
        <v>3</v>
      </c>
      <c r="O104">
        <v>13</v>
      </c>
      <c r="P104">
        <v>16</v>
      </c>
    </row>
    <row r="105" spans="1:16" x14ac:dyDescent="0.25">
      <c r="A105">
        <v>104</v>
      </c>
      <c r="B105" s="19">
        <v>40548</v>
      </c>
      <c r="C105">
        <v>1</v>
      </c>
      <c r="D105">
        <v>1</v>
      </c>
      <c r="E105">
        <v>12</v>
      </c>
      <c r="F105" t="b">
        <v>0</v>
      </c>
      <c r="G105">
        <v>3</v>
      </c>
      <c r="H105">
        <v>1</v>
      </c>
      <c r="I105">
        <v>0.26</v>
      </c>
      <c r="J105">
        <v>0</v>
      </c>
      <c r="K105">
        <v>0.28789999999999999</v>
      </c>
      <c r="L105">
        <v>0.81</v>
      </c>
      <c r="M105">
        <v>0</v>
      </c>
      <c r="N105">
        <v>3</v>
      </c>
      <c r="O105">
        <v>13</v>
      </c>
      <c r="P105">
        <v>16</v>
      </c>
    </row>
    <row r="106" spans="1:16" x14ac:dyDescent="0.25">
      <c r="A106">
        <v>105</v>
      </c>
      <c r="B106" s="19">
        <v>40548</v>
      </c>
      <c r="C106">
        <v>1</v>
      </c>
      <c r="D106">
        <v>1</v>
      </c>
      <c r="E106">
        <v>13</v>
      </c>
      <c r="F106" t="b">
        <v>0</v>
      </c>
      <c r="G106">
        <v>3</v>
      </c>
      <c r="H106">
        <v>1</v>
      </c>
      <c r="I106">
        <v>0.28000000000000003</v>
      </c>
      <c r="J106">
        <v>0</v>
      </c>
      <c r="K106">
        <v>0.28789999999999999</v>
      </c>
      <c r="L106">
        <v>0.81</v>
      </c>
      <c r="M106">
        <v>0</v>
      </c>
      <c r="N106">
        <v>3</v>
      </c>
      <c r="O106">
        <v>13</v>
      </c>
      <c r="P106">
        <v>16</v>
      </c>
    </row>
    <row r="107" spans="1:16" x14ac:dyDescent="0.25">
      <c r="A107">
        <v>106</v>
      </c>
      <c r="B107" s="19">
        <v>40548</v>
      </c>
      <c r="C107">
        <v>1</v>
      </c>
      <c r="D107">
        <v>1</v>
      </c>
      <c r="E107">
        <v>14</v>
      </c>
      <c r="F107" t="b">
        <v>0</v>
      </c>
      <c r="G107">
        <v>3</v>
      </c>
      <c r="H107">
        <v>1</v>
      </c>
      <c r="I107">
        <v>0.3</v>
      </c>
      <c r="J107">
        <v>0</v>
      </c>
      <c r="K107">
        <v>0.28789999999999999</v>
      </c>
      <c r="L107">
        <v>0.81</v>
      </c>
      <c r="M107">
        <v>0</v>
      </c>
      <c r="N107">
        <v>3</v>
      </c>
      <c r="O107">
        <v>13</v>
      </c>
      <c r="P107">
        <v>16</v>
      </c>
    </row>
    <row r="108" spans="1:16" x14ac:dyDescent="0.25">
      <c r="A108">
        <v>107</v>
      </c>
      <c r="B108" s="19">
        <v>40548</v>
      </c>
      <c r="C108">
        <v>1</v>
      </c>
      <c r="D108">
        <v>1</v>
      </c>
      <c r="E108">
        <v>15</v>
      </c>
      <c r="F108" t="b">
        <v>0</v>
      </c>
      <c r="G108">
        <v>3</v>
      </c>
      <c r="H108">
        <v>1</v>
      </c>
      <c r="I108">
        <v>0.3</v>
      </c>
      <c r="J108">
        <v>0</v>
      </c>
      <c r="K108">
        <v>0.28789999999999999</v>
      </c>
      <c r="L108">
        <v>0.81</v>
      </c>
      <c r="M108">
        <v>0</v>
      </c>
      <c r="N108">
        <v>3</v>
      </c>
      <c r="O108">
        <v>13</v>
      </c>
      <c r="P108">
        <v>16</v>
      </c>
    </row>
    <row r="109" spans="1:16" x14ac:dyDescent="0.25">
      <c r="A109">
        <v>108</v>
      </c>
      <c r="B109" s="19">
        <v>40548</v>
      </c>
      <c r="C109">
        <v>1</v>
      </c>
      <c r="D109">
        <v>1</v>
      </c>
      <c r="E109">
        <v>16</v>
      </c>
      <c r="F109" t="b">
        <v>0</v>
      </c>
      <c r="G109">
        <v>3</v>
      </c>
      <c r="H109">
        <v>1</v>
      </c>
      <c r="I109">
        <v>0.3</v>
      </c>
      <c r="J109">
        <v>0</v>
      </c>
      <c r="K109">
        <v>0.28789999999999999</v>
      </c>
      <c r="L109">
        <v>0.81</v>
      </c>
      <c r="M109">
        <v>0</v>
      </c>
      <c r="N109">
        <v>3</v>
      </c>
      <c r="O109">
        <v>13</v>
      </c>
      <c r="P109">
        <v>16</v>
      </c>
    </row>
    <row r="110" spans="1:16" x14ac:dyDescent="0.25">
      <c r="A110">
        <v>109</v>
      </c>
      <c r="B110" s="19">
        <v>40548</v>
      </c>
      <c r="C110">
        <v>1</v>
      </c>
      <c r="D110">
        <v>1</v>
      </c>
      <c r="E110">
        <v>17</v>
      </c>
      <c r="F110" t="b">
        <v>0</v>
      </c>
      <c r="G110">
        <v>3</v>
      </c>
      <c r="H110">
        <v>1</v>
      </c>
      <c r="I110">
        <v>0.24</v>
      </c>
      <c r="J110">
        <v>0</v>
      </c>
      <c r="K110">
        <v>0.28789999999999999</v>
      </c>
      <c r="L110">
        <v>0.81</v>
      </c>
      <c r="M110">
        <v>0</v>
      </c>
      <c r="N110">
        <v>3</v>
      </c>
      <c r="O110">
        <v>13</v>
      </c>
      <c r="P110">
        <v>16</v>
      </c>
    </row>
    <row r="111" spans="1:16" x14ac:dyDescent="0.25">
      <c r="A111">
        <v>110</v>
      </c>
      <c r="B111" s="19">
        <v>40548</v>
      </c>
      <c r="C111">
        <v>1</v>
      </c>
      <c r="D111">
        <v>1</v>
      </c>
      <c r="E111">
        <v>18</v>
      </c>
      <c r="F111" t="b">
        <v>0</v>
      </c>
      <c r="G111">
        <v>3</v>
      </c>
      <c r="H111">
        <v>1</v>
      </c>
      <c r="I111">
        <v>0.24</v>
      </c>
      <c r="J111">
        <v>0</v>
      </c>
      <c r="K111">
        <v>0.28789999999999999</v>
      </c>
      <c r="L111">
        <v>0.81</v>
      </c>
      <c r="M111">
        <v>0</v>
      </c>
      <c r="N111">
        <v>3</v>
      </c>
      <c r="O111">
        <v>13</v>
      </c>
      <c r="P111">
        <v>16</v>
      </c>
    </row>
    <row r="112" spans="1:16" x14ac:dyDescent="0.25">
      <c r="A112">
        <v>111</v>
      </c>
      <c r="B112" s="19">
        <v>40548</v>
      </c>
      <c r="C112">
        <v>1</v>
      </c>
      <c r="D112">
        <v>1</v>
      </c>
      <c r="E112">
        <v>19</v>
      </c>
      <c r="F112" t="b">
        <v>0</v>
      </c>
      <c r="G112">
        <v>3</v>
      </c>
      <c r="H112">
        <v>1</v>
      </c>
      <c r="I112">
        <v>0.24</v>
      </c>
      <c r="J112">
        <v>0</v>
      </c>
      <c r="K112">
        <v>0.28789999999999999</v>
      </c>
      <c r="L112">
        <v>0.81</v>
      </c>
      <c r="M112">
        <v>0</v>
      </c>
      <c r="N112">
        <v>3</v>
      </c>
      <c r="O112">
        <v>13</v>
      </c>
      <c r="P112">
        <v>16</v>
      </c>
    </row>
    <row r="113" spans="1:16" x14ac:dyDescent="0.25">
      <c r="A113">
        <v>112</v>
      </c>
      <c r="B113" s="19">
        <v>40548</v>
      </c>
      <c r="C113">
        <v>1</v>
      </c>
      <c r="D113">
        <v>1</v>
      </c>
      <c r="E113">
        <v>20</v>
      </c>
      <c r="F113" t="b">
        <v>0</v>
      </c>
      <c r="G113">
        <v>3</v>
      </c>
      <c r="H113">
        <v>1</v>
      </c>
      <c r="I113">
        <v>0.22</v>
      </c>
      <c r="J113">
        <v>0</v>
      </c>
      <c r="K113">
        <v>0.28789999999999999</v>
      </c>
      <c r="L113">
        <v>0.81</v>
      </c>
      <c r="M113">
        <v>0</v>
      </c>
      <c r="N113">
        <v>3</v>
      </c>
      <c r="O113">
        <v>13</v>
      </c>
      <c r="P113">
        <v>16</v>
      </c>
    </row>
    <row r="114" spans="1:16" x14ac:dyDescent="0.25">
      <c r="A114">
        <v>113</v>
      </c>
      <c r="B114" s="19">
        <v>40548</v>
      </c>
      <c r="C114">
        <v>1</v>
      </c>
      <c r="D114">
        <v>1</v>
      </c>
      <c r="E114">
        <v>21</v>
      </c>
      <c r="F114" t="b">
        <v>0</v>
      </c>
      <c r="G114">
        <v>3</v>
      </c>
      <c r="H114">
        <v>1</v>
      </c>
      <c r="I114">
        <v>0.2</v>
      </c>
      <c r="J114">
        <v>0</v>
      </c>
      <c r="K114">
        <v>0.28789999999999999</v>
      </c>
      <c r="L114">
        <v>0.81</v>
      </c>
      <c r="M114">
        <v>0</v>
      </c>
      <c r="N114">
        <v>3</v>
      </c>
      <c r="O114">
        <v>13</v>
      </c>
      <c r="P114">
        <v>16</v>
      </c>
    </row>
    <row r="115" spans="1:16" x14ac:dyDescent="0.25">
      <c r="A115">
        <v>114</v>
      </c>
      <c r="B115" s="19">
        <v>40548</v>
      </c>
      <c r="C115">
        <v>1</v>
      </c>
      <c r="D115">
        <v>1</v>
      </c>
      <c r="E115">
        <v>22</v>
      </c>
      <c r="F115" t="b">
        <v>0</v>
      </c>
      <c r="G115">
        <v>3</v>
      </c>
      <c r="H115">
        <v>1</v>
      </c>
      <c r="I115">
        <v>0.18</v>
      </c>
      <c r="J115">
        <v>0</v>
      </c>
      <c r="K115">
        <v>0.28789999999999999</v>
      </c>
      <c r="L115">
        <v>0.81</v>
      </c>
      <c r="M115">
        <v>0</v>
      </c>
      <c r="N115">
        <v>3</v>
      </c>
      <c r="O115">
        <v>13</v>
      </c>
      <c r="P115">
        <v>16</v>
      </c>
    </row>
    <row r="116" spans="1:16" x14ac:dyDescent="0.25">
      <c r="A116">
        <v>115</v>
      </c>
      <c r="B116" s="19">
        <v>40548</v>
      </c>
      <c r="C116">
        <v>1</v>
      </c>
      <c r="D116">
        <v>1</v>
      </c>
      <c r="E116">
        <v>23</v>
      </c>
      <c r="F116" t="b">
        <v>0</v>
      </c>
      <c r="G116">
        <v>3</v>
      </c>
      <c r="H116">
        <v>1</v>
      </c>
      <c r="I116">
        <v>0.2</v>
      </c>
      <c r="J116">
        <v>0</v>
      </c>
      <c r="K116">
        <v>0.28789999999999999</v>
      </c>
      <c r="L116">
        <v>0.81</v>
      </c>
      <c r="M116">
        <v>0</v>
      </c>
      <c r="N116">
        <v>3</v>
      </c>
      <c r="O116">
        <v>13</v>
      </c>
      <c r="P116">
        <v>16</v>
      </c>
    </row>
    <row r="117" spans="1:16" x14ac:dyDescent="0.25">
      <c r="A117">
        <v>116</v>
      </c>
      <c r="B117" s="19">
        <v>40549</v>
      </c>
      <c r="C117">
        <v>1</v>
      </c>
      <c r="D117">
        <v>1</v>
      </c>
      <c r="E117">
        <v>0</v>
      </c>
      <c r="F117" t="b">
        <v>0</v>
      </c>
      <c r="G117">
        <v>4</v>
      </c>
      <c r="H117">
        <v>1</v>
      </c>
      <c r="I117">
        <v>0.18</v>
      </c>
      <c r="J117">
        <v>0</v>
      </c>
      <c r="K117">
        <v>0.28789999999999999</v>
      </c>
      <c r="L117">
        <v>0.81</v>
      </c>
      <c r="M117">
        <v>0</v>
      </c>
      <c r="N117">
        <v>3</v>
      </c>
      <c r="O117">
        <v>13</v>
      </c>
      <c r="P117">
        <v>16</v>
      </c>
    </row>
    <row r="118" spans="1:16" x14ac:dyDescent="0.25">
      <c r="A118">
        <v>117</v>
      </c>
      <c r="B118" s="19">
        <v>40549</v>
      </c>
      <c r="C118">
        <v>1</v>
      </c>
      <c r="D118">
        <v>1</v>
      </c>
      <c r="E118">
        <v>1</v>
      </c>
      <c r="F118" t="b">
        <v>0</v>
      </c>
      <c r="G118">
        <v>4</v>
      </c>
      <c r="H118">
        <v>1</v>
      </c>
      <c r="I118">
        <v>0.16</v>
      </c>
      <c r="J118">
        <v>0</v>
      </c>
      <c r="K118">
        <v>0.28789999999999999</v>
      </c>
      <c r="L118">
        <v>0.81</v>
      </c>
      <c r="M118">
        <v>0</v>
      </c>
      <c r="N118">
        <v>3</v>
      </c>
      <c r="O118">
        <v>13</v>
      </c>
      <c r="P118">
        <v>16</v>
      </c>
    </row>
    <row r="119" spans="1:16" x14ac:dyDescent="0.25">
      <c r="A119">
        <v>118</v>
      </c>
      <c r="B119" s="19">
        <v>40549</v>
      </c>
      <c r="C119">
        <v>1</v>
      </c>
      <c r="D119">
        <v>1</v>
      </c>
      <c r="E119">
        <v>2</v>
      </c>
      <c r="F119" t="b">
        <v>0</v>
      </c>
      <c r="G119">
        <v>4</v>
      </c>
      <c r="H119">
        <v>1</v>
      </c>
      <c r="I119">
        <v>0.16</v>
      </c>
      <c r="J119">
        <v>0</v>
      </c>
      <c r="K119">
        <v>0.28789999999999999</v>
      </c>
      <c r="L119">
        <v>0.81</v>
      </c>
      <c r="M119">
        <v>0</v>
      </c>
      <c r="N119">
        <v>3</v>
      </c>
      <c r="O119">
        <v>13</v>
      </c>
      <c r="P119">
        <v>16</v>
      </c>
    </row>
    <row r="120" spans="1:16" x14ac:dyDescent="0.25">
      <c r="A120">
        <v>119</v>
      </c>
      <c r="B120" s="19">
        <v>40549</v>
      </c>
      <c r="C120">
        <v>1</v>
      </c>
      <c r="D120">
        <v>1</v>
      </c>
      <c r="E120">
        <v>4</v>
      </c>
      <c r="F120" t="b">
        <v>0</v>
      </c>
      <c r="G120">
        <v>4</v>
      </c>
      <c r="H120">
        <v>2</v>
      </c>
      <c r="I120">
        <v>0.16</v>
      </c>
      <c r="J120">
        <v>0</v>
      </c>
      <c r="K120">
        <v>0.28789999999999999</v>
      </c>
      <c r="L120">
        <v>0.81</v>
      </c>
      <c r="M120">
        <v>0</v>
      </c>
      <c r="N120">
        <v>3</v>
      </c>
      <c r="O120">
        <v>13</v>
      </c>
      <c r="P120">
        <v>16</v>
      </c>
    </row>
    <row r="121" spans="1:16" x14ac:dyDescent="0.25">
      <c r="A121">
        <v>120</v>
      </c>
      <c r="B121" s="19">
        <v>40549</v>
      </c>
      <c r="C121">
        <v>1</v>
      </c>
      <c r="D121">
        <v>1</v>
      </c>
      <c r="E121">
        <v>5</v>
      </c>
      <c r="F121" t="b">
        <v>0</v>
      </c>
      <c r="G121">
        <v>4</v>
      </c>
      <c r="H121">
        <v>2</v>
      </c>
      <c r="I121">
        <v>0.14000000000000001</v>
      </c>
      <c r="J121">
        <v>0</v>
      </c>
      <c r="K121">
        <v>0.28789999999999999</v>
      </c>
      <c r="L121">
        <v>0.81</v>
      </c>
      <c r="M121">
        <v>0</v>
      </c>
      <c r="N121">
        <v>3</v>
      </c>
      <c r="O121">
        <v>13</v>
      </c>
      <c r="P121">
        <v>16</v>
      </c>
    </row>
    <row r="122" spans="1:16" x14ac:dyDescent="0.25">
      <c r="A122">
        <v>121</v>
      </c>
      <c r="B122" s="19">
        <v>40549</v>
      </c>
      <c r="C122">
        <v>1</v>
      </c>
      <c r="D122">
        <v>1</v>
      </c>
      <c r="E122">
        <v>6</v>
      </c>
      <c r="F122" t="b">
        <v>0</v>
      </c>
      <c r="G122">
        <v>4</v>
      </c>
      <c r="H122">
        <v>2</v>
      </c>
      <c r="I122">
        <v>0.14000000000000001</v>
      </c>
      <c r="J122">
        <v>0</v>
      </c>
      <c r="K122">
        <v>0.28789999999999999</v>
      </c>
      <c r="L122">
        <v>0.81</v>
      </c>
      <c r="M122">
        <v>0</v>
      </c>
      <c r="N122">
        <v>3</v>
      </c>
      <c r="O122">
        <v>13</v>
      </c>
      <c r="P122">
        <v>16</v>
      </c>
    </row>
    <row r="123" spans="1:16" x14ac:dyDescent="0.25">
      <c r="A123">
        <v>122</v>
      </c>
      <c r="B123" s="19">
        <v>40549</v>
      </c>
      <c r="C123">
        <v>1</v>
      </c>
      <c r="D123">
        <v>1</v>
      </c>
      <c r="E123">
        <v>7</v>
      </c>
      <c r="F123" t="b">
        <v>0</v>
      </c>
      <c r="G123">
        <v>4</v>
      </c>
      <c r="H123">
        <v>2</v>
      </c>
      <c r="I123">
        <v>0.16</v>
      </c>
      <c r="J123">
        <v>0</v>
      </c>
      <c r="K123">
        <v>0.28789999999999999</v>
      </c>
      <c r="L123">
        <v>0.81</v>
      </c>
      <c r="M123">
        <v>0</v>
      </c>
      <c r="N123">
        <v>3</v>
      </c>
      <c r="O123">
        <v>13</v>
      </c>
      <c r="P123">
        <v>16</v>
      </c>
    </row>
    <row r="124" spans="1:16" x14ac:dyDescent="0.25">
      <c r="A124">
        <v>123</v>
      </c>
      <c r="B124" s="19">
        <v>40549</v>
      </c>
      <c r="C124">
        <v>1</v>
      </c>
      <c r="D124">
        <v>1</v>
      </c>
      <c r="E124">
        <v>8</v>
      </c>
      <c r="F124" t="b">
        <v>0</v>
      </c>
      <c r="G124">
        <v>4</v>
      </c>
      <c r="H124">
        <v>1</v>
      </c>
      <c r="I124">
        <v>0.16</v>
      </c>
      <c r="J124">
        <v>0</v>
      </c>
      <c r="K124">
        <v>0.28789999999999999</v>
      </c>
      <c r="L124">
        <v>0.81</v>
      </c>
      <c r="M124">
        <v>0</v>
      </c>
      <c r="N124">
        <v>3</v>
      </c>
      <c r="O124">
        <v>13</v>
      </c>
      <c r="P124">
        <v>16</v>
      </c>
    </row>
    <row r="125" spans="1:16" x14ac:dyDescent="0.25">
      <c r="A125">
        <v>124</v>
      </c>
      <c r="B125" s="19">
        <v>40549</v>
      </c>
      <c r="C125">
        <v>1</v>
      </c>
      <c r="D125">
        <v>1</v>
      </c>
      <c r="E125">
        <v>9</v>
      </c>
      <c r="F125" t="b">
        <v>0</v>
      </c>
      <c r="G125">
        <v>4</v>
      </c>
      <c r="H125">
        <v>2</v>
      </c>
      <c r="I125">
        <v>0.18</v>
      </c>
      <c r="J125">
        <v>0</v>
      </c>
      <c r="K125">
        <v>0.28789999999999999</v>
      </c>
      <c r="L125">
        <v>0.81</v>
      </c>
      <c r="M125">
        <v>0</v>
      </c>
      <c r="N125">
        <v>3</v>
      </c>
      <c r="O125">
        <v>13</v>
      </c>
      <c r="P125">
        <v>16</v>
      </c>
    </row>
    <row r="126" spans="1:16" x14ac:dyDescent="0.25">
      <c r="A126">
        <v>125</v>
      </c>
      <c r="B126" s="19">
        <v>40549</v>
      </c>
      <c r="C126">
        <v>1</v>
      </c>
      <c r="D126">
        <v>1</v>
      </c>
      <c r="E126">
        <v>10</v>
      </c>
      <c r="F126" t="b">
        <v>0</v>
      </c>
      <c r="G126">
        <v>4</v>
      </c>
      <c r="H126">
        <v>1</v>
      </c>
      <c r="I126">
        <v>0.2</v>
      </c>
      <c r="J126">
        <v>0</v>
      </c>
      <c r="K126">
        <v>0.28789999999999999</v>
      </c>
      <c r="L126">
        <v>0.81</v>
      </c>
      <c r="M126">
        <v>0</v>
      </c>
      <c r="N126">
        <v>3</v>
      </c>
      <c r="O126">
        <v>13</v>
      </c>
      <c r="P126">
        <v>16</v>
      </c>
    </row>
    <row r="127" spans="1:16" x14ac:dyDescent="0.25">
      <c r="A127">
        <v>126</v>
      </c>
      <c r="B127" s="19">
        <v>40549</v>
      </c>
      <c r="C127">
        <v>1</v>
      </c>
      <c r="D127">
        <v>1</v>
      </c>
      <c r="E127">
        <v>11</v>
      </c>
      <c r="F127" t="b">
        <v>0</v>
      </c>
      <c r="G127">
        <v>4</v>
      </c>
      <c r="H127">
        <v>1</v>
      </c>
      <c r="I127">
        <v>0.22</v>
      </c>
      <c r="J127">
        <v>0</v>
      </c>
      <c r="K127">
        <v>0.28789999999999999</v>
      </c>
      <c r="L127">
        <v>0.81</v>
      </c>
      <c r="M127">
        <v>0</v>
      </c>
      <c r="N127">
        <v>3</v>
      </c>
      <c r="O127">
        <v>13</v>
      </c>
      <c r="P127">
        <v>16</v>
      </c>
    </row>
    <row r="128" spans="1:16" x14ac:dyDescent="0.25">
      <c r="A128">
        <v>127</v>
      </c>
      <c r="B128" s="19">
        <v>40549</v>
      </c>
      <c r="C128">
        <v>1</v>
      </c>
      <c r="D128">
        <v>1</v>
      </c>
      <c r="E128">
        <v>12</v>
      </c>
      <c r="F128" t="b">
        <v>0</v>
      </c>
      <c r="G128">
        <v>4</v>
      </c>
      <c r="H128">
        <v>1</v>
      </c>
      <c r="I128">
        <v>0.26</v>
      </c>
      <c r="J128">
        <v>0</v>
      </c>
      <c r="K128">
        <v>0.28789999999999999</v>
      </c>
      <c r="L128">
        <v>0.81</v>
      </c>
      <c r="M128">
        <v>0</v>
      </c>
      <c r="N128">
        <v>3</v>
      </c>
      <c r="O128">
        <v>13</v>
      </c>
      <c r="P128">
        <v>16</v>
      </c>
    </row>
    <row r="129" spans="1:16" x14ac:dyDescent="0.25">
      <c r="A129">
        <v>128</v>
      </c>
      <c r="B129" s="19">
        <v>40549</v>
      </c>
      <c r="C129">
        <v>1</v>
      </c>
      <c r="D129">
        <v>1</v>
      </c>
      <c r="E129">
        <v>13</v>
      </c>
      <c r="F129" t="b">
        <v>0</v>
      </c>
      <c r="G129">
        <v>4</v>
      </c>
      <c r="H129">
        <v>1</v>
      </c>
      <c r="I129">
        <v>0.26</v>
      </c>
      <c r="J129">
        <v>0</v>
      </c>
      <c r="K129">
        <v>0.28789999999999999</v>
      </c>
      <c r="L129">
        <v>0.81</v>
      </c>
      <c r="M129">
        <v>0</v>
      </c>
      <c r="N129">
        <v>3</v>
      </c>
      <c r="O129">
        <v>13</v>
      </c>
      <c r="P129">
        <v>16</v>
      </c>
    </row>
    <row r="130" spans="1:16" x14ac:dyDescent="0.25">
      <c r="A130">
        <v>129</v>
      </c>
      <c r="B130" s="19">
        <v>40549</v>
      </c>
      <c r="C130">
        <v>1</v>
      </c>
      <c r="D130">
        <v>1</v>
      </c>
      <c r="E130">
        <v>14</v>
      </c>
      <c r="F130" t="b">
        <v>0</v>
      </c>
      <c r="G130">
        <v>4</v>
      </c>
      <c r="H130">
        <v>1</v>
      </c>
      <c r="I130">
        <v>0.28000000000000003</v>
      </c>
      <c r="J130">
        <v>0</v>
      </c>
      <c r="K130">
        <v>0.28789999999999999</v>
      </c>
      <c r="L130">
        <v>0.81</v>
      </c>
      <c r="M130">
        <v>0</v>
      </c>
      <c r="N130">
        <v>3</v>
      </c>
      <c r="O130">
        <v>13</v>
      </c>
      <c r="P130">
        <v>16</v>
      </c>
    </row>
    <row r="131" spans="1:16" x14ac:dyDescent="0.25">
      <c r="A131">
        <v>130</v>
      </c>
      <c r="B131" s="19">
        <v>40549</v>
      </c>
      <c r="C131">
        <v>1</v>
      </c>
      <c r="D131">
        <v>1</v>
      </c>
      <c r="E131">
        <v>15</v>
      </c>
      <c r="F131" t="b">
        <v>0</v>
      </c>
      <c r="G131">
        <v>4</v>
      </c>
      <c r="H131">
        <v>1</v>
      </c>
      <c r="I131">
        <v>0.28000000000000003</v>
      </c>
      <c r="J131">
        <v>0</v>
      </c>
      <c r="K131">
        <v>0.28789999999999999</v>
      </c>
      <c r="L131">
        <v>0.81</v>
      </c>
      <c r="M131">
        <v>0</v>
      </c>
      <c r="N131">
        <v>3</v>
      </c>
      <c r="O131">
        <v>13</v>
      </c>
      <c r="P131">
        <v>16</v>
      </c>
    </row>
    <row r="132" spans="1:16" x14ac:dyDescent="0.25">
      <c r="A132">
        <v>131</v>
      </c>
      <c r="B132" s="19">
        <v>40549</v>
      </c>
      <c r="C132">
        <v>1</v>
      </c>
      <c r="D132">
        <v>1</v>
      </c>
      <c r="E132">
        <v>16</v>
      </c>
      <c r="F132" t="b">
        <v>0</v>
      </c>
      <c r="G132">
        <v>4</v>
      </c>
      <c r="H132">
        <v>1</v>
      </c>
      <c r="I132">
        <v>0.26</v>
      </c>
      <c r="J132">
        <v>0</v>
      </c>
      <c r="K132">
        <v>0.28789999999999999</v>
      </c>
      <c r="L132">
        <v>0.81</v>
      </c>
      <c r="M132">
        <v>0</v>
      </c>
      <c r="N132">
        <v>3</v>
      </c>
      <c r="O132">
        <v>13</v>
      </c>
      <c r="P132">
        <v>16</v>
      </c>
    </row>
    <row r="133" spans="1:16" x14ac:dyDescent="0.25">
      <c r="A133">
        <v>132</v>
      </c>
      <c r="B133" s="19">
        <v>40549</v>
      </c>
      <c r="C133">
        <v>1</v>
      </c>
      <c r="D133">
        <v>1</v>
      </c>
      <c r="E133">
        <v>17</v>
      </c>
      <c r="F133" t="b">
        <v>0</v>
      </c>
      <c r="G133">
        <v>4</v>
      </c>
      <c r="H133">
        <v>1</v>
      </c>
      <c r="I133">
        <v>0.22</v>
      </c>
      <c r="J133">
        <v>0</v>
      </c>
      <c r="K133">
        <v>0.28789999999999999</v>
      </c>
      <c r="L133">
        <v>0.81</v>
      </c>
      <c r="M133">
        <v>0</v>
      </c>
      <c r="N133">
        <v>3</v>
      </c>
      <c r="O133">
        <v>13</v>
      </c>
      <c r="P133">
        <v>16</v>
      </c>
    </row>
    <row r="134" spans="1:16" x14ac:dyDescent="0.25">
      <c r="A134">
        <v>133</v>
      </c>
      <c r="B134" s="19">
        <v>40549</v>
      </c>
      <c r="C134">
        <v>1</v>
      </c>
      <c r="D134">
        <v>1</v>
      </c>
      <c r="E134">
        <v>18</v>
      </c>
      <c r="F134" t="b">
        <v>0</v>
      </c>
      <c r="G134">
        <v>4</v>
      </c>
      <c r="H134">
        <v>1</v>
      </c>
      <c r="I134">
        <v>0.22</v>
      </c>
      <c r="J134">
        <v>0</v>
      </c>
      <c r="K134">
        <v>0.28789999999999999</v>
      </c>
      <c r="L134">
        <v>0.81</v>
      </c>
      <c r="M134">
        <v>0</v>
      </c>
      <c r="N134">
        <v>3</v>
      </c>
      <c r="O134">
        <v>13</v>
      </c>
      <c r="P134">
        <v>16</v>
      </c>
    </row>
    <row r="135" spans="1:16" x14ac:dyDescent="0.25">
      <c r="A135">
        <v>134</v>
      </c>
      <c r="B135" s="19">
        <v>40549</v>
      </c>
      <c r="C135">
        <v>1</v>
      </c>
      <c r="D135">
        <v>1</v>
      </c>
      <c r="E135">
        <v>19</v>
      </c>
      <c r="F135" t="b">
        <v>0</v>
      </c>
      <c r="G135">
        <v>4</v>
      </c>
      <c r="H135">
        <v>1</v>
      </c>
      <c r="I135">
        <v>0.22</v>
      </c>
      <c r="J135">
        <v>0</v>
      </c>
      <c r="K135">
        <v>0.28789999999999999</v>
      </c>
      <c r="L135">
        <v>0.81</v>
      </c>
      <c r="M135">
        <v>0</v>
      </c>
      <c r="N135">
        <v>3</v>
      </c>
      <c r="O135">
        <v>13</v>
      </c>
      <c r="P135">
        <v>16</v>
      </c>
    </row>
    <row r="136" spans="1:16" x14ac:dyDescent="0.25">
      <c r="A136">
        <v>135</v>
      </c>
      <c r="B136" s="19">
        <v>40549</v>
      </c>
      <c r="C136">
        <v>1</v>
      </c>
      <c r="D136">
        <v>1</v>
      </c>
      <c r="E136">
        <v>20</v>
      </c>
      <c r="F136" t="b">
        <v>0</v>
      </c>
      <c r="G136">
        <v>4</v>
      </c>
      <c r="H136">
        <v>1</v>
      </c>
      <c r="I136">
        <v>0.2</v>
      </c>
      <c r="J136">
        <v>0</v>
      </c>
      <c r="K136">
        <v>0.28789999999999999</v>
      </c>
      <c r="L136">
        <v>0.81</v>
      </c>
      <c r="M136">
        <v>0</v>
      </c>
      <c r="N136">
        <v>3</v>
      </c>
      <c r="O136">
        <v>13</v>
      </c>
      <c r="P136">
        <v>16</v>
      </c>
    </row>
    <row r="137" spans="1:16" x14ac:dyDescent="0.25">
      <c r="A137">
        <v>136</v>
      </c>
      <c r="B137" s="19">
        <v>40549</v>
      </c>
      <c r="C137">
        <v>1</v>
      </c>
      <c r="D137">
        <v>1</v>
      </c>
      <c r="E137">
        <v>21</v>
      </c>
      <c r="F137" t="b">
        <v>0</v>
      </c>
      <c r="G137">
        <v>4</v>
      </c>
      <c r="H137">
        <v>2</v>
      </c>
      <c r="I137">
        <v>0.22</v>
      </c>
      <c r="J137">
        <v>0</v>
      </c>
      <c r="K137">
        <v>0.28789999999999999</v>
      </c>
      <c r="L137">
        <v>0.81</v>
      </c>
      <c r="M137">
        <v>0</v>
      </c>
      <c r="N137">
        <v>3</v>
      </c>
      <c r="O137">
        <v>13</v>
      </c>
      <c r="P137">
        <v>16</v>
      </c>
    </row>
    <row r="138" spans="1:16" x14ac:dyDescent="0.25">
      <c r="A138">
        <v>137</v>
      </c>
      <c r="B138" s="19">
        <v>40549</v>
      </c>
      <c r="C138">
        <v>1</v>
      </c>
      <c r="D138">
        <v>1</v>
      </c>
      <c r="E138">
        <v>22</v>
      </c>
      <c r="F138" t="b">
        <v>0</v>
      </c>
      <c r="G138">
        <v>4</v>
      </c>
      <c r="H138">
        <v>2</v>
      </c>
      <c r="I138">
        <v>0.22</v>
      </c>
      <c r="J138">
        <v>0</v>
      </c>
      <c r="K138">
        <v>0.28789999999999999</v>
      </c>
      <c r="L138">
        <v>0.81</v>
      </c>
      <c r="M138">
        <v>0</v>
      </c>
      <c r="N138">
        <v>3</v>
      </c>
      <c r="O138">
        <v>13</v>
      </c>
      <c r="P138">
        <v>16</v>
      </c>
    </row>
    <row r="139" spans="1:16" x14ac:dyDescent="0.25">
      <c r="A139">
        <v>138</v>
      </c>
      <c r="B139" s="19">
        <v>40549</v>
      </c>
      <c r="C139">
        <v>1</v>
      </c>
      <c r="D139">
        <v>1</v>
      </c>
      <c r="E139">
        <v>23</v>
      </c>
      <c r="F139" t="b">
        <v>0</v>
      </c>
      <c r="G139">
        <v>4</v>
      </c>
      <c r="H139">
        <v>2</v>
      </c>
      <c r="I139">
        <v>0.2</v>
      </c>
      <c r="J139">
        <v>0</v>
      </c>
      <c r="K139">
        <v>0.28789999999999999</v>
      </c>
      <c r="L139">
        <v>0.81</v>
      </c>
      <c r="M139">
        <v>0</v>
      </c>
      <c r="N139">
        <v>3</v>
      </c>
      <c r="O139">
        <v>13</v>
      </c>
      <c r="P139">
        <v>16</v>
      </c>
    </row>
    <row r="140" spans="1:16" x14ac:dyDescent="0.25">
      <c r="A140">
        <v>139</v>
      </c>
      <c r="B140" s="19">
        <v>40550</v>
      </c>
      <c r="C140">
        <v>1</v>
      </c>
      <c r="D140">
        <v>1</v>
      </c>
      <c r="E140">
        <v>0</v>
      </c>
      <c r="F140" t="b">
        <v>0</v>
      </c>
      <c r="G140">
        <v>5</v>
      </c>
      <c r="H140">
        <v>2</v>
      </c>
      <c r="I140">
        <v>0.2</v>
      </c>
      <c r="J140">
        <v>0</v>
      </c>
      <c r="K140">
        <v>0.28789999999999999</v>
      </c>
      <c r="L140">
        <v>0.81</v>
      </c>
      <c r="M140">
        <v>0</v>
      </c>
      <c r="N140">
        <v>3</v>
      </c>
      <c r="O140">
        <v>13</v>
      </c>
      <c r="P140">
        <v>16</v>
      </c>
    </row>
    <row r="141" spans="1:16" x14ac:dyDescent="0.25">
      <c r="A141">
        <v>140</v>
      </c>
      <c r="B141" s="19">
        <v>40550</v>
      </c>
      <c r="C141">
        <v>1</v>
      </c>
      <c r="D141">
        <v>1</v>
      </c>
      <c r="E141">
        <v>1</v>
      </c>
      <c r="F141" t="b">
        <v>0</v>
      </c>
      <c r="G141">
        <v>5</v>
      </c>
      <c r="H141">
        <v>2</v>
      </c>
      <c r="I141">
        <v>0.2</v>
      </c>
      <c r="J141">
        <v>0</v>
      </c>
      <c r="K141">
        <v>0.28789999999999999</v>
      </c>
      <c r="L141">
        <v>0.81</v>
      </c>
      <c r="M141">
        <v>0</v>
      </c>
      <c r="N141">
        <v>3</v>
      </c>
      <c r="O141">
        <v>13</v>
      </c>
      <c r="P141">
        <v>16</v>
      </c>
    </row>
    <row r="142" spans="1:16" x14ac:dyDescent="0.25">
      <c r="A142">
        <v>141</v>
      </c>
      <c r="B142" s="19">
        <v>40550</v>
      </c>
      <c r="C142">
        <v>1</v>
      </c>
      <c r="D142">
        <v>1</v>
      </c>
      <c r="E142">
        <v>2</v>
      </c>
      <c r="F142" t="b">
        <v>0</v>
      </c>
      <c r="G142">
        <v>5</v>
      </c>
      <c r="H142">
        <v>2</v>
      </c>
      <c r="I142">
        <v>0.2</v>
      </c>
      <c r="J142">
        <v>0</v>
      </c>
      <c r="K142">
        <v>0.28789999999999999</v>
      </c>
      <c r="L142">
        <v>0.81</v>
      </c>
      <c r="M142">
        <v>0</v>
      </c>
      <c r="N142">
        <v>3</v>
      </c>
      <c r="O142">
        <v>13</v>
      </c>
      <c r="P142">
        <v>16</v>
      </c>
    </row>
    <row r="143" spans="1:16" x14ac:dyDescent="0.25">
      <c r="A143">
        <v>142</v>
      </c>
      <c r="B143" s="19">
        <v>40550</v>
      </c>
      <c r="C143">
        <v>1</v>
      </c>
      <c r="D143">
        <v>1</v>
      </c>
      <c r="E143">
        <v>4</v>
      </c>
      <c r="F143" t="b">
        <v>0</v>
      </c>
      <c r="G143">
        <v>5</v>
      </c>
      <c r="H143">
        <v>2</v>
      </c>
      <c r="I143">
        <v>0.2</v>
      </c>
      <c r="J143">
        <v>0</v>
      </c>
      <c r="K143">
        <v>0.28789999999999999</v>
      </c>
      <c r="L143">
        <v>0.81</v>
      </c>
      <c r="M143">
        <v>0</v>
      </c>
      <c r="N143">
        <v>3</v>
      </c>
      <c r="O143">
        <v>13</v>
      </c>
      <c r="P143">
        <v>16</v>
      </c>
    </row>
    <row r="144" spans="1:16" x14ac:dyDescent="0.25">
      <c r="A144">
        <v>143</v>
      </c>
      <c r="B144" s="19">
        <v>40550</v>
      </c>
      <c r="C144">
        <v>1</v>
      </c>
      <c r="D144">
        <v>1</v>
      </c>
      <c r="E144">
        <v>5</v>
      </c>
      <c r="F144" t="b">
        <v>0</v>
      </c>
      <c r="G144">
        <v>5</v>
      </c>
      <c r="H144">
        <v>3</v>
      </c>
      <c r="I144">
        <v>0.22</v>
      </c>
      <c r="J144">
        <v>0</v>
      </c>
      <c r="K144">
        <v>0.28789999999999999</v>
      </c>
      <c r="L144">
        <v>0.81</v>
      </c>
      <c r="M144">
        <v>0</v>
      </c>
      <c r="N144">
        <v>3</v>
      </c>
      <c r="O144">
        <v>13</v>
      </c>
      <c r="P144">
        <v>16</v>
      </c>
    </row>
    <row r="145" spans="1:16" x14ac:dyDescent="0.25">
      <c r="A145">
        <v>144</v>
      </c>
      <c r="B145" s="19">
        <v>40550</v>
      </c>
      <c r="C145">
        <v>1</v>
      </c>
      <c r="D145">
        <v>1</v>
      </c>
      <c r="E145">
        <v>6</v>
      </c>
      <c r="F145" t="b">
        <v>0</v>
      </c>
      <c r="G145">
        <v>5</v>
      </c>
      <c r="H145">
        <v>2</v>
      </c>
      <c r="I145">
        <v>0.2</v>
      </c>
      <c r="J145">
        <v>0</v>
      </c>
      <c r="K145">
        <v>0.28789999999999999</v>
      </c>
      <c r="L145">
        <v>0.81</v>
      </c>
      <c r="M145">
        <v>0</v>
      </c>
      <c r="N145">
        <v>3</v>
      </c>
      <c r="O145">
        <v>13</v>
      </c>
      <c r="P145">
        <v>16</v>
      </c>
    </row>
    <row r="146" spans="1:16" x14ac:dyDescent="0.25">
      <c r="A146">
        <v>145</v>
      </c>
      <c r="B146" s="19">
        <v>40550</v>
      </c>
      <c r="C146">
        <v>1</v>
      </c>
      <c r="D146">
        <v>1</v>
      </c>
      <c r="E146">
        <v>7</v>
      </c>
      <c r="F146" t="b">
        <v>0</v>
      </c>
      <c r="G146">
        <v>5</v>
      </c>
      <c r="H146">
        <v>1</v>
      </c>
      <c r="I146">
        <v>0.2</v>
      </c>
      <c r="J146">
        <v>0</v>
      </c>
      <c r="K146">
        <v>0.28789999999999999</v>
      </c>
      <c r="L146">
        <v>0.81</v>
      </c>
      <c r="M146">
        <v>0</v>
      </c>
      <c r="N146">
        <v>3</v>
      </c>
      <c r="O146">
        <v>13</v>
      </c>
      <c r="P146">
        <v>16</v>
      </c>
    </row>
    <row r="147" spans="1:16" x14ac:dyDescent="0.25">
      <c r="A147">
        <v>146</v>
      </c>
      <c r="B147" s="19">
        <v>40550</v>
      </c>
      <c r="C147">
        <v>1</v>
      </c>
      <c r="D147">
        <v>1</v>
      </c>
      <c r="E147">
        <v>8</v>
      </c>
      <c r="F147" t="b">
        <v>0</v>
      </c>
      <c r="G147">
        <v>5</v>
      </c>
      <c r="H147">
        <v>1</v>
      </c>
      <c r="I147">
        <v>0.2</v>
      </c>
      <c r="J147">
        <v>0</v>
      </c>
      <c r="K147">
        <v>0.28789999999999999</v>
      </c>
      <c r="L147">
        <v>0.81</v>
      </c>
      <c r="M147">
        <v>0</v>
      </c>
      <c r="N147">
        <v>3</v>
      </c>
      <c r="O147">
        <v>13</v>
      </c>
      <c r="P147">
        <v>16</v>
      </c>
    </row>
    <row r="148" spans="1:16" x14ac:dyDescent="0.25">
      <c r="A148">
        <v>147</v>
      </c>
      <c r="B148" s="19">
        <v>40550</v>
      </c>
      <c r="C148">
        <v>1</v>
      </c>
      <c r="D148">
        <v>1</v>
      </c>
      <c r="E148">
        <v>9</v>
      </c>
      <c r="F148" t="b">
        <v>0</v>
      </c>
      <c r="G148">
        <v>5</v>
      </c>
      <c r="H148">
        <v>1</v>
      </c>
      <c r="I148">
        <v>0.2</v>
      </c>
      <c r="J148">
        <v>0</v>
      </c>
      <c r="K148">
        <v>0.28789999999999999</v>
      </c>
      <c r="L148">
        <v>0.81</v>
      </c>
      <c r="M148">
        <v>0</v>
      </c>
      <c r="N148">
        <v>3</v>
      </c>
      <c r="O148">
        <v>13</v>
      </c>
      <c r="P148">
        <v>16</v>
      </c>
    </row>
    <row r="149" spans="1:16" x14ac:dyDescent="0.25">
      <c r="A149">
        <v>148</v>
      </c>
      <c r="B149" s="19">
        <v>40550</v>
      </c>
      <c r="C149">
        <v>1</v>
      </c>
      <c r="D149">
        <v>1</v>
      </c>
      <c r="E149">
        <v>10</v>
      </c>
      <c r="F149" t="b">
        <v>0</v>
      </c>
      <c r="G149">
        <v>5</v>
      </c>
      <c r="H149">
        <v>1</v>
      </c>
      <c r="I149">
        <v>0.22</v>
      </c>
      <c r="J149">
        <v>0</v>
      </c>
      <c r="K149">
        <v>0.28789999999999999</v>
      </c>
      <c r="L149">
        <v>0.81</v>
      </c>
      <c r="M149">
        <v>0</v>
      </c>
      <c r="N149">
        <v>3</v>
      </c>
      <c r="O149">
        <v>13</v>
      </c>
      <c r="P149">
        <v>16</v>
      </c>
    </row>
    <row r="150" spans="1:16" x14ac:dyDescent="0.25">
      <c r="A150">
        <v>149</v>
      </c>
      <c r="B150" s="19">
        <v>40550</v>
      </c>
      <c r="C150">
        <v>1</v>
      </c>
      <c r="D150">
        <v>1</v>
      </c>
      <c r="E150">
        <v>11</v>
      </c>
      <c r="F150" t="b">
        <v>0</v>
      </c>
      <c r="G150">
        <v>5</v>
      </c>
      <c r="H150">
        <v>2</v>
      </c>
      <c r="I150">
        <v>0.2</v>
      </c>
      <c r="J150">
        <v>0</v>
      </c>
      <c r="K150">
        <v>0.28789999999999999</v>
      </c>
      <c r="L150">
        <v>0.81</v>
      </c>
      <c r="M150">
        <v>0</v>
      </c>
      <c r="N150">
        <v>3</v>
      </c>
      <c r="O150">
        <v>13</v>
      </c>
      <c r="P150">
        <v>16</v>
      </c>
    </row>
    <row r="151" spans="1:16" x14ac:dyDescent="0.25">
      <c r="A151">
        <v>150</v>
      </c>
      <c r="B151" s="19">
        <v>40550</v>
      </c>
      <c r="C151">
        <v>1</v>
      </c>
      <c r="D151">
        <v>1</v>
      </c>
      <c r="E151">
        <v>12</v>
      </c>
      <c r="F151" t="b">
        <v>0</v>
      </c>
      <c r="G151">
        <v>5</v>
      </c>
      <c r="H151">
        <v>2</v>
      </c>
      <c r="I151">
        <v>0.2</v>
      </c>
      <c r="J151">
        <v>0</v>
      </c>
      <c r="K151">
        <v>0.28789999999999999</v>
      </c>
      <c r="L151">
        <v>0.81</v>
      </c>
      <c r="M151">
        <v>0</v>
      </c>
      <c r="N151">
        <v>3</v>
      </c>
      <c r="O151">
        <v>13</v>
      </c>
      <c r="P151">
        <v>16</v>
      </c>
    </row>
    <row r="152" spans="1:16" x14ac:dyDescent="0.25">
      <c r="A152">
        <v>151</v>
      </c>
      <c r="B152" s="19">
        <v>40550</v>
      </c>
      <c r="C152">
        <v>1</v>
      </c>
      <c r="D152">
        <v>1</v>
      </c>
      <c r="E152">
        <v>13</v>
      </c>
      <c r="F152" t="b">
        <v>0</v>
      </c>
      <c r="G152">
        <v>5</v>
      </c>
      <c r="H152">
        <v>2</v>
      </c>
      <c r="I152">
        <v>0.2</v>
      </c>
      <c r="J152">
        <v>0</v>
      </c>
      <c r="K152">
        <v>0.28789999999999999</v>
      </c>
      <c r="L152">
        <v>0.81</v>
      </c>
      <c r="M152">
        <v>0</v>
      </c>
      <c r="N152">
        <v>3</v>
      </c>
      <c r="O152">
        <v>13</v>
      </c>
      <c r="P152">
        <v>16</v>
      </c>
    </row>
    <row r="153" spans="1:16" x14ac:dyDescent="0.25">
      <c r="A153">
        <v>152</v>
      </c>
      <c r="B153" s="19">
        <v>40550</v>
      </c>
      <c r="C153">
        <v>1</v>
      </c>
      <c r="D153">
        <v>1</v>
      </c>
      <c r="E153">
        <v>14</v>
      </c>
      <c r="F153" t="b">
        <v>0</v>
      </c>
      <c r="G153">
        <v>5</v>
      </c>
      <c r="H153">
        <v>2</v>
      </c>
      <c r="I153">
        <v>0.2</v>
      </c>
      <c r="J153">
        <v>0</v>
      </c>
      <c r="K153">
        <v>0.28789999999999999</v>
      </c>
      <c r="L153">
        <v>0.81</v>
      </c>
      <c r="M153">
        <v>0</v>
      </c>
      <c r="N153">
        <v>3</v>
      </c>
      <c r="O153">
        <v>13</v>
      </c>
      <c r="P153">
        <v>16</v>
      </c>
    </row>
    <row r="154" spans="1:16" x14ac:dyDescent="0.25">
      <c r="A154">
        <v>153</v>
      </c>
      <c r="B154" s="19">
        <v>40550</v>
      </c>
      <c r="C154">
        <v>1</v>
      </c>
      <c r="D154">
        <v>1</v>
      </c>
      <c r="E154">
        <v>15</v>
      </c>
      <c r="F154" t="b">
        <v>0</v>
      </c>
      <c r="G154">
        <v>5</v>
      </c>
      <c r="H154">
        <v>2</v>
      </c>
      <c r="I154">
        <v>0.2</v>
      </c>
      <c r="J154">
        <v>0</v>
      </c>
      <c r="K154">
        <v>0.28789999999999999</v>
      </c>
      <c r="L154">
        <v>0.81</v>
      </c>
      <c r="M154">
        <v>0</v>
      </c>
      <c r="N154">
        <v>3</v>
      </c>
      <c r="O154">
        <v>13</v>
      </c>
      <c r="P154">
        <v>16</v>
      </c>
    </row>
    <row r="155" spans="1:16" x14ac:dyDescent="0.25">
      <c r="A155">
        <v>154</v>
      </c>
      <c r="B155" s="19">
        <v>40550</v>
      </c>
      <c r="C155">
        <v>1</v>
      </c>
      <c r="D155">
        <v>1</v>
      </c>
      <c r="E155">
        <v>16</v>
      </c>
      <c r="F155" t="b">
        <v>0</v>
      </c>
      <c r="G155">
        <v>5</v>
      </c>
      <c r="H155">
        <v>2</v>
      </c>
      <c r="I155">
        <v>0.2</v>
      </c>
      <c r="J155">
        <v>0</v>
      </c>
      <c r="K155">
        <v>0.28789999999999999</v>
      </c>
      <c r="L155">
        <v>0.81</v>
      </c>
      <c r="M155">
        <v>0</v>
      </c>
      <c r="N155">
        <v>3</v>
      </c>
      <c r="O155">
        <v>13</v>
      </c>
      <c r="P155">
        <v>16</v>
      </c>
    </row>
    <row r="156" spans="1:16" x14ac:dyDescent="0.25">
      <c r="A156">
        <v>155</v>
      </c>
      <c r="B156" s="19">
        <v>40550</v>
      </c>
      <c r="C156">
        <v>1</v>
      </c>
      <c r="D156">
        <v>1</v>
      </c>
      <c r="E156">
        <v>17</v>
      </c>
      <c r="F156" t="b">
        <v>0</v>
      </c>
      <c r="G156">
        <v>5</v>
      </c>
      <c r="H156">
        <v>2</v>
      </c>
      <c r="I156">
        <v>0.2</v>
      </c>
      <c r="J156">
        <v>0</v>
      </c>
      <c r="K156">
        <v>0.28789999999999999</v>
      </c>
      <c r="L156">
        <v>0.81</v>
      </c>
      <c r="M156">
        <v>0</v>
      </c>
      <c r="N156">
        <v>3</v>
      </c>
      <c r="O156">
        <v>13</v>
      </c>
      <c r="P156">
        <v>16</v>
      </c>
    </row>
    <row r="157" spans="1:16" x14ac:dyDescent="0.25">
      <c r="A157">
        <v>156</v>
      </c>
      <c r="B157" s="19">
        <v>40550</v>
      </c>
      <c r="C157">
        <v>1</v>
      </c>
      <c r="D157">
        <v>1</v>
      </c>
      <c r="E157">
        <v>18</v>
      </c>
      <c r="F157" t="b">
        <v>0</v>
      </c>
      <c r="G157">
        <v>5</v>
      </c>
      <c r="H157">
        <v>1</v>
      </c>
      <c r="I157">
        <v>0.2</v>
      </c>
      <c r="J157">
        <v>0</v>
      </c>
      <c r="K157">
        <v>0.28789999999999999</v>
      </c>
      <c r="L157">
        <v>0.81</v>
      </c>
      <c r="M157">
        <v>0</v>
      </c>
      <c r="N157">
        <v>3</v>
      </c>
      <c r="O157">
        <v>13</v>
      </c>
      <c r="P157">
        <v>16</v>
      </c>
    </row>
    <row r="158" spans="1:16" x14ac:dyDescent="0.25">
      <c r="A158">
        <v>157</v>
      </c>
      <c r="B158" s="19">
        <v>40550</v>
      </c>
      <c r="C158">
        <v>1</v>
      </c>
      <c r="D158">
        <v>1</v>
      </c>
      <c r="E158">
        <v>19</v>
      </c>
      <c r="F158" t="b">
        <v>0</v>
      </c>
      <c r="G158">
        <v>5</v>
      </c>
      <c r="H158">
        <v>1</v>
      </c>
      <c r="I158">
        <v>0.16</v>
      </c>
      <c r="J158">
        <v>0</v>
      </c>
      <c r="K158">
        <v>0.28789999999999999</v>
      </c>
      <c r="L158">
        <v>0.81</v>
      </c>
      <c r="M158">
        <v>0</v>
      </c>
      <c r="N158">
        <v>3</v>
      </c>
      <c r="O158">
        <v>13</v>
      </c>
      <c r="P158">
        <v>16</v>
      </c>
    </row>
    <row r="159" spans="1:16" x14ac:dyDescent="0.25">
      <c r="A159">
        <v>158</v>
      </c>
      <c r="B159" s="19">
        <v>40550</v>
      </c>
      <c r="C159">
        <v>1</v>
      </c>
      <c r="D159">
        <v>1</v>
      </c>
      <c r="E159">
        <v>20</v>
      </c>
      <c r="F159" t="b">
        <v>0</v>
      </c>
      <c r="G159">
        <v>5</v>
      </c>
      <c r="H159">
        <v>1</v>
      </c>
      <c r="I159">
        <v>0.18</v>
      </c>
      <c r="J159">
        <v>0</v>
      </c>
      <c r="K159">
        <v>0.28789999999999999</v>
      </c>
      <c r="L159">
        <v>0.81</v>
      </c>
      <c r="M159">
        <v>0</v>
      </c>
      <c r="N159">
        <v>3</v>
      </c>
      <c r="O159">
        <v>13</v>
      </c>
      <c r="P159">
        <v>16</v>
      </c>
    </row>
    <row r="160" spans="1:16" x14ac:dyDescent="0.25">
      <c r="A160">
        <v>159</v>
      </c>
      <c r="B160" s="19">
        <v>40550</v>
      </c>
      <c r="C160">
        <v>1</v>
      </c>
      <c r="D160">
        <v>1</v>
      </c>
      <c r="E160">
        <v>21</v>
      </c>
      <c r="F160" t="b">
        <v>0</v>
      </c>
      <c r="G160">
        <v>5</v>
      </c>
      <c r="H160">
        <v>1</v>
      </c>
      <c r="I160">
        <v>0.18</v>
      </c>
      <c r="J160">
        <v>0</v>
      </c>
      <c r="K160">
        <v>0.28789999999999999</v>
      </c>
      <c r="L160">
        <v>0.81</v>
      </c>
      <c r="M160">
        <v>0</v>
      </c>
      <c r="N160">
        <v>3</v>
      </c>
      <c r="O160">
        <v>13</v>
      </c>
      <c r="P160">
        <v>16</v>
      </c>
    </row>
    <row r="161" spans="1:16" x14ac:dyDescent="0.25">
      <c r="A161">
        <v>160</v>
      </c>
      <c r="B161" s="19">
        <v>40550</v>
      </c>
      <c r="C161">
        <v>1</v>
      </c>
      <c r="D161">
        <v>1</v>
      </c>
      <c r="E161">
        <v>22</v>
      </c>
      <c r="F161" t="b">
        <v>0</v>
      </c>
      <c r="G161">
        <v>5</v>
      </c>
      <c r="H161">
        <v>2</v>
      </c>
      <c r="I161">
        <v>0.18</v>
      </c>
      <c r="J161">
        <v>0</v>
      </c>
      <c r="K161">
        <v>0.28789999999999999</v>
      </c>
      <c r="L161">
        <v>0.81</v>
      </c>
      <c r="M161">
        <v>0</v>
      </c>
      <c r="N161">
        <v>3</v>
      </c>
      <c r="O161">
        <v>13</v>
      </c>
      <c r="P161">
        <v>16</v>
      </c>
    </row>
    <row r="162" spans="1:16" x14ac:dyDescent="0.25">
      <c r="A162">
        <v>161</v>
      </c>
      <c r="B162" s="19">
        <v>40550</v>
      </c>
      <c r="C162">
        <v>1</v>
      </c>
      <c r="D162">
        <v>1</v>
      </c>
      <c r="E162">
        <v>23</v>
      </c>
      <c r="F162" t="b">
        <v>0</v>
      </c>
      <c r="G162">
        <v>5</v>
      </c>
      <c r="H162">
        <v>2</v>
      </c>
      <c r="I162">
        <v>0.18</v>
      </c>
      <c r="J162">
        <v>0</v>
      </c>
      <c r="K162">
        <v>0.28789999999999999</v>
      </c>
      <c r="L162">
        <v>0.81</v>
      </c>
      <c r="M162">
        <v>0</v>
      </c>
      <c r="N162">
        <v>3</v>
      </c>
      <c r="O162">
        <v>13</v>
      </c>
      <c r="P162">
        <v>16</v>
      </c>
    </row>
    <row r="163" spans="1:16" x14ac:dyDescent="0.25">
      <c r="A163">
        <v>162</v>
      </c>
      <c r="B163" s="19">
        <v>40551</v>
      </c>
      <c r="C163">
        <v>1</v>
      </c>
      <c r="D163">
        <v>1</v>
      </c>
      <c r="E163">
        <v>0</v>
      </c>
      <c r="F163" t="b">
        <v>0</v>
      </c>
      <c r="G163">
        <v>6</v>
      </c>
      <c r="H163">
        <v>2</v>
      </c>
      <c r="I163">
        <v>0.18</v>
      </c>
      <c r="J163">
        <v>0</v>
      </c>
      <c r="K163">
        <v>0.28789999999999999</v>
      </c>
      <c r="L163">
        <v>0.81</v>
      </c>
      <c r="M163">
        <v>0</v>
      </c>
      <c r="N163">
        <v>3</v>
      </c>
      <c r="O163">
        <v>13</v>
      </c>
      <c r="P163">
        <v>16</v>
      </c>
    </row>
    <row r="164" spans="1:16" x14ac:dyDescent="0.25">
      <c r="A164">
        <v>163</v>
      </c>
      <c r="B164" s="19">
        <v>40551</v>
      </c>
      <c r="C164">
        <v>1</v>
      </c>
      <c r="D164">
        <v>1</v>
      </c>
      <c r="E164">
        <v>1</v>
      </c>
      <c r="F164" t="b">
        <v>0</v>
      </c>
      <c r="G164">
        <v>6</v>
      </c>
      <c r="H164">
        <v>2</v>
      </c>
      <c r="I164">
        <v>0.18</v>
      </c>
      <c r="J164">
        <v>0</v>
      </c>
      <c r="K164">
        <v>0.28789999999999999</v>
      </c>
      <c r="L164">
        <v>0.81</v>
      </c>
      <c r="M164">
        <v>0</v>
      </c>
      <c r="N164">
        <v>3</v>
      </c>
      <c r="O164">
        <v>13</v>
      </c>
      <c r="P164">
        <v>16</v>
      </c>
    </row>
    <row r="165" spans="1:16" x14ac:dyDescent="0.25">
      <c r="A165">
        <v>164</v>
      </c>
      <c r="B165" s="19">
        <v>40551</v>
      </c>
      <c r="C165">
        <v>1</v>
      </c>
      <c r="D165">
        <v>1</v>
      </c>
      <c r="E165">
        <v>2</v>
      </c>
      <c r="F165" t="b">
        <v>0</v>
      </c>
      <c r="G165">
        <v>6</v>
      </c>
      <c r="H165">
        <v>2</v>
      </c>
      <c r="I165">
        <v>0.18</v>
      </c>
      <c r="J165">
        <v>0</v>
      </c>
      <c r="K165">
        <v>0.28789999999999999</v>
      </c>
      <c r="L165">
        <v>0.81</v>
      </c>
      <c r="M165">
        <v>0</v>
      </c>
      <c r="N165">
        <v>3</v>
      </c>
      <c r="O165">
        <v>13</v>
      </c>
      <c r="P165">
        <v>16</v>
      </c>
    </row>
    <row r="166" spans="1:16" x14ac:dyDescent="0.25">
      <c r="A166">
        <v>165</v>
      </c>
      <c r="B166" s="19">
        <v>40551</v>
      </c>
      <c r="C166">
        <v>1</v>
      </c>
      <c r="D166">
        <v>1</v>
      </c>
      <c r="E166">
        <v>3</v>
      </c>
      <c r="F166" t="b">
        <v>0</v>
      </c>
      <c r="G166">
        <v>6</v>
      </c>
      <c r="H166">
        <v>3</v>
      </c>
      <c r="I166">
        <v>0.18</v>
      </c>
      <c r="J166">
        <v>0</v>
      </c>
      <c r="K166">
        <v>0.28789999999999999</v>
      </c>
      <c r="L166">
        <v>0.81</v>
      </c>
      <c r="M166">
        <v>0</v>
      </c>
      <c r="N166">
        <v>3</v>
      </c>
      <c r="O166">
        <v>13</v>
      </c>
      <c r="P166">
        <v>16</v>
      </c>
    </row>
    <row r="167" spans="1:16" x14ac:dyDescent="0.25">
      <c r="A167">
        <v>166</v>
      </c>
      <c r="B167" s="19">
        <v>40551</v>
      </c>
      <c r="C167">
        <v>1</v>
      </c>
      <c r="D167">
        <v>1</v>
      </c>
      <c r="E167">
        <v>4</v>
      </c>
      <c r="F167" t="b">
        <v>0</v>
      </c>
      <c r="G167">
        <v>6</v>
      </c>
      <c r="H167">
        <v>3</v>
      </c>
      <c r="I167">
        <v>0.18</v>
      </c>
      <c r="J167">
        <v>0</v>
      </c>
      <c r="K167">
        <v>0.28789999999999999</v>
      </c>
      <c r="L167">
        <v>0.81</v>
      </c>
      <c r="M167">
        <v>0</v>
      </c>
      <c r="N167">
        <v>3</v>
      </c>
      <c r="O167">
        <v>13</v>
      </c>
      <c r="P167">
        <v>16</v>
      </c>
    </row>
    <row r="168" spans="1:16" x14ac:dyDescent="0.25">
      <c r="A168">
        <v>167</v>
      </c>
      <c r="B168" s="19">
        <v>40551</v>
      </c>
      <c r="C168">
        <v>1</v>
      </c>
      <c r="D168">
        <v>1</v>
      </c>
      <c r="E168">
        <v>5</v>
      </c>
      <c r="F168" t="b">
        <v>0</v>
      </c>
      <c r="G168">
        <v>6</v>
      </c>
      <c r="H168">
        <v>2</v>
      </c>
      <c r="I168">
        <v>0.16</v>
      </c>
      <c r="J168">
        <v>0</v>
      </c>
      <c r="K168">
        <v>0.28789999999999999</v>
      </c>
      <c r="L168">
        <v>0.81</v>
      </c>
      <c r="M168">
        <v>0</v>
      </c>
      <c r="N168">
        <v>3</v>
      </c>
      <c r="O168">
        <v>13</v>
      </c>
      <c r="P168">
        <v>16</v>
      </c>
    </row>
    <row r="169" spans="1:16" x14ac:dyDescent="0.25">
      <c r="A169">
        <v>168</v>
      </c>
      <c r="B169" s="19">
        <v>40551</v>
      </c>
      <c r="C169">
        <v>1</v>
      </c>
      <c r="D169">
        <v>1</v>
      </c>
      <c r="E169">
        <v>6</v>
      </c>
      <c r="F169" t="b">
        <v>0</v>
      </c>
      <c r="G169">
        <v>6</v>
      </c>
      <c r="H169">
        <v>2</v>
      </c>
      <c r="I169">
        <v>0.16</v>
      </c>
      <c r="J169">
        <v>0</v>
      </c>
      <c r="K169">
        <v>0.28789999999999999</v>
      </c>
      <c r="L169">
        <v>0.81</v>
      </c>
      <c r="M169">
        <v>0</v>
      </c>
      <c r="N169">
        <v>3</v>
      </c>
      <c r="O169">
        <v>13</v>
      </c>
      <c r="P169">
        <v>16</v>
      </c>
    </row>
    <row r="170" spans="1:16" x14ac:dyDescent="0.25">
      <c r="A170">
        <v>169</v>
      </c>
      <c r="B170" s="19">
        <v>40551</v>
      </c>
      <c r="C170">
        <v>1</v>
      </c>
      <c r="D170">
        <v>1</v>
      </c>
      <c r="E170">
        <v>7</v>
      </c>
      <c r="F170" t="b">
        <v>0</v>
      </c>
      <c r="G170">
        <v>6</v>
      </c>
      <c r="H170">
        <v>2</v>
      </c>
      <c r="I170">
        <v>0.16</v>
      </c>
      <c r="J170">
        <v>0</v>
      </c>
      <c r="K170">
        <v>0.28789999999999999</v>
      </c>
      <c r="L170">
        <v>0.81</v>
      </c>
      <c r="M170">
        <v>0</v>
      </c>
      <c r="N170">
        <v>3</v>
      </c>
      <c r="O170">
        <v>13</v>
      </c>
      <c r="P170">
        <v>16</v>
      </c>
    </row>
    <row r="171" spans="1:16" x14ac:dyDescent="0.25">
      <c r="A171">
        <v>170</v>
      </c>
      <c r="B171" s="19">
        <v>40551</v>
      </c>
      <c r="C171">
        <v>1</v>
      </c>
      <c r="D171">
        <v>1</v>
      </c>
      <c r="E171">
        <v>8</v>
      </c>
      <c r="F171" t="b">
        <v>0</v>
      </c>
      <c r="G171">
        <v>6</v>
      </c>
      <c r="H171">
        <v>3</v>
      </c>
      <c r="I171">
        <v>0.16</v>
      </c>
      <c r="J171">
        <v>0</v>
      </c>
      <c r="K171">
        <v>0.28789999999999999</v>
      </c>
      <c r="L171">
        <v>0.81</v>
      </c>
      <c r="M171">
        <v>0</v>
      </c>
      <c r="N171">
        <v>3</v>
      </c>
      <c r="O171">
        <v>13</v>
      </c>
      <c r="P171">
        <v>16</v>
      </c>
    </row>
    <row r="172" spans="1:16" x14ac:dyDescent="0.25">
      <c r="A172">
        <v>171</v>
      </c>
      <c r="B172" s="19">
        <v>40551</v>
      </c>
      <c r="C172">
        <v>1</v>
      </c>
      <c r="D172">
        <v>1</v>
      </c>
      <c r="E172">
        <v>9</v>
      </c>
      <c r="F172" t="b">
        <v>0</v>
      </c>
      <c r="G172">
        <v>6</v>
      </c>
      <c r="H172">
        <v>3</v>
      </c>
      <c r="I172">
        <v>0.16</v>
      </c>
      <c r="J172">
        <v>0</v>
      </c>
      <c r="K172">
        <v>0.28789999999999999</v>
      </c>
      <c r="L172">
        <v>0.81</v>
      </c>
      <c r="M172">
        <v>0</v>
      </c>
      <c r="N172">
        <v>3</v>
      </c>
      <c r="O172">
        <v>13</v>
      </c>
      <c r="P172">
        <v>16</v>
      </c>
    </row>
    <row r="173" spans="1:16" x14ac:dyDescent="0.25">
      <c r="A173">
        <v>172</v>
      </c>
      <c r="B173" s="19">
        <v>40551</v>
      </c>
      <c r="C173">
        <v>1</v>
      </c>
      <c r="D173">
        <v>1</v>
      </c>
      <c r="E173">
        <v>10</v>
      </c>
      <c r="F173" t="b">
        <v>0</v>
      </c>
      <c r="G173">
        <v>6</v>
      </c>
      <c r="H173">
        <v>2</v>
      </c>
      <c r="I173">
        <v>0.18</v>
      </c>
      <c r="J173">
        <v>0</v>
      </c>
      <c r="K173">
        <v>0.28789999999999999</v>
      </c>
      <c r="L173">
        <v>0.81</v>
      </c>
      <c r="M173">
        <v>0</v>
      </c>
      <c r="N173">
        <v>3</v>
      </c>
      <c r="O173">
        <v>13</v>
      </c>
      <c r="P173">
        <v>16</v>
      </c>
    </row>
    <row r="174" spans="1:16" x14ac:dyDescent="0.25">
      <c r="A174">
        <v>173</v>
      </c>
      <c r="B174" s="19">
        <v>40551</v>
      </c>
      <c r="C174">
        <v>1</v>
      </c>
      <c r="D174">
        <v>1</v>
      </c>
      <c r="E174">
        <v>11</v>
      </c>
      <c r="F174" t="b">
        <v>0</v>
      </c>
      <c r="G174">
        <v>6</v>
      </c>
      <c r="H174">
        <v>2</v>
      </c>
      <c r="I174">
        <v>0.2</v>
      </c>
      <c r="J174">
        <v>0</v>
      </c>
      <c r="K174">
        <v>0.28789999999999999</v>
      </c>
      <c r="L174">
        <v>0.81</v>
      </c>
      <c r="M174">
        <v>0</v>
      </c>
      <c r="N174">
        <v>3</v>
      </c>
      <c r="O174">
        <v>13</v>
      </c>
      <c r="P174">
        <v>16</v>
      </c>
    </row>
    <row r="175" spans="1:16" x14ac:dyDescent="0.25">
      <c r="A175">
        <v>174</v>
      </c>
      <c r="B175" s="19">
        <v>40551</v>
      </c>
      <c r="C175">
        <v>1</v>
      </c>
      <c r="D175">
        <v>1</v>
      </c>
      <c r="E175">
        <v>12</v>
      </c>
      <c r="F175" t="b">
        <v>0</v>
      </c>
      <c r="G175">
        <v>6</v>
      </c>
      <c r="H175">
        <v>2</v>
      </c>
      <c r="I175">
        <v>0.2</v>
      </c>
      <c r="J175">
        <v>0</v>
      </c>
      <c r="K175">
        <v>0.28789999999999999</v>
      </c>
      <c r="L175">
        <v>0.81</v>
      </c>
      <c r="M175">
        <v>0</v>
      </c>
      <c r="N175">
        <v>3</v>
      </c>
      <c r="O175">
        <v>13</v>
      </c>
      <c r="P175">
        <v>16</v>
      </c>
    </row>
    <row r="176" spans="1:16" x14ac:dyDescent="0.25">
      <c r="A176">
        <v>175</v>
      </c>
      <c r="B176" s="19">
        <v>40551</v>
      </c>
      <c r="C176">
        <v>1</v>
      </c>
      <c r="D176">
        <v>1</v>
      </c>
      <c r="E176">
        <v>13</v>
      </c>
      <c r="F176" t="b">
        <v>0</v>
      </c>
      <c r="G176">
        <v>6</v>
      </c>
      <c r="H176">
        <v>1</v>
      </c>
      <c r="I176">
        <v>0.2</v>
      </c>
      <c r="J176">
        <v>0</v>
      </c>
      <c r="K176">
        <v>0.28789999999999999</v>
      </c>
      <c r="L176">
        <v>0.81</v>
      </c>
      <c r="M176">
        <v>0</v>
      </c>
      <c r="N176">
        <v>3</v>
      </c>
      <c r="O176">
        <v>13</v>
      </c>
      <c r="P176">
        <v>16</v>
      </c>
    </row>
    <row r="177" spans="1:16" x14ac:dyDescent="0.25">
      <c r="A177">
        <v>176</v>
      </c>
      <c r="B177" s="19">
        <v>40551</v>
      </c>
      <c r="C177">
        <v>1</v>
      </c>
      <c r="D177">
        <v>1</v>
      </c>
      <c r="E177">
        <v>14</v>
      </c>
      <c r="F177" t="b">
        <v>0</v>
      </c>
      <c r="G177">
        <v>6</v>
      </c>
      <c r="H177">
        <v>1</v>
      </c>
      <c r="I177">
        <v>0.2</v>
      </c>
      <c r="J177">
        <v>0</v>
      </c>
      <c r="K177">
        <v>0.28789999999999999</v>
      </c>
      <c r="L177">
        <v>0.81</v>
      </c>
      <c r="M177">
        <v>0</v>
      </c>
      <c r="N177">
        <v>3</v>
      </c>
      <c r="O177">
        <v>13</v>
      </c>
      <c r="P177">
        <v>16</v>
      </c>
    </row>
    <row r="178" spans="1:16" x14ac:dyDescent="0.25">
      <c r="A178">
        <v>177</v>
      </c>
      <c r="B178" s="19">
        <v>40551</v>
      </c>
      <c r="C178">
        <v>1</v>
      </c>
      <c r="D178">
        <v>1</v>
      </c>
      <c r="E178">
        <v>15</v>
      </c>
      <c r="F178" t="b">
        <v>0</v>
      </c>
      <c r="G178">
        <v>6</v>
      </c>
      <c r="H178">
        <v>1</v>
      </c>
      <c r="I178">
        <v>0.2</v>
      </c>
      <c r="J178">
        <v>0</v>
      </c>
      <c r="K178">
        <v>0.28789999999999999</v>
      </c>
      <c r="L178">
        <v>0.81</v>
      </c>
      <c r="M178">
        <v>0</v>
      </c>
      <c r="N178">
        <v>3</v>
      </c>
      <c r="O178">
        <v>13</v>
      </c>
      <c r="P178">
        <v>16</v>
      </c>
    </row>
    <row r="179" spans="1:16" x14ac:dyDescent="0.25">
      <c r="A179">
        <v>178</v>
      </c>
      <c r="B179" s="19">
        <v>40551</v>
      </c>
      <c r="C179">
        <v>1</v>
      </c>
      <c r="D179">
        <v>1</v>
      </c>
      <c r="E179">
        <v>16</v>
      </c>
      <c r="F179" t="b">
        <v>0</v>
      </c>
      <c r="G179">
        <v>6</v>
      </c>
      <c r="H179">
        <v>1</v>
      </c>
      <c r="I179">
        <v>0.18</v>
      </c>
      <c r="J179">
        <v>0</v>
      </c>
      <c r="K179">
        <v>0.28789999999999999</v>
      </c>
      <c r="L179">
        <v>0.81</v>
      </c>
      <c r="M179">
        <v>0</v>
      </c>
      <c r="N179">
        <v>3</v>
      </c>
      <c r="O179">
        <v>13</v>
      </c>
      <c r="P179">
        <v>16</v>
      </c>
    </row>
    <row r="180" spans="1:16" x14ac:dyDescent="0.25">
      <c r="A180">
        <v>179</v>
      </c>
      <c r="B180" s="19">
        <v>40551</v>
      </c>
      <c r="C180">
        <v>1</v>
      </c>
      <c r="D180">
        <v>1</v>
      </c>
      <c r="E180">
        <v>17</v>
      </c>
      <c r="F180" t="b">
        <v>0</v>
      </c>
      <c r="G180">
        <v>6</v>
      </c>
      <c r="H180">
        <v>1</v>
      </c>
      <c r="I180">
        <v>0.16</v>
      </c>
      <c r="J180">
        <v>0</v>
      </c>
      <c r="K180">
        <v>0.28789999999999999</v>
      </c>
      <c r="L180">
        <v>0.81</v>
      </c>
      <c r="M180">
        <v>0</v>
      </c>
      <c r="N180">
        <v>3</v>
      </c>
      <c r="O180">
        <v>13</v>
      </c>
      <c r="P180">
        <v>16</v>
      </c>
    </row>
    <row r="181" spans="1:16" x14ac:dyDescent="0.25">
      <c r="A181">
        <v>180</v>
      </c>
      <c r="B181" s="19">
        <v>40551</v>
      </c>
      <c r="C181">
        <v>1</v>
      </c>
      <c r="D181">
        <v>1</v>
      </c>
      <c r="E181">
        <v>18</v>
      </c>
      <c r="F181" t="b">
        <v>0</v>
      </c>
      <c r="G181">
        <v>6</v>
      </c>
      <c r="H181">
        <v>1</v>
      </c>
      <c r="I181">
        <v>0.14000000000000001</v>
      </c>
      <c r="J181">
        <v>0</v>
      </c>
      <c r="K181">
        <v>0.28789999999999999</v>
      </c>
      <c r="L181">
        <v>0.81</v>
      </c>
      <c r="M181">
        <v>0</v>
      </c>
      <c r="N181">
        <v>3</v>
      </c>
      <c r="O181">
        <v>13</v>
      </c>
      <c r="P181">
        <v>16</v>
      </c>
    </row>
    <row r="182" spans="1:16" x14ac:dyDescent="0.25">
      <c r="A182">
        <v>181</v>
      </c>
      <c r="B182" s="19">
        <v>40551</v>
      </c>
      <c r="C182">
        <v>1</v>
      </c>
      <c r="D182">
        <v>1</v>
      </c>
      <c r="E182">
        <v>19</v>
      </c>
      <c r="F182" t="b">
        <v>0</v>
      </c>
      <c r="G182">
        <v>6</v>
      </c>
      <c r="H182">
        <v>1</v>
      </c>
      <c r="I182">
        <v>0.14000000000000001</v>
      </c>
      <c r="J182">
        <v>0</v>
      </c>
      <c r="K182">
        <v>0.28789999999999999</v>
      </c>
      <c r="L182">
        <v>0.81</v>
      </c>
      <c r="M182">
        <v>0</v>
      </c>
      <c r="N182">
        <v>3</v>
      </c>
      <c r="O182">
        <v>13</v>
      </c>
      <c r="P182">
        <v>16</v>
      </c>
    </row>
    <row r="183" spans="1:16" x14ac:dyDescent="0.25">
      <c r="A183">
        <v>182</v>
      </c>
      <c r="B183" s="19">
        <v>40551</v>
      </c>
      <c r="C183">
        <v>1</v>
      </c>
      <c r="D183">
        <v>1</v>
      </c>
      <c r="E183">
        <v>20</v>
      </c>
      <c r="F183" t="b">
        <v>0</v>
      </c>
      <c r="G183">
        <v>6</v>
      </c>
      <c r="H183">
        <v>1</v>
      </c>
      <c r="I183">
        <v>0.12</v>
      </c>
      <c r="J183">
        <v>0</v>
      </c>
      <c r="K183">
        <v>0.28789999999999999</v>
      </c>
      <c r="L183">
        <v>0.81</v>
      </c>
      <c r="M183">
        <v>0</v>
      </c>
      <c r="N183">
        <v>3</v>
      </c>
      <c r="O183">
        <v>13</v>
      </c>
      <c r="P183">
        <v>16</v>
      </c>
    </row>
    <row r="184" spans="1:16" x14ac:dyDescent="0.25">
      <c r="A184">
        <v>183</v>
      </c>
      <c r="B184" s="19">
        <v>40551</v>
      </c>
      <c r="C184">
        <v>1</v>
      </c>
      <c r="D184">
        <v>1</v>
      </c>
      <c r="E184">
        <v>21</v>
      </c>
      <c r="F184" t="b">
        <v>0</v>
      </c>
      <c r="G184">
        <v>6</v>
      </c>
      <c r="H184">
        <v>1</v>
      </c>
      <c r="I184">
        <v>0.12</v>
      </c>
      <c r="J184">
        <v>0</v>
      </c>
      <c r="K184">
        <v>0.28789999999999999</v>
      </c>
      <c r="L184">
        <v>0.81</v>
      </c>
      <c r="M184">
        <v>0</v>
      </c>
      <c r="N184">
        <v>3</v>
      </c>
      <c r="O184">
        <v>13</v>
      </c>
      <c r="P184">
        <v>16</v>
      </c>
    </row>
    <row r="185" spans="1:16" x14ac:dyDescent="0.25">
      <c r="A185">
        <v>184</v>
      </c>
      <c r="B185" s="19">
        <v>40551</v>
      </c>
      <c r="C185">
        <v>1</v>
      </c>
      <c r="D185">
        <v>1</v>
      </c>
      <c r="E185">
        <v>22</v>
      </c>
      <c r="F185" t="b">
        <v>0</v>
      </c>
      <c r="G185">
        <v>6</v>
      </c>
      <c r="H185">
        <v>1</v>
      </c>
      <c r="I185">
        <v>0.12</v>
      </c>
      <c r="J185">
        <v>0</v>
      </c>
      <c r="K185">
        <v>0.28789999999999999</v>
      </c>
      <c r="L185">
        <v>0.81</v>
      </c>
      <c r="M185">
        <v>0</v>
      </c>
      <c r="N185">
        <v>3</v>
      </c>
      <c r="O185">
        <v>13</v>
      </c>
      <c r="P185">
        <v>16</v>
      </c>
    </row>
    <row r="186" spans="1:16" x14ac:dyDescent="0.25">
      <c r="A186">
        <v>185</v>
      </c>
      <c r="B186" s="19">
        <v>40551</v>
      </c>
      <c r="C186">
        <v>1</v>
      </c>
      <c r="D186">
        <v>1</v>
      </c>
      <c r="E186">
        <v>23</v>
      </c>
      <c r="F186" t="b">
        <v>0</v>
      </c>
      <c r="G186">
        <v>6</v>
      </c>
      <c r="H186">
        <v>1</v>
      </c>
      <c r="I186">
        <v>0.1</v>
      </c>
      <c r="J186">
        <v>0</v>
      </c>
      <c r="K186">
        <v>0.28789999999999999</v>
      </c>
      <c r="L186">
        <v>0.81</v>
      </c>
      <c r="M186">
        <v>0</v>
      </c>
      <c r="N186">
        <v>3</v>
      </c>
      <c r="O186">
        <v>13</v>
      </c>
      <c r="P186">
        <v>16</v>
      </c>
    </row>
    <row r="187" spans="1:16" x14ac:dyDescent="0.25">
      <c r="A187">
        <v>186</v>
      </c>
      <c r="B187" s="19">
        <v>40552</v>
      </c>
      <c r="C187">
        <v>1</v>
      </c>
      <c r="D187">
        <v>1</v>
      </c>
      <c r="E187">
        <v>0</v>
      </c>
      <c r="F187" t="b">
        <v>0</v>
      </c>
      <c r="G187">
        <v>0</v>
      </c>
      <c r="H187">
        <v>1</v>
      </c>
      <c r="I187">
        <v>0.1</v>
      </c>
      <c r="J187">
        <v>0</v>
      </c>
      <c r="K187">
        <v>0.28789999999999999</v>
      </c>
      <c r="L187">
        <v>0.81</v>
      </c>
      <c r="M187">
        <v>0</v>
      </c>
      <c r="N187">
        <v>3</v>
      </c>
      <c r="O187">
        <v>13</v>
      </c>
      <c r="P187">
        <v>16</v>
      </c>
    </row>
    <row r="188" spans="1:16" x14ac:dyDescent="0.25">
      <c r="A188">
        <v>187</v>
      </c>
      <c r="B188" s="19">
        <v>40552</v>
      </c>
      <c r="C188">
        <v>1</v>
      </c>
      <c r="D188">
        <v>1</v>
      </c>
      <c r="E188">
        <v>1</v>
      </c>
      <c r="F188" t="b">
        <v>0</v>
      </c>
      <c r="G188">
        <v>0</v>
      </c>
      <c r="H188">
        <v>1</v>
      </c>
      <c r="I188">
        <v>0.1</v>
      </c>
      <c r="J188">
        <v>0</v>
      </c>
      <c r="K188">
        <v>0.28789999999999999</v>
      </c>
      <c r="L188">
        <v>0.81</v>
      </c>
      <c r="M188">
        <v>0</v>
      </c>
      <c r="N188">
        <v>3</v>
      </c>
      <c r="O188">
        <v>13</v>
      </c>
      <c r="P188">
        <v>16</v>
      </c>
    </row>
    <row r="189" spans="1:16" x14ac:dyDescent="0.25">
      <c r="A189">
        <v>188</v>
      </c>
      <c r="B189" s="19">
        <v>40552</v>
      </c>
      <c r="C189">
        <v>1</v>
      </c>
      <c r="D189">
        <v>1</v>
      </c>
      <c r="E189">
        <v>2</v>
      </c>
      <c r="F189" t="b">
        <v>0</v>
      </c>
      <c r="G189">
        <v>0</v>
      </c>
      <c r="H189">
        <v>1</v>
      </c>
      <c r="I189">
        <v>0.1</v>
      </c>
      <c r="J189">
        <v>0</v>
      </c>
      <c r="K189">
        <v>0.28789999999999999</v>
      </c>
      <c r="L189">
        <v>0.81</v>
      </c>
      <c r="M189">
        <v>0</v>
      </c>
      <c r="N189">
        <v>3</v>
      </c>
      <c r="O189">
        <v>13</v>
      </c>
      <c r="P189">
        <v>16</v>
      </c>
    </row>
    <row r="190" spans="1:16" x14ac:dyDescent="0.25">
      <c r="A190">
        <v>189</v>
      </c>
      <c r="B190" s="19">
        <v>40552</v>
      </c>
      <c r="C190">
        <v>1</v>
      </c>
      <c r="D190">
        <v>1</v>
      </c>
      <c r="E190">
        <v>3</v>
      </c>
      <c r="F190" t="b">
        <v>0</v>
      </c>
      <c r="G190">
        <v>0</v>
      </c>
      <c r="H190">
        <v>1</v>
      </c>
      <c r="I190">
        <v>0.1</v>
      </c>
      <c r="J190">
        <v>0</v>
      </c>
      <c r="K190">
        <v>0.28789999999999999</v>
      </c>
      <c r="L190">
        <v>0.81</v>
      </c>
      <c r="M190">
        <v>0</v>
      </c>
      <c r="N190">
        <v>3</v>
      </c>
      <c r="O190">
        <v>13</v>
      </c>
      <c r="P190">
        <v>16</v>
      </c>
    </row>
    <row r="191" spans="1:16" x14ac:dyDescent="0.25">
      <c r="A191">
        <v>190</v>
      </c>
      <c r="B191" s="19">
        <v>40552</v>
      </c>
      <c r="C191">
        <v>1</v>
      </c>
      <c r="D191">
        <v>1</v>
      </c>
      <c r="E191">
        <v>4</v>
      </c>
      <c r="F191" t="b">
        <v>0</v>
      </c>
      <c r="G191">
        <v>0</v>
      </c>
      <c r="H191">
        <v>1</v>
      </c>
      <c r="I191">
        <v>0.08</v>
      </c>
      <c r="J191">
        <v>0</v>
      </c>
      <c r="K191">
        <v>0.28789999999999999</v>
      </c>
      <c r="L191">
        <v>0.81</v>
      </c>
      <c r="M191">
        <v>0</v>
      </c>
      <c r="N191">
        <v>3</v>
      </c>
      <c r="O191">
        <v>13</v>
      </c>
      <c r="P191">
        <v>16</v>
      </c>
    </row>
    <row r="192" spans="1:16" x14ac:dyDescent="0.25">
      <c r="A192">
        <v>191</v>
      </c>
      <c r="B192" s="19">
        <v>40552</v>
      </c>
      <c r="C192">
        <v>1</v>
      </c>
      <c r="D192">
        <v>1</v>
      </c>
      <c r="E192">
        <v>5</v>
      </c>
      <c r="F192" t="b">
        <v>0</v>
      </c>
      <c r="G192">
        <v>0</v>
      </c>
      <c r="H192">
        <v>1</v>
      </c>
      <c r="I192">
        <v>0.08</v>
      </c>
      <c r="J192">
        <v>0</v>
      </c>
      <c r="K192">
        <v>0.28789999999999999</v>
      </c>
      <c r="L192">
        <v>0.81</v>
      </c>
      <c r="M192">
        <v>0</v>
      </c>
      <c r="N192">
        <v>3</v>
      </c>
      <c r="O192">
        <v>13</v>
      </c>
      <c r="P192">
        <v>16</v>
      </c>
    </row>
    <row r="193" spans="1:16" x14ac:dyDescent="0.25">
      <c r="A193">
        <v>192</v>
      </c>
      <c r="B193" s="19">
        <v>40552</v>
      </c>
      <c r="C193">
        <v>1</v>
      </c>
      <c r="D193">
        <v>1</v>
      </c>
      <c r="E193">
        <v>6</v>
      </c>
      <c r="F193" t="b">
        <v>0</v>
      </c>
      <c r="G193">
        <v>0</v>
      </c>
      <c r="H193">
        <v>1</v>
      </c>
      <c r="I193">
        <v>0.1</v>
      </c>
      <c r="J193">
        <v>0</v>
      </c>
      <c r="K193">
        <v>0.28789999999999999</v>
      </c>
      <c r="L193">
        <v>0.81</v>
      </c>
      <c r="M193">
        <v>0</v>
      </c>
      <c r="N193">
        <v>3</v>
      </c>
      <c r="O193">
        <v>13</v>
      </c>
      <c r="P193">
        <v>16</v>
      </c>
    </row>
    <row r="194" spans="1:16" x14ac:dyDescent="0.25">
      <c r="A194">
        <v>193</v>
      </c>
      <c r="B194" s="19">
        <v>40552</v>
      </c>
      <c r="C194">
        <v>1</v>
      </c>
      <c r="D194">
        <v>1</v>
      </c>
      <c r="E194">
        <v>7</v>
      </c>
      <c r="F194" t="b">
        <v>0</v>
      </c>
      <c r="G194">
        <v>0</v>
      </c>
      <c r="H194">
        <v>1</v>
      </c>
      <c r="I194">
        <v>0.08</v>
      </c>
      <c r="J194">
        <v>0</v>
      </c>
      <c r="K194">
        <v>0.28789999999999999</v>
      </c>
      <c r="L194">
        <v>0.81</v>
      </c>
      <c r="M194">
        <v>0</v>
      </c>
      <c r="N194">
        <v>3</v>
      </c>
      <c r="O194">
        <v>13</v>
      </c>
      <c r="P194">
        <v>16</v>
      </c>
    </row>
    <row r="195" spans="1:16" x14ac:dyDescent="0.25">
      <c r="A195">
        <v>194</v>
      </c>
      <c r="B195" s="19">
        <v>40552</v>
      </c>
      <c r="C195">
        <v>1</v>
      </c>
      <c r="D195">
        <v>1</v>
      </c>
      <c r="E195">
        <v>8</v>
      </c>
      <c r="F195" t="b">
        <v>0</v>
      </c>
      <c r="G195">
        <v>0</v>
      </c>
      <c r="H195">
        <v>1</v>
      </c>
      <c r="I195">
        <v>0.1</v>
      </c>
      <c r="J195">
        <v>0</v>
      </c>
      <c r="K195">
        <v>0.28789999999999999</v>
      </c>
      <c r="L195">
        <v>0.81</v>
      </c>
      <c r="M195">
        <v>0</v>
      </c>
      <c r="N195">
        <v>3</v>
      </c>
      <c r="O195">
        <v>13</v>
      </c>
      <c r="P195">
        <v>16</v>
      </c>
    </row>
    <row r="196" spans="1:16" x14ac:dyDescent="0.25">
      <c r="A196">
        <v>195</v>
      </c>
      <c r="B196" s="19">
        <v>40552</v>
      </c>
      <c r="C196">
        <v>1</v>
      </c>
      <c r="D196">
        <v>1</v>
      </c>
      <c r="E196">
        <v>9</v>
      </c>
      <c r="F196" t="b">
        <v>0</v>
      </c>
      <c r="G196">
        <v>0</v>
      </c>
      <c r="H196">
        <v>1</v>
      </c>
      <c r="I196">
        <v>0.12</v>
      </c>
      <c r="J196">
        <v>0</v>
      </c>
      <c r="K196">
        <v>0.28789999999999999</v>
      </c>
      <c r="L196">
        <v>0.81</v>
      </c>
      <c r="M196">
        <v>0</v>
      </c>
      <c r="N196">
        <v>3</v>
      </c>
      <c r="O196">
        <v>13</v>
      </c>
      <c r="P196">
        <v>16</v>
      </c>
    </row>
    <row r="197" spans="1:16" x14ac:dyDescent="0.25">
      <c r="A197">
        <v>196</v>
      </c>
      <c r="B197" s="19">
        <v>40552</v>
      </c>
      <c r="C197">
        <v>1</v>
      </c>
      <c r="D197">
        <v>1</v>
      </c>
      <c r="E197">
        <v>10</v>
      </c>
      <c r="F197" t="b">
        <v>0</v>
      </c>
      <c r="G197">
        <v>0</v>
      </c>
      <c r="H197">
        <v>1</v>
      </c>
      <c r="I197">
        <v>0.14000000000000001</v>
      </c>
      <c r="J197">
        <v>0</v>
      </c>
      <c r="K197">
        <v>0.28789999999999999</v>
      </c>
      <c r="L197">
        <v>0.81</v>
      </c>
      <c r="M197">
        <v>0</v>
      </c>
      <c r="N197">
        <v>3</v>
      </c>
      <c r="O197">
        <v>13</v>
      </c>
      <c r="P197">
        <v>16</v>
      </c>
    </row>
    <row r="198" spans="1:16" x14ac:dyDescent="0.25">
      <c r="A198">
        <v>197</v>
      </c>
      <c r="B198" s="19">
        <v>40552</v>
      </c>
      <c r="C198">
        <v>1</v>
      </c>
      <c r="D198">
        <v>1</v>
      </c>
      <c r="E198">
        <v>11</v>
      </c>
      <c r="F198" t="b">
        <v>0</v>
      </c>
      <c r="G198">
        <v>0</v>
      </c>
      <c r="H198">
        <v>1</v>
      </c>
      <c r="I198">
        <v>0.16</v>
      </c>
      <c r="J198">
        <v>0</v>
      </c>
      <c r="K198">
        <v>0.28789999999999999</v>
      </c>
      <c r="L198">
        <v>0.81</v>
      </c>
      <c r="M198">
        <v>0</v>
      </c>
      <c r="N198">
        <v>3</v>
      </c>
      <c r="O198">
        <v>13</v>
      </c>
      <c r="P198">
        <v>16</v>
      </c>
    </row>
    <row r="199" spans="1:16" x14ac:dyDescent="0.25">
      <c r="A199">
        <v>198</v>
      </c>
      <c r="B199" s="19">
        <v>40552</v>
      </c>
      <c r="C199">
        <v>1</v>
      </c>
      <c r="D199">
        <v>1</v>
      </c>
      <c r="E199">
        <v>12</v>
      </c>
      <c r="F199" t="b">
        <v>0</v>
      </c>
      <c r="G199">
        <v>0</v>
      </c>
      <c r="H199">
        <v>1</v>
      </c>
      <c r="I199">
        <v>0.18</v>
      </c>
      <c r="J199">
        <v>0</v>
      </c>
      <c r="K199">
        <v>0.28789999999999999</v>
      </c>
      <c r="L199">
        <v>0.81</v>
      </c>
      <c r="M199">
        <v>0</v>
      </c>
      <c r="N199">
        <v>3</v>
      </c>
      <c r="O199">
        <v>13</v>
      </c>
      <c r="P199">
        <v>16</v>
      </c>
    </row>
    <row r="200" spans="1:16" x14ac:dyDescent="0.25">
      <c r="A200">
        <v>199</v>
      </c>
      <c r="B200" s="19">
        <v>40552</v>
      </c>
      <c r="C200">
        <v>1</v>
      </c>
      <c r="D200">
        <v>1</v>
      </c>
      <c r="E200">
        <v>13</v>
      </c>
      <c r="F200" t="b">
        <v>0</v>
      </c>
      <c r="G200">
        <v>0</v>
      </c>
      <c r="H200">
        <v>1</v>
      </c>
      <c r="I200">
        <v>0.2</v>
      </c>
      <c r="J200">
        <v>0</v>
      </c>
      <c r="K200">
        <v>0.28789999999999999</v>
      </c>
      <c r="L200">
        <v>0.81</v>
      </c>
      <c r="M200">
        <v>0</v>
      </c>
      <c r="N200">
        <v>3</v>
      </c>
      <c r="O200">
        <v>13</v>
      </c>
      <c r="P200">
        <v>16</v>
      </c>
    </row>
    <row r="201" spans="1:16" x14ac:dyDescent="0.25">
      <c r="A201">
        <v>200</v>
      </c>
      <c r="B201" s="19">
        <v>40552</v>
      </c>
      <c r="C201">
        <v>1</v>
      </c>
      <c r="D201">
        <v>1</v>
      </c>
      <c r="E201">
        <v>14</v>
      </c>
      <c r="F201" t="b">
        <v>0</v>
      </c>
      <c r="G201">
        <v>0</v>
      </c>
      <c r="H201">
        <v>1</v>
      </c>
      <c r="I201">
        <v>0.22</v>
      </c>
      <c r="J201">
        <v>0</v>
      </c>
      <c r="K201">
        <v>0.28789999999999999</v>
      </c>
      <c r="L201">
        <v>0.81</v>
      </c>
      <c r="M201">
        <v>0</v>
      </c>
      <c r="N201">
        <v>3</v>
      </c>
      <c r="O201">
        <v>13</v>
      </c>
      <c r="P201">
        <v>16</v>
      </c>
    </row>
    <row r="202" spans="1:16" x14ac:dyDescent="0.25">
      <c r="A202">
        <v>201</v>
      </c>
      <c r="B202" s="19">
        <v>40552</v>
      </c>
      <c r="C202">
        <v>1</v>
      </c>
      <c r="D202">
        <v>1</v>
      </c>
      <c r="E202">
        <v>15</v>
      </c>
      <c r="F202" t="b">
        <v>0</v>
      </c>
      <c r="G202">
        <v>0</v>
      </c>
      <c r="H202">
        <v>1</v>
      </c>
      <c r="I202">
        <v>0.22</v>
      </c>
      <c r="J202">
        <v>0</v>
      </c>
      <c r="K202">
        <v>0.28789999999999999</v>
      </c>
      <c r="L202">
        <v>0.81</v>
      </c>
      <c r="M202">
        <v>0</v>
      </c>
      <c r="N202">
        <v>3</v>
      </c>
      <c r="O202">
        <v>13</v>
      </c>
      <c r="P202">
        <v>16</v>
      </c>
    </row>
    <row r="203" spans="1:16" x14ac:dyDescent="0.25">
      <c r="A203">
        <v>202</v>
      </c>
      <c r="B203" s="19">
        <v>40552</v>
      </c>
      <c r="C203">
        <v>1</v>
      </c>
      <c r="D203">
        <v>1</v>
      </c>
      <c r="E203">
        <v>16</v>
      </c>
      <c r="F203" t="b">
        <v>0</v>
      </c>
      <c r="G203">
        <v>0</v>
      </c>
      <c r="H203">
        <v>1</v>
      </c>
      <c r="I203">
        <v>0.2</v>
      </c>
      <c r="J203">
        <v>0</v>
      </c>
      <c r="K203">
        <v>0.28789999999999999</v>
      </c>
      <c r="L203">
        <v>0.81</v>
      </c>
      <c r="M203">
        <v>0</v>
      </c>
      <c r="N203">
        <v>3</v>
      </c>
      <c r="O203">
        <v>13</v>
      </c>
      <c r="P203">
        <v>16</v>
      </c>
    </row>
    <row r="204" spans="1:16" x14ac:dyDescent="0.25">
      <c r="A204">
        <v>203</v>
      </c>
      <c r="B204" s="19">
        <v>40552</v>
      </c>
      <c r="C204">
        <v>1</v>
      </c>
      <c r="D204">
        <v>1</v>
      </c>
      <c r="E204">
        <v>17</v>
      </c>
      <c r="F204" t="b">
        <v>0</v>
      </c>
      <c r="G204">
        <v>0</v>
      </c>
      <c r="H204">
        <v>1</v>
      </c>
      <c r="I204">
        <v>0.18</v>
      </c>
      <c r="J204">
        <v>0</v>
      </c>
      <c r="K204">
        <v>0.28789999999999999</v>
      </c>
      <c r="L204">
        <v>0.81</v>
      </c>
      <c r="M204">
        <v>0</v>
      </c>
      <c r="N204">
        <v>3</v>
      </c>
      <c r="O204">
        <v>13</v>
      </c>
      <c r="P204">
        <v>16</v>
      </c>
    </row>
    <row r="205" spans="1:16" x14ac:dyDescent="0.25">
      <c r="A205">
        <v>204</v>
      </c>
      <c r="B205" s="19">
        <v>40552</v>
      </c>
      <c r="C205">
        <v>1</v>
      </c>
      <c r="D205">
        <v>1</v>
      </c>
      <c r="E205">
        <v>18</v>
      </c>
      <c r="F205" t="b">
        <v>0</v>
      </c>
      <c r="G205">
        <v>0</v>
      </c>
      <c r="H205">
        <v>1</v>
      </c>
      <c r="I205">
        <v>0.16</v>
      </c>
      <c r="J205">
        <v>0</v>
      </c>
      <c r="K205">
        <v>0.28789999999999999</v>
      </c>
      <c r="L205">
        <v>0.81</v>
      </c>
      <c r="M205">
        <v>0</v>
      </c>
      <c r="N205">
        <v>3</v>
      </c>
      <c r="O205">
        <v>13</v>
      </c>
      <c r="P205">
        <v>16</v>
      </c>
    </row>
    <row r="206" spans="1:16" x14ac:dyDescent="0.25">
      <c r="A206">
        <v>205</v>
      </c>
      <c r="B206" s="19">
        <v>40552</v>
      </c>
      <c r="C206">
        <v>1</v>
      </c>
      <c r="D206">
        <v>1</v>
      </c>
      <c r="E206">
        <v>19</v>
      </c>
      <c r="F206" t="b">
        <v>0</v>
      </c>
      <c r="G206">
        <v>0</v>
      </c>
      <c r="H206">
        <v>1</v>
      </c>
      <c r="I206">
        <v>0.16</v>
      </c>
      <c r="J206">
        <v>0</v>
      </c>
      <c r="K206">
        <v>0.28789999999999999</v>
      </c>
      <c r="L206">
        <v>0.81</v>
      </c>
      <c r="M206">
        <v>0</v>
      </c>
      <c r="N206">
        <v>3</v>
      </c>
      <c r="O206">
        <v>13</v>
      </c>
      <c r="P206">
        <v>16</v>
      </c>
    </row>
    <row r="207" spans="1:16" x14ac:dyDescent="0.25">
      <c r="A207">
        <v>206</v>
      </c>
      <c r="B207" s="19">
        <v>40552</v>
      </c>
      <c r="C207">
        <v>1</v>
      </c>
      <c r="D207">
        <v>1</v>
      </c>
      <c r="E207">
        <v>20</v>
      </c>
      <c r="F207" t="b">
        <v>0</v>
      </c>
      <c r="G207">
        <v>0</v>
      </c>
      <c r="H207">
        <v>1</v>
      </c>
      <c r="I207">
        <v>0.14000000000000001</v>
      </c>
      <c r="J207">
        <v>0</v>
      </c>
      <c r="K207">
        <v>0.28789999999999999</v>
      </c>
      <c r="L207">
        <v>0.81</v>
      </c>
      <c r="M207">
        <v>0</v>
      </c>
      <c r="N207">
        <v>3</v>
      </c>
      <c r="O207">
        <v>13</v>
      </c>
      <c r="P207">
        <v>16</v>
      </c>
    </row>
    <row r="208" spans="1:16" x14ac:dyDescent="0.25">
      <c r="A208">
        <v>207</v>
      </c>
      <c r="B208" s="19">
        <v>40552</v>
      </c>
      <c r="C208">
        <v>1</v>
      </c>
      <c r="D208">
        <v>1</v>
      </c>
      <c r="E208">
        <v>21</v>
      </c>
      <c r="F208" t="b">
        <v>0</v>
      </c>
      <c r="G208">
        <v>0</v>
      </c>
      <c r="H208">
        <v>1</v>
      </c>
      <c r="I208">
        <v>0.14000000000000001</v>
      </c>
      <c r="J208">
        <v>0</v>
      </c>
      <c r="K208">
        <v>0.28789999999999999</v>
      </c>
      <c r="L208">
        <v>0.81</v>
      </c>
      <c r="M208">
        <v>0</v>
      </c>
      <c r="N208">
        <v>3</v>
      </c>
      <c r="O208">
        <v>13</v>
      </c>
      <c r="P208">
        <v>16</v>
      </c>
    </row>
    <row r="209" spans="1:16" x14ac:dyDescent="0.25">
      <c r="A209">
        <v>208</v>
      </c>
      <c r="B209" s="19">
        <v>40552</v>
      </c>
      <c r="C209">
        <v>1</v>
      </c>
      <c r="D209">
        <v>1</v>
      </c>
      <c r="E209">
        <v>22</v>
      </c>
      <c r="F209" t="b">
        <v>0</v>
      </c>
      <c r="G209">
        <v>0</v>
      </c>
      <c r="H209">
        <v>1</v>
      </c>
      <c r="I209">
        <v>0.14000000000000001</v>
      </c>
      <c r="J209">
        <v>0</v>
      </c>
      <c r="K209">
        <v>0.28789999999999999</v>
      </c>
      <c r="L209">
        <v>0.81</v>
      </c>
      <c r="M209">
        <v>0</v>
      </c>
      <c r="N209">
        <v>3</v>
      </c>
      <c r="O209">
        <v>13</v>
      </c>
      <c r="P209">
        <v>16</v>
      </c>
    </row>
    <row r="210" spans="1:16" x14ac:dyDescent="0.25">
      <c r="A210">
        <v>209</v>
      </c>
      <c r="B210" s="19">
        <v>40552</v>
      </c>
      <c r="C210">
        <v>1</v>
      </c>
      <c r="D210">
        <v>1</v>
      </c>
      <c r="E210">
        <v>23</v>
      </c>
      <c r="F210" t="b">
        <v>0</v>
      </c>
      <c r="G210">
        <v>0</v>
      </c>
      <c r="H210">
        <v>1</v>
      </c>
      <c r="I210">
        <v>0.12</v>
      </c>
      <c r="J210">
        <v>0</v>
      </c>
      <c r="K210">
        <v>0.28789999999999999</v>
      </c>
      <c r="L210">
        <v>0.81</v>
      </c>
      <c r="M210">
        <v>0</v>
      </c>
      <c r="N210">
        <v>3</v>
      </c>
      <c r="O210">
        <v>13</v>
      </c>
      <c r="P210">
        <v>16</v>
      </c>
    </row>
    <row r="211" spans="1:16" x14ac:dyDescent="0.25">
      <c r="A211">
        <v>210</v>
      </c>
      <c r="B211" s="19">
        <v>40553</v>
      </c>
      <c r="C211">
        <v>1</v>
      </c>
      <c r="D211">
        <v>1</v>
      </c>
      <c r="E211">
        <v>0</v>
      </c>
      <c r="F211" t="b">
        <v>0</v>
      </c>
      <c r="G211">
        <v>1</v>
      </c>
      <c r="H211">
        <v>1</v>
      </c>
      <c r="I211">
        <v>0.12</v>
      </c>
      <c r="J211">
        <v>0</v>
      </c>
      <c r="K211">
        <v>0.28789999999999999</v>
      </c>
      <c r="L211">
        <v>0.81</v>
      </c>
      <c r="M211">
        <v>0</v>
      </c>
      <c r="N211">
        <v>3</v>
      </c>
      <c r="O211">
        <v>13</v>
      </c>
      <c r="P211">
        <v>16</v>
      </c>
    </row>
    <row r="212" spans="1:16" x14ac:dyDescent="0.25">
      <c r="A212">
        <v>211</v>
      </c>
      <c r="B212" s="19">
        <v>40553</v>
      </c>
      <c r="C212">
        <v>1</v>
      </c>
      <c r="D212">
        <v>1</v>
      </c>
      <c r="E212">
        <v>1</v>
      </c>
      <c r="F212" t="b">
        <v>0</v>
      </c>
      <c r="G212">
        <v>1</v>
      </c>
      <c r="H212">
        <v>1</v>
      </c>
      <c r="I212">
        <v>0.12</v>
      </c>
      <c r="J212">
        <v>0</v>
      </c>
      <c r="K212">
        <v>0.28789999999999999</v>
      </c>
      <c r="L212">
        <v>0.81</v>
      </c>
      <c r="M212">
        <v>0</v>
      </c>
      <c r="N212">
        <v>3</v>
      </c>
      <c r="O212">
        <v>13</v>
      </c>
      <c r="P212">
        <v>16</v>
      </c>
    </row>
    <row r="213" spans="1:16" x14ac:dyDescent="0.25">
      <c r="A213">
        <v>212</v>
      </c>
      <c r="B213" s="19">
        <v>40553</v>
      </c>
      <c r="C213">
        <v>1</v>
      </c>
      <c r="D213">
        <v>1</v>
      </c>
      <c r="E213">
        <v>2</v>
      </c>
      <c r="F213" t="b">
        <v>0</v>
      </c>
      <c r="G213">
        <v>1</v>
      </c>
      <c r="H213">
        <v>1</v>
      </c>
      <c r="I213">
        <v>0.12</v>
      </c>
      <c r="J213">
        <v>0</v>
      </c>
      <c r="K213">
        <v>0.28789999999999999</v>
      </c>
      <c r="L213">
        <v>0.81</v>
      </c>
      <c r="M213">
        <v>0</v>
      </c>
      <c r="N213">
        <v>3</v>
      </c>
      <c r="O213">
        <v>13</v>
      </c>
      <c r="P213">
        <v>16</v>
      </c>
    </row>
    <row r="214" spans="1:16" x14ac:dyDescent="0.25">
      <c r="A214">
        <v>213</v>
      </c>
      <c r="B214" s="19">
        <v>40553</v>
      </c>
      <c r="C214">
        <v>1</v>
      </c>
      <c r="D214">
        <v>1</v>
      </c>
      <c r="E214">
        <v>3</v>
      </c>
      <c r="F214" t="b">
        <v>0</v>
      </c>
      <c r="G214">
        <v>1</v>
      </c>
      <c r="H214">
        <v>1</v>
      </c>
      <c r="I214">
        <v>0.12</v>
      </c>
      <c r="J214">
        <v>0</v>
      </c>
      <c r="K214">
        <v>0.28789999999999999</v>
      </c>
      <c r="L214">
        <v>0.81</v>
      </c>
      <c r="M214">
        <v>0</v>
      </c>
      <c r="N214">
        <v>3</v>
      </c>
      <c r="O214">
        <v>13</v>
      </c>
      <c r="P214">
        <v>16</v>
      </c>
    </row>
    <row r="215" spans="1:16" x14ac:dyDescent="0.25">
      <c r="A215">
        <v>214</v>
      </c>
      <c r="B215" s="19">
        <v>40553</v>
      </c>
      <c r="C215">
        <v>1</v>
      </c>
      <c r="D215">
        <v>1</v>
      </c>
      <c r="E215">
        <v>4</v>
      </c>
      <c r="F215" t="b">
        <v>0</v>
      </c>
      <c r="G215">
        <v>1</v>
      </c>
      <c r="H215">
        <v>1</v>
      </c>
      <c r="I215">
        <v>0.1</v>
      </c>
      <c r="J215">
        <v>0</v>
      </c>
      <c r="K215">
        <v>0.28789999999999999</v>
      </c>
      <c r="L215">
        <v>0.81</v>
      </c>
      <c r="M215">
        <v>0</v>
      </c>
      <c r="N215">
        <v>3</v>
      </c>
      <c r="O215">
        <v>13</v>
      </c>
      <c r="P215">
        <v>16</v>
      </c>
    </row>
    <row r="216" spans="1:16" x14ac:dyDescent="0.25">
      <c r="A216">
        <v>215</v>
      </c>
      <c r="B216" s="19">
        <v>40553</v>
      </c>
      <c r="C216">
        <v>1</v>
      </c>
      <c r="D216">
        <v>1</v>
      </c>
      <c r="E216">
        <v>5</v>
      </c>
      <c r="F216" t="b">
        <v>0</v>
      </c>
      <c r="G216">
        <v>1</v>
      </c>
      <c r="H216">
        <v>1</v>
      </c>
      <c r="I216">
        <v>0.1</v>
      </c>
      <c r="J216">
        <v>0</v>
      </c>
      <c r="K216">
        <v>0.28789999999999999</v>
      </c>
      <c r="L216">
        <v>0.81</v>
      </c>
      <c r="M216">
        <v>0</v>
      </c>
      <c r="N216">
        <v>3</v>
      </c>
      <c r="O216">
        <v>13</v>
      </c>
      <c r="P216">
        <v>16</v>
      </c>
    </row>
    <row r="217" spans="1:16" x14ac:dyDescent="0.25">
      <c r="A217">
        <v>216</v>
      </c>
      <c r="B217" s="19">
        <v>40553</v>
      </c>
      <c r="C217">
        <v>1</v>
      </c>
      <c r="D217">
        <v>1</v>
      </c>
      <c r="E217">
        <v>6</v>
      </c>
      <c r="F217" t="b">
        <v>0</v>
      </c>
      <c r="G217">
        <v>1</v>
      </c>
      <c r="H217">
        <v>1</v>
      </c>
      <c r="I217">
        <v>0.12</v>
      </c>
      <c r="J217">
        <v>0</v>
      </c>
      <c r="K217">
        <v>0.28789999999999999</v>
      </c>
      <c r="L217">
        <v>0.81</v>
      </c>
      <c r="M217">
        <v>0</v>
      </c>
      <c r="N217">
        <v>3</v>
      </c>
      <c r="O217">
        <v>13</v>
      </c>
      <c r="P217">
        <v>16</v>
      </c>
    </row>
    <row r="218" spans="1:16" x14ac:dyDescent="0.25">
      <c r="A218">
        <v>217</v>
      </c>
      <c r="B218" s="19">
        <v>40553</v>
      </c>
      <c r="C218">
        <v>1</v>
      </c>
      <c r="D218">
        <v>1</v>
      </c>
      <c r="E218">
        <v>7</v>
      </c>
      <c r="F218" t="b">
        <v>0</v>
      </c>
      <c r="G218">
        <v>1</v>
      </c>
      <c r="H218">
        <v>1</v>
      </c>
      <c r="I218">
        <v>0.12</v>
      </c>
      <c r="J218">
        <v>0</v>
      </c>
      <c r="K218">
        <v>0.28789999999999999</v>
      </c>
      <c r="L218">
        <v>0.81</v>
      </c>
      <c r="M218">
        <v>0</v>
      </c>
      <c r="N218">
        <v>3</v>
      </c>
      <c r="O218">
        <v>13</v>
      </c>
      <c r="P218">
        <v>16</v>
      </c>
    </row>
    <row r="219" spans="1:16" x14ac:dyDescent="0.25">
      <c r="A219">
        <v>218</v>
      </c>
      <c r="B219" s="19">
        <v>40553</v>
      </c>
      <c r="C219">
        <v>1</v>
      </c>
      <c r="D219">
        <v>1</v>
      </c>
      <c r="E219">
        <v>8</v>
      </c>
      <c r="F219" t="b">
        <v>0</v>
      </c>
      <c r="G219">
        <v>1</v>
      </c>
      <c r="H219">
        <v>2</v>
      </c>
      <c r="I219">
        <v>0.12</v>
      </c>
      <c r="J219">
        <v>0</v>
      </c>
      <c r="K219">
        <v>0.28789999999999999</v>
      </c>
      <c r="L219">
        <v>0.81</v>
      </c>
      <c r="M219">
        <v>0</v>
      </c>
      <c r="N219">
        <v>3</v>
      </c>
      <c r="O219">
        <v>13</v>
      </c>
      <c r="P219">
        <v>16</v>
      </c>
    </row>
    <row r="220" spans="1:16" x14ac:dyDescent="0.25">
      <c r="A220">
        <v>219</v>
      </c>
      <c r="B220" s="19">
        <v>40553</v>
      </c>
      <c r="C220">
        <v>1</v>
      </c>
      <c r="D220">
        <v>1</v>
      </c>
      <c r="E220">
        <v>9</v>
      </c>
      <c r="F220" t="b">
        <v>0</v>
      </c>
      <c r="G220">
        <v>1</v>
      </c>
      <c r="H220">
        <v>2</v>
      </c>
      <c r="I220">
        <v>0.14000000000000001</v>
      </c>
      <c r="J220">
        <v>0</v>
      </c>
      <c r="K220">
        <v>0.28789999999999999</v>
      </c>
      <c r="L220">
        <v>0.81</v>
      </c>
      <c r="M220">
        <v>0</v>
      </c>
      <c r="N220">
        <v>3</v>
      </c>
      <c r="O220">
        <v>13</v>
      </c>
      <c r="P220">
        <v>16</v>
      </c>
    </row>
    <row r="221" spans="1:16" x14ac:dyDescent="0.25">
      <c r="A221">
        <v>220</v>
      </c>
      <c r="B221" s="19">
        <v>40553</v>
      </c>
      <c r="C221">
        <v>1</v>
      </c>
      <c r="D221">
        <v>1</v>
      </c>
      <c r="E221">
        <v>10</v>
      </c>
      <c r="F221" t="b">
        <v>0</v>
      </c>
      <c r="G221">
        <v>1</v>
      </c>
      <c r="H221">
        <v>2</v>
      </c>
      <c r="I221">
        <v>0.14000000000000001</v>
      </c>
      <c r="J221">
        <v>0</v>
      </c>
      <c r="K221">
        <v>0.28789999999999999</v>
      </c>
      <c r="L221">
        <v>0.81</v>
      </c>
      <c r="M221">
        <v>0</v>
      </c>
      <c r="N221">
        <v>3</v>
      </c>
      <c r="O221">
        <v>13</v>
      </c>
      <c r="P221">
        <v>16</v>
      </c>
    </row>
    <row r="222" spans="1:16" x14ac:dyDescent="0.25">
      <c r="A222">
        <v>221</v>
      </c>
      <c r="B222" s="19">
        <v>40553</v>
      </c>
      <c r="C222">
        <v>1</v>
      </c>
      <c r="D222">
        <v>1</v>
      </c>
      <c r="E222">
        <v>11</v>
      </c>
      <c r="F222" t="b">
        <v>0</v>
      </c>
      <c r="G222">
        <v>1</v>
      </c>
      <c r="H222">
        <v>2</v>
      </c>
      <c r="I222">
        <v>0.16</v>
      </c>
      <c r="J222">
        <v>0</v>
      </c>
      <c r="K222">
        <v>0.28789999999999999</v>
      </c>
      <c r="L222">
        <v>0.81</v>
      </c>
      <c r="M222">
        <v>0</v>
      </c>
      <c r="N222">
        <v>3</v>
      </c>
      <c r="O222">
        <v>13</v>
      </c>
      <c r="P222">
        <v>16</v>
      </c>
    </row>
    <row r="223" spans="1:16" x14ac:dyDescent="0.25">
      <c r="A223">
        <v>222</v>
      </c>
      <c r="B223" s="19">
        <v>40553</v>
      </c>
      <c r="C223">
        <v>1</v>
      </c>
      <c r="D223">
        <v>1</v>
      </c>
      <c r="E223">
        <v>12</v>
      </c>
      <c r="F223" t="b">
        <v>0</v>
      </c>
      <c r="G223">
        <v>1</v>
      </c>
      <c r="H223">
        <v>2</v>
      </c>
      <c r="I223">
        <v>0.2</v>
      </c>
      <c r="J223">
        <v>0</v>
      </c>
      <c r="K223">
        <v>0.28789999999999999</v>
      </c>
      <c r="L223">
        <v>0.81</v>
      </c>
      <c r="M223">
        <v>0</v>
      </c>
      <c r="N223">
        <v>3</v>
      </c>
      <c r="O223">
        <v>13</v>
      </c>
      <c r="P223">
        <v>16</v>
      </c>
    </row>
    <row r="224" spans="1:16" x14ac:dyDescent="0.25">
      <c r="A224">
        <v>223</v>
      </c>
      <c r="B224" s="19">
        <v>40553</v>
      </c>
      <c r="C224">
        <v>1</v>
      </c>
      <c r="D224">
        <v>1</v>
      </c>
      <c r="E224">
        <v>13</v>
      </c>
      <c r="F224" t="b">
        <v>0</v>
      </c>
      <c r="G224">
        <v>1</v>
      </c>
      <c r="H224">
        <v>2</v>
      </c>
      <c r="I224">
        <v>0.2</v>
      </c>
      <c r="J224">
        <v>0</v>
      </c>
      <c r="K224">
        <v>0.28789999999999999</v>
      </c>
      <c r="L224">
        <v>0.81</v>
      </c>
      <c r="M224">
        <v>0</v>
      </c>
      <c r="N224">
        <v>3</v>
      </c>
      <c r="O224">
        <v>13</v>
      </c>
      <c r="P224">
        <v>16</v>
      </c>
    </row>
    <row r="225" spans="1:16" x14ac:dyDescent="0.25">
      <c r="A225">
        <v>224</v>
      </c>
      <c r="B225" s="19">
        <v>40553</v>
      </c>
      <c r="C225">
        <v>1</v>
      </c>
      <c r="D225">
        <v>1</v>
      </c>
      <c r="E225">
        <v>14</v>
      </c>
      <c r="F225" t="b">
        <v>0</v>
      </c>
      <c r="G225">
        <v>1</v>
      </c>
      <c r="H225">
        <v>2</v>
      </c>
      <c r="I225">
        <v>0.2</v>
      </c>
      <c r="J225">
        <v>0</v>
      </c>
      <c r="K225">
        <v>0.28789999999999999</v>
      </c>
      <c r="L225">
        <v>0.81</v>
      </c>
      <c r="M225">
        <v>0</v>
      </c>
      <c r="N225">
        <v>3</v>
      </c>
      <c r="O225">
        <v>13</v>
      </c>
      <c r="P225">
        <v>16</v>
      </c>
    </row>
    <row r="226" spans="1:16" x14ac:dyDescent="0.25">
      <c r="A226">
        <v>225</v>
      </c>
      <c r="B226" s="19">
        <v>40553</v>
      </c>
      <c r="C226">
        <v>1</v>
      </c>
      <c r="D226">
        <v>1</v>
      </c>
      <c r="E226">
        <v>15</v>
      </c>
      <c r="F226" t="b">
        <v>0</v>
      </c>
      <c r="G226">
        <v>1</v>
      </c>
      <c r="H226">
        <v>2</v>
      </c>
      <c r="I226">
        <v>0.2</v>
      </c>
      <c r="J226">
        <v>0</v>
      </c>
      <c r="K226">
        <v>0.28789999999999999</v>
      </c>
      <c r="L226">
        <v>0.81</v>
      </c>
      <c r="M226">
        <v>0</v>
      </c>
      <c r="N226">
        <v>3</v>
      </c>
      <c r="O226">
        <v>13</v>
      </c>
      <c r="P226">
        <v>16</v>
      </c>
    </row>
    <row r="227" spans="1:16" x14ac:dyDescent="0.25">
      <c r="A227">
        <v>226</v>
      </c>
      <c r="B227" s="19">
        <v>40553</v>
      </c>
      <c r="C227">
        <v>1</v>
      </c>
      <c r="D227">
        <v>1</v>
      </c>
      <c r="E227">
        <v>16</v>
      </c>
      <c r="F227" t="b">
        <v>0</v>
      </c>
      <c r="G227">
        <v>1</v>
      </c>
      <c r="H227">
        <v>1</v>
      </c>
      <c r="I227">
        <v>0.2</v>
      </c>
      <c r="J227">
        <v>0</v>
      </c>
      <c r="K227">
        <v>0.28789999999999999</v>
      </c>
      <c r="L227">
        <v>0.81</v>
      </c>
      <c r="M227">
        <v>0</v>
      </c>
      <c r="N227">
        <v>3</v>
      </c>
      <c r="O227">
        <v>13</v>
      </c>
      <c r="P227">
        <v>16</v>
      </c>
    </row>
    <row r="228" spans="1:16" x14ac:dyDescent="0.25">
      <c r="A228">
        <v>227</v>
      </c>
      <c r="B228" s="19">
        <v>40553</v>
      </c>
      <c r="C228">
        <v>1</v>
      </c>
      <c r="D228">
        <v>1</v>
      </c>
      <c r="E228">
        <v>17</v>
      </c>
      <c r="F228" t="b">
        <v>0</v>
      </c>
      <c r="G228">
        <v>1</v>
      </c>
      <c r="H228">
        <v>1</v>
      </c>
      <c r="I228">
        <v>0.2</v>
      </c>
      <c r="J228">
        <v>0</v>
      </c>
      <c r="K228">
        <v>0.28789999999999999</v>
      </c>
      <c r="L228">
        <v>0.81</v>
      </c>
      <c r="M228">
        <v>0</v>
      </c>
      <c r="N228">
        <v>3</v>
      </c>
      <c r="O228">
        <v>13</v>
      </c>
      <c r="P228">
        <v>16</v>
      </c>
    </row>
    <row r="229" spans="1:16" x14ac:dyDescent="0.25">
      <c r="A229">
        <v>228</v>
      </c>
      <c r="B229" s="19">
        <v>40553</v>
      </c>
      <c r="C229">
        <v>1</v>
      </c>
      <c r="D229">
        <v>1</v>
      </c>
      <c r="E229">
        <v>18</v>
      </c>
      <c r="F229" t="b">
        <v>0</v>
      </c>
      <c r="G229">
        <v>1</v>
      </c>
      <c r="H229">
        <v>1</v>
      </c>
      <c r="I229">
        <v>0.2</v>
      </c>
      <c r="J229">
        <v>0</v>
      </c>
      <c r="K229">
        <v>0.28789999999999999</v>
      </c>
      <c r="L229">
        <v>0.81</v>
      </c>
      <c r="M229">
        <v>0</v>
      </c>
      <c r="N229">
        <v>3</v>
      </c>
      <c r="O229">
        <v>13</v>
      </c>
      <c r="P229">
        <v>16</v>
      </c>
    </row>
    <row r="230" spans="1:16" x14ac:dyDescent="0.25">
      <c r="A230">
        <v>229</v>
      </c>
      <c r="B230" s="19">
        <v>40553</v>
      </c>
      <c r="C230">
        <v>1</v>
      </c>
      <c r="D230">
        <v>1</v>
      </c>
      <c r="E230">
        <v>19</v>
      </c>
      <c r="F230" t="b">
        <v>0</v>
      </c>
      <c r="G230">
        <v>1</v>
      </c>
      <c r="H230">
        <v>1</v>
      </c>
      <c r="I230">
        <v>0.16</v>
      </c>
      <c r="J230">
        <v>0</v>
      </c>
      <c r="K230">
        <v>0.28789999999999999</v>
      </c>
      <c r="L230">
        <v>0.81</v>
      </c>
      <c r="M230">
        <v>0</v>
      </c>
      <c r="N230">
        <v>3</v>
      </c>
      <c r="O230">
        <v>13</v>
      </c>
      <c r="P230">
        <v>16</v>
      </c>
    </row>
    <row r="231" spans="1:16" x14ac:dyDescent="0.25">
      <c r="A231">
        <v>230</v>
      </c>
      <c r="B231" s="19">
        <v>40553</v>
      </c>
      <c r="C231">
        <v>1</v>
      </c>
      <c r="D231">
        <v>1</v>
      </c>
      <c r="E231">
        <v>20</v>
      </c>
      <c r="F231" t="b">
        <v>0</v>
      </c>
      <c r="G231">
        <v>1</v>
      </c>
      <c r="H231">
        <v>1</v>
      </c>
      <c r="I231">
        <v>0.16</v>
      </c>
      <c r="J231">
        <v>0</v>
      </c>
      <c r="K231">
        <v>0.28789999999999999</v>
      </c>
      <c r="L231">
        <v>0.81</v>
      </c>
      <c r="M231">
        <v>0</v>
      </c>
      <c r="N231">
        <v>3</v>
      </c>
      <c r="O231">
        <v>13</v>
      </c>
      <c r="P231">
        <v>16</v>
      </c>
    </row>
    <row r="232" spans="1:16" x14ac:dyDescent="0.25">
      <c r="A232">
        <v>231</v>
      </c>
      <c r="B232" s="19">
        <v>40553</v>
      </c>
      <c r="C232">
        <v>1</v>
      </c>
      <c r="D232">
        <v>1</v>
      </c>
      <c r="E232">
        <v>21</v>
      </c>
      <c r="F232" t="b">
        <v>0</v>
      </c>
      <c r="G232">
        <v>1</v>
      </c>
      <c r="H232">
        <v>1</v>
      </c>
      <c r="I232">
        <v>0.14000000000000001</v>
      </c>
      <c r="J232">
        <v>0</v>
      </c>
      <c r="K232">
        <v>0.28789999999999999</v>
      </c>
      <c r="L232">
        <v>0.81</v>
      </c>
      <c r="M232">
        <v>0</v>
      </c>
      <c r="N232">
        <v>3</v>
      </c>
      <c r="O232">
        <v>13</v>
      </c>
      <c r="P232">
        <v>16</v>
      </c>
    </row>
    <row r="233" spans="1:16" x14ac:dyDescent="0.25">
      <c r="A233">
        <v>232</v>
      </c>
      <c r="B233" s="19">
        <v>40553</v>
      </c>
      <c r="C233">
        <v>1</v>
      </c>
      <c r="D233">
        <v>1</v>
      </c>
      <c r="E233">
        <v>22</v>
      </c>
      <c r="F233" t="b">
        <v>0</v>
      </c>
      <c r="G233">
        <v>1</v>
      </c>
      <c r="H233">
        <v>1</v>
      </c>
      <c r="I233">
        <v>0.14000000000000001</v>
      </c>
      <c r="J233">
        <v>0</v>
      </c>
      <c r="K233">
        <v>0.28789999999999999</v>
      </c>
      <c r="L233">
        <v>0.81</v>
      </c>
      <c r="M233">
        <v>0</v>
      </c>
      <c r="N233">
        <v>3</v>
      </c>
      <c r="O233">
        <v>13</v>
      </c>
      <c r="P233">
        <v>16</v>
      </c>
    </row>
    <row r="234" spans="1:16" x14ac:dyDescent="0.25">
      <c r="A234">
        <v>233</v>
      </c>
      <c r="B234" s="19">
        <v>40553</v>
      </c>
      <c r="C234">
        <v>1</v>
      </c>
      <c r="D234">
        <v>1</v>
      </c>
      <c r="E234">
        <v>23</v>
      </c>
      <c r="F234" t="b">
        <v>0</v>
      </c>
      <c r="G234">
        <v>1</v>
      </c>
      <c r="H234">
        <v>1</v>
      </c>
      <c r="I234">
        <v>0.14000000000000001</v>
      </c>
      <c r="J234">
        <v>0</v>
      </c>
      <c r="K234">
        <v>0.28789999999999999</v>
      </c>
      <c r="L234">
        <v>0.81</v>
      </c>
      <c r="M234">
        <v>0</v>
      </c>
      <c r="N234">
        <v>3</v>
      </c>
      <c r="O234">
        <v>13</v>
      </c>
      <c r="P234">
        <v>16</v>
      </c>
    </row>
    <row r="235" spans="1:16" x14ac:dyDescent="0.25">
      <c r="A235">
        <v>234</v>
      </c>
      <c r="B235" s="19">
        <v>40554</v>
      </c>
      <c r="C235">
        <v>1</v>
      </c>
      <c r="D235">
        <v>1</v>
      </c>
      <c r="E235">
        <v>0</v>
      </c>
      <c r="F235" t="b">
        <v>0</v>
      </c>
      <c r="G235">
        <v>2</v>
      </c>
      <c r="H235">
        <v>1</v>
      </c>
      <c r="I235">
        <v>0.14000000000000001</v>
      </c>
      <c r="J235">
        <v>0</v>
      </c>
      <c r="K235">
        <v>0.28789999999999999</v>
      </c>
      <c r="L235">
        <v>0.81</v>
      </c>
      <c r="M235">
        <v>0</v>
      </c>
      <c r="N235">
        <v>3</v>
      </c>
      <c r="O235">
        <v>13</v>
      </c>
      <c r="P235">
        <v>16</v>
      </c>
    </row>
    <row r="236" spans="1:16" x14ac:dyDescent="0.25">
      <c r="A236">
        <v>235</v>
      </c>
      <c r="B236" s="19">
        <v>40554</v>
      </c>
      <c r="C236">
        <v>1</v>
      </c>
      <c r="D236">
        <v>1</v>
      </c>
      <c r="E236">
        <v>1</v>
      </c>
      <c r="F236" t="b">
        <v>0</v>
      </c>
      <c r="G236">
        <v>2</v>
      </c>
      <c r="H236">
        <v>1</v>
      </c>
      <c r="I236">
        <v>0.14000000000000001</v>
      </c>
      <c r="J236">
        <v>0</v>
      </c>
      <c r="K236">
        <v>0.28789999999999999</v>
      </c>
      <c r="L236">
        <v>0.81</v>
      </c>
      <c r="M236">
        <v>0</v>
      </c>
      <c r="N236">
        <v>3</v>
      </c>
      <c r="O236">
        <v>13</v>
      </c>
      <c r="P236">
        <v>16</v>
      </c>
    </row>
    <row r="237" spans="1:16" x14ac:dyDescent="0.25">
      <c r="A237">
        <v>236</v>
      </c>
      <c r="B237" s="19">
        <v>40554</v>
      </c>
      <c r="C237">
        <v>1</v>
      </c>
      <c r="D237">
        <v>1</v>
      </c>
      <c r="E237">
        <v>2</v>
      </c>
      <c r="F237" t="b">
        <v>0</v>
      </c>
      <c r="G237">
        <v>2</v>
      </c>
      <c r="H237">
        <v>2</v>
      </c>
      <c r="I237">
        <v>0.16</v>
      </c>
      <c r="J237">
        <v>0</v>
      </c>
      <c r="K237">
        <v>0.28789999999999999</v>
      </c>
      <c r="L237">
        <v>0.81</v>
      </c>
      <c r="M237">
        <v>0</v>
      </c>
      <c r="N237">
        <v>3</v>
      </c>
      <c r="O237">
        <v>13</v>
      </c>
      <c r="P237">
        <v>16</v>
      </c>
    </row>
    <row r="238" spans="1:16" x14ac:dyDescent="0.25">
      <c r="A238">
        <v>237</v>
      </c>
      <c r="B238" s="19">
        <v>40554</v>
      </c>
      <c r="C238">
        <v>1</v>
      </c>
      <c r="D238">
        <v>1</v>
      </c>
      <c r="E238">
        <v>5</v>
      </c>
      <c r="F238" t="b">
        <v>0</v>
      </c>
      <c r="G238">
        <v>2</v>
      </c>
      <c r="H238">
        <v>2</v>
      </c>
      <c r="I238">
        <v>0.16</v>
      </c>
      <c r="J238">
        <v>0</v>
      </c>
      <c r="K238">
        <v>0.28789999999999999</v>
      </c>
      <c r="L238">
        <v>0.81</v>
      </c>
      <c r="M238">
        <v>0</v>
      </c>
      <c r="N238">
        <v>3</v>
      </c>
      <c r="O238">
        <v>13</v>
      </c>
      <c r="P238">
        <v>16</v>
      </c>
    </row>
    <row r="239" spans="1:16" x14ac:dyDescent="0.25">
      <c r="A239">
        <v>238</v>
      </c>
      <c r="B239" s="19">
        <v>40554</v>
      </c>
      <c r="C239">
        <v>1</v>
      </c>
      <c r="D239">
        <v>1</v>
      </c>
      <c r="E239">
        <v>6</v>
      </c>
      <c r="F239" t="b">
        <v>0</v>
      </c>
      <c r="G239">
        <v>2</v>
      </c>
      <c r="H239">
        <v>2</v>
      </c>
      <c r="I239">
        <v>0.16</v>
      </c>
      <c r="J239">
        <v>0</v>
      </c>
      <c r="K239">
        <v>0.28789999999999999</v>
      </c>
      <c r="L239">
        <v>0.81</v>
      </c>
      <c r="M239">
        <v>0</v>
      </c>
      <c r="N239">
        <v>3</v>
      </c>
      <c r="O239">
        <v>13</v>
      </c>
      <c r="P239">
        <v>16</v>
      </c>
    </row>
    <row r="240" spans="1:16" x14ac:dyDescent="0.25">
      <c r="A240">
        <v>239</v>
      </c>
      <c r="B240" s="19">
        <v>40554</v>
      </c>
      <c r="C240">
        <v>1</v>
      </c>
      <c r="D240">
        <v>1</v>
      </c>
      <c r="E240">
        <v>7</v>
      </c>
      <c r="F240" t="b">
        <v>0</v>
      </c>
      <c r="G240">
        <v>2</v>
      </c>
      <c r="H240">
        <v>2</v>
      </c>
      <c r="I240">
        <v>0.16</v>
      </c>
      <c r="J240">
        <v>0</v>
      </c>
      <c r="K240">
        <v>0.28789999999999999</v>
      </c>
      <c r="L240">
        <v>0.81</v>
      </c>
      <c r="M240">
        <v>0</v>
      </c>
      <c r="N240">
        <v>3</v>
      </c>
      <c r="O240">
        <v>13</v>
      </c>
      <c r="P240">
        <v>16</v>
      </c>
    </row>
    <row r="241" spans="1:16" x14ac:dyDescent="0.25">
      <c r="A241">
        <v>240</v>
      </c>
      <c r="B241" s="19">
        <v>40554</v>
      </c>
      <c r="C241">
        <v>1</v>
      </c>
      <c r="D241">
        <v>1</v>
      </c>
      <c r="E241">
        <v>8</v>
      </c>
      <c r="F241" t="b">
        <v>0</v>
      </c>
      <c r="G241">
        <v>2</v>
      </c>
      <c r="H241">
        <v>2</v>
      </c>
      <c r="I241">
        <v>0.18</v>
      </c>
      <c r="J241">
        <v>0</v>
      </c>
      <c r="K241">
        <v>0.28789999999999999</v>
      </c>
      <c r="L241">
        <v>0.81</v>
      </c>
      <c r="M241">
        <v>0</v>
      </c>
      <c r="N241">
        <v>3</v>
      </c>
      <c r="O241">
        <v>13</v>
      </c>
      <c r="P241">
        <v>16</v>
      </c>
    </row>
    <row r="242" spans="1:16" x14ac:dyDescent="0.25">
      <c r="A242">
        <v>241</v>
      </c>
      <c r="B242" s="19">
        <v>40554</v>
      </c>
      <c r="C242">
        <v>1</v>
      </c>
      <c r="D242">
        <v>1</v>
      </c>
      <c r="E242">
        <v>9</v>
      </c>
      <c r="F242" t="b">
        <v>0</v>
      </c>
      <c r="G242">
        <v>2</v>
      </c>
      <c r="H242">
        <v>2</v>
      </c>
      <c r="I242">
        <v>0.18</v>
      </c>
      <c r="J242">
        <v>0</v>
      </c>
      <c r="K242">
        <v>0.28789999999999999</v>
      </c>
      <c r="L242">
        <v>0.81</v>
      </c>
      <c r="M242">
        <v>0</v>
      </c>
      <c r="N242">
        <v>3</v>
      </c>
      <c r="O242">
        <v>13</v>
      </c>
      <c r="P242">
        <v>16</v>
      </c>
    </row>
    <row r="243" spans="1:16" x14ac:dyDescent="0.25">
      <c r="A243">
        <v>242</v>
      </c>
      <c r="B243" s="19">
        <v>40554</v>
      </c>
      <c r="C243">
        <v>1</v>
      </c>
      <c r="D243">
        <v>1</v>
      </c>
      <c r="E243">
        <v>10</v>
      </c>
      <c r="F243" t="b">
        <v>0</v>
      </c>
      <c r="G243">
        <v>2</v>
      </c>
      <c r="H243">
        <v>2</v>
      </c>
      <c r="I243">
        <v>0.2</v>
      </c>
      <c r="J243">
        <v>0</v>
      </c>
      <c r="K243">
        <v>0.28789999999999999</v>
      </c>
      <c r="L243">
        <v>0.81</v>
      </c>
      <c r="M243">
        <v>0</v>
      </c>
      <c r="N243">
        <v>3</v>
      </c>
      <c r="O243">
        <v>13</v>
      </c>
      <c r="P243">
        <v>16</v>
      </c>
    </row>
    <row r="244" spans="1:16" x14ac:dyDescent="0.25">
      <c r="A244">
        <v>243</v>
      </c>
      <c r="B244" s="19">
        <v>40554</v>
      </c>
      <c r="C244">
        <v>1</v>
      </c>
      <c r="D244">
        <v>1</v>
      </c>
      <c r="E244">
        <v>11</v>
      </c>
      <c r="F244" t="b">
        <v>0</v>
      </c>
      <c r="G244">
        <v>2</v>
      </c>
      <c r="H244">
        <v>2</v>
      </c>
      <c r="I244">
        <v>0.2</v>
      </c>
      <c r="J244">
        <v>0</v>
      </c>
      <c r="K244">
        <v>0.28789999999999999</v>
      </c>
      <c r="L244">
        <v>0.81</v>
      </c>
      <c r="M244">
        <v>0</v>
      </c>
      <c r="N244">
        <v>3</v>
      </c>
      <c r="O244">
        <v>13</v>
      </c>
      <c r="P244">
        <v>16</v>
      </c>
    </row>
    <row r="245" spans="1:16" x14ac:dyDescent="0.25">
      <c r="A245">
        <v>244</v>
      </c>
      <c r="B245" s="19">
        <v>40554</v>
      </c>
      <c r="C245">
        <v>1</v>
      </c>
      <c r="D245">
        <v>1</v>
      </c>
      <c r="E245">
        <v>12</v>
      </c>
      <c r="F245" t="b">
        <v>0</v>
      </c>
      <c r="G245">
        <v>2</v>
      </c>
      <c r="H245">
        <v>2</v>
      </c>
      <c r="I245">
        <v>0.2</v>
      </c>
      <c r="J245">
        <v>0</v>
      </c>
      <c r="K245">
        <v>0.28789999999999999</v>
      </c>
      <c r="L245">
        <v>0.81</v>
      </c>
      <c r="M245">
        <v>0</v>
      </c>
      <c r="N245">
        <v>3</v>
      </c>
      <c r="O245">
        <v>13</v>
      </c>
      <c r="P245">
        <v>16</v>
      </c>
    </row>
    <row r="246" spans="1:16" x14ac:dyDescent="0.25">
      <c r="A246">
        <v>245</v>
      </c>
      <c r="B246" s="19">
        <v>40554</v>
      </c>
      <c r="C246">
        <v>1</v>
      </c>
      <c r="D246">
        <v>1</v>
      </c>
      <c r="E246">
        <v>13</v>
      </c>
      <c r="F246" t="b">
        <v>0</v>
      </c>
      <c r="G246">
        <v>2</v>
      </c>
      <c r="H246">
        <v>2</v>
      </c>
      <c r="I246">
        <v>0.2</v>
      </c>
      <c r="J246">
        <v>0</v>
      </c>
      <c r="K246">
        <v>0.28789999999999999</v>
      </c>
      <c r="L246">
        <v>0.81</v>
      </c>
      <c r="M246">
        <v>0</v>
      </c>
      <c r="N246">
        <v>3</v>
      </c>
      <c r="O246">
        <v>13</v>
      </c>
      <c r="P246">
        <v>16</v>
      </c>
    </row>
    <row r="247" spans="1:16" x14ac:dyDescent="0.25">
      <c r="A247">
        <v>246</v>
      </c>
      <c r="B247" s="19">
        <v>40554</v>
      </c>
      <c r="C247">
        <v>1</v>
      </c>
      <c r="D247">
        <v>1</v>
      </c>
      <c r="E247">
        <v>14</v>
      </c>
      <c r="F247" t="b">
        <v>0</v>
      </c>
      <c r="G247">
        <v>2</v>
      </c>
      <c r="H247">
        <v>2</v>
      </c>
      <c r="I247">
        <v>0.2</v>
      </c>
      <c r="J247">
        <v>0</v>
      </c>
      <c r="K247">
        <v>0.28789999999999999</v>
      </c>
      <c r="L247">
        <v>0.81</v>
      </c>
      <c r="M247">
        <v>0</v>
      </c>
      <c r="N247">
        <v>3</v>
      </c>
      <c r="O247">
        <v>13</v>
      </c>
      <c r="P247">
        <v>16</v>
      </c>
    </row>
    <row r="248" spans="1:16" x14ac:dyDescent="0.25">
      <c r="A248">
        <v>247</v>
      </c>
      <c r="B248" s="19">
        <v>40554</v>
      </c>
      <c r="C248">
        <v>1</v>
      </c>
      <c r="D248">
        <v>1</v>
      </c>
      <c r="E248">
        <v>15</v>
      </c>
      <c r="F248" t="b">
        <v>0</v>
      </c>
      <c r="G248">
        <v>2</v>
      </c>
      <c r="H248">
        <v>2</v>
      </c>
      <c r="I248">
        <v>0.16</v>
      </c>
      <c r="J248">
        <v>0</v>
      </c>
      <c r="K248">
        <v>0.28789999999999999</v>
      </c>
      <c r="L248">
        <v>0.81</v>
      </c>
      <c r="M248">
        <v>0</v>
      </c>
      <c r="N248">
        <v>3</v>
      </c>
      <c r="O248">
        <v>13</v>
      </c>
      <c r="P248">
        <v>16</v>
      </c>
    </row>
    <row r="249" spans="1:16" x14ac:dyDescent="0.25">
      <c r="A249">
        <v>248</v>
      </c>
      <c r="B249" s="19">
        <v>40554</v>
      </c>
      <c r="C249">
        <v>1</v>
      </c>
      <c r="D249">
        <v>1</v>
      </c>
      <c r="E249">
        <v>16</v>
      </c>
      <c r="F249" t="b">
        <v>0</v>
      </c>
      <c r="G249">
        <v>2</v>
      </c>
      <c r="H249">
        <v>2</v>
      </c>
      <c r="I249">
        <v>0.16</v>
      </c>
      <c r="J249">
        <v>0</v>
      </c>
      <c r="K249">
        <v>0.28789999999999999</v>
      </c>
      <c r="L249">
        <v>0.81</v>
      </c>
      <c r="M249">
        <v>0</v>
      </c>
      <c r="N249">
        <v>3</v>
      </c>
      <c r="O249">
        <v>13</v>
      </c>
      <c r="P249">
        <v>16</v>
      </c>
    </row>
    <row r="250" spans="1:16" x14ac:dyDescent="0.25">
      <c r="A250">
        <v>249</v>
      </c>
      <c r="B250" s="19">
        <v>40554</v>
      </c>
      <c r="C250">
        <v>1</v>
      </c>
      <c r="D250">
        <v>1</v>
      </c>
      <c r="E250">
        <v>17</v>
      </c>
      <c r="F250" t="b">
        <v>0</v>
      </c>
      <c r="G250">
        <v>2</v>
      </c>
      <c r="H250">
        <v>2</v>
      </c>
      <c r="I250">
        <v>0.16</v>
      </c>
      <c r="J250">
        <v>0</v>
      </c>
      <c r="K250">
        <v>0.28789999999999999</v>
      </c>
      <c r="L250">
        <v>0.81</v>
      </c>
      <c r="M250">
        <v>0</v>
      </c>
      <c r="N250">
        <v>3</v>
      </c>
      <c r="O250">
        <v>13</v>
      </c>
      <c r="P250">
        <v>16</v>
      </c>
    </row>
    <row r="251" spans="1:16" x14ac:dyDescent="0.25">
      <c r="A251">
        <v>250</v>
      </c>
      <c r="B251" s="19">
        <v>40554</v>
      </c>
      <c r="C251">
        <v>1</v>
      </c>
      <c r="D251">
        <v>1</v>
      </c>
      <c r="E251">
        <v>18</v>
      </c>
      <c r="F251" t="b">
        <v>0</v>
      </c>
      <c r="G251">
        <v>2</v>
      </c>
      <c r="H251">
        <v>3</v>
      </c>
      <c r="I251">
        <v>0.16</v>
      </c>
      <c r="J251">
        <v>0</v>
      </c>
      <c r="K251">
        <v>0.28789999999999999</v>
      </c>
      <c r="L251">
        <v>0.81</v>
      </c>
      <c r="M251">
        <v>0</v>
      </c>
      <c r="N251">
        <v>3</v>
      </c>
      <c r="O251">
        <v>13</v>
      </c>
      <c r="P251">
        <v>16</v>
      </c>
    </row>
    <row r="252" spans="1:16" x14ac:dyDescent="0.25">
      <c r="A252">
        <v>251</v>
      </c>
      <c r="B252" s="19">
        <v>40554</v>
      </c>
      <c r="C252">
        <v>1</v>
      </c>
      <c r="D252">
        <v>1</v>
      </c>
      <c r="E252">
        <v>19</v>
      </c>
      <c r="F252" t="b">
        <v>0</v>
      </c>
      <c r="G252">
        <v>2</v>
      </c>
      <c r="H252">
        <v>3</v>
      </c>
      <c r="I252">
        <v>0.16</v>
      </c>
      <c r="J252">
        <v>0</v>
      </c>
      <c r="K252">
        <v>0.28789999999999999</v>
      </c>
      <c r="L252">
        <v>0.81</v>
      </c>
      <c r="M252">
        <v>0</v>
      </c>
      <c r="N252">
        <v>3</v>
      </c>
      <c r="O252">
        <v>13</v>
      </c>
      <c r="P252">
        <v>16</v>
      </c>
    </row>
    <row r="253" spans="1:16" x14ac:dyDescent="0.25">
      <c r="A253">
        <v>252</v>
      </c>
      <c r="B253" s="19">
        <v>40554</v>
      </c>
      <c r="C253">
        <v>1</v>
      </c>
      <c r="D253">
        <v>1</v>
      </c>
      <c r="E253">
        <v>20</v>
      </c>
      <c r="F253" t="b">
        <v>0</v>
      </c>
      <c r="G253">
        <v>2</v>
      </c>
      <c r="H253">
        <v>3</v>
      </c>
      <c r="I253">
        <v>0.16</v>
      </c>
      <c r="J253">
        <v>0</v>
      </c>
      <c r="K253">
        <v>0.28789999999999999</v>
      </c>
      <c r="L253">
        <v>0.81</v>
      </c>
      <c r="M253">
        <v>0</v>
      </c>
      <c r="N253">
        <v>3</v>
      </c>
      <c r="O253">
        <v>13</v>
      </c>
      <c r="P253">
        <v>16</v>
      </c>
    </row>
    <row r="254" spans="1:16" x14ac:dyDescent="0.25">
      <c r="A254">
        <v>253</v>
      </c>
      <c r="B254" s="19">
        <v>40554</v>
      </c>
      <c r="C254">
        <v>1</v>
      </c>
      <c r="D254">
        <v>1</v>
      </c>
      <c r="E254">
        <v>21</v>
      </c>
      <c r="F254" t="b">
        <v>0</v>
      </c>
      <c r="G254">
        <v>2</v>
      </c>
      <c r="H254">
        <v>3</v>
      </c>
      <c r="I254">
        <v>0.16</v>
      </c>
      <c r="J254">
        <v>0</v>
      </c>
      <c r="K254">
        <v>0.28789999999999999</v>
      </c>
      <c r="L254">
        <v>0.81</v>
      </c>
      <c r="M254">
        <v>0</v>
      </c>
      <c r="N254">
        <v>3</v>
      </c>
      <c r="O254">
        <v>13</v>
      </c>
      <c r="P254">
        <v>16</v>
      </c>
    </row>
    <row r="255" spans="1:16" x14ac:dyDescent="0.25">
      <c r="A255">
        <v>254</v>
      </c>
      <c r="B255" s="19">
        <v>40554</v>
      </c>
      <c r="C255">
        <v>1</v>
      </c>
      <c r="D255">
        <v>1</v>
      </c>
      <c r="E255">
        <v>22</v>
      </c>
      <c r="F255" t="b">
        <v>0</v>
      </c>
      <c r="G255">
        <v>2</v>
      </c>
      <c r="H255">
        <v>3</v>
      </c>
      <c r="I255">
        <v>0.16</v>
      </c>
      <c r="J255">
        <v>0</v>
      </c>
      <c r="K255">
        <v>0.28789999999999999</v>
      </c>
      <c r="L255">
        <v>0.81</v>
      </c>
      <c r="M255">
        <v>0</v>
      </c>
      <c r="N255">
        <v>3</v>
      </c>
      <c r="O255">
        <v>13</v>
      </c>
      <c r="P255">
        <v>16</v>
      </c>
    </row>
    <row r="256" spans="1:16" x14ac:dyDescent="0.25">
      <c r="A256">
        <v>255</v>
      </c>
      <c r="B256" s="19">
        <v>40554</v>
      </c>
      <c r="C256">
        <v>1</v>
      </c>
      <c r="D256">
        <v>1</v>
      </c>
      <c r="E256">
        <v>23</v>
      </c>
      <c r="F256" t="b">
        <v>0</v>
      </c>
      <c r="G256">
        <v>2</v>
      </c>
      <c r="H256">
        <v>3</v>
      </c>
      <c r="I256">
        <v>0.16</v>
      </c>
      <c r="J256">
        <v>0</v>
      </c>
      <c r="K256">
        <v>0.28789999999999999</v>
      </c>
      <c r="L256">
        <v>0.81</v>
      </c>
      <c r="M256">
        <v>0</v>
      </c>
      <c r="N256">
        <v>3</v>
      </c>
      <c r="O256">
        <v>13</v>
      </c>
      <c r="P256">
        <v>16</v>
      </c>
    </row>
    <row r="257" spans="1:16" x14ac:dyDescent="0.25">
      <c r="A257">
        <v>256</v>
      </c>
      <c r="B257" s="19">
        <v>40555</v>
      </c>
      <c r="C257">
        <v>1</v>
      </c>
      <c r="D257">
        <v>1</v>
      </c>
      <c r="E257">
        <v>0</v>
      </c>
      <c r="F257" t="b">
        <v>0</v>
      </c>
      <c r="G257">
        <v>3</v>
      </c>
      <c r="H257">
        <v>2</v>
      </c>
      <c r="I257">
        <v>0.16</v>
      </c>
      <c r="J257">
        <v>0</v>
      </c>
      <c r="K257">
        <v>0.28789999999999999</v>
      </c>
      <c r="L257">
        <v>0.81</v>
      </c>
      <c r="M257">
        <v>0</v>
      </c>
      <c r="N257">
        <v>3</v>
      </c>
      <c r="O257">
        <v>13</v>
      </c>
      <c r="P257">
        <v>16</v>
      </c>
    </row>
    <row r="258" spans="1:16" x14ac:dyDescent="0.25">
      <c r="A258">
        <v>257</v>
      </c>
      <c r="B258" s="19">
        <v>40555</v>
      </c>
      <c r="C258">
        <v>1</v>
      </c>
      <c r="D258">
        <v>1</v>
      </c>
      <c r="E258">
        <v>1</v>
      </c>
      <c r="F258" t="b">
        <v>0</v>
      </c>
      <c r="G258">
        <v>3</v>
      </c>
      <c r="H258">
        <v>2</v>
      </c>
      <c r="I258">
        <v>0.16</v>
      </c>
      <c r="J258">
        <v>0</v>
      </c>
      <c r="K258">
        <v>0.28789999999999999</v>
      </c>
      <c r="L258">
        <v>0.81</v>
      </c>
      <c r="M258">
        <v>0</v>
      </c>
      <c r="N258">
        <v>3</v>
      </c>
      <c r="O258">
        <v>13</v>
      </c>
      <c r="P258">
        <v>16</v>
      </c>
    </row>
    <row r="259" spans="1:16" x14ac:dyDescent="0.25">
      <c r="A259">
        <v>258</v>
      </c>
      <c r="B259" s="19">
        <v>40555</v>
      </c>
      <c r="C259">
        <v>1</v>
      </c>
      <c r="D259">
        <v>1</v>
      </c>
      <c r="E259">
        <v>2</v>
      </c>
      <c r="F259" t="b">
        <v>0</v>
      </c>
      <c r="G259">
        <v>3</v>
      </c>
      <c r="H259">
        <v>1</v>
      </c>
      <c r="I259">
        <v>0.14000000000000001</v>
      </c>
      <c r="J259">
        <v>0</v>
      </c>
      <c r="K259">
        <v>0.28789999999999999</v>
      </c>
      <c r="L259">
        <v>0.81</v>
      </c>
      <c r="M259">
        <v>0</v>
      </c>
      <c r="N259">
        <v>3</v>
      </c>
      <c r="O259">
        <v>13</v>
      </c>
      <c r="P259">
        <v>16</v>
      </c>
    </row>
    <row r="260" spans="1:16" x14ac:dyDescent="0.25">
      <c r="A260">
        <v>259</v>
      </c>
      <c r="B260" s="19">
        <v>40555</v>
      </c>
      <c r="C260">
        <v>1</v>
      </c>
      <c r="D260">
        <v>1</v>
      </c>
      <c r="E260">
        <v>5</v>
      </c>
      <c r="F260" t="b">
        <v>0</v>
      </c>
      <c r="G260">
        <v>3</v>
      </c>
      <c r="H260">
        <v>1</v>
      </c>
      <c r="I260">
        <v>0.14000000000000001</v>
      </c>
      <c r="J260">
        <v>0</v>
      </c>
      <c r="K260">
        <v>0.28789999999999999</v>
      </c>
      <c r="L260">
        <v>0.81</v>
      </c>
      <c r="M260">
        <v>0</v>
      </c>
      <c r="N260">
        <v>3</v>
      </c>
      <c r="O260">
        <v>13</v>
      </c>
      <c r="P260">
        <v>16</v>
      </c>
    </row>
    <row r="261" spans="1:16" x14ac:dyDescent="0.25">
      <c r="A261">
        <v>260</v>
      </c>
      <c r="B261" s="19">
        <v>40555</v>
      </c>
      <c r="C261">
        <v>1</v>
      </c>
      <c r="D261">
        <v>1</v>
      </c>
      <c r="E261">
        <v>6</v>
      </c>
      <c r="F261" t="b">
        <v>0</v>
      </c>
      <c r="G261">
        <v>3</v>
      </c>
      <c r="H261">
        <v>1</v>
      </c>
      <c r="I261">
        <v>0.12</v>
      </c>
      <c r="J261">
        <v>0</v>
      </c>
      <c r="K261">
        <v>0.28789999999999999</v>
      </c>
      <c r="L261">
        <v>0.81</v>
      </c>
      <c r="M261">
        <v>0</v>
      </c>
      <c r="N261">
        <v>3</v>
      </c>
      <c r="O261">
        <v>13</v>
      </c>
      <c r="P261">
        <v>16</v>
      </c>
    </row>
    <row r="262" spans="1:16" x14ac:dyDescent="0.25">
      <c r="A262">
        <v>261</v>
      </c>
      <c r="B262" s="19">
        <v>40555</v>
      </c>
      <c r="C262">
        <v>1</v>
      </c>
      <c r="D262">
        <v>1</v>
      </c>
      <c r="E262">
        <v>7</v>
      </c>
      <c r="F262" t="b">
        <v>0</v>
      </c>
      <c r="G262">
        <v>3</v>
      </c>
      <c r="H262">
        <v>1</v>
      </c>
      <c r="I262">
        <v>0.14000000000000001</v>
      </c>
      <c r="J262">
        <v>0</v>
      </c>
      <c r="K262">
        <v>0.28789999999999999</v>
      </c>
      <c r="L262">
        <v>0.81</v>
      </c>
      <c r="M262">
        <v>0</v>
      </c>
      <c r="N262">
        <v>3</v>
      </c>
      <c r="O262">
        <v>13</v>
      </c>
      <c r="P262">
        <v>16</v>
      </c>
    </row>
    <row r="263" spans="1:16" x14ac:dyDescent="0.25">
      <c r="A263">
        <v>262</v>
      </c>
      <c r="B263" s="19">
        <v>40555</v>
      </c>
      <c r="C263">
        <v>1</v>
      </c>
      <c r="D263">
        <v>1</v>
      </c>
      <c r="E263">
        <v>8</v>
      </c>
      <c r="F263" t="b">
        <v>0</v>
      </c>
      <c r="G263">
        <v>3</v>
      </c>
      <c r="H263">
        <v>1</v>
      </c>
      <c r="I263">
        <v>0.16</v>
      </c>
      <c r="J263">
        <v>0</v>
      </c>
      <c r="K263">
        <v>0.28789999999999999</v>
      </c>
      <c r="L263">
        <v>0.81</v>
      </c>
      <c r="M263">
        <v>0</v>
      </c>
      <c r="N263">
        <v>3</v>
      </c>
      <c r="O263">
        <v>13</v>
      </c>
      <c r="P263">
        <v>16</v>
      </c>
    </row>
    <row r="264" spans="1:16" x14ac:dyDescent="0.25">
      <c r="A264">
        <v>263</v>
      </c>
      <c r="B264" s="19">
        <v>40555</v>
      </c>
      <c r="C264">
        <v>1</v>
      </c>
      <c r="D264">
        <v>1</v>
      </c>
      <c r="E264">
        <v>9</v>
      </c>
      <c r="F264" t="b">
        <v>0</v>
      </c>
      <c r="G264">
        <v>3</v>
      </c>
      <c r="H264">
        <v>1</v>
      </c>
      <c r="I264">
        <v>0.16</v>
      </c>
      <c r="J264">
        <v>0</v>
      </c>
      <c r="K264">
        <v>0.28789999999999999</v>
      </c>
      <c r="L264">
        <v>0.81</v>
      </c>
      <c r="M264">
        <v>0</v>
      </c>
      <c r="N264">
        <v>3</v>
      </c>
      <c r="O264">
        <v>13</v>
      </c>
      <c r="P264">
        <v>16</v>
      </c>
    </row>
    <row r="265" spans="1:16" x14ac:dyDescent="0.25">
      <c r="A265">
        <v>264</v>
      </c>
      <c r="B265" s="19">
        <v>40555</v>
      </c>
      <c r="C265">
        <v>1</v>
      </c>
      <c r="D265">
        <v>1</v>
      </c>
      <c r="E265">
        <v>10</v>
      </c>
      <c r="F265" t="b">
        <v>0</v>
      </c>
      <c r="G265">
        <v>3</v>
      </c>
      <c r="H265">
        <v>1</v>
      </c>
      <c r="I265">
        <v>0.18</v>
      </c>
      <c r="J265">
        <v>0</v>
      </c>
      <c r="K265">
        <v>0.28789999999999999</v>
      </c>
      <c r="L265">
        <v>0.81</v>
      </c>
      <c r="M265">
        <v>0</v>
      </c>
      <c r="N265">
        <v>3</v>
      </c>
      <c r="O265">
        <v>13</v>
      </c>
      <c r="P265">
        <v>16</v>
      </c>
    </row>
    <row r="266" spans="1:16" x14ac:dyDescent="0.25">
      <c r="A266">
        <v>265</v>
      </c>
      <c r="B266" s="19">
        <v>40555</v>
      </c>
      <c r="C266">
        <v>1</v>
      </c>
      <c r="D266">
        <v>1</v>
      </c>
      <c r="E266">
        <v>11</v>
      </c>
      <c r="F266" t="b">
        <v>0</v>
      </c>
      <c r="G266">
        <v>3</v>
      </c>
      <c r="H266">
        <v>1</v>
      </c>
      <c r="I266">
        <v>0.2</v>
      </c>
      <c r="J266">
        <v>0</v>
      </c>
      <c r="K266">
        <v>0.28789999999999999</v>
      </c>
      <c r="L266">
        <v>0.81</v>
      </c>
      <c r="M266">
        <v>0</v>
      </c>
      <c r="N266">
        <v>3</v>
      </c>
      <c r="O266">
        <v>13</v>
      </c>
      <c r="P266">
        <v>16</v>
      </c>
    </row>
    <row r="267" spans="1:16" x14ac:dyDescent="0.25">
      <c r="A267">
        <v>266</v>
      </c>
      <c r="B267" s="19">
        <v>40555</v>
      </c>
      <c r="C267">
        <v>1</v>
      </c>
      <c r="D267">
        <v>1</v>
      </c>
      <c r="E267">
        <v>12</v>
      </c>
      <c r="F267" t="b">
        <v>0</v>
      </c>
      <c r="G267">
        <v>3</v>
      </c>
      <c r="H267">
        <v>1</v>
      </c>
      <c r="I267">
        <v>0.2</v>
      </c>
      <c r="J267">
        <v>0</v>
      </c>
      <c r="K267">
        <v>0.28789999999999999</v>
      </c>
      <c r="L267">
        <v>0.81</v>
      </c>
      <c r="M267">
        <v>0</v>
      </c>
      <c r="N267">
        <v>3</v>
      </c>
      <c r="O267">
        <v>13</v>
      </c>
      <c r="P267">
        <v>16</v>
      </c>
    </row>
    <row r="268" spans="1:16" x14ac:dyDescent="0.25">
      <c r="A268">
        <v>267</v>
      </c>
      <c r="B268" s="19">
        <v>40555</v>
      </c>
      <c r="C268">
        <v>1</v>
      </c>
      <c r="D268">
        <v>1</v>
      </c>
      <c r="E268">
        <v>13</v>
      </c>
      <c r="F268" t="b">
        <v>0</v>
      </c>
      <c r="G268">
        <v>3</v>
      </c>
      <c r="H268">
        <v>1</v>
      </c>
      <c r="I268">
        <v>0.22</v>
      </c>
      <c r="J268">
        <v>0</v>
      </c>
      <c r="K268">
        <v>0.28789999999999999</v>
      </c>
      <c r="L268">
        <v>0.81</v>
      </c>
      <c r="M268">
        <v>0</v>
      </c>
      <c r="N268">
        <v>3</v>
      </c>
      <c r="O268">
        <v>13</v>
      </c>
      <c r="P268">
        <v>16</v>
      </c>
    </row>
    <row r="269" spans="1:16" x14ac:dyDescent="0.25">
      <c r="A269">
        <v>268</v>
      </c>
      <c r="B269" s="19">
        <v>40555</v>
      </c>
      <c r="C269">
        <v>1</v>
      </c>
      <c r="D269">
        <v>1</v>
      </c>
      <c r="E269">
        <v>14</v>
      </c>
      <c r="F269" t="b">
        <v>0</v>
      </c>
      <c r="G269">
        <v>3</v>
      </c>
      <c r="H269">
        <v>1</v>
      </c>
      <c r="I269">
        <v>0.2</v>
      </c>
      <c r="J269">
        <v>0</v>
      </c>
      <c r="K269">
        <v>0.28789999999999999</v>
      </c>
      <c r="L269">
        <v>0.81</v>
      </c>
      <c r="M269">
        <v>0</v>
      </c>
      <c r="N269">
        <v>3</v>
      </c>
      <c r="O269">
        <v>13</v>
      </c>
      <c r="P269">
        <v>16</v>
      </c>
    </row>
    <row r="270" spans="1:16" x14ac:dyDescent="0.25">
      <c r="A270">
        <v>269</v>
      </c>
      <c r="B270" s="19">
        <v>40555</v>
      </c>
      <c r="C270">
        <v>1</v>
      </c>
      <c r="D270">
        <v>1</v>
      </c>
      <c r="E270">
        <v>15</v>
      </c>
      <c r="F270" t="b">
        <v>0</v>
      </c>
      <c r="G270">
        <v>3</v>
      </c>
      <c r="H270">
        <v>1</v>
      </c>
      <c r="I270">
        <v>0.2</v>
      </c>
      <c r="J270">
        <v>0</v>
      </c>
      <c r="K270">
        <v>0.28789999999999999</v>
      </c>
      <c r="L270">
        <v>0.81</v>
      </c>
      <c r="M270">
        <v>0</v>
      </c>
      <c r="N270">
        <v>3</v>
      </c>
      <c r="O270">
        <v>13</v>
      </c>
      <c r="P270">
        <v>16</v>
      </c>
    </row>
    <row r="271" spans="1:16" x14ac:dyDescent="0.25">
      <c r="A271">
        <v>270</v>
      </c>
      <c r="B271" s="19">
        <v>40555</v>
      </c>
      <c r="C271">
        <v>1</v>
      </c>
      <c r="D271">
        <v>1</v>
      </c>
      <c r="E271">
        <v>16</v>
      </c>
      <c r="F271" t="b">
        <v>0</v>
      </c>
      <c r="G271">
        <v>3</v>
      </c>
      <c r="H271">
        <v>1</v>
      </c>
      <c r="I271">
        <v>0.22</v>
      </c>
      <c r="J271">
        <v>0</v>
      </c>
      <c r="K271">
        <v>0.28789999999999999</v>
      </c>
      <c r="L271">
        <v>0.81</v>
      </c>
      <c r="M271">
        <v>0</v>
      </c>
      <c r="N271">
        <v>3</v>
      </c>
      <c r="O271">
        <v>13</v>
      </c>
      <c r="P271">
        <v>16</v>
      </c>
    </row>
    <row r="272" spans="1:16" x14ac:dyDescent="0.25">
      <c r="A272">
        <v>271</v>
      </c>
      <c r="B272" s="19">
        <v>40555</v>
      </c>
      <c r="C272">
        <v>1</v>
      </c>
      <c r="D272">
        <v>1</v>
      </c>
      <c r="E272">
        <v>17</v>
      </c>
      <c r="F272" t="b">
        <v>0</v>
      </c>
      <c r="G272">
        <v>3</v>
      </c>
      <c r="H272">
        <v>1</v>
      </c>
      <c r="I272">
        <v>0.2</v>
      </c>
      <c r="J272">
        <v>0</v>
      </c>
      <c r="K272">
        <v>0.28789999999999999</v>
      </c>
      <c r="L272">
        <v>0.81</v>
      </c>
      <c r="M272">
        <v>0</v>
      </c>
      <c r="N272">
        <v>3</v>
      </c>
      <c r="O272">
        <v>13</v>
      </c>
      <c r="P272">
        <v>16</v>
      </c>
    </row>
    <row r="273" spans="1:16" x14ac:dyDescent="0.25">
      <c r="A273">
        <v>272</v>
      </c>
      <c r="B273" s="19">
        <v>40555</v>
      </c>
      <c r="C273">
        <v>1</v>
      </c>
      <c r="D273">
        <v>1</v>
      </c>
      <c r="E273">
        <v>18</v>
      </c>
      <c r="F273" t="b">
        <v>0</v>
      </c>
      <c r="G273">
        <v>3</v>
      </c>
      <c r="H273">
        <v>1</v>
      </c>
      <c r="I273">
        <v>0.2</v>
      </c>
      <c r="J273">
        <v>0</v>
      </c>
      <c r="K273">
        <v>0.28789999999999999</v>
      </c>
      <c r="L273">
        <v>0.81</v>
      </c>
      <c r="M273">
        <v>0</v>
      </c>
      <c r="N273">
        <v>3</v>
      </c>
      <c r="O273">
        <v>13</v>
      </c>
      <c r="P273">
        <v>16</v>
      </c>
    </row>
    <row r="274" spans="1:16" x14ac:dyDescent="0.25">
      <c r="A274">
        <v>273</v>
      </c>
      <c r="B274" s="19">
        <v>40555</v>
      </c>
      <c r="C274">
        <v>1</v>
      </c>
      <c r="D274">
        <v>1</v>
      </c>
      <c r="E274">
        <v>19</v>
      </c>
      <c r="F274" t="b">
        <v>0</v>
      </c>
      <c r="G274">
        <v>3</v>
      </c>
      <c r="H274">
        <v>1</v>
      </c>
      <c r="I274">
        <v>0.18</v>
      </c>
      <c r="J274">
        <v>0</v>
      </c>
      <c r="K274">
        <v>0.28789999999999999</v>
      </c>
      <c r="L274">
        <v>0.81</v>
      </c>
      <c r="M274">
        <v>0</v>
      </c>
      <c r="N274">
        <v>3</v>
      </c>
      <c r="O274">
        <v>13</v>
      </c>
      <c r="P274">
        <v>16</v>
      </c>
    </row>
    <row r="275" spans="1:16" x14ac:dyDescent="0.25">
      <c r="A275">
        <v>274</v>
      </c>
      <c r="B275" s="19">
        <v>40555</v>
      </c>
      <c r="C275">
        <v>1</v>
      </c>
      <c r="D275">
        <v>1</v>
      </c>
      <c r="E275">
        <v>20</v>
      </c>
      <c r="F275" t="b">
        <v>0</v>
      </c>
      <c r="G275">
        <v>3</v>
      </c>
      <c r="H275">
        <v>1</v>
      </c>
      <c r="I275">
        <v>0.16</v>
      </c>
      <c r="J275">
        <v>0</v>
      </c>
      <c r="K275">
        <v>0.28789999999999999</v>
      </c>
      <c r="L275">
        <v>0.81</v>
      </c>
      <c r="M275">
        <v>0</v>
      </c>
      <c r="N275">
        <v>3</v>
      </c>
      <c r="O275">
        <v>13</v>
      </c>
      <c r="P275">
        <v>16</v>
      </c>
    </row>
    <row r="276" spans="1:16" x14ac:dyDescent="0.25">
      <c r="A276">
        <v>275</v>
      </c>
      <c r="B276" s="19">
        <v>40555</v>
      </c>
      <c r="C276">
        <v>1</v>
      </c>
      <c r="D276">
        <v>1</v>
      </c>
      <c r="E276">
        <v>21</v>
      </c>
      <c r="F276" t="b">
        <v>0</v>
      </c>
      <c r="G276">
        <v>3</v>
      </c>
      <c r="H276">
        <v>1</v>
      </c>
      <c r="I276">
        <v>0.16</v>
      </c>
      <c r="J276">
        <v>0</v>
      </c>
      <c r="K276">
        <v>0.28789999999999999</v>
      </c>
      <c r="L276">
        <v>0.81</v>
      </c>
      <c r="M276">
        <v>0</v>
      </c>
      <c r="N276">
        <v>3</v>
      </c>
      <c r="O276">
        <v>13</v>
      </c>
      <c r="P276">
        <v>16</v>
      </c>
    </row>
    <row r="277" spans="1:16" x14ac:dyDescent="0.25">
      <c r="A277">
        <v>276</v>
      </c>
      <c r="B277" s="19">
        <v>40555</v>
      </c>
      <c r="C277">
        <v>1</v>
      </c>
      <c r="D277">
        <v>1</v>
      </c>
      <c r="E277">
        <v>22</v>
      </c>
      <c r="F277" t="b">
        <v>0</v>
      </c>
      <c r="G277">
        <v>3</v>
      </c>
      <c r="H277">
        <v>1</v>
      </c>
      <c r="I277">
        <v>0.16</v>
      </c>
      <c r="J277">
        <v>0</v>
      </c>
      <c r="K277">
        <v>0.28789999999999999</v>
      </c>
      <c r="L277">
        <v>0.81</v>
      </c>
      <c r="M277">
        <v>0</v>
      </c>
      <c r="N277">
        <v>3</v>
      </c>
      <c r="O277">
        <v>13</v>
      </c>
      <c r="P277">
        <v>16</v>
      </c>
    </row>
    <row r="278" spans="1:16" x14ac:dyDescent="0.25">
      <c r="A278">
        <v>277</v>
      </c>
      <c r="B278" s="19">
        <v>40555</v>
      </c>
      <c r="C278">
        <v>1</v>
      </c>
      <c r="D278">
        <v>1</v>
      </c>
      <c r="E278">
        <v>23</v>
      </c>
      <c r="F278" t="b">
        <v>0</v>
      </c>
      <c r="G278">
        <v>3</v>
      </c>
      <c r="H278">
        <v>1</v>
      </c>
      <c r="I278">
        <v>0.14000000000000001</v>
      </c>
      <c r="J278">
        <v>0</v>
      </c>
      <c r="K278">
        <v>0.28789999999999999</v>
      </c>
      <c r="L278">
        <v>0.81</v>
      </c>
      <c r="M278">
        <v>0</v>
      </c>
      <c r="N278">
        <v>3</v>
      </c>
      <c r="O278">
        <v>13</v>
      </c>
      <c r="P278">
        <v>16</v>
      </c>
    </row>
    <row r="279" spans="1:16" x14ac:dyDescent="0.25">
      <c r="A279">
        <v>278</v>
      </c>
      <c r="B279" s="19">
        <v>40556</v>
      </c>
      <c r="C279">
        <v>1</v>
      </c>
      <c r="D279">
        <v>1</v>
      </c>
      <c r="E279">
        <v>0</v>
      </c>
      <c r="F279" t="b">
        <v>0</v>
      </c>
      <c r="G279">
        <v>4</v>
      </c>
      <c r="H279">
        <v>1</v>
      </c>
      <c r="I279">
        <v>0.14000000000000001</v>
      </c>
      <c r="J279">
        <v>0</v>
      </c>
      <c r="K279">
        <v>0.28789999999999999</v>
      </c>
      <c r="L279">
        <v>0.81</v>
      </c>
      <c r="M279">
        <v>0</v>
      </c>
      <c r="N279">
        <v>3</v>
      </c>
      <c r="O279">
        <v>13</v>
      </c>
      <c r="P279">
        <v>16</v>
      </c>
    </row>
    <row r="280" spans="1:16" x14ac:dyDescent="0.25">
      <c r="A280">
        <v>279</v>
      </c>
      <c r="B280" s="19">
        <v>40556</v>
      </c>
      <c r="C280">
        <v>1</v>
      </c>
      <c r="D280">
        <v>1</v>
      </c>
      <c r="E280">
        <v>1</v>
      </c>
      <c r="F280" t="b">
        <v>0</v>
      </c>
      <c r="G280">
        <v>4</v>
      </c>
      <c r="H280">
        <v>1</v>
      </c>
      <c r="I280">
        <v>0.14000000000000001</v>
      </c>
      <c r="J280">
        <v>0</v>
      </c>
      <c r="K280">
        <v>0.28789999999999999</v>
      </c>
      <c r="L280">
        <v>0.81</v>
      </c>
      <c r="M280">
        <v>0</v>
      </c>
      <c r="N280">
        <v>3</v>
      </c>
      <c r="O280">
        <v>13</v>
      </c>
      <c r="P280">
        <v>16</v>
      </c>
    </row>
    <row r="281" spans="1:16" x14ac:dyDescent="0.25">
      <c r="A281">
        <v>280</v>
      </c>
      <c r="B281" s="19">
        <v>40556</v>
      </c>
      <c r="C281">
        <v>1</v>
      </c>
      <c r="D281">
        <v>1</v>
      </c>
      <c r="E281">
        <v>2</v>
      </c>
      <c r="F281" t="b">
        <v>0</v>
      </c>
      <c r="G281">
        <v>4</v>
      </c>
      <c r="H281">
        <v>1</v>
      </c>
      <c r="I281">
        <v>0.14000000000000001</v>
      </c>
      <c r="J281">
        <v>0</v>
      </c>
      <c r="K281">
        <v>0.28789999999999999</v>
      </c>
      <c r="L281">
        <v>0.81</v>
      </c>
      <c r="M281">
        <v>0</v>
      </c>
      <c r="N281">
        <v>3</v>
      </c>
      <c r="O281">
        <v>13</v>
      </c>
      <c r="P281">
        <v>16</v>
      </c>
    </row>
    <row r="282" spans="1:16" x14ac:dyDescent="0.25">
      <c r="A282">
        <v>281</v>
      </c>
      <c r="B282" s="19">
        <v>40556</v>
      </c>
      <c r="C282">
        <v>1</v>
      </c>
      <c r="D282">
        <v>1</v>
      </c>
      <c r="E282">
        <v>3</v>
      </c>
      <c r="F282" t="b">
        <v>0</v>
      </c>
      <c r="G282">
        <v>4</v>
      </c>
      <c r="H282">
        <v>1</v>
      </c>
      <c r="I282">
        <v>0.14000000000000001</v>
      </c>
      <c r="J282">
        <v>0</v>
      </c>
      <c r="K282">
        <v>0.28789999999999999</v>
      </c>
      <c r="L282">
        <v>0.81</v>
      </c>
      <c r="M282">
        <v>0</v>
      </c>
      <c r="N282">
        <v>3</v>
      </c>
      <c r="O282">
        <v>13</v>
      </c>
      <c r="P282">
        <v>16</v>
      </c>
    </row>
    <row r="283" spans="1:16" x14ac:dyDescent="0.25">
      <c r="A283">
        <v>282</v>
      </c>
      <c r="B283" s="19">
        <v>40556</v>
      </c>
      <c r="C283">
        <v>1</v>
      </c>
      <c r="D283">
        <v>1</v>
      </c>
      <c r="E283">
        <v>4</v>
      </c>
      <c r="F283" t="b">
        <v>0</v>
      </c>
      <c r="G283">
        <v>4</v>
      </c>
      <c r="H283">
        <v>1</v>
      </c>
      <c r="I283">
        <v>0.14000000000000001</v>
      </c>
      <c r="J283">
        <v>0</v>
      </c>
      <c r="K283">
        <v>0.28789999999999999</v>
      </c>
      <c r="L283">
        <v>0.81</v>
      </c>
      <c r="M283">
        <v>0</v>
      </c>
      <c r="N283">
        <v>3</v>
      </c>
      <c r="O283">
        <v>13</v>
      </c>
      <c r="P283">
        <v>16</v>
      </c>
    </row>
    <row r="284" spans="1:16" x14ac:dyDescent="0.25">
      <c r="A284">
        <v>283</v>
      </c>
      <c r="B284" s="19">
        <v>40556</v>
      </c>
      <c r="C284">
        <v>1</v>
      </c>
      <c r="D284">
        <v>1</v>
      </c>
      <c r="E284">
        <v>5</v>
      </c>
      <c r="F284" t="b">
        <v>0</v>
      </c>
      <c r="G284">
        <v>4</v>
      </c>
      <c r="H284">
        <v>1</v>
      </c>
      <c r="I284">
        <v>0.14000000000000001</v>
      </c>
      <c r="J284">
        <v>0</v>
      </c>
      <c r="K284">
        <v>0.28789999999999999</v>
      </c>
      <c r="L284">
        <v>0.81</v>
      </c>
      <c r="M284">
        <v>0</v>
      </c>
      <c r="N284">
        <v>3</v>
      </c>
      <c r="O284">
        <v>13</v>
      </c>
      <c r="P284">
        <v>16</v>
      </c>
    </row>
    <row r="285" spans="1:16" x14ac:dyDescent="0.25">
      <c r="A285">
        <v>284</v>
      </c>
      <c r="B285" s="19">
        <v>40556</v>
      </c>
      <c r="C285">
        <v>1</v>
      </c>
      <c r="D285">
        <v>1</v>
      </c>
      <c r="E285">
        <v>6</v>
      </c>
      <c r="F285" t="b">
        <v>0</v>
      </c>
      <c r="G285">
        <v>4</v>
      </c>
      <c r="H285">
        <v>1</v>
      </c>
      <c r="I285">
        <v>0.12</v>
      </c>
      <c r="J285">
        <v>0</v>
      </c>
      <c r="K285">
        <v>0.28789999999999999</v>
      </c>
      <c r="L285">
        <v>0.81</v>
      </c>
      <c r="M285">
        <v>0</v>
      </c>
      <c r="N285">
        <v>3</v>
      </c>
      <c r="O285">
        <v>13</v>
      </c>
      <c r="P285">
        <v>16</v>
      </c>
    </row>
    <row r="286" spans="1:16" x14ac:dyDescent="0.25">
      <c r="A286">
        <v>285</v>
      </c>
      <c r="B286" s="19">
        <v>40556</v>
      </c>
      <c r="C286">
        <v>1</v>
      </c>
      <c r="D286">
        <v>1</v>
      </c>
      <c r="E286">
        <v>7</v>
      </c>
      <c r="F286" t="b">
        <v>0</v>
      </c>
      <c r="G286">
        <v>4</v>
      </c>
      <c r="H286">
        <v>1</v>
      </c>
      <c r="I286">
        <v>0.12</v>
      </c>
      <c r="J286">
        <v>0</v>
      </c>
      <c r="K286">
        <v>0.28789999999999999</v>
      </c>
      <c r="L286">
        <v>0.81</v>
      </c>
      <c r="M286">
        <v>0</v>
      </c>
      <c r="N286">
        <v>3</v>
      </c>
      <c r="O286">
        <v>13</v>
      </c>
      <c r="P286">
        <v>16</v>
      </c>
    </row>
    <row r="287" spans="1:16" x14ac:dyDescent="0.25">
      <c r="A287">
        <v>286</v>
      </c>
      <c r="B287" s="19">
        <v>40556</v>
      </c>
      <c r="C287">
        <v>1</v>
      </c>
      <c r="D287">
        <v>1</v>
      </c>
      <c r="E287">
        <v>8</v>
      </c>
      <c r="F287" t="b">
        <v>0</v>
      </c>
      <c r="G287">
        <v>4</v>
      </c>
      <c r="H287">
        <v>1</v>
      </c>
      <c r="I287">
        <v>0.14000000000000001</v>
      </c>
      <c r="J287">
        <v>0</v>
      </c>
      <c r="K287">
        <v>0.28789999999999999</v>
      </c>
      <c r="L287">
        <v>0.81</v>
      </c>
      <c r="M287">
        <v>0</v>
      </c>
      <c r="N287">
        <v>3</v>
      </c>
      <c r="O287">
        <v>13</v>
      </c>
      <c r="P287">
        <v>16</v>
      </c>
    </row>
    <row r="288" spans="1:16" x14ac:dyDescent="0.25">
      <c r="A288">
        <v>287</v>
      </c>
      <c r="B288" s="19">
        <v>40556</v>
      </c>
      <c r="C288">
        <v>1</v>
      </c>
      <c r="D288">
        <v>1</v>
      </c>
      <c r="E288">
        <v>9</v>
      </c>
      <c r="F288" t="b">
        <v>0</v>
      </c>
      <c r="G288">
        <v>4</v>
      </c>
      <c r="H288">
        <v>1</v>
      </c>
      <c r="I288">
        <v>0.14000000000000001</v>
      </c>
      <c r="J288">
        <v>0</v>
      </c>
      <c r="K288">
        <v>0.28789999999999999</v>
      </c>
      <c r="L288">
        <v>0.81</v>
      </c>
      <c r="M288">
        <v>0</v>
      </c>
      <c r="N288">
        <v>3</v>
      </c>
      <c r="O288">
        <v>13</v>
      </c>
      <c r="P288">
        <v>16</v>
      </c>
    </row>
    <row r="289" spans="1:16" x14ac:dyDescent="0.25">
      <c r="A289">
        <v>288</v>
      </c>
      <c r="B289" s="19">
        <v>40556</v>
      </c>
      <c r="C289">
        <v>1</v>
      </c>
      <c r="D289">
        <v>1</v>
      </c>
      <c r="E289">
        <v>10</v>
      </c>
      <c r="F289" t="b">
        <v>0</v>
      </c>
      <c r="G289">
        <v>4</v>
      </c>
      <c r="H289">
        <v>2</v>
      </c>
      <c r="I289">
        <v>0.16</v>
      </c>
      <c r="J289">
        <v>0</v>
      </c>
      <c r="K289">
        <v>0.28789999999999999</v>
      </c>
      <c r="L289">
        <v>0.81</v>
      </c>
      <c r="M289">
        <v>0</v>
      </c>
      <c r="N289">
        <v>3</v>
      </c>
      <c r="O289">
        <v>13</v>
      </c>
      <c r="P289">
        <v>16</v>
      </c>
    </row>
    <row r="290" spans="1:16" x14ac:dyDescent="0.25">
      <c r="A290">
        <v>289</v>
      </c>
      <c r="B290" s="19">
        <v>40556</v>
      </c>
      <c r="C290">
        <v>1</v>
      </c>
      <c r="D290">
        <v>1</v>
      </c>
      <c r="E290">
        <v>11</v>
      </c>
      <c r="F290" t="b">
        <v>0</v>
      </c>
      <c r="G290">
        <v>4</v>
      </c>
      <c r="H290">
        <v>2</v>
      </c>
      <c r="I290">
        <v>0.2</v>
      </c>
      <c r="J290">
        <v>0</v>
      </c>
      <c r="K290">
        <v>0.28789999999999999</v>
      </c>
      <c r="L290">
        <v>0.81</v>
      </c>
      <c r="M290">
        <v>0</v>
      </c>
      <c r="N290">
        <v>3</v>
      </c>
      <c r="O290">
        <v>13</v>
      </c>
      <c r="P290">
        <v>16</v>
      </c>
    </row>
    <row r="291" spans="1:16" x14ac:dyDescent="0.25">
      <c r="A291">
        <v>290</v>
      </c>
      <c r="B291" s="19">
        <v>40556</v>
      </c>
      <c r="C291">
        <v>1</v>
      </c>
      <c r="D291">
        <v>1</v>
      </c>
      <c r="E291">
        <v>12</v>
      </c>
      <c r="F291" t="b">
        <v>0</v>
      </c>
      <c r="G291">
        <v>4</v>
      </c>
      <c r="H291">
        <v>1</v>
      </c>
      <c r="I291">
        <v>0.2</v>
      </c>
      <c r="J291">
        <v>0</v>
      </c>
      <c r="K291">
        <v>0.28789999999999999</v>
      </c>
      <c r="L291">
        <v>0.81</v>
      </c>
      <c r="M291">
        <v>0</v>
      </c>
      <c r="N291">
        <v>3</v>
      </c>
      <c r="O291">
        <v>13</v>
      </c>
      <c r="P291">
        <v>16</v>
      </c>
    </row>
    <row r="292" spans="1:16" x14ac:dyDescent="0.25">
      <c r="A292">
        <v>291</v>
      </c>
      <c r="B292" s="19">
        <v>40556</v>
      </c>
      <c r="C292">
        <v>1</v>
      </c>
      <c r="D292">
        <v>1</v>
      </c>
      <c r="E292">
        <v>13</v>
      </c>
      <c r="F292" t="b">
        <v>0</v>
      </c>
      <c r="G292">
        <v>4</v>
      </c>
      <c r="H292">
        <v>1</v>
      </c>
      <c r="I292">
        <v>0.22</v>
      </c>
      <c r="J292">
        <v>0</v>
      </c>
      <c r="K292">
        <v>0.28789999999999999</v>
      </c>
      <c r="L292">
        <v>0.81</v>
      </c>
      <c r="M292">
        <v>0</v>
      </c>
      <c r="N292">
        <v>3</v>
      </c>
      <c r="O292">
        <v>13</v>
      </c>
      <c r="P292">
        <v>16</v>
      </c>
    </row>
    <row r="293" spans="1:16" x14ac:dyDescent="0.25">
      <c r="A293">
        <v>292</v>
      </c>
      <c r="B293" s="19">
        <v>40556</v>
      </c>
      <c r="C293">
        <v>1</v>
      </c>
      <c r="D293">
        <v>1</v>
      </c>
      <c r="E293">
        <v>14</v>
      </c>
      <c r="F293" t="b">
        <v>0</v>
      </c>
      <c r="G293">
        <v>4</v>
      </c>
      <c r="H293">
        <v>1</v>
      </c>
      <c r="I293">
        <v>0.22</v>
      </c>
      <c r="J293">
        <v>0</v>
      </c>
      <c r="K293">
        <v>0.28789999999999999</v>
      </c>
      <c r="L293">
        <v>0.81</v>
      </c>
      <c r="M293">
        <v>0</v>
      </c>
      <c r="N293">
        <v>3</v>
      </c>
      <c r="O293">
        <v>13</v>
      </c>
      <c r="P293">
        <v>16</v>
      </c>
    </row>
    <row r="294" spans="1:16" x14ac:dyDescent="0.25">
      <c r="A294">
        <v>293</v>
      </c>
      <c r="B294" s="19">
        <v>40556</v>
      </c>
      <c r="C294">
        <v>1</v>
      </c>
      <c r="D294">
        <v>1</v>
      </c>
      <c r="E294">
        <v>15</v>
      </c>
      <c r="F294" t="b">
        <v>0</v>
      </c>
      <c r="G294">
        <v>4</v>
      </c>
      <c r="H294">
        <v>1</v>
      </c>
      <c r="I294">
        <v>0.24</v>
      </c>
      <c r="J294">
        <v>0</v>
      </c>
      <c r="K294">
        <v>0.28789999999999999</v>
      </c>
      <c r="L294">
        <v>0.81</v>
      </c>
      <c r="M294">
        <v>0</v>
      </c>
      <c r="N294">
        <v>3</v>
      </c>
      <c r="O294">
        <v>13</v>
      </c>
      <c r="P294">
        <v>16</v>
      </c>
    </row>
    <row r="295" spans="1:16" x14ac:dyDescent="0.25">
      <c r="A295">
        <v>294</v>
      </c>
      <c r="B295" s="19">
        <v>40556</v>
      </c>
      <c r="C295">
        <v>1</v>
      </c>
      <c r="D295">
        <v>1</v>
      </c>
      <c r="E295">
        <v>16</v>
      </c>
      <c r="F295" t="b">
        <v>0</v>
      </c>
      <c r="G295">
        <v>4</v>
      </c>
      <c r="H295">
        <v>1</v>
      </c>
      <c r="I295">
        <v>0.24</v>
      </c>
      <c r="J295">
        <v>0</v>
      </c>
      <c r="K295">
        <v>0.28789999999999999</v>
      </c>
      <c r="L295">
        <v>0.81</v>
      </c>
      <c r="M295">
        <v>0</v>
      </c>
      <c r="N295">
        <v>3</v>
      </c>
      <c r="O295">
        <v>13</v>
      </c>
      <c r="P295">
        <v>16</v>
      </c>
    </row>
    <row r="296" spans="1:16" x14ac:dyDescent="0.25">
      <c r="A296">
        <v>295</v>
      </c>
      <c r="B296" s="19">
        <v>40556</v>
      </c>
      <c r="C296">
        <v>1</v>
      </c>
      <c r="D296">
        <v>1</v>
      </c>
      <c r="E296">
        <v>17</v>
      </c>
      <c r="F296" t="b">
        <v>0</v>
      </c>
      <c r="G296">
        <v>4</v>
      </c>
      <c r="H296">
        <v>1</v>
      </c>
      <c r="I296">
        <v>0.2</v>
      </c>
      <c r="J296">
        <v>0</v>
      </c>
      <c r="K296">
        <v>0.28789999999999999</v>
      </c>
      <c r="L296">
        <v>0.81</v>
      </c>
      <c r="M296">
        <v>0</v>
      </c>
      <c r="N296">
        <v>3</v>
      </c>
      <c r="O296">
        <v>13</v>
      </c>
      <c r="P296">
        <v>16</v>
      </c>
    </row>
    <row r="297" spans="1:16" x14ac:dyDescent="0.25">
      <c r="A297">
        <v>296</v>
      </c>
      <c r="B297" s="19">
        <v>40556</v>
      </c>
      <c r="C297">
        <v>1</v>
      </c>
      <c r="D297">
        <v>1</v>
      </c>
      <c r="E297">
        <v>18</v>
      </c>
      <c r="F297" t="b">
        <v>0</v>
      </c>
      <c r="G297">
        <v>4</v>
      </c>
      <c r="H297">
        <v>1</v>
      </c>
      <c r="I297">
        <v>0.2</v>
      </c>
      <c r="J297">
        <v>0</v>
      </c>
      <c r="K297">
        <v>0.28789999999999999</v>
      </c>
      <c r="L297">
        <v>0.81</v>
      </c>
      <c r="M297">
        <v>0</v>
      </c>
      <c r="N297">
        <v>3</v>
      </c>
      <c r="O297">
        <v>13</v>
      </c>
      <c r="P297">
        <v>16</v>
      </c>
    </row>
    <row r="298" spans="1:16" x14ac:dyDescent="0.25">
      <c r="A298">
        <v>297</v>
      </c>
      <c r="B298" s="19">
        <v>40556</v>
      </c>
      <c r="C298">
        <v>1</v>
      </c>
      <c r="D298">
        <v>1</v>
      </c>
      <c r="E298">
        <v>19</v>
      </c>
      <c r="F298" t="b">
        <v>0</v>
      </c>
      <c r="G298">
        <v>4</v>
      </c>
      <c r="H298">
        <v>1</v>
      </c>
      <c r="I298">
        <v>0.16</v>
      </c>
      <c r="J298">
        <v>0</v>
      </c>
      <c r="K298">
        <v>0.28789999999999999</v>
      </c>
      <c r="L298">
        <v>0.81</v>
      </c>
      <c r="M298">
        <v>0</v>
      </c>
      <c r="N298">
        <v>3</v>
      </c>
      <c r="O298">
        <v>13</v>
      </c>
      <c r="P298">
        <v>16</v>
      </c>
    </row>
    <row r="299" spans="1:16" x14ac:dyDescent="0.25">
      <c r="A299">
        <v>298</v>
      </c>
      <c r="B299" s="19">
        <v>40556</v>
      </c>
      <c r="C299">
        <v>1</v>
      </c>
      <c r="D299">
        <v>1</v>
      </c>
      <c r="E299">
        <v>20</v>
      </c>
      <c r="F299" t="b">
        <v>0</v>
      </c>
      <c r="G299">
        <v>4</v>
      </c>
      <c r="H299">
        <v>1</v>
      </c>
      <c r="I299">
        <v>0.16</v>
      </c>
      <c r="J299">
        <v>0</v>
      </c>
      <c r="K299">
        <v>0.28789999999999999</v>
      </c>
      <c r="L299">
        <v>0.81</v>
      </c>
      <c r="M299">
        <v>0</v>
      </c>
      <c r="N299">
        <v>3</v>
      </c>
      <c r="O299">
        <v>13</v>
      </c>
      <c r="P299">
        <v>16</v>
      </c>
    </row>
    <row r="300" spans="1:16" x14ac:dyDescent="0.25">
      <c r="A300">
        <v>299</v>
      </c>
      <c r="B300" s="19">
        <v>40556</v>
      </c>
      <c r="C300">
        <v>1</v>
      </c>
      <c r="D300">
        <v>1</v>
      </c>
      <c r="E300">
        <v>21</v>
      </c>
      <c r="F300" t="b">
        <v>0</v>
      </c>
      <c r="G300">
        <v>4</v>
      </c>
      <c r="H300">
        <v>1</v>
      </c>
      <c r="I300">
        <v>0.14000000000000001</v>
      </c>
      <c r="J300">
        <v>0</v>
      </c>
      <c r="K300">
        <v>0.28789999999999999</v>
      </c>
      <c r="L300">
        <v>0.81</v>
      </c>
      <c r="M300">
        <v>0</v>
      </c>
      <c r="N300">
        <v>3</v>
      </c>
      <c r="O300">
        <v>13</v>
      </c>
      <c r="P300">
        <v>16</v>
      </c>
    </row>
    <row r="301" spans="1:16" x14ac:dyDescent="0.25">
      <c r="A301">
        <v>300</v>
      </c>
      <c r="B301" s="19">
        <v>40556</v>
      </c>
      <c r="C301">
        <v>1</v>
      </c>
      <c r="D301">
        <v>1</v>
      </c>
      <c r="E301">
        <v>22</v>
      </c>
      <c r="F301" t="b">
        <v>0</v>
      </c>
      <c r="G301">
        <v>4</v>
      </c>
      <c r="H301">
        <v>1</v>
      </c>
      <c r="I301">
        <v>0.14000000000000001</v>
      </c>
      <c r="J301">
        <v>0</v>
      </c>
      <c r="K301">
        <v>0.28789999999999999</v>
      </c>
      <c r="L301">
        <v>0.81</v>
      </c>
      <c r="M301">
        <v>0</v>
      </c>
      <c r="N301">
        <v>3</v>
      </c>
      <c r="O301">
        <v>13</v>
      </c>
      <c r="P301">
        <v>16</v>
      </c>
    </row>
    <row r="302" spans="1:16" x14ac:dyDescent="0.25">
      <c r="A302">
        <v>301</v>
      </c>
      <c r="B302" s="19">
        <v>40556</v>
      </c>
      <c r="C302">
        <v>1</v>
      </c>
      <c r="D302">
        <v>1</v>
      </c>
      <c r="E302">
        <v>23</v>
      </c>
      <c r="F302" t="b">
        <v>0</v>
      </c>
      <c r="G302">
        <v>4</v>
      </c>
      <c r="H302">
        <v>1</v>
      </c>
      <c r="I302">
        <v>0.12</v>
      </c>
      <c r="J302">
        <v>0</v>
      </c>
      <c r="K302">
        <v>0.28789999999999999</v>
      </c>
      <c r="L302">
        <v>0.81</v>
      </c>
      <c r="M302">
        <v>0</v>
      </c>
      <c r="N302">
        <v>3</v>
      </c>
      <c r="O302">
        <v>13</v>
      </c>
      <c r="P302">
        <v>16</v>
      </c>
    </row>
    <row r="303" spans="1:16" x14ac:dyDescent="0.25">
      <c r="A303">
        <v>302</v>
      </c>
      <c r="B303" s="19">
        <v>40557</v>
      </c>
      <c r="C303">
        <v>1</v>
      </c>
      <c r="D303">
        <v>1</v>
      </c>
      <c r="E303">
        <v>0</v>
      </c>
      <c r="F303" t="b">
        <v>0</v>
      </c>
      <c r="G303">
        <v>5</v>
      </c>
      <c r="H303">
        <v>1</v>
      </c>
      <c r="I303">
        <v>0.12</v>
      </c>
      <c r="J303">
        <v>0</v>
      </c>
      <c r="K303">
        <v>0.28789999999999999</v>
      </c>
      <c r="L303">
        <v>0.81</v>
      </c>
      <c r="M303">
        <v>0</v>
      </c>
      <c r="N303">
        <v>3</v>
      </c>
      <c r="O303">
        <v>13</v>
      </c>
      <c r="P303">
        <v>16</v>
      </c>
    </row>
    <row r="304" spans="1:16" x14ac:dyDescent="0.25">
      <c r="A304">
        <v>303</v>
      </c>
      <c r="B304" s="19">
        <v>40557</v>
      </c>
      <c r="C304">
        <v>1</v>
      </c>
      <c r="D304">
        <v>1</v>
      </c>
      <c r="E304">
        <v>1</v>
      </c>
      <c r="F304" t="b">
        <v>0</v>
      </c>
      <c r="G304">
        <v>5</v>
      </c>
      <c r="H304">
        <v>1</v>
      </c>
      <c r="I304">
        <v>0.1</v>
      </c>
      <c r="J304">
        <v>0</v>
      </c>
      <c r="K304">
        <v>0.28789999999999999</v>
      </c>
      <c r="L304">
        <v>0.81</v>
      </c>
      <c r="M304">
        <v>0</v>
      </c>
      <c r="N304">
        <v>3</v>
      </c>
      <c r="O304">
        <v>13</v>
      </c>
      <c r="P304">
        <v>16</v>
      </c>
    </row>
    <row r="305" spans="1:16" x14ac:dyDescent="0.25">
      <c r="A305">
        <v>304</v>
      </c>
      <c r="B305" s="19">
        <v>40557</v>
      </c>
      <c r="C305">
        <v>1</v>
      </c>
      <c r="D305">
        <v>1</v>
      </c>
      <c r="E305">
        <v>2</v>
      </c>
      <c r="F305" t="b">
        <v>0</v>
      </c>
      <c r="G305">
        <v>5</v>
      </c>
      <c r="H305">
        <v>1</v>
      </c>
      <c r="I305">
        <v>0.1</v>
      </c>
      <c r="J305">
        <v>0</v>
      </c>
      <c r="K305">
        <v>0.28789999999999999</v>
      </c>
      <c r="L305">
        <v>0.81</v>
      </c>
      <c r="M305">
        <v>0</v>
      </c>
      <c r="N305">
        <v>3</v>
      </c>
      <c r="O305">
        <v>13</v>
      </c>
      <c r="P305">
        <v>16</v>
      </c>
    </row>
    <row r="306" spans="1:16" x14ac:dyDescent="0.25">
      <c r="A306">
        <v>305</v>
      </c>
      <c r="B306" s="19">
        <v>40557</v>
      </c>
      <c r="C306">
        <v>1</v>
      </c>
      <c r="D306">
        <v>1</v>
      </c>
      <c r="E306">
        <v>3</v>
      </c>
      <c r="F306" t="b">
        <v>0</v>
      </c>
      <c r="G306">
        <v>5</v>
      </c>
      <c r="H306">
        <v>1</v>
      </c>
      <c r="I306">
        <v>0.1</v>
      </c>
      <c r="J306">
        <v>0</v>
      </c>
      <c r="K306">
        <v>0.28789999999999999</v>
      </c>
      <c r="L306">
        <v>0.81</v>
      </c>
      <c r="M306">
        <v>0</v>
      </c>
      <c r="N306">
        <v>3</v>
      </c>
      <c r="O306">
        <v>13</v>
      </c>
      <c r="P306">
        <v>16</v>
      </c>
    </row>
    <row r="307" spans="1:16" x14ac:dyDescent="0.25">
      <c r="A307">
        <v>306</v>
      </c>
      <c r="B307" s="19">
        <v>40557</v>
      </c>
      <c r="C307">
        <v>1</v>
      </c>
      <c r="D307">
        <v>1</v>
      </c>
      <c r="E307">
        <v>5</v>
      </c>
      <c r="F307" t="b">
        <v>0</v>
      </c>
      <c r="G307">
        <v>5</v>
      </c>
      <c r="H307">
        <v>1</v>
      </c>
      <c r="I307">
        <v>0.1</v>
      </c>
      <c r="J307">
        <v>0</v>
      </c>
      <c r="K307">
        <v>0.28789999999999999</v>
      </c>
      <c r="L307">
        <v>0.81</v>
      </c>
      <c r="M307">
        <v>0</v>
      </c>
      <c r="N307">
        <v>3</v>
      </c>
      <c r="O307">
        <v>13</v>
      </c>
      <c r="P307">
        <v>16</v>
      </c>
    </row>
    <row r="308" spans="1:16" x14ac:dyDescent="0.25">
      <c r="A308">
        <v>307</v>
      </c>
      <c r="B308" s="19">
        <v>40557</v>
      </c>
      <c r="C308">
        <v>1</v>
      </c>
      <c r="D308">
        <v>1</v>
      </c>
      <c r="E308">
        <v>6</v>
      </c>
      <c r="F308" t="b">
        <v>0</v>
      </c>
      <c r="G308">
        <v>5</v>
      </c>
      <c r="H308">
        <v>1</v>
      </c>
      <c r="I308">
        <v>0.1</v>
      </c>
      <c r="J308">
        <v>0</v>
      </c>
      <c r="K308">
        <v>0.28789999999999999</v>
      </c>
      <c r="L308">
        <v>0.81</v>
      </c>
      <c r="M308">
        <v>0</v>
      </c>
      <c r="N308">
        <v>3</v>
      </c>
      <c r="O308">
        <v>13</v>
      </c>
      <c r="P308">
        <v>16</v>
      </c>
    </row>
    <row r="309" spans="1:16" x14ac:dyDescent="0.25">
      <c r="A309">
        <v>308</v>
      </c>
      <c r="B309" s="19">
        <v>40557</v>
      </c>
      <c r="C309">
        <v>1</v>
      </c>
      <c r="D309">
        <v>1</v>
      </c>
      <c r="E309">
        <v>7</v>
      </c>
      <c r="F309" t="b">
        <v>0</v>
      </c>
      <c r="G309">
        <v>5</v>
      </c>
      <c r="H309">
        <v>1</v>
      </c>
      <c r="I309">
        <v>0.1</v>
      </c>
      <c r="J309">
        <v>0</v>
      </c>
      <c r="K309">
        <v>0.28789999999999999</v>
      </c>
      <c r="L309">
        <v>0.81</v>
      </c>
      <c r="M309">
        <v>0</v>
      </c>
      <c r="N309">
        <v>3</v>
      </c>
      <c r="O309">
        <v>13</v>
      </c>
      <c r="P309">
        <v>16</v>
      </c>
    </row>
    <row r="310" spans="1:16" x14ac:dyDescent="0.25">
      <c r="A310">
        <v>309</v>
      </c>
      <c r="B310" s="19">
        <v>40557</v>
      </c>
      <c r="C310">
        <v>1</v>
      </c>
      <c r="D310">
        <v>1</v>
      </c>
      <c r="E310">
        <v>8</v>
      </c>
      <c r="F310" t="b">
        <v>0</v>
      </c>
      <c r="G310">
        <v>5</v>
      </c>
      <c r="H310">
        <v>1</v>
      </c>
      <c r="I310">
        <v>0.12</v>
      </c>
      <c r="J310">
        <v>0</v>
      </c>
      <c r="K310">
        <v>0.28789999999999999</v>
      </c>
      <c r="L310">
        <v>0.81</v>
      </c>
      <c r="M310">
        <v>0</v>
      </c>
      <c r="N310">
        <v>3</v>
      </c>
      <c r="O310">
        <v>13</v>
      </c>
      <c r="P310">
        <v>16</v>
      </c>
    </row>
    <row r="311" spans="1:16" x14ac:dyDescent="0.25">
      <c r="A311">
        <v>310</v>
      </c>
      <c r="B311" s="19">
        <v>40557</v>
      </c>
      <c r="C311">
        <v>1</v>
      </c>
      <c r="D311">
        <v>1</v>
      </c>
      <c r="E311">
        <v>9</v>
      </c>
      <c r="F311" t="b">
        <v>0</v>
      </c>
      <c r="G311">
        <v>5</v>
      </c>
      <c r="H311">
        <v>1</v>
      </c>
      <c r="I311">
        <v>0.14000000000000001</v>
      </c>
      <c r="J311">
        <v>0</v>
      </c>
      <c r="K311">
        <v>0.28789999999999999</v>
      </c>
      <c r="L311">
        <v>0.81</v>
      </c>
      <c r="M311">
        <v>0</v>
      </c>
      <c r="N311">
        <v>3</v>
      </c>
      <c r="O311">
        <v>13</v>
      </c>
      <c r="P311">
        <v>16</v>
      </c>
    </row>
    <row r="312" spans="1:16" x14ac:dyDescent="0.25">
      <c r="A312">
        <v>311</v>
      </c>
      <c r="B312" s="19">
        <v>40557</v>
      </c>
      <c r="C312">
        <v>1</v>
      </c>
      <c r="D312">
        <v>1</v>
      </c>
      <c r="E312">
        <v>10</v>
      </c>
      <c r="F312" t="b">
        <v>0</v>
      </c>
      <c r="G312">
        <v>5</v>
      </c>
      <c r="H312">
        <v>1</v>
      </c>
      <c r="I312">
        <v>0.18</v>
      </c>
      <c r="J312">
        <v>0</v>
      </c>
      <c r="K312">
        <v>0.28789999999999999</v>
      </c>
      <c r="L312">
        <v>0.81</v>
      </c>
      <c r="M312">
        <v>0</v>
      </c>
      <c r="N312">
        <v>3</v>
      </c>
      <c r="O312">
        <v>13</v>
      </c>
      <c r="P312">
        <v>16</v>
      </c>
    </row>
    <row r="313" spans="1:16" x14ac:dyDescent="0.25">
      <c r="A313">
        <v>312</v>
      </c>
      <c r="B313" s="19">
        <v>40557</v>
      </c>
      <c r="C313">
        <v>1</v>
      </c>
      <c r="D313">
        <v>1</v>
      </c>
      <c r="E313">
        <v>11</v>
      </c>
      <c r="F313" t="b">
        <v>0</v>
      </c>
      <c r="G313">
        <v>5</v>
      </c>
      <c r="H313">
        <v>1</v>
      </c>
      <c r="I313">
        <v>0.18</v>
      </c>
      <c r="J313">
        <v>0</v>
      </c>
      <c r="K313">
        <v>0.28789999999999999</v>
      </c>
      <c r="L313">
        <v>0.81</v>
      </c>
      <c r="M313">
        <v>0</v>
      </c>
      <c r="N313">
        <v>3</v>
      </c>
      <c r="O313">
        <v>13</v>
      </c>
      <c r="P313">
        <v>16</v>
      </c>
    </row>
    <row r="314" spans="1:16" x14ac:dyDescent="0.25">
      <c r="A314">
        <v>313</v>
      </c>
      <c r="B314" s="19">
        <v>40557</v>
      </c>
      <c r="C314">
        <v>1</v>
      </c>
      <c r="D314">
        <v>1</v>
      </c>
      <c r="E314">
        <v>12</v>
      </c>
      <c r="F314" t="b">
        <v>0</v>
      </c>
      <c r="G314">
        <v>5</v>
      </c>
      <c r="H314">
        <v>1</v>
      </c>
      <c r="I314">
        <v>0.2</v>
      </c>
      <c r="J314">
        <v>0</v>
      </c>
      <c r="K314">
        <v>0.28789999999999999</v>
      </c>
      <c r="L314">
        <v>0.81</v>
      </c>
      <c r="M314">
        <v>0</v>
      </c>
      <c r="N314">
        <v>3</v>
      </c>
      <c r="O314">
        <v>13</v>
      </c>
      <c r="P314">
        <v>16</v>
      </c>
    </row>
    <row r="315" spans="1:16" x14ac:dyDescent="0.25">
      <c r="A315">
        <v>314</v>
      </c>
      <c r="B315" s="19">
        <v>40557</v>
      </c>
      <c r="C315">
        <v>1</v>
      </c>
      <c r="D315">
        <v>1</v>
      </c>
      <c r="E315">
        <v>13</v>
      </c>
      <c r="F315" t="b">
        <v>0</v>
      </c>
      <c r="G315">
        <v>5</v>
      </c>
      <c r="H315">
        <v>1</v>
      </c>
      <c r="I315">
        <v>0.22</v>
      </c>
      <c r="J315">
        <v>0</v>
      </c>
      <c r="K315">
        <v>0.28789999999999999</v>
      </c>
      <c r="L315">
        <v>0.81</v>
      </c>
      <c r="M315">
        <v>0</v>
      </c>
      <c r="N315">
        <v>3</v>
      </c>
      <c r="O315">
        <v>13</v>
      </c>
      <c r="P315">
        <v>16</v>
      </c>
    </row>
    <row r="316" spans="1:16" x14ac:dyDescent="0.25">
      <c r="A316">
        <v>315</v>
      </c>
      <c r="B316" s="19">
        <v>40557</v>
      </c>
      <c r="C316">
        <v>1</v>
      </c>
      <c r="D316">
        <v>1</v>
      </c>
      <c r="E316">
        <v>14</v>
      </c>
      <c r="F316" t="b">
        <v>0</v>
      </c>
      <c r="G316">
        <v>5</v>
      </c>
      <c r="H316">
        <v>1</v>
      </c>
      <c r="I316">
        <v>0.22</v>
      </c>
      <c r="J316">
        <v>0</v>
      </c>
      <c r="K316">
        <v>0.28789999999999999</v>
      </c>
      <c r="L316">
        <v>0.81</v>
      </c>
      <c r="M316">
        <v>0</v>
      </c>
      <c r="N316">
        <v>3</v>
      </c>
      <c r="O316">
        <v>13</v>
      </c>
      <c r="P316">
        <v>16</v>
      </c>
    </row>
    <row r="317" spans="1:16" x14ac:dyDescent="0.25">
      <c r="A317">
        <v>316</v>
      </c>
      <c r="B317" s="19">
        <v>40557</v>
      </c>
      <c r="C317">
        <v>1</v>
      </c>
      <c r="D317">
        <v>1</v>
      </c>
      <c r="E317">
        <v>15</v>
      </c>
      <c r="F317" t="b">
        <v>0</v>
      </c>
      <c r="G317">
        <v>5</v>
      </c>
      <c r="H317">
        <v>1</v>
      </c>
      <c r="I317">
        <v>0.24</v>
      </c>
      <c r="J317">
        <v>0</v>
      </c>
      <c r="K317">
        <v>0.28789999999999999</v>
      </c>
      <c r="L317">
        <v>0.81</v>
      </c>
      <c r="M317">
        <v>0</v>
      </c>
      <c r="N317">
        <v>3</v>
      </c>
      <c r="O317">
        <v>13</v>
      </c>
      <c r="P317">
        <v>16</v>
      </c>
    </row>
    <row r="318" spans="1:16" x14ac:dyDescent="0.25">
      <c r="A318">
        <v>317</v>
      </c>
      <c r="B318" s="19">
        <v>40557</v>
      </c>
      <c r="C318">
        <v>1</v>
      </c>
      <c r="D318">
        <v>1</v>
      </c>
      <c r="E318">
        <v>16</v>
      </c>
      <c r="F318" t="b">
        <v>0</v>
      </c>
      <c r="G318">
        <v>5</v>
      </c>
      <c r="H318">
        <v>1</v>
      </c>
      <c r="I318">
        <v>0.22</v>
      </c>
      <c r="J318">
        <v>0</v>
      </c>
      <c r="K318">
        <v>0.28789999999999999</v>
      </c>
      <c r="L318">
        <v>0.81</v>
      </c>
      <c r="M318">
        <v>0</v>
      </c>
      <c r="N318">
        <v>3</v>
      </c>
      <c r="O318">
        <v>13</v>
      </c>
      <c r="P318">
        <v>16</v>
      </c>
    </row>
    <row r="319" spans="1:16" x14ac:dyDescent="0.25">
      <c r="A319">
        <v>318</v>
      </c>
      <c r="B319" s="19">
        <v>40557</v>
      </c>
      <c r="C319">
        <v>1</v>
      </c>
      <c r="D319">
        <v>1</v>
      </c>
      <c r="E319">
        <v>17</v>
      </c>
      <c r="F319" t="b">
        <v>0</v>
      </c>
      <c r="G319">
        <v>5</v>
      </c>
      <c r="H319">
        <v>1</v>
      </c>
      <c r="I319">
        <v>0.22</v>
      </c>
      <c r="J319">
        <v>0</v>
      </c>
      <c r="K319">
        <v>0.28789999999999999</v>
      </c>
      <c r="L319">
        <v>0.81</v>
      </c>
      <c r="M319">
        <v>0</v>
      </c>
      <c r="N319">
        <v>3</v>
      </c>
      <c r="O319">
        <v>13</v>
      </c>
      <c r="P319">
        <v>16</v>
      </c>
    </row>
    <row r="320" spans="1:16" x14ac:dyDescent="0.25">
      <c r="A320">
        <v>319</v>
      </c>
      <c r="B320" s="19">
        <v>40557</v>
      </c>
      <c r="C320">
        <v>1</v>
      </c>
      <c r="D320">
        <v>1</v>
      </c>
      <c r="E320">
        <v>18</v>
      </c>
      <c r="F320" t="b">
        <v>0</v>
      </c>
      <c r="G320">
        <v>5</v>
      </c>
      <c r="H320">
        <v>1</v>
      </c>
      <c r="I320">
        <v>0.2</v>
      </c>
      <c r="J320">
        <v>0</v>
      </c>
      <c r="K320">
        <v>0.28789999999999999</v>
      </c>
      <c r="L320">
        <v>0.81</v>
      </c>
      <c r="M320">
        <v>0</v>
      </c>
      <c r="N320">
        <v>3</v>
      </c>
      <c r="O320">
        <v>13</v>
      </c>
      <c r="P320">
        <v>16</v>
      </c>
    </row>
    <row r="321" spans="1:16" x14ac:dyDescent="0.25">
      <c r="A321">
        <v>320</v>
      </c>
      <c r="B321" s="19">
        <v>40557</v>
      </c>
      <c r="C321">
        <v>1</v>
      </c>
      <c r="D321">
        <v>1</v>
      </c>
      <c r="E321">
        <v>19</v>
      </c>
      <c r="F321" t="b">
        <v>0</v>
      </c>
      <c r="G321">
        <v>5</v>
      </c>
      <c r="H321">
        <v>1</v>
      </c>
      <c r="I321">
        <v>0.16</v>
      </c>
      <c r="J321">
        <v>0</v>
      </c>
      <c r="K321">
        <v>0.28789999999999999</v>
      </c>
      <c r="L321">
        <v>0.81</v>
      </c>
      <c r="M321">
        <v>0</v>
      </c>
      <c r="N321">
        <v>3</v>
      </c>
      <c r="O321">
        <v>13</v>
      </c>
      <c r="P321">
        <v>16</v>
      </c>
    </row>
    <row r="322" spans="1:16" x14ac:dyDescent="0.25">
      <c r="A322">
        <v>321</v>
      </c>
      <c r="B322" s="19">
        <v>40557</v>
      </c>
      <c r="C322">
        <v>1</v>
      </c>
      <c r="D322">
        <v>1</v>
      </c>
      <c r="E322">
        <v>20</v>
      </c>
      <c r="F322" t="b">
        <v>0</v>
      </c>
      <c r="G322">
        <v>5</v>
      </c>
      <c r="H322">
        <v>1</v>
      </c>
      <c r="I322">
        <v>0.18</v>
      </c>
      <c r="J322">
        <v>0</v>
      </c>
      <c r="K322">
        <v>0.28789999999999999</v>
      </c>
      <c r="L322">
        <v>0.81</v>
      </c>
      <c r="M322">
        <v>0</v>
      </c>
      <c r="N322">
        <v>3</v>
      </c>
      <c r="O322">
        <v>13</v>
      </c>
      <c r="P322">
        <v>16</v>
      </c>
    </row>
    <row r="323" spans="1:16" x14ac:dyDescent="0.25">
      <c r="A323">
        <v>322</v>
      </c>
      <c r="B323" s="19">
        <v>40557</v>
      </c>
      <c r="C323">
        <v>1</v>
      </c>
      <c r="D323">
        <v>1</v>
      </c>
      <c r="E323">
        <v>21</v>
      </c>
      <c r="F323" t="b">
        <v>0</v>
      </c>
      <c r="G323">
        <v>5</v>
      </c>
      <c r="H323">
        <v>1</v>
      </c>
      <c r="I323">
        <v>0.16</v>
      </c>
      <c r="J323">
        <v>0</v>
      </c>
      <c r="K323">
        <v>0.28789999999999999</v>
      </c>
      <c r="L323">
        <v>0.81</v>
      </c>
      <c r="M323">
        <v>0</v>
      </c>
      <c r="N323">
        <v>3</v>
      </c>
      <c r="O323">
        <v>13</v>
      </c>
      <c r="P323">
        <v>16</v>
      </c>
    </row>
    <row r="324" spans="1:16" x14ac:dyDescent="0.25">
      <c r="A324">
        <v>323</v>
      </c>
      <c r="B324" s="19">
        <v>40557</v>
      </c>
      <c r="C324">
        <v>1</v>
      </c>
      <c r="D324">
        <v>1</v>
      </c>
      <c r="E324">
        <v>22</v>
      </c>
      <c r="F324" t="b">
        <v>0</v>
      </c>
      <c r="G324">
        <v>5</v>
      </c>
      <c r="H324">
        <v>2</v>
      </c>
      <c r="I324">
        <v>0.16</v>
      </c>
      <c r="J324">
        <v>0</v>
      </c>
      <c r="K324">
        <v>0.28789999999999999</v>
      </c>
      <c r="L324">
        <v>0.81</v>
      </c>
      <c r="M324">
        <v>0</v>
      </c>
      <c r="N324">
        <v>3</v>
      </c>
      <c r="O324">
        <v>13</v>
      </c>
      <c r="P324">
        <v>16</v>
      </c>
    </row>
    <row r="325" spans="1:16" x14ac:dyDescent="0.25">
      <c r="A325">
        <v>324</v>
      </c>
      <c r="B325" s="19">
        <v>40557</v>
      </c>
      <c r="C325">
        <v>1</v>
      </c>
      <c r="D325">
        <v>1</v>
      </c>
      <c r="E325">
        <v>23</v>
      </c>
      <c r="F325" t="b">
        <v>0</v>
      </c>
      <c r="G325">
        <v>5</v>
      </c>
      <c r="H325">
        <v>2</v>
      </c>
      <c r="I325">
        <v>0.18</v>
      </c>
      <c r="J325">
        <v>0</v>
      </c>
      <c r="K325">
        <v>0.28789999999999999</v>
      </c>
      <c r="L325">
        <v>0.81</v>
      </c>
      <c r="M325">
        <v>0</v>
      </c>
      <c r="N325">
        <v>3</v>
      </c>
      <c r="O325">
        <v>13</v>
      </c>
      <c r="P325">
        <v>16</v>
      </c>
    </row>
    <row r="326" spans="1:16" x14ac:dyDescent="0.25">
      <c r="A326">
        <v>325</v>
      </c>
      <c r="B326" s="19">
        <v>40558</v>
      </c>
      <c r="C326">
        <v>1</v>
      </c>
      <c r="D326">
        <v>1</v>
      </c>
      <c r="E326">
        <v>0</v>
      </c>
      <c r="F326" t="b">
        <v>0</v>
      </c>
      <c r="G326">
        <v>6</v>
      </c>
      <c r="H326">
        <v>1</v>
      </c>
      <c r="I326">
        <v>0.18</v>
      </c>
      <c r="J326">
        <v>0</v>
      </c>
      <c r="K326">
        <v>0.28789999999999999</v>
      </c>
      <c r="L326">
        <v>0.81</v>
      </c>
      <c r="M326">
        <v>0</v>
      </c>
      <c r="N326">
        <v>3</v>
      </c>
      <c r="O326">
        <v>13</v>
      </c>
      <c r="P326">
        <v>16</v>
      </c>
    </row>
    <row r="327" spans="1:16" x14ac:dyDescent="0.25">
      <c r="A327">
        <v>326</v>
      </c>
      <c r="B327" s="19">
        <v>40558</v>
      </c>
      <c r="C327">
        <v>1</v>
      </c>
      <c r="D327">
        <v>1</v>
      </c>
      <c r="E327">
        <v>1</v>
      </c>
      <c r="F327" t="b">
        <v>0</v>
      </c>
      <c r="G327">
        <v>6</v>
      </c>
      <c r="H327">
        <v>2</v>
      </c>
      <c r="I327">
        <v>0.16</v>
      </c>
      <c r="J327">
        <v>0</v>
      </c>
      <c r="K327">
        <v>0.28789999999999999</v>
      </c>
      <c r="L327">
        <v>0.81</v>
      </c>
      <c r="M327">
        <v>0</v>
      </c>
      <c r="N327">
        <v>3</v>
      </c>
      <c r="O327">
        <v>13</v>
      </c>
      <c r="P327">
        <v>16</v>
      </c>
    </row>
    <row r="328" spans="1:16" x14ac:dyDescent="0.25">
      <c r="A328">
        <v>327</v>
      </c>
      <c r="B328" s="19">
        <v>40558</v>
      </c>
      <c r="C328">
        <v>1</v>
      </c>
      <c r="D328">
        <v>1</v>
      </c>
      <c r="E328">
        <v>2</v>
      </c>
      <c r="F328" t="b">
        <v>0</v>
      </c>
      <c r="G328">
        <v>6</v>
      </c>
      <c r="H328">
        <v>2</v>
      </c>
      <c r="I328">
        <v>0.16</v>
      </c>
      <c r="J328">
        <v>0</v>
      </c>
      <c r="K328">
        <v>0.28789999999999999</v>
      </c>
      <c r="L328">
        <v>0.81</v>
      </c>
      <c r="M328">
        <v>0</v>
      </c>
      <c r="N328">
        <v>3</v>
      </c>
      <c r="O328">
        <v>13</v>
      </c>
      <c r="P328">
        <v>16</v>
      </c>
    </row>
    <row r="329" spans="1:16" x14ac:dyDescent="0.25">
      <c r="A329">
        <v>328</v>
      </c>
      <c r="B329" s="19">
        <v>40558</v>
      </c>
      <c r="C329">
        <v>1</v>
      </c>
      <c r="D329">
        <v>1</v>
      </c>
      <c r="E329">
        <v>3</v>
      </c>
      <c r="F329" t="b">
        <v>0</v>
      </c>
      <c r="G329">
        <v>6</v>
      </c>
      <c r="H329">
        <v>2</v>
      </c>
      <c r="I329">
        <v>0.16</v>
      </c>
      <c r="J329">
        <v>0</v>
      </c>
      <c r="K329">
        <v>0.28789999999999999</v>
      </c>
      <c r="L329">
        <v>0.81</v>
      </c>
      <c r="M329">
        <v>0</v>
      </c>
      <c r="N329">
        <v>3</v>
      </c>
      <c r="O329">
        <v>13</v>
      </c>
      <c r="P329">
        <v>16</v>
      </c>
    </row>
    <row r="330" spans="1:16" x14ac:dyDescent="0.25">
      <c r="A330">
        <v>329</v>
      </c>
      <c r="B330" s="19">
        <v>40558</v>
      </c>
      <c r="C330">
        <v>1</v>
      </c>
      <c r="D330">
        <v>1</v>
      </c>
      <c r="E330">
        <v>4</v>
      </c>
      <c r="F330" t="b">
        <v>0</v>
      </c>
      <c r="G330">
        <v>6</v>
      </c>
      <c r="H330">
        <v>2</v>
      </c>
      <c r="I330">
        <v>0.16</v>
      </c>
      <c r="J330">
        <v>0</v>
      </c>
      <c r="K330">
        <v>0.28789999999999999</v>
      </c>
      <c r="L330">
        <v>0.81</v>
      </c>
      <c r="M330">
        <v>0</v>
      </c>
      <c r="N330">
        <v>3</v>
      </c>
      <c r="O330">
        <v>13</v>
      </c>
      <c r="P330">
        <v>16</v>
      </c>
    </row>
    <row r="331" spans="1:16" x14ac:dyDescent="0.25">
      <c r="A331">
        <v>330</v>
      </c>
      <c r="B331" s="19">
        <v>40558</v>
      </c>
      <c r="C331">
        <v>1</v>
      </c>
      <c r="D331">
        <v>1</v>
      </c>
      <c r="E331">
        <v>5</v>
      </c>
      <c r="F331" t="b">
        <v>0</v>
      </c>
      <c r="G331">
        <v>6</v>
      </c>
      <c r="H331">
        <v>1</v>
      </c>
      <c r="I331">
        <v>0.16</v>
      </c>
      <c r="J331">
        <v>0</v>
      </c>
      <c r="K331">
        <v>0.28789999999999999</v>
      </c>
      <c r="L331">
        <v>0.81</v>
      </c>
      <c r="M331">
        <v>0</v>
      </c>
      <c r="N331">
        <v>3</v>
      </c>
      <c r="O331">
        <v>13</v>
      </c>
      <c r="P331">
        <v>16</v>
      </c>
    </row>
    <row r="332" spans="1:16" x14ac:dyDescent="0.25">
      <c r="A332">
        <v>331</v>
      </c>
      <c r="B332" s="19">
        <v>40558</v>
      </c>
      <c r="C332">
        <v>1</v>
      </c>
      <c r="D332">
        <v>1</v>
      </c>
      <c r="E332">
        <v>6</v>
      </c>
      <c r="F332" t="b">
        <v>0</v>
      </c>
      <c r="G332">
        <v>6</v>
      </c>
      <c r="H332">
        <v>1</v>
      </c>
      <c r="I332">
        <v>0.14000000000000001</v>
      </c>
      <c r="J332">
        <v>0</v>
      </c>
      <c r="K332">
        <v>0.28789999999999999</v>
      </c>
      <c r="L332">
        <v>0.81</v>
      </c>
      <c r="M332">
        <v>0</v>
      </c>
      <c r="N332">
        <v>3</v>
      </c>
      <c r="O332">
        <v>13</v>
      </c>
      <c r="P332">
        <v>16</v>
      </c>
    </row>
    <row r="333" spans="1:16" x14ac:dyDescent="0.25">
      <c r="A333">
        <v>332</v>
      </c>
      <c r="B333" s="19">
        <v>40558</v>
      </c>
      <c r="C333">
        <v>1</v>
      </c>
      <c r="D333">
        <v>1</v>
      </c>
      <c r="E333">
        <v>7</v>
      </c>
      <c r="F333" t="b">
        <v>0</v>
      </c>
      <c r="G333">
        <v>6</v>
      </c>
      <c r="H333">
        <v>1</v>
      </c>
      <c r="I333">
        <v>0.14000000000000001</v>
      </c>
      <c r="J333">
        <v>0</v>
      </c>
      <c r="K333">
        <v>0.28789999999999999</v>
      </c>
      <c r="L333">
        <v>0.81</v>
      </c>
      <c r="M333">
        <v>0</v>
      </c>
      <c r="N333">
        <v>3</v>
      </c>
      <c r="O333">
        <v>13</v>
      </c>
      <c r="P333">
        <v>16</v>
      </c>
    </row>
    <row r="334" spans="1:16" x14ac:dyDescent="0.25">
      <c r="A334">
        <v>333</v>
      </c>
      <c r="B334" s="19">
        <v>40558</v>
      </c>
      <c r="C334">
        <v>1</v>
      </c>
      <c r="D334">
        <v>1</v>
      </c>
      <c r="E334">
        <v>8</v>
      </c>
      <c r="F334" t="b">
        <v>0</v>
      </c>
      <c r="G334">
        <v>6</v>
      </c>
      <c r="H334">
        <v>1</v>
      </c>
      <c r="I334">
        <v>0.14000000000000001</v>
      </c>
      <c r="J334">
        <v>0</v>
      </c>
      <c r="K334">
        <v>0.28789999999999999</v>
      </c>
      <c r="L334">
        <v>0.81</v>
      </c>
      <c r="M334">
        <v>0</v>
      </c>
      <c r="N334">
        <v>3</v>
      </c>
      <c r="O334">
        <v>13</v>
      </c>
      <c r="P334">
        <v>16</v>
      </c>
    </row>
    <row r="335" spans="1:16" x14ac:dyDescent="0.25">
      <c r="A335">
        <v>334</v>
      </c>
      <c r="B335" s="19">
        <v>40558</v>
      </c>
      <c r="C335">
        <v>1</v>
      </c>
      <c r="D335">
        <v>1</v>
      </c>
      <c r="E335">
        <v>9</v>
      </c>
      <c r="F335" t="b">
        <v>0</v>
      </c>
      <c r="G335">
        <v>6</v>
      </c>
      <c r="H335">
        <v>1</v>
      </c>
      <c r="I335">
        <v>0.16</v>
      </c>
      <c r="J335">
        <v>0</v>
      </c>
      <c r="K335">
        <v>0.28789999999999999</v>
      </c>
      <c r="L335">
        <v>0.81</v>
      </c>
      <c r="M335">
        <v>0</v>
      </c>
      <c r="N335">
        <v>3</v>
      </c>
      <c r="O335">
        <v>13</v>
      </c>
      <c r="P335">
        <v>16</v>
      </c>
    </row>
    <row r="336" spans="1:16" x14ac:dyDescent="0.25">
      <c r="A336">
        <v>335</v>
      </c>
      <c r="B336" s="19">
        <v>40558</v>
      </c>
      <c r="C336">
        <v>1</v>
      </c>
      <c r="D336">
        <v>1</v>
      </c>
      <c r="E336">
        <v>10</v>
      </c>
      <c r="F336" t="b">
        <v>0</v>
      </c>
      <c r="G336">
        <v>6</v>
      </c>
      <c r="H336">
        <v>1</v>
      </c>
      <c r="I336">
        <v>0.18</v>
      </c>
      <c r="J336">
        <v>0</v>
      </c>
      <c r="K336">
        <v>0.28789999999999999</v>
      </c>
      <c r="L336">
        <v>0.81</v>
      </c>
      <c r="M336">
        <v>0</v>
      </c>
      <c r="N336">
        <v>3</v>
      </c>
      <c r="O336">
        <v>13</v>
      </c>
      <c r="P336">
        <v>16</v>
      </c>
    </row>
    <row r="337" spans="1:16" x14ac:dyDescent="0.25">
      <c r="A337">
        <v>336</v>
      </c>
      <c r="B337" s="19">
        <v>40558</v>
      </c>
      <c r="C337">
        <v>1</v>
      </c>
      <c r="D337">
        <v>1</v>
      </c>
      <c r="E337">
        <v>11</v>
      </c>
      <c r="F337" t="b">
        <v>0</v>
      </c>
      <c r="G337">
        <v>6</v>
      </c>
      <c r="H337">
        <v>1</v>
      </c>
      <c r="I337">
        <v>0.2</v>
      </c>
      <c r="J337">
        <v>0</v>
      </c>
      <c r="K337">
        <v>0.28789999999999999</v>
      </c>
      <c r="L337">
        <v>0.81</v>
      </c>
      <c r="M337">
        <v>0</v>
      </c>
      <c r="N337">
        <v>3</v>
      </c>
      <c r="O337">
        <v>13</v>
      </c>
      <c r="P337">
        <v>16</v>
      </c>
    </row>
    <row r="338" spans="1:16" x14ac:dyDescent="0.25">
      <c r="A338">
        <v>337</v>
      </c>
      <c r="B338" s="19">
        <v>40558</v>
      </c>
      <c r="C338">
        <v>1</v>
      </c>
      <c r="D338">
        <v>1</v>
      </c>
      <c r="E338">
        <v>12</v>
      </c>
      <c r="F338" t="b">
        <v>0</v>
      </c>
      <c r="G338">
        <v>6</v>
      </c>
      <c r="H338">
        <v>1</v>
      </c>
      <c r="I338">
        <v>0.24</v>
      </c>
      <c r="J338">
        <v>0</v>
      </c>
      <c r="K338">
        <v>0.28789999999999999</v>
      </c>
      <c r="L338">
        <v>0.81</v>
      </c>
      <c r="M338">
        <v>0</v>
      </c>
      <c r="N338">
        <v>3</v>
      </c>
      <c r="O338">
        <v>13</v>
      </c>
      <c r="P338">
        <v>16</v>
      </c>
    </row>
    <row r="339" spans="1:16" x14ac:dyDescent="0.25">
      <c r="A339">
        <v>338</v>
      </c>
      <c r="B339" s="19">
        <v>40558</v>
      </c>
      <c r="C339">
        <v>1</v>
      </c>
      <c r="D339">
        <v>1</v>
      </c>
      <c r="E339">
        <v>13</v>
      </c>
      <c r="F339" t="b">
        <v>0</v>
      </c>
      <c r="G339">
        <v>6</v>
      </c>
      <c r="H339">
        <v>1</v>
      </c>
      <c r="I339">
        <v>0.28000000000000003</v>
      </c>
      <c r="J339">
        <v>0</v>
      </c>
      <c r="K339">
        <v>0.28789999999999999</v>
      </c>
      <c r="L339">
        <v>0.81</v>
      </c>
      <c r="M339">
        <v>0</v>
      </c>
      <c r="N339">
        <v>3</v>
      </c>
      <c r="O339">
        <v>13</v>
      </c>
      <c r="P339">
        <v>16</v>
      </c>
    </row>
    <row r="340" spans="1:16" x14ac:dyDescent="0.25">
      <c r="A340">
        <v>339</v>
      </c>
      <c r="B340" s="19">
        <v>40558</v>
      </c>
      <c r="C340">
        <v>1</v>
      </c>
      <c r="D340">
        <v>1</v>
      </c>
      <c r="E340">
        <v>14</v>
      </c>
      <c r="F340" t="b">
        <v>0</v>
      </c>
      <c r="G340">
        <v>6</v>
      </c>
      <c r="H340">
        <v>1</v>
      </c>
      <c r="I340">
        <v>0.3</v>
      </c>
      <c r="J340">
        <v>0</v>
      </c>
      <c r="K340">
        <v>0.28789999999999999</v>
      </c>
      <c r="L340">
        <v>0.81</v>
      </c>
      <c r="M340">
        <v>0</v>
      </c>
      <c r="N340">
        <v>3</v>
      </c>
      <c r="O340">
        <v>13</v>
      </c>
      <c r="P340">
        <v>16</v>
      </c>
    </row>
    <row r="341" spans="1:16" x14ac:dyDescent="0.25">
      <c r="A341">
        <v>340</v>
      </c>
      <c r="B341" s="19">
        <v>40558</v>
      </c>
      <c r="C341">
        <v>1</v>
      </c>
      <c r="D341">
        <v>1</v>
      </c>
      <c r="E341">
        <v>15</v>
      </c>
      <c r="F341" t="b">
        <v>0</v>
      </c>
      <c r="G341">
        <v>6</v>
      </c>
      <c r="H341">
        <v>2</v>
      </c>
      <c r="I341">
        <v>0.32</v>
      </c>
      <c r="J341">
        <v>0</v>
      </c>
      <c r="K341">
        <v>0.28789999999999999</v>
      </c>
      <c r="L341">
        <v>0.81</v>
      </c>
      <c r="M341">
        <v>0</v>
      </c>
      <c r="N341">
        <v>3</v>
      </c>
      <c r="O341">
        <v>13</v>
      </c>
      <c r="P341">
        <v>16</v>
      </c>
    </row>
    <row r="342" spans="1:16" x14ac:dyDescent="0.25">
      <c r="A342">
        <v>341</v>
      </c>
      <c r="B342" s="19">
        <v>40558</v>
      </c>
      <c r="C342">
        <v>1</v>
      </c>
      <c r="D342">
        <v>1</v>
      </c>
      <c r="E342">
        <v>16</v>
      </c>
      <c r="F342" t="b">
        <v>0</v>
      </c>
      <c r="G342">
        <v>6</v>
      </c>
      <c r="H342">
        <v>2</v>
      </c>
      <c r="I342">
        <v>0.34</v>
      </c>
      <c r="J342">
        <v>0</v>
      </c>
      <c r="K342">
        <v>0.28789999999999999</v>
      </c>
      <c r="L342">
        <v>0.81</v>
      </c>
      <c r="M342">
        <v>0</v>
      </c>
      <c r="N342">
        <v>3</v>
      </c>
      <c r="O342">
        <v>13</v>
      </c>
      <c r="P342">
        <v>16</v>
      </c>
    </row>
    <row r="343" spans="1:16" x14ac:dyDescent="0.25">
      <c r="A343">
        <v>342</v>
      </c>
      <c r="B343" s="19">
        <v>40558</v>
      </c>
      <c r="C343">
        <v>1</v>
      </c>
      <c r="D343">
        <v>1</v>
      </c>
      <c r="E343">
        <v>17</v>
      </c>
      <c r="F343" t="b">
        <v>0</v>
      </c>
      <c r="G343">
        <v>6</v>
      </c>
      <c r="H343">
        <v>2</v>
      </c>
      <c r="I343">
        <v>0.32</v>
      </c>
      <c r="J343">
        <v>0</v>
      </c>
      <c r="K343">
        <v>0.28789999999999999</v>
      </c>
      <c r="L343">
        <v>0.81</v>
      </c>
      <c r="M343">
        <v>0</v>
      </c>
      <c r="N343">
        <v>3</v>
      </c>
      <c r="O343">
        <v>13</v>
      </c>
      <c r="P343">
        <v>16</v>
      </c>
    </row>
    <row r="344" spans="1:16" x14ac:dyDescent="0.25">
      <c r="A344">
        <v>343</v>
      </c>
      <c r="B344" s="19">
        <v>40558</v>
      </c>
      <c r="C344">
        <v>1</v>
      </c>
      <c r="D344">
        <v>1</v>
      </c>
      <c r="E344">
        <v>18</v>
      </c>
      <c r="F344" t="b">
        <v>0</v>
      </c>
      <c r="G344">
        <v>6</v>
      </c>
      <c r="H344">
        <v>2</v>
      </c>
      <c r="I344">
        <v>0.3</v>
      </c>
      <c r="J344">
        <v>0</v>
      </c>
      <c r="K344">
        <v>0.28789999999999999</v>
      </c>
      <c r="L344">
        <v>0.81</v>
      </c>
      <c r="M344">
        <v>0</v>
      </c>
      <c r="N344">
        <v>3</v>
      </c>
      <c r="O344">
        <v>13</v>
      </c>
      <c r="P344">
        <v>16</v>
      </c>
    </row>
    <row r="345" spans="1:16" x14ac:dyDescent="0.25">
      <c r="A345">
        <v>344</v>
      </c>
      <c r="B345" s="19">
        <v>40558</v>
      </c>
      <c r="C345">
        <v>1</v>
      </c>
      <c r="D345">
        <v>1</v>
      </c>
      <c r="E345">
        <v>19</v>
      </c>
      <c r="F345" t="b">
        <v>0</v>
      </c>
      <c r="G345">
        <v>6</v>
      </c>
      <c r="H345">
        <v>2</v>
      </c>
      <c r="I345">
        <v>0.32</v>
      </c>
      <c r="J345">
        <v>0</v>
      </c>
      <c r="K345">
        <v>0.28789999999999999</v>
      </c>
      <c r="L345">
        <v>0.81</v>
      </c>
      <c r="M345">
        <v>0</v>
      </c>
      <c r="N345">
        <v>3</v>
      </c>
      <c r="O345">
        <v>13</v>
      </c>
      <c r="P345">
        <v>16</v>
      </c>
    </row>
    <row r="346" spans="1:16" x14ac:dyDescent="0.25">
      <c r="A346">
        <v>345</v>
      </c>
      <c r="B346" s="19">
        <v>40558</v>
      </c>
      <c r="C346">
        <v>1</v>
      </c>
      <c r="D346">
        <v>1</v>
      </c>
      <c r="E346">
        <v>20</v>
      </c>
      <c r="F346" t="b">
        <v>0</v>
      </c>
      <c r="G346">
        <v>6</v>
      </c>
      <c r="H346">
        <v>2</v>
      </c>
      <c r="I346">
        <v>0.32</v>
      </c>
      <c r="J346">
        <v>0</v>
      </c>
      <c r="K346">
        <v>0.28789999999999999</v>
      </c>
      <c r="L346">
        <v>0.81</v>
      </c>
      <c r="M346">
        <v>0</v>
      </c>
      <c r="N346">
        <v>3</v>
      </c>
      <c r="O346">
        <v>13</v>
      </c>
      <c r="P346">
        <v>16</v>
      </c>
    </row>
    <row r="347" spans="1:16" x14ac:dyDescent="0.25">
      <c r="A347">
        <v>346</v>
      </c>
      <c r="B347" s="19">
        <v>40558</v>
      </c>
      <c r="C347">
        <v>1</v>
      </c>
      <c r="D347">
        <v>1</v>
      </c>
      <c r="E347">
        <v>21</v>
      </c>
      <c r="F347" t="b">
        <v>0</v>
      </c>
      <c r="G347">
        <v>6</v>
      </c>
      <c r="H347">
        <v>2</v>
      </c>
      <c r="I347">
        <v>0.32</v>
      </c>
      <c r="J347">
        <v>0</v>
      </c>
      <c r="K347">
        <v>0.28789999999999999</v>
      </c>
      <c r="L347">
        <v>0.81</v>
      </c>
      <c r="M347">
        <v>0</v>
      </c>
      <c r="N347">
        <v>3</v>
      </c>
      <c r="O347">
        <v>13</v>
      </c>
      <c r="P347">
        <v>16</v>
      </c>
    </row>
    <row r="348" spans="1:16" x14ac:dyDescent="0.25">
      <c r="A348">
        <v>347</v>
      </c>
      <c r="B348" s="19">
        <v>40558</v>
      </c>
      <c r="C348">
        <v>1</v>
      </c>
      <c r="D348">
        <v>1</v>
      </c>
      <c r="E348">
        <v>22</v>
      </c>
      <c r="F348" t="b">
        <v>0</v>
      </c>
      <c r="G348">
        <v>6</v>
      </c>
      <c r="H348">
        <v>2</v>
      </c>
      <c r="I348">
        <v>0.3</v>
      </c>
      <c r="J348">
        <v>0</v>
      </c>
      <c r="K348">
        <v>0.28789999999999999</v>
      </c>
      <c r="L348">
        <v>0.81</v>
      </c>
      <c r="M348">
        <v>0</v>
      </c>
      <c r="N348">
        <v>3</v>
      </c>
      <c r="O348">
        <v>13</v>
      </c>
      <c r="P348">
        <v>16</v>
      </c>
    </row>
    <row r="349" spans="1:16" x14ac:dyDescent="0.25">
      <c r="A349">
        <v>348</v>
      </c>
      <c r="B349" s="19">
        <v>40558</v>
      </c>
      <c r="C349">
        <v>1</v>
      </c>
      <c r="D349">
        <v>1</v>
      </c>
      <c r="E349">
        <v>23</v>
      </c>
      <c r="F349" t="b">
        <v>0</v>
      </c>
      <c r="G349">
        <v>6</v>
      </c>
      <c r="H349">
        <v>1</v>
      </c>
      <c r="I349">
        <v>0.3</v>
      </c>
      <c r="J349">
        <v>0</v>
      </c>
      <c r="K349">
        <v>0.28789999999999999</v>
      </c>
      <c r="L349">
        <v>0.81</v>
      </c>
      <c r="M349">
        <v>0</v>
      </c>
      <c r="N349">
        <v>3</v>
      </c>
      <c r="O349">
        <v>13</v>
      </c>
      <c r="P349">
        <v>16</v>
      </c>
    </row>
    <row r="350" spans="1:16" x14ac:dyDescent="0.25">
      <c r="A350">
        <v>349</v>
      </c>
      <c r="B350" s="19">
        <v>40559</v>
      </c>
      <c r="C350">
        <v>1</v>
      </c>
      <c r="D350">
        <v>1</v>
      </c>
      <c r="E350">
        <v>0</v>
      </c>
      <c r="F350" t="b">
        <v>0</v>
      </c>
      <c r="G350">
        <v>0</v>
      </c>
      <c r="H350">
        <v>1</v>
      </c>
      <c r="I350">
        <v>0.26</v>
      </c>
      <c r="J350">
        <v>0</v>
      </c>
      <c r="K350">
        <v>0.28789999999999999</v>
      </c>
      <c r="L350">
        <v>0.81</v>
      </c>
      <c r="M350">
        <v>0</v>
      </c>
      <c r="N350">
        <v>3</v>
      </c>
      <c r="O350">
        <v>13</v>
      </c>
      <c r="P350">
        <v>16</v>
      </c>
    </row>
    <row r="351" spans="1:16" x14ac:dyDescent="0.25">
      <c r="A351">
        <v>350</v>
      </c>
      <c r="B351" s="19">
        <v>40559</v>
      </c>
      <c r="C351">
        <v>1</v>
      </c>
      <c r="D351">
        <v>1</v>
      </c>
      <c r="E351">
        <v>1</v>
      </c>
      <c r="F351" t="b">
        <v>0</v>
      </c>
      <c r="G351">
        <v>0</v>
      </c>
      <c r="H351">
        <v>1</v>
      </c>
      <c r="I351">
        <v>0.26</v>
      </c>
      <c r="J351">
        <v>0</v>
      </c>
      <c r="K351">
        <v>0.28789999999999999</v>
      </c>
      <c r="L351">
        <v>0.81</v>
      </c>
      <c r="M351">
        <v>0</v>
      </c>
      <c r="N351">
        <v>3</v>
      </c>
      <c r="O351">
        <v>13</v>
      </c>
      <c r="P351">
        <v>16</v>
      </c>
    </row>
    <row r="352" spans="1:16" x14ac:dyDescent="0.25">
      <c r="A352">
        <v>351</v>
      </c>
      <c r="B352" s="19">
        <v>40559</v>
      </c>
      <c r="C352">
        <v>1</v>
      </c>
      <c r="D352">
        <v>1</v>
      </c>
      <c r="E352">
        <v>2</v>
      </c>
      <c r="F352" t="b">
        <v>0</v>
      </c>
      <c r="G352">
        <v>0</v>
      </c>
      <c r="H352">
        <v>1</v>
      </c>
      <c r="I352">
        <v>0.26</v>
      </c>
      <c r="J352">
        <v>0</v>
      </c>
      <c r="K352">
        <v>0.28789999999999999</v>
      </c>
      <c r="L352">
        <v>0.81</v>
      </c>
      <c r="M352">
        <v>0</v>
      </c>
      <c r="N352">
        <v>3</v>
      </c>
      <c r="O352">
        <v>13</v>
      </c>
      <c r="P352">
        <v>16</v>
      </c>
    </row>
    <row r="353" spans="1:16" x14ac:dyDescent="0.25">
      <c r="A353">
        <v>352</v>
      </c>
      <c r="B353" s="19">
        <v>40559</v>
      </c>
      <c r="C353">
        <v>1</v>
      </c>
      <c r="D353">
        <v>1</v>
      </c>
      <c r="E353">
        <v>3</v>
      </c>
      <c r="F353" t="b">
        <v>0</v>
      </c>
      <c r="G353">
        <v>0</v>
      </c>
      <c r="H353">
        <v>1</v>
      </c>
      <c r="I353">
        <v>0.22</v>
      </c>
      <c r="J353">
        <v>0</v>
      </c>
      <c r="K353">
        <v>0.28789999999999999</v>
      </c>
      <c r="L353">
        <v>0.81</v>
      </c>
      <c r="M353">
        <v>0</v>
      </c>
      <c r="N353">
        <v>3</v>
      </c>
      <c r="O353">
        <v>13</v>
      </c>
      <c r="P353">
        <v>16</v>
      </c>
    </row>
    <row r="354" spans="1:16" x14ac:dyDescent="0.25">
      <c r="A354">
        <v>353</v>
      </c>
      <c r="B354" s="19">
        <v>40559</v>
      </c>
      <c r="C354">
        <v>1</v>
      </c>
      <c r="D354">
        <v>1</v>
      </c>
      <c r="E354">
        <v>4</v>
      </c>
      <c r="F354" t="b">
        <v>0</v>
      </c>
      <c r="G354">
        <v>0</v>
      </c>
      <c r="H354">
        <v>1</v>
      </c>
      <c r="I354">
        <v>0.26</v>
      </c>
      <c r="J354">
        <v>0</v>
      </c>
      <c r="K354">
        <v>0.28789999999999999</v>
      </c>
      <c r="L354">
        <v>0.81</v>
      </c>
      <c r="M354">
        <v>0</v>
      </c>
      <c r="N354">
        <v>3</v>
      </c>
      <c r="O354">
        <v>13</v>
      </c>
      <c r="P354">
        <v>16</v>
      </c>
    </row>
    <row r="355" spans="1:16" x14ac:dyDescent="0.25">
      <c r="A355">
        <v>354</v>
      </c>
      <c r="B355" s="19">
        <v>40559</v>
      </c>
      <c r="C355">
        <v>1</v>
      </c>
      <c r="D355">
        <v>1</v>
      </c>
      <c r="E355">
        <v>5</v>
      </c>
      <c r="F355" t="b">
        <v>0</v>
      </c>
      <c r="G355">
        <v>0</v>
      </c>
      <c r="H355">
        <v>2</v>
      </c>
      <c r="I355">
        <v>0.26</v>
      </c>
      <c r="J355">
        <v>0</v>
      </c>
      <c r="K355">
        <v>0.28789999999999999</v>
      </c>
      <c r="L355">
        <v>0.81</v>
      </c>
      <c r="M355">
        <v>0</v>
      </c>
      <c r="N355">
        <v>3</v>
      </c>
      <c r="O355">
        <v>13</v>
      </c>
      <c r="P355">
        <v>16</v>
      </c>
    </row>
    <row r="356" spans="1:16" x14ac:dyDescent="0.25">
      <c r="A356">
        <v>355</v>
      </c>
      <c r="B356" s="19">
        <v>40559</v>
      </c>
      <c r="C356">
        <v>1</v>
      </c>
      <c r="D356">
        <v>1</v>
      </c>
      <c r="E356">
        <v>6</v>
      </c>
      <c r="F356" t="b">
        <v>0</v>
      </c>
      <c r="G356">
        <v>0</v>
      </c>
      <c r="H356">
        <v>2</v>
      </c>
      <c r="I356">
        <v>0.26</v>
      </c>
      <c r="J356">
        <v>0</v>
      </c>
      <c r="K356">
        <v>0.28789999999999999</v>
      </c>
      <c r="L356">
        <v>0.81</v>
      </c>
      <c r="M356">
        <v>0</v>
      </c>
      <c r="N356">
        <v>3</v>
      </c>
      <c r="O356">
        <v>13</v>
      </c>
      <c r="P356">
        <v>16</v>
      </c>
    </row>
    <row r="357" spans="1:16" x14ac:dyDescent="0.25">
      <c r="A357">
        <v>356</v>
      </c>
      <c r="B357" s="19">
        <v>40559</v>
      </c>
      <c r="C357">
        <v>1</v>
      </c>
      <c r="D357">
        <v>1</v>
      </c>
      <c r="E357">
        <v>7</v>
      </c>
      <c r="F357" t="b">
        <v>0</v>
      </c>
      <c r="G357">
        <v>0</v>
      </c>
      <c r="H357">
        <v>2</v>
      </c>
      <c r="I357">
        <v>0.24</v>
      </c>
      <c r="J357">
        <v>0</v>
      </c>
      <c r="K357">
        <v>0.28789999999999999</v>
      </c>
      <c r="L357">
        <v>0.81</v>
      </c>
      <c r="M357">
        <v>0</v>
      </c>
      <c r="N357">
        <v>3</v>
      </c>
      <c r="O357">
        <v>13</v>
      </c>
      <c r="P357">
        <v>16</v>
      </c>
    </row>
    <row r="358" spans="1:16" x14ac:dyDescent="0.25">
      <c r="A358">
        <v>357</v>
      </c>
      <c r="B358" s="19">
        <v>40559</v>
      </c>
      <c r="C358">
        <v>1</v>
      </c>
      <c r="D358">
        <v>1</v>
      </c>
      <c r="E358">
        <v>8</v>
      </c>
      <c r="F358" t="b">
        <v>0</v>
      </c>
      <c r="G358">
        <v>0</v>
      </c>
      <c r="H358">
        <v>1</v>
      </c>
      <c r="I358">
        <v>0.22</v>
      </c>
      <c r="J358">
        <v>0</v>
      </c>
      <c r="K358">
        <v>0.28789999999999999</v>
      </c>
      <c r="L358">
        <v>0.81</v>
      </c>
      <c r="M358">
        <v>0</v>
      </c>
      <c r="N358">
        <v>3</v>
      </c>
      <c r="O358">
        <v>13</v>
      </c>
      <c r="P358">
        <v>16</v>
      </c>
    </row>
    <row r="359" spans="1:16" x14ac:dyDescent="0.25">
      <c r="A359">
        <v>358</v>
      </c>
      <c r="B359" s="19">
        <v>40559</v>
      </c>
      <c r="C359">
        <v>1</v>
      </c>
      <c r="D359">
        <v>1</v>
      </c>
      <c r="E359">
        <v>9</v>
      </c>
      <c r="F359" t="b">
        <v>0</v>
      </c>
      <c r="G359">
        <v>0</v>
      </c>
      <c r="H359">
        <v>1</v>
      </c>
      <c r="I359">
        <v>0.22</v>
      </c>
      <c r="J359">
        <v>0</v>
      </c>
      <c r="K359">
        <v>0.28789999999999999</v>
      </c>
      <c r="L359">
        <v>0.81</v>
      </c>
      <c r="M359">
        <v>0</v>
      </c>
      <c r="N359">
        <v>3</v>
      </c>
      <c r="O359">
        <v>13</v>
      </c>
      <c r="P359">
        <v>16</v>
      </c>
    </row>
    <row r="360" spans="1:16" x14ac:dyDescent="0.25">
      <c r="A360">
        <v>359</v>
      </c>
      <c r="B360" s="19">
        <v>40559</v>
      </c>
      <c r="C360">
        <v>1</v>
      </c>
      <c r="D360">
        <v>1</v>
      </c>
      <c r="E360">
        <v>10</v>
      </c>
      <c r="F360" t="b">
        <v>0</v>
      </c>
      <c r="G360">
        <v>0</v>
      </c>
      <c r="H360">
        <v>1</v>
      </c>
      <c r="I360">
        <v>0.22</v>
      </c>
      <c r="J360">
        <v>0</v>
      </c>
      <c r="K360">
        <v>0.28789999999999999</v>
      </c>
      <c r="L360">
        <v>0.81</v>
      </c>
      <c r="M360">
        <v>0</v>
      </c>
      <c r="N360">
        <v>3</v>
      </c>
      <c r="O360">
        <v>13</v>
      </c>
      <c r="P360">
        <v>16</v>
      </c>
    </row>
    <row r="361" spans="1:16" x14ac:dyDescent="0.25">
      <c r="A361">
        <v>360</v>
      </c>
      <c r="B361" s="19">
        <v>40559</v>
      </c>
      <c r="C361">
        <v>1</v>
      </c>
      <c r="D361">
        <v>1</v>
      </c>
      <c r="E361">
        <v>11</v>
      </c>
      <c r="F361" t="b">
        <v>0</v>
      </c>
      <c r="G361">
        <v>0</v>
      </c>
      <c r="H361">
        <v>1</v>
      </c>
      <c r="I361">
        <v>0.24</v>
      </c>
      <c r="J361">
        <v>0</v>
      </c>
      <c r="K361">
        <v>0.28789999999999999</v>
      </c>
      <c r="L361">
        <v>0.81</v>
      </c>
      <c r="M361">
        <v>0</v>
      </c>
      <c r="N361">
        <v>3</v>
      </c>
      <c r="O361">
        <v>13</v>
      </c>
      <c r="P361">
        <v>16</v>
      </c>
    </row>
    <row r="362" spans="1:16" x14ac:dyDescent="0.25">
      <c r="A362">
        <v>361</v>
      </c>
      <c r="B362" s="19">
        <v>40559</v>
      </c>
      <c r="C362">
        <v>1</v>
      </c>
      <c r="D362">
        <v>1</v>
      </c>
      <c r="E362">
        <v>12</v>
      </c>
      <c r="F362" t="b">
        <v>0</v>
      </c>
      <c r="G362">
        <v>0</v>
      </c>
      <c r="H362">
        <v>1</v>
      </c>
      <c r="I362">
        <v>0.24</v>
      </c>
      <c r="J362">
        <v>0</v>
      </c>
      <c r="K362">
        <v>0.28789999999999999</v>
      </c>
      <c r="L362">
        <v>0.81</v>
      </c>
      <c r="M362">
        <v>0</v>
      </c>
      <c r="N362">
        <v>3</v>
      </c>
      <c r="O362">
        <v>13</v>
      </c>
      <c r="P362">
        <v>16</v>
      </c>
    </row>
    <row r="363" spans="1:16" x14ac:dyDescent="0.25">
      <c r="A363">
        <v>362</v>
      </c>
      <c r="B363" s="19">
        <v>40559</v>
      </c>
      <c r="C363">
        <v>1</v>
      </c>
      <c r="D363">
        <v>1</v>
      </c>
      <c r="E363">
        <v>13</v>
      </c>
      <c r="F363" t="b">
        <v>0</v>
      </c>
      <c r="G363">
        <v>0</v>
      </c>
      <c r="H363">
        <v>1</v>
      </c>
      <c r="I363">
        <v>0.26</v>
      </c>
      <c r="J363">
        <v>0</v>
      </c>
      <c r="K363">
        <v>0.28789999999999999</v>
      </c>
      <c r="L363">
        <v>0.81</v>
      </c>
      <c r="M363">
        <v>0</v>
      </c>
      <c r="N363">
        <v>3</v>
      </c>
      <c r="O363">
        <v>13</v>
      </c>
      <c r="P363">
        <v>16</v>
      </c>
    </row>
    <row r="364" spans="1:16" x14ac:dyDescent="0.25">
      <c r="A364">
        <v>363</v>
      </c>
      <c r="B364" s="19">
        <v>40559</v>
      </c>
      <c r="C364">
        <v>1</v>
      </c>
      <c r="D364">
        <v>1</v>
      </c>
      <c r="E364">
        <v>14</v>
      </c>
      <c r="F364" t="b">
        <v>0</v>
      </c>
      <c r="G364">
        <v>0</v>
      </c>
      <c r="H364">
        <v>1</v>
      </c>
      <c r="I364">
        <v>0.28000000000000003</v>
      </c>
      <c r="J364">
        <v>0</v>
      </c>
      <c r="K364">
        <v>0.28789999999999999</v>
      </c>
      <c r="L364">
        <v>0.81</v>
      </c>
      <c r="M364">
        <v>0</v>
      </c>
      <c r="N364">
        <v>3</v>
      </c>
      <c r="O364">
        <v>13</v>
      </c>
      <c r="P364">
        <v>16</v>
      </c>
    </row>
    <row r="365" spans="1:16" x14ac:dyDescent="0.25">
      <c r="A365">
        <v>364</v>
      </c>
      <c r="B365" s="19">
        <v>40559</v>
      </c>
      <c r="C365">
        <v>1</v>
      </c>
      <c r="D365">
        <v>1</v>
      </c>
      <c r="E365">
        <v>15</v>
      </c>
      <c r="F365" t="b">
        <v>0</v>
      </c>
      <c r="G365">
        <v>0</v>
      </c>
      <c r="H365">
        <v>1</v>
      </c>
      <c r="I365">
        <v>0.26</v>
      </c>
      <c r="J365">
        <v>0</v>
      </c>
      <c r="K365">
        <v>0.28789999999999999</v>
      </c>
      <c r="L365">
        <v>0.81</v>
      </c>
      <c r="M365">
        <v>0</v>
      </c>
      <c r="N365">
        <v>3</v>
      </c>
      <c r="O365">
        <v>13</v>
      </c>
      <c r="P365">
        <v>16</v>
      </c>
    </row>
    <row r="366" spans="1:16" x14ac:dyDescent="0.25">
      <c r="A366">
        <v>365</v>
      </c>
      <c r="B366" s="19">
        <v>40559</v>
      </c>
      <c r="C366">
        <v>1</v>
      </c>
      <c r="D366">
        <v>1</v>
      </c>
      <c r="E366">
        <v>16</v>
      </c>
      <c r="F366" t="b">
        <v>0</v>
      </c>
      <c r="G366">
        <v>0</v>
      </c>
      <c r="H366">
        <v>1</v>
      </c>
      <c r="I366">
        <v>0.24</v>
      </c>
      <c r="J366">
        <v>0</v>
      </c>
      <c r="K366">
        <v>0.28789999999999999</v>
      </c>
      <c r="L366">
        <v>0.81</v>
      </c>
      <c r="M366">
        <v>0</v>
      </c>
      <c r="N366">
        <v>3</v>
      </c>
      <c r="O366">
        <v>13</v>
      </c>
      <c r="P366">
        <v>16</v>
      </c>
    </row>
    <row r="367" spans="1:16" x14ac:dyDescent="0.25">
      <c r="A367">
        <v>366</v>
      </c>
      <c r="B367" s="19">
        <v>40559</v>
      </c>
      <c r="C367">
        <v>1</v>
      </c>
      <c r="D367">
        <v>1</v>
      </c>
      <c r="E367">
        <v>17</v>
      </c>
      <c r="F367" t="b">
        <v>0</v>
      </c>
      <c r="G367">
        <v>0</v>
      </c>
      <c r="H367">
        <v>1</v>
      </c>
      <c r="I367">
        <v>0.22</v>
      </c>
      <c r="J367">
        <v>0</v>
      </c>
      <c r="K367">
        <v>0.28789999999999999</v>
      </c>
      <c r="L367">
        <v>0.81</v>
      </c>
      <c r="M367">
        <v>0</v>
      </c>
      <c r="N367">
        <v>3</v>
      </c>
      <c r="O367">
        <v>13</v>
      </c>
      <c r="P367">
        <v>16</v>
      </c>
    </row>
    <row r="368" spans="1:16" x14ac:dyDescent="0.25">
      <c r="A368">
        <v>367</v>
      </c>
      <c r="B368" s="19">
        <v>40559</v>
      </c>
      <c r="C368">
        <v>1</v>
      </c>
      <c r="D368">
        <v>1</v>
      </c>
      <c r="E368">
        <v>18</v>
      </c>
      <c r="F368" t="b">
        <v>0</v>
      </c>
      <c r="G368">
        <v>0</v>
      </c>
      <c r="H368">
        <v>1</v>
      </c>
      <c r="I368">
        <v>0.2</v>
      </c>
      <c r="J368">
        <v>0</v>
      </c>
      <c r="K368">
        <v>0.28789999999999999</v>
      </c>
      <c r="L368">
        <v>0.81</v>
      </c>
      <c r="M368">
        <v>0</v>
      </c>
      <c r="N368">
        <v>3</v>
      </c>
      <c r="O368">
        <v>13</v>
      </c>
      <c r="P368">
        <v>16</v>
      </c>
    </row>
    <row r="369" spans="1:16" x14ac:dyDescent="0.25">
      <c r="A369">
        <v>368</v>
      </c>
      <c r="B369" s="19">
        <v>40559</v>
      </c>
      <c r="C369">
        <v>1</v>
      </c>
      <c r="D369">
        <v>1</v>
      </c>
      <c r="E369">
        <v>19</v>
      </c>
      <c r="F369" t="b">
        <v>0</v>
      </c>
      <c r="G369">
        <v>0</v>
      </c>
      <c r="H369">
        <v>1</v>
      </c>
      <c r="I369">
        <v>0.18</v>
      </c>
      <c r="J369">
        <v>0</v>
      </c>
      <c r="K369">
        <v>0.28789999999999999</v>
      </c>
      <c r="L369">
        <v>0.81</v>
      </c>
      <c r="M369">
        <v>0</v>
      </c>
      <c r="N369">
        <v>3</v>
      </c>
      <c r="O369">
        <v>13</v>
      </c>
      <c r="P369">
        <v>16</v>
      </c>
    </row>
    <row r="370" spans="1:16" x14ac:dyDescent="0.25">
      <c r="A370">
        <v>369</v>
      </c>
      <c r="B370" s="19">
        <v>40559</v>
      </c>
      <c r="C370">
        <v>1</v>
      </c>
      <c r="D370">
        <v>1</v>
      </c>
      <c r="E370">
        <v>20</v>
      </c>
      <c r="F370" t="b">
        <v>0</v>
      </c>
      <c r="G370">
        <v>0</v>
      </c>
      <c r="H370">
        <v>1</v>
      </c>
      <c r="I370">
        <v>0.18</v>
      </c>
      <c r="J370">
        <v>0</v>
      </c>
      <c r="K370">
        <v>0.28789999999999999</v>
      </c>
      <c r="L370">
        <v>0.81</v>
      </c>
      <c r="M370">
        <v>0</v>
      </c>
      <c r="N370">
        <v>3</v>
      </c>
      <c r="O370">
        <v>13</v>
      </c>
      <c r="P370">
        <v>16</v>
      </c>
    </row>
    <row r="371" spans="1:16" x14ac:dyDescent="0.25">
      <c r="A371">
        <v>370</v>
      </c>
      <c r="B371" s="19">
        <v>40559</v>
      </c>
      <c r="C371">
        <v>1</v>
      </c>
      <c r="D371">
        <v>1</v>
      </c>
      <c r="E371">
        <v>21</v>
      </c>
      <c r="F371" t="b">
        <v>0</v>
      </c>
      <c r="G371">
        <v>0</v>
      </c>
      <c r="H371">
        <v>1</v>
      </c>
      <c r="I371">
        <v>0.18</v>
      </c>
      <c r="J371">
        <v>0</v>
      </c>
      <c r="K371">
        <v>0.28789999999999999</v>
      </c>
      <c r="L371">
        <v>0.81</v>
      </c>
      <c r="M371">
        <v>0</v>
      </c>
      <c r="N371">
        <v>3</v>
      </c>
      <c r="O371">
        <v>13</v>
      </c>
      <c r="P371">
        <v>16</v>
      </c>
    </row>
    <row r="372" spans="1:16" x14ac:dyDescent="0.25">
      <c r="A372">
        <v>371</v>
      </c>
      <c r="B372" s="19">
        <v>40559</v>
      </c>
      <c r="C372">
        <v>1</v>
      </c>
      <c r="D372">
        <v>1</v>
      </c>
      <c r="E372">
        <v>22</v>
      </c>
      <c r="F372" t="b">
        <v>0</v>
      </c>
      <c r="G372">
        <v>0</v>
      </c>
      <c r="H372">
        <v>2</v>
      </c>
      <c r="I372">
        <v>0.2</v>
      </c>
      <c r="J372">
        <v>0</v>
      </c>
      <c r="K372">
        <v>0.28789999999999999</v>
      </c>
      <c r="L372">
        <v>0.81</v>
      </c>
      <c r="M372">
        <v>0</v>
      </c>
      <c r="N372">
        <v>3</v>
      </c>
      <c r="O372">
        <v>13</v>
      </c>
      <c r="P372">
        <v>16</v>
      </c>
    </row>
    <row r="373" spans="1:16" x14ac:dyDescent="0.25">
      <c r="A373">
        <v>372</v>
      </c>
      <c r="B373" s="19">
        <v>40559</v>
      </c>
      <c r="C373">
        <v>1</v>
      </c>
      <c r="D373">
        <v>1</v>
      </c>
      <c r="E373">
        <v>23</v>
      </c>
      <c r="F373" t="b">
        <v>0</v>
      </c>
      <c r="G373">
        <v>0</v>
      </c>
      <c r="H373">
        <v>2</v>
      </c>
      <c r="I373">
        <v>0.2</v>
      </c>
      <c r="J373">
        <v>0</v>
      </c>
      <c r="K373">
        <v>0.28789999999999999</v>
      </c>
      <c r="L373">
        <v>0.81</v>
      </c>
      <c r="M373">
        <v>0</v>
      </c>
      <c r="N373">
        <v>3</v>
      </c>
      <c r="O373">
        <v>13</v>
      </c>
      <c r="P373">
        <v>16</v>
      </c>
    </row>
    <row r="374" spans="1:16" x14ac:dyDescent="0.25">
      <c r="A374">
        <v>373</v>
      </c>
      <c r="B374" s="19">
        <v>40560</v>
      </c>
      <c r="C374">
        <v>1</v>
      </c>
      <c r="D374">
        <v>1</v>
      </c>
      <c r="E374">
        <v>0</v>
      </c>
      <c r="F374" t="b">
        <v>1</v>
      </c>
      <c r="G374">
        <v>1</v>
      </c>
      <c r="H374">
        <v>2</v>
      </c>
      <c r="I374">
        <v>0.2</v>
      </c>
      <c r="J374">
        <v>0</v>
      </c>
      <c r="K374">
        <v>0.28789999999999999</v>
      </c>
      <c r="L374">
        <v>0.81</v>
      </c>
      <c r="M374">
        <v>0</v>
      </c>
      <c r="N374">
        <v>3</v>
      </c>
      <c r="O374">
        <v>13</v>
      </c>
      <c r="P374">
        <v>16</v>
      </c>
    </row>
    <row r="375" spans="1:16" x14ac:dyDescent="0.25">
      <c r="A375">
        <v>374</v>
      </c>
      <c r="B375" s="19">
        <v>40560</v>
      </c>
      <c r="C375">
        <v>1</v>
      </c>
      <c r="D375">
        <v>1</v>
      </c>
      <c r="E375">
        <v>1</v>
      </c>
      <c r="F375" t="b">
        <v>1</v>
      </c>
      <c r="G375">
        <v>1</v>
      </c>
      <c r="H375">
        <v>2</v>
      </c>
      <c r="I375">
        <v>0.2</v>
      </c>
      <c r="J375">
        <v>0</v>
      </c>
      <c r="K375">
        <v>0.28789999999999999</v>
      </c>
      <c r="L375">
        <v>0.81</v>
      </c>
      <c r="M375">
        <v>0</v>
      </c>
      <c r="N375">
        <v>3</v>
      </c>
      <c r="O375">
        <v>13</v>
      </c>
      <c r="P375">
        <v>16</v>
      </c>
    </row>
    <row r="376" spans="1:16" x14ac:dyDescent="0.25">
      <c r="A376">
        <v>375</v>
      </c>
      <c r="B376" s="19">
        <v>40560</v>
      </c>
      <c r="C376">
        <v>1</v>
      </c>
      <c r="D376">
        <v>1</v>
      </c>
      <c r="E376">
        <v>2</v>
      </c>
      <c r="F376" t="b">
        <v>1</v>
      </c>
      <c r="G376">
        <v>1</v>
      </c>
      <c r="H376">
        <v>2</v>
      </c>
      <c r="I376">
        <v>0.18</v>
      </c>
      <c r="J376">
        <v>0</v>
      </c>
      <c r="K376">
        <v>0.28789999999999999</v>
      </c>
      <c r="L376">
        <v>0.81</v>
      </c>
      <c r="M376">
        <v>0</v>
      </c>
      <c r="N376">
        <v>3</v>
      </c>
      <c r="O376">
        <v>13</v>
      </c>
      <c r="P376">
        <v>16</v>
      </c>
    </row>
    <row r="377" spans="1:16" x14ac:dyDescent="0.25">
      <c r="A377">
        <v>376</v>
      </c>
      <c r="B377" s="19">
        <v>40560</v>
      </c>
      <c r="C377">
        <v>1</v>
      </c>
      <c r="D377">
        <v>1</v>
      </c>
      <c r="E377">
        <v>3</v>
      </c>
      <c r="F377" t="b">
        <v>1</v>
      </c>
      <c r="G377">
        <v>1</v>
      </c>
      <c r="H377">
        <v>2</v>
      </c>
      <c r="I377">
        <v>0.18</v>
      </c>
      <c r="J377">
        <v>0</v>
      </c>
      <c r="K377">
        <v>0.28789999999999999</v>
      </c>
      <c r="L377">
        <v>0.81</v>
      </c>
      <c r="M377">
        <v>0</v>
      </c>
      <c r="N377">
        <v>3</v>
      </c>
      <c r="O377">
        <v>13</v>
      </c>
      <c r="P377">
        <v>16</v>
      </c>
    </row>
    <row r="378" spans="1:16" x14ac:dyDescent="0.25">
      <c r="A378">
        <v>377</v>
      </c>
      <c r="B378" s="19">
        <v>40560</v>
      </c>
      <c r="C378">
        <v>1</v>
      </c>
      <c r="D378">
        <v>1</v>
      </c>
      <c r="E378">
        <v>4</v>
      </c>
      <c r="F378" t="b">
        <v>1</v>
      </c>
      <c r="G378">
        <v>1</v>
      </c>
      <c r="H378">
        <v>2</v>
      </c>
      <c r="I378">
        <v>0.18</v>
      </c>
      <c r="J378">
        <v>0</v>
      </c>
      <c r="K378">
        <v>0.28789999999999999</v>
      </c>
      <c r="L378">
        <v>0.81</v>
      </c>
      <c r="M378">
        <v>0</v>
      </c>
      <c r="N378">
        <v>3</v>
      </c>
      <c r="O378">
        <v>13</v>
      </c>
      <c r="P378">
        <v>16</v>
      </c>
    </row>
    <row r="379" spans="1:16" x14ac:dyDescent="0.25">
      <c r="A379">
        <v>378</v>
      </c>
      <c r="B379" s="19">
        <v>40560</v>
      </c>
      <c r="C379">
        <v>1</v>
      </c>
      <c r="D379">
        <v>1</v>
      </c>
      <c r="E379">
        <v>5</v>
      </c>
      <c r="F379" t="b">
        <v>1</v>
      </c>
      <c r="G379">
        <v>1</v>
      </c>
      <c r="H379">
        <v>2</v>
      </c>
      <c r="I379">
        <v>0.18</v>
      </c>
      <c r="J379">
        <v>0</v>
      </c>
      <c r="K379">
        <v>0.28789999999999999</v>
      </c>
      <c r="L379">
        <v>0.81</v>
      </c>
      <c r="M379">
        <v>0</v>
      </c>
      <c r="N379">
        <v>3</v>
      </c>
      <c r="O379">
        <v>13</v>
      </c>
      <c r="P379">
        <v>16</v>
      </c>
    </row>
    <row r="380" spans="1:16" x14ac:dyDescent="0.25">
      <c r="A380">
        <v>379</v>
      </c>
      <c r="B380" s="19">
        <v>40560</v>
      </c>
      <c r="C380">
        <v>1</v>
      </c>
      <c r="D380">
        <v>1</v>
      </c>
      <c r="E380">
        <v>6</v>
      </c>
      <c r="F380" t="b">
        <v>1</v>
      </c>
      <c r="G380">
        <v>1</v>
      </c>
      <c r="H380">
        <v>2</v>
      </c>
      <c r="I380">
        <v>0.18</v>
      </c>
      <c r="J380">
        <v>0</v>
      </c>
      <c r="K380">
        <v>0.28789999999999999</v>
      </c>
      <c r="L380">
        <v>0.81</v>
      </c>
      <c r="M380">
        <v>0</v>
      </c>
      <c r="N380">
        <v>3</v>
      </c>
      <c r="O380">
        <v>13</v>
      </c>
      <c r="P380">
        <v>16</v>
      </c>
    </row>
    <row r="381" spans="1:16" x14ac:dyDescent="0.25">
      <c r="A381">
        <v>380</v>
      </c>
      <c r="B381" s="19">
        <v>40560</v>
      </c>
      <c r="C381">
        <v>1</v>
      </c>
      <c r="D381">
        <v>1</v>
      </c>
      <c r="E381">
        <v>7</v>
      </c>
      <c r="F381" t="b">
        <v>1</v>
      </c>
      <c r="G381">
        <v>1</v>
      </c>
      <c r="H381">
        <v>2</v>
      </c>
      <c r="I381">
        <v>0.16</v>
      </c>
      <c r="J381">
        <v>0</v>
      </c>
      <c r="K381">
        <v>0.28789999999999999</v>
      </c>
      <c r="L381">
        <v>0.81</v>
      </c>
      <c r="M381">
        <v>0</v>
      </c>
      <c r="N381">
        <v>3</v>
      </c>
      <c r="O381">
        <v>13</v>
      </c>
      <c r="P381">
        <v>16</v>
      </c>
    </row>
    <row r="382" spans="1:16" x14ac:dyDescent="0.25">
      <c r="A382">
        <v>381</v>
      </c>
      <c r="B382" s="19">
        <v>40560</v>
      </c>
      <c r="C382">
        <v>1</v>
      </c>
      <c r="D382">
        <v>1</v>
      </c>
      <c r="E382">
        <v>8</v>
      </c>
      <c r="F382" t="b">
        <v>1</v>
      </c>
      <c r="G382">
        <v>1</v>
      </c>
      <c r="H382">
        <v>2</v>
      </c>
      <c r="I382">
        <v>0.16</v>
      </c>
      <c r="J382">
        <v>0</v>
      </c>
      <c r="K382">
        <v>0.28789999999999999</v>
      </c>
      <c r="L382">
        <v>0.81</v>
      </c>
      <c r="M382">
        <v>0</v>
      </c>
      <c r="N382">
        <v>3</v>
      </c>
      <c r="O382">
        <v>13</v>
      </c>
      <c r="P382">
        <v>16</v>
      </c>
    </row>
    <row r="383" spans="1:16" x14ac:dyDescent="0.25">
      <c r="A383">
        <v>382</v>
      </c>
      <c r="B383" s="19">
        <v>40560</v>
      </c>
      <c r="C383">
        <v>1</v>
      </c>
      <c r="D383">
        <v>1</v>
      </c>
      <c r="E383">
        <v>9</v>
      </c>
      <c r="F383" t="b">
        <v>1</v>
      </c>
      <c r="G383">
        <v>1</v>
      </c>
      <c r="H383">
        <v>2</v>
      </c>
      <c r="I383">
        <v>0.16</v>
      </c>
      <c r="J383">
        <v>0</v>
      </c>
      <c r="K383">
        <v>0.28789999999999999</v>
      </c>
      <c r="L383">
        <v>0.81</v>
      </c>
      <c r="M383">
        <v>0</v>
      </c>
      <c r="N383">
        <v>3</v>
      </c>
      <c r="O383">
        <v>13</v>
      </c>
      <c r="P383">
        <v>16</v>
      </c>
    </row>
    <row r="384" spans="1:16" x14ac:dyDescent="0.25">
      <c r="A384">
        <v>383</v>
      </c>
      <c r="B384" s="19">
        <v>40560</v>
      </c>
      <c r="C384">
        <v>1</v>
      </c>
      <c r="D384">
        <v>1</v>
      </c>
      <c r="E384">
        <v>10</v>
      </c>
      <c r="F384" t="b">
        <v>1</v>
      </c>
      <c r="G384">
        <v>1</v>
      </c>
      <c r="H384">
        <v>2</v>
      </c>
      <c r="I384">
        <v>0.16</v>
      </c>
      <c r="J384">
        <v>0</v>
      </c>
      <c r="K384">
        <v>0.28789999999999999</v>
      </c>
      <c r="L384">
        <v>0.81</v>
      </c>
      <c r="M384">
        <v>0</v>
      </c>
      <c r="N384">
        <v>3</v>
      </c>
      <c r="O384">
        <v>13</v>
      </c>
      <c r="P384">
        <v>16</v>
      </c>
    </row>
    <row r="385" spans="1:16" x14ac:dyDescent="0.25">
      <c r="A385">
        <v>384</v>
      </c>
      <c r="B385" s="19">
        <v>40560</v>
      </c>
      <c r="C385">
        <v>1</v>
      </c>
      <c r="D385">
        <v>1</v>
      </c>
      <c r="E385">
        <v>11</v>
      </c>
      <c r="F385" t="b">
        <v>1</v>
      </c>
      <c r="G385">
        <v>1</v>
      </c>
      <c r="H385">
        <v>2</v>
      </c>
      <c r="I385">
        <v>0.16</v>
      </c>
      <c r="J385">
        <v>0</v>
      </c>
      <c r="K385">
        <v>0.28789999999999999</v>
      </c>
      <c r="L385">
        <v>0.81</v>
      </c>
      <c r="M385">
        <v>0</v>
      </c>
      <c r="N385">
        <v>3</v>
      </c>
      <c r="O385">
        <v>13</v>
      </c>
      <c r="P385">
        <v>16</v>
      </c>
    </row>
    <row r="386" spans="1:16" x14ac:dyDescent="0.25">
      <c r="A386">
        <v>385</v>
      </c>
      <c r="B386" s="19">
        <v>40560</v>
      </c>
      <c r="C386">
        <v>1</v>
      </c>
      <c r="D386">
        <v>1</v>
      </c>
      <c r="E386">
        <v>12</v>
      </c>
      <c r="F386" t="b">
        <v>1</v>
      </c>
      <c r="G386">
        <v>1</v>
      </c>
      <c r="H386">
        <v>2</v>
      </c>
      <c r="I386">
        <v>0.18</v>
      </c>
      <c r="J386">
        <v>0</v>
      </c>
      <c r="K386">
        <v>0.28789999999999999</v>
      </c>
      <c r="L386">
        <v>0.81</v>
      </c>
      <c r="M386">
        <v>0</v>
      </c>
      <c r="N386">
        <v>3</v>
      </c>
      <c r="O386">
        <v>13</v>
      </c>
      <c r="P386">
        <v>16</v>
      </c>
    </row>
    <row r="387" spans="1:16" x14ac:dyDescent="0.25">
      <c r="A387">
        <v>386</v>
      </c>
      <c r="B387" s="19">
        <v>40560</v>
      </c>
      <c r="C387">
        <v>1</v>
      </c>
      <c r="D387">
        <v>1</v>
      </c>
      <c r="E387">
        <v>13</v>
      </c>
      <c r="F387" t="b">
        <v>1</v>
      </c>
      <c r="G387">
        <v>1</v>
      </c>
      <c r="H387">
        <v>2</v>
      </c>
      <c r="I387">
        <v>0.18</v>
      </c>
      <c r="J387">
        <v>0</v>
      </c>
      <c r="K387">
        <v>0.28789999999999999</v>
      </c>
      <c r="L387">
        <v>0.81</v>
      </c>
      <c r="M387">
        <v>0</v>
      </c>
      <c r="N387">
        <v>3</v>
      </c>
      <c r="O387">
        <v>13</v>
      </c>
      <c r="P387">
        <v>16</v>
      </c>
    </row>
    <row r="388" spans="1:16" x14ac:dyDescent="0.25">
      <c r="A388">
        <v>387</v>
      </c>
      <c r="B388" s="19">
        <v>40560</v>
      </c>
      <c r="C388">
        <v>1</v>
      </c>
      <c r="D388">
        <v>1</v>
      </c>
      <c r="E388">
        <v>14</v>
      </c>
      <c r="F388" t="b">
        <v>1</v>
      </c>
      <c r="G388">
        <v>1</v>
      </c>
      <c r="H388">
        <v>2</v>
      </c>
      <c r="I388">
        <v>0.18</v>
      </c>
      <c r="J388">
        <v>0</v>
      </c>
      <c r="K388">
        <v>0.28789999999999999</v>
      </c>
      <c r="L388">
        <v>0.81</v>
      </c>
      <c r="M388">
        <v>0</v>
      </c>
      <c r="N388">
        <v>3</v>
      </c>
      <c r="O388">
        <v>13</v>
      </c>
      <c r="P388">
        <v>16</v>
      </c>
    </row>
    <row r="389" spans="1:16" x14ac:dyDescent="0.25">
      <c r="A389">
        <v>388</v>
      </c>
      <c r="B389" s="19">
        <v>40560</v>
      </c>
      <c r="C389">
        <v>1</v>
      </c>
      <c r="D389">
        <v>1</v>
      </c>
      <c r="E389">
        <v>15</v>
      </c>
      <c r="F389" t="b">
        <v>1</v>
      </c>
      <c r="G389">
        <v>1</v>
      </c>
      <c r="H389">
        <v>2</v>
      </c>
      <c r="I389">
        <v>0.2</v>
      </c>
      <c r="J389">
        <v>0</v>
      </c>
      <c r="K389">
        <v>0.28789999999999999</v>
      </c>
      <c r="L389">
        <v>0.81</v>
      </c>
      <c r="M389">
        <v>0</v>
      </c>
      <c r="N389">
        <v>3</v>
      </c>
      <c r="O389">
        <v>13</v>
      </c>
      <c r="P389">
        <v>16</v>
      </c>
    </row>
    <row r="390" spans="1:16" x14ac:dyDescent="0.25">
      <c r="A390">
        <v>389</v>
      </c>
      <c r="B390" s="19">
        <v>40560</v>
      </c>
      <c r="C390">
        <v>1</v>
      </c>
      <c r="D390">
        <v>1</v>
      </c>
      <c r="E390">
        <v>16</v>
      </c>
      <c r="F390" t="b">
        <v>1</v>
      </c>
      <c r="G390">
        <v>1</v>
      </c>
      <c r="H390">
        <v>2</v>
      </c>
      <c r="I390">
        <v>0.2</v>
      </c>
      <c r="J390">
        <v>0</v>
      </c>
      <c r="K390">
        <v>0.28789999999999999</v>
      </c>
      <c r="L390">
        <v>0.81</v>
      </c>
      <c r="M390">
        <v>0</v>
      </c>
      <c r="N390">
        <v>3</v>
      </c>
      <c r="O390">
        <v>13</v>
      </c>
      <c r="P390">
        <v>16</v>
      </c>
    </row>
    <row r="391" spans="1:16" x14ac:dyDescent="0.25">
      <c r="A391">
        <v>390</v>
      </c>
      <c r="B391" s="19">
        <v>40560</v>
      </c>
      <c r="C391">
        <v>1</v>
      </c>
      <c r="D391">
        <v>1</v>
      </c>
      <c r="E391">
        <v>17</v>
      </c>
      <c r="F391" t="b">
        <v>1</v>
      </c>
      <c r="G391">
        <v>1</v>
      </c>
      <c r="H391">
        <v>1</v>
      </c>
      <c r="I391">
        <v>0.2</v>
      </c>
      <c r="J391">
        <v>0</v>
      </c>
      <c r="K391">
        <v>0.28789999999999999</v>
      </c>
      <c r="L391">
        <v>0.81</v>
      </c>
      <c r="M391">
        <v>0</v>
      </c>
      <c r="N391">
        <v>3</v>
      </c>
      <c r="O391">
        <v>13</v>
      </c>
      <c r="P391">
        <v>16</v>
      </c>
    </row>
    <row r="392" spans="1:16" x14ac:dyDescent="0.25">
      <c r="A392">
        <v>391</v>
      </c>
      <c r="B392" s="19">
        <v>40560</v>
      </c>
      <c r="C392">
        <v>1</v>
      </c>
      <c r="D392">
        <v>1</v>
      </c>
      <c r="E392">
        <v>18</v>
      </c>
      <c r="F392" t="b">
        <v>1</v>
      </c>
      <c r="G392">
        <v>1</v>
      </c>
      <c r="H392">
        <v>2</v>
      </c>
      <c r="I392">
        <v>0.18</v>
      </c>
      <c r="J392">
        <v>0</v>
      </c>
      <c r="K392">
        <v>0.28789999999999999</v>
      </c>
      <c r="L392">
        <v>0.81</v>
      </c>
      <c r="M392">
        <v>0</v>
      </c>
      <c r="N392">
        <v>3</v>
      </c>
      <c r="O392">
        <v>13</v>
      </c>
      <c r="P392">
        <v>16</v>
      </c>
    </row>
    <row r="393" spans="1:16" x14ac:dyDescent="0.25">
      <c r="A393">
        <v>392</v>
      </c>
      <c r="B393" s="19">
        <v>40560</v>
      </c>
      <c r="C393">
        <v>1</v>
      </c>
      <c r="D393">
        <v>1</v>
      </c>
      <c r="E393">
        <v>19</v>
      </c>
      <c r="F393" t="b">
        <v>1</v>
      </c>
      <c r="G393">
        <v>1</v>
      </c>
      <c r="H393">
        <v>3</v>
      </c>
      <c r="I393">
        <v>0.18</v>
      </c>
      <c r="J393">
        <v>0</v>
      </c>
      <c r="K393">
        <v>0.28789999999999999</v>
      </c>
      <c r="L393">
        <v>0.81</v>
      </c>
      <c r="M393">
        <v>0</v>
      </c>
      <c r="N393">
        <v>3</v>
      </c>
      <c r="O393">
        <v>13</v>
      </c>
      <c r="P393">
        <v>16</v>
      </c>
    </row>
    <row r="394" spans="1:16" x14ac:dyDescent="0.25">
      <c r="A394">
        <v>393</v>
      </c>
      <c r="B394" s="19">
        <v>40560</v>
      </c>
      <c r="C394">
        <v>1</v>
      </c>
      <c r="D394">
        <v>1</v>
      </c>
      <c r="E394">
        <v>20</v>
      </c>
      <c r="F394" t="b">
        <v>1</v>
      </c>
      <c r="G394">
        <v>1</v>
      </c>
      <c r="H394">
        <v>3</v>
      </c>
      <c r="I394">
        <v>0.16</v>
      </c>
      <c r="J394">
        <v>0</v>
      </c>
      <c r="K394">
        <v>0.28789999999999999</v>
      </c>
      <c r="L394">
        <v>0.81</v>
      </c>
      <c r="M394">
        <v>0</v>
      </c>
      <c r="N394">
        <v>3</v>
      </c>
      <c r="O394">
        <v>13</v>
      </c>
      <c r="P394">
        <v>16</v>
      </c>
    </row>
    <row r="395" spans="1:16" x14ac:dyDescent="0.25">
      <c r="A395">
        <v>394</v>
      </c>
      <c r="B395" s="19">
        <v>40560</v>
      </c>
      <c r="C395">
        <v>1</v>
      </c>
      <c r="D395">
        <v>1</v>
      </c>
      <c r="E395">
        <v>21</v>
      </c>
      <c r="F395" t="b">
        <v>1</v>
      </c>
      <c r="G395">
        <v>1</v>
      </c>
      <c r="H395">
        <v>3</v>
      </c>
      <c r="I395">
        <v>0.16</v>
      </c>
      <c r="J395">
        <v>0</v>
      </c>
      <c r="K395">
        <v>0.28789999999999999</v>
      </c>
      <c r="L395">
        <v>0.81</v>
      </c>
      <c r="M395">
        <v>0</v>
      </c>
      <c r="N395">
        <v>3</v>
      </c>
      <c r="O395">
        <v>13</v>
      </c>
      <c r="P395">
        <v>16</v>
      </c>
    </row>
    <row r="396" spans="1:16" x14ac:dyDescent="0.25">
      <c r="A396">
        <v>395</v>
      </c>
      <c r="B396" s="19">
        <v>40560</v>
      </c>
      <c r="C396">
        <v>1</v>
      </c>
      <c r="D396">
        <v>1</v>
      </c>
      <c r="E396">
        <v>22</v>
      </c>
      <c r="F396" t="b">
        <v>1</v>
      </c>
      <c r="G396">
        <v>1</v>
      </c>
      <c r="H396">
        <v>3</v>
      </c>
      <c r="I396">
        <v>0.14000000000000001</v>
      </c>
      <c r="J396">
        <v>0</v>
      </c>
      <c r="K396">
        <v>0.28789999999999999</v>
      </c>
      <c r="L396">
        <v>0.81</v>
      </c>
      <c r="M396">
        <v>0</v>
      </c>
      <c r="N396">
        <v>3</v>
      </c>
      <c r="O396">
        <v>13</v>
      </c>
      <c r="P396">
        <v>16</v>
      </c>
    </row>
    <row r="397" spans="1:16" x14ac:dyDescent="0.25">
      <c r="A397">
        <v>396</v>
      </c>
      <c r="B397" s="19">
        <v>40560</v>
      </c>
      <c r="C397">
        <v>1</v>
      </c>
      <c r="D397">
        <v>1</v>
      </c>
      <c r="E397">
        <v>23</v>
      </c>
      <c r="F397" t="b">
        <v>1</v>
      </c>
      <c r="G397">
        <v>1</v>
      </c>
      <c r="H397">
        <v>3</v>
      </c>
      <c r="I397">
        <v>0.16</v>
      </c>
      <c r="J397">
        <v>0</v>
      </c>
      <c r="K397">
        <v>0.28789999999999999</v>
      </c>
      <c r="L397">
        <v>0.81</v>
      </c>
      <c r="M397">
        <v>0</v>
      </c>
      <c r="N397">
        <v>3</v>
      </c>
      <c r="O397">
        <v>13</v>
      </c>
      <c r="P397">
        <v>16</v>
      </c>
    </row>
    <row r="398" spans="1:16" x14ac:dyDescent="0.25">
      <c r="A398">
        <v>397</v>
      </c>
      <c r="B398" s="19">
        <v>40561</v>
      </c>
      <c r="C398">
        <v>1</v>
      </c>
      <c r="D398">
        <v>1</v>
      </c>
      <c r="E398">
        <v>12</v>
      </c>
      <c r="F398" t="b">
        <v>0</v>
      </c>
      <c r="G398">
        <v>2</v>
      </c>
      <c r="H398">
        <v>2</v>
      </c>
      <c r="I398">
        <v>0.2</v>
      </c>
      <c r="J398">
        <v>0</v>
      </c>
      <c r="K398">
        <v>0.28789999999999999</v>
      </c>
      <c r="L398">
        <v>0.81</v>
      </c>
      <c r="M398">
        <v>0</v>
      </c>
      <c r="N398">
        <v>3</v>
      </c>
      <c r="O398">
        <v>13</v>
      </c>
      <c r="P398">
        <v>16</v>
      </c>
    </row>
    <row r="399" spans="1:16" x14ac:dyDescent="0.25">
      <c r="A399">
        <v>398</v>
      </c>
      <c r="B399" s="19">
        <v>40561</v>
      </c>
      <c r="C399">
        <v>1</v>
      </c>
      <c r="D399">
        <v>1</v>
      </c>
      <c r="E399">
        <v>13</v>
      </c>
      <c r="F399" t="b">
        <v>0</v>
      </c>
      <c r="G399">
        <v>2</v>
      </c>
      <c r="H399">
        <v>2</v>
      </c>
      <c r="I399">
        <v>0.2</v>
      </c>
      <c r="J399">
        <v>0</v>
      </c>
      <c r="K399">
        <v>0.28789999999999999</v>
      </c>
      <c r="L399">
        <v>0.81</v>
      </c>
      <c r="M399">
        <v>0</v>
      </c>
      <c r="N399">
        <v>3</v>
      </c>
      <c r="O399">
        <v>13</v>
      </c>
      <c r="P399">
        <v>16</v>
      </c>
    </row>
    <row r="400" spans="1:16" x14ac:dyDescent="0.25">
      <c r="A400">
        <v>399</v>
      </c>
      <c r="B400" s="19">
        <v>40561</v>
      </c>
      <c r="C400">
        <v>1</v>
      </c>
      <c r="D400">
        <v>1</v>
      </c>
      <c r="E400">
        <v>14</v>
      </c>
      <c r="F400" t="b">
        <v>0</v>
      </c>
      <c r="G400">
        <v>2</v>
      </c>
      <c r="H400">
        <v>2</v>
      </c>
      <c r="I400">
        <v>0.22</v>
      </c>
      <c r="J400">
        <v>0</v>
      </c>
      <c r="K400">
        <v>0.28789999999999999</v>
      </c>
      <c r="L400">
        <v>0.81</v>
      </c>
      <c r="M400">
        <v>0</v>
      </c>
      <c r="N400">
        <v>3</v>
      </c>
      <c r="O400">
        <v>13</v>
      </c>
      <c r="P400">
        <v>16</v>
      </c>
    </row>
    <row r="401" spans="1:16" x14ac:dyDescent="0.25">
      <c r="A401">
        <v>400</v>
      </c>
      <c r="B401" s="19">
        <v>40561</v>
      </c>
      <c r="C401">
        <v>1</v>
      </c>
      <c r="D401">
        <v>1</v>
      </c>
      <c r="E401">
        <v>15</v>
      </c>
      <c r="F401" t="b">
        <v>0</v>
      </c>
      <c r="G401">
        <v>2</v>
      </c>
      <c r="H401">
        <v>2</v>
      </c>
      <c r="I401">
        <v>0.22</v>
      </c>
      <c r="J401">
        <v>0</v>
      </c>
      <c r="K401">
        <v>0.28789999999999999</v>
      </c>
      <c r="L401">
        <v>0.81</v>
      </c>
      <c r="M401">
        <v>0</v>
      </c>
      <c r="N401">
        <v>3</v>
      </c>
      <c r="O401">
        <v>13</v>
      </c>
      <c r="P401">
        <v>16</v>
      </c>
    </row>
    <row r="402" spans="1:16" x14ac:dyDescent="0.25">
      <c r="A402">
        <v>401</v>
      </c>
      <c r="B402" s="19">
        <v>40561</v>
      </c>
      <c r="C402">
        <v>1</v>
      </c>
      <c r="D402">
        <v>1</v>
      </c>
      <c r="E402">
        <v>16</v>
      </c>
      <c r="F402" t="b">
        <v>0</v>
      </c>
      <c r="G402">
        <v>2</v>
      </c>
      <c r="H402">
        <v>2</v>
      </c>
      <c r="I402">
        <v>0.22</v>
      </c>
      <c r="J402">
        <v>0</v>
      </c>
      <c r="K402">
        <v>0.28789999999999999</v>
      </c>
      <c r="L402">
        <v>0.81</v>
      </c>
      <c r="M402">
        <v>0</v>
      </c>
      <c r="N402">
        <v>3</v>
      </c>
      <c r="O402">
        <v>13</v>
      </c>
      <c r="P402">
        <v>16</v>
      </c>
    </row>
    <row r="403" spans="1:16" x14ac:dyDescent="0.25">
      <c r="A403">
        <v>402</v>
      </c>
      <c r="B403" s="19">
        <v>40561</v>
      </c>
      <c r="C403">
        <v>1</v>
      </c>
      <c r="D403">
        <v>1</v>
      </c>
      <c r="E403">
        <v>17</v>
      </c>
      <c r="F403" t="b">
        <v>0</v>
      </c>
      <c r="G403">
        <v>2</v>
      </c>
      <c r="H403">
        <v>2</v>
      </c>
      <c r="I403">
        <v>0.22</v>
      </c>
      <c r="J403">
        <v>0</v>
      </c>
      <c r="K403">
        <v>0.28789999999999999</v>
      </c>
      <c r="L403">
        <v>0.81</v>
      </c>
      <c r="M403">
        <v>0</v>
      </c>
      <c r="N403">
        <v>3</v>
      </c>
      <c r="O403">
        <v>13</v>
      </c>
      <c r="P403">
        <v>16</v>
      </c>
    </row>
    <row r="404" spans="1:16" x14ac:dyDescent="0.25">
      <c r="A404">
        <v>403</v>
      </c>
      <c r="B404" s="19">
        <v>40561</v>
      </c>
      <c r="C404">
        <v>1</v>
      </c>
      <c r="D404">
        <v>1</v>
      </c>
      <c r="E404">
        <v>18</v>
      </c>
      <c r="F404" t="b">
        <v>0</v>
      </c>
      <c r="G404">
        <v>2</v>
      </c>
      <c r="H404">
        <v>2</v>
      </c>
      <c r="I404">
        <v>0.22</v>
      </c>
      <c r="J404">
        <v>0</v>
      </c>
      <c r="K404">
        <v>0.28789999999999999</v>
      </c>
      <c r="L404">
        <v>0.81</v>
      </c>
      <c r="M404">
        <v>0</v>
      </c>
      <c r="N404">
        <v>3</v>
      </c>
      <c r="O404">
        <v>13</v>
      </c>
      <c r="P404">
        <v>16</v>
      </c>
    </row>
    <row r="405" spans="1:16" x14ac:dyDescent="0.25">
      <c r="A405">
        <v>404</v>
      </c>
      <c r="B405" s="19">
        <v>40561</v>
      </c>
      <c r="C405">
        <v>1</v>
      </c>
      <c r="D405">
        <v>1</v>
      </c>
      <c r="E405">
        <v>19</v>
      </c>
      <c r="F405" t="b">
        <v>0</v>
      </c>
      <c r="G405">
        <v>2</v>
      </c>
      <c r="H405">
        <v>2</v>
      </c>
      <c r="I405">
        <v>0.22</v>
      </c>
      <c r="J405">
        <v>0</v>
      </c>
      <c r="K405">
        <v>0.28789999999999999</v>
      </c>
      <c r="L405">
        <v>0.81</v>
      </c>
      <c r="M405">
        <v>0</v>
      </c>
      <c r="N405">
        <v>3</v>
      </c>
      <c r="O405">
        <v>13</v>
      </c>
      <c r="P405">
        <v>16</v>
      </c>
    </row>
    <row r="406" spans="1:16" x14ac:dyDescent="0.25">
      <c r="A406">
        <v>405</v>
      </c>
      <c r="B406" s="19">
        <v>40561</v>
      </c>
      <c r="C406">
        <v>1</v>
      </c>
      <c r="D406">
        <v>1</v>
      </c>
      <c r="E406">
        <v>20</v>
      </c>
      <c r="F406" t="b">
        <v>0</v>
      </c>
      <c r="G406">
        <v>2</v>
      </c>
      <c r="H406">
        <v>2</v>
      </c>
      <c r="I406">
        <v>0.22</v>
      </c>
      <c r="J406">
        <v>0</v>
      </c>
      <c r="K406">
        <v>0.28789999999999999</v>
      </c>
      <c r="L406">
        <v>0.81</v>
      </c>
      <c r="M406">
        <v>0</v>
      </c>
      <c r="N406">
        <v>3</v>
      </c>
      <c r="O406">
        <v>13</v>
      </c>
      <c r="P406">
        <v>16</v>
      </c>
    </row>
    <row r="407" spans="1:16" x14ac:dyDescent="0.25">
      <c r="A407">
        <v>406</v>
      </c>
      <c r="B407" s="19">
        <v>40561</v>
      </c>
      <c r="C407">
        <v>1</v>
      </c>
      <c r="D407">
        <v>1</v>
      </c>
      <c r="E407">
        <v>21</v>
      </c>
      <c r="F407" t="b">
        <v>0</v>
      </c>
      <c r="G407">
        <v>2</v>
      </c>
      <c r="H407">
        <v>2</v>
      </c>
      <c r="I407">
        <v>0.22</v>
      </c>
      <c r="J407">
        <v>0</v>
      </c>
      <c r="K407">
        <v>0.28789999999999999</v>
      </c>
      <c r="L407">
        <v>0.81</v>
      </c>
      <c r="M407">
        <v>0</v>
      </c>
      <c r="N407">
        <v>3</v>
      </c>
      <c r="O407">
        <v>13</v>
      </c>
      <c r="P407">
        <v>16</v>
      </c>
    </row>
    <row r="408" spans="1:16" x14ac:dyDescent="0.25">
      <c r="A408">
        <v>407</v>
      </c>
      <c r="B408" s="19">
        <v>40561</v>
      </c>
      <c r="C408">
        <v>1</v>
      </c>
      <c r="D408">
        <v>1</v>
      </c>
      <c r="E408">
        <v>22</v>
      </c>
      <c r="F408" t="b">
        <v>0</v>
      </c>
      <c r="G408">
        <v>2</v>
      </c>
      <c r="H408">
        <v>2</v>
      </c>
      <c r="I408">
        <v>0.22</v>
      </c>
      <c r="J408">
        <v>0</v>
      </c>
      <c r="K408">
        <v>0.28789999999999999</v>
      </c>
      <c r="L408">
        <v>0.81</v>
      </c>
      <c r="M408">
        <v>0</v>
      </c>
      <c r="N408">
        <v>3</v>
      </c>
      <c r="O408">
        <v>13</v>
      </c>
      <c r="P408">
        <v>16</v>
      </c>
    </row>
    <row r="409" spans="1:16" x14ac:dyDescent="0.25">
      <c r="A409">
        <v>408</v>
      </c>
      <c r="B409" s="19">
        <v>40561</v>
      </c>
      <c r="C409">
        <v>1</v>
      </c>
      <c r="D409">
        <v>1</v>
      </c>
      <c r="E409">
        <v>23</v>
      </c>
      <c r="F409" t="b">
        <v>0</v>
      </c>
      <c r="G409">
        <v>2</v>
      </c>
      <c r="H409">
        <v>2</v>
      </c>
      <c r="I409">
        <v>0.22</v>
      </c>
      <c r="J409">
        <v>0</v>
      </c>
      <c r="K409">
        <v>0.28789999999999999</v>
      </c>
      <c r="L409">
        <v>0.81</v>
      </c>
      <c r="M409">
        <v>0</v>
      </c>
      <c r="N409">
        <v>3</v>
      </c>
      <c r="O409">
        <v>13</v>
      </c>
      <c r="P409">
        <v>16</v>
      </c>
    </row>
    <row r="410" spans="1:16" x14ac:dyDescent="0.25">
      <c r="A410">
        <v>409</v>
      </c>
      <c r="B410" s="19">
        <v>40562</v>
      </c>
      <c r="C410">
        <v>1</v>
      </c>
      <c r="D410">
        <v>1</v>
      </c>
      <c r="E410">
        <v>0</v>
      </c>
      <c r="F410" t="b">
        <v>0</v>
      </c>
      <c r="G410">
        <v>3</v>
      </c>
      <c r="H410">
        <v>2</v>
      </c>
      <c r="I410">
        <v>0.22</v>
      </c>
      <c r="J410">
        <v>0</v>
      </c>
      <c r="K410">
        <v>0.28789999999999999</v>
      </c>
      <c r="L410">
        <v>0.81</v>
      </c>
      <c r="M410">
        <v>0</v>
      </c>
      <c r="N410">
        <v>3</v>
      </c>
      <c r="O410">
        <v>13</v>
      </c>
      <c r="P410">
        <v>16</v>
      </c>
    </row>
    <row r="411" spans="1:16" x14ac:dyDescent="0.25">
      <c r="A411">
        <v>410</v>
      </c>
      <c r="B411" s="19">
        <v>40562</v>
      </c>
      <c r="C411">
        <v>1</v>
      </c>
      <c r="D411">
        <v>1</v>
      </c>
      <c r="E411">
        <v>1</v>
      </c>
      <c r="F411" t="b">
        <v>0</v>
      </c>
      <c r="G411">
        <v>3</v>
      </c>
      <c r="H411">
        <v>3</v>
      </c>
      <c r="I411">
        <v>0.22</v>
      </c>
      <c r="J411">
        <v>0</v>
      </c>
      <c r="K411">
        <v>0.28789999999999999</v>
      </c>
      <c r="L411">
        <v>0.81</v>
      </c>
      <c r="M411">
        <v>0</v>
      </c>
      <c r="N411">
        <v>3</v>
      </c>
      <c r="O411">
        <v>13</v>
      </c>
      <c r="P411">
        <v>16</v>
      </c>
    </row>
    <row r="412" spans="1:16" x14ac:dyDescent="0.25">
      <c r="A412">
        <v>411</v>
      </c>
      <c r="B412" s="19">
        <v>40562</v>
      </c>
      <c r="C412">
        <v>1</v>
      </c>
      <c r="D412">
        <v>1</v>
      </c>
      <c r="E412">
        <v>2</v>
      </c>
      <c r="F412" t="b">
        <v>0</v>
      </c>
      <c r="G412">
        <v>3</v>
      </c>
      <c r="H412">
        <v>3</v>
      </c>
      <c r="I412">
        <v>0.22</v>
      </c>
      <c r="J412">
        <v>0</v>
      </c>
      <c r="K412">
        <v>0.28789999999999999</v>
      </c>
      <c r="L412">
        <v>0.81</v>
      </c>
      <c r="M412">
        <v>0</v>
      </c>
      <c r="N412">
        <v>3</v>
      </c>
      <c r="O412">
        <v>13</v>
      </c>
      <c r="P412">
        <v>16</v>
      </c>
    </row>
    <row r="413" spans="1:16" x14ac:dyDescent="0.25">
      <c r="A413">
        <v>412</v>
      </c>
      <c r="B413" s="19">
        <v>40562</v>
      </c>
      <c r="C413">
        <v>1</v>
      </c>
      <c r="D413">
        <v>1</v>
      </c>
      <c r="E413">
        <v>4</v>
      </c>
      <c r="F413" t="b">
        <v>0</v>
      </c>
      <c r="G413">
        <v>3</v>
      </c>
      <c r="H413">
        <v>3</v>
      </c>
      <c r="I413">
        <v>0.22</v>
      </c>
      <c r="J413">
        <v>0</v>
      </c>
      <c r="K413">
        <v>0.28789999999999999</v>
      </c>
      <c r="L413">
        <v>0.81</v>
      </c>
      <c r="M413">
        <v>0</v>
      </c>
      <c r="N413">
        <v>3</v>
      </c>
      <c r="O413">
        <v>13</v>
      </c>
      <c r="P413">
        <v>16</v>
      </c>
    </row>
    <row r="414" spans="1:16" x14ac:dyDescent="0.25">
      <c r="A414">
        <v>413</v>
      </c>
      <c r="B414" s="19">
        <v>40562</v>
      </c>
      <c r="C414">
        <v>1</v>
      </c>
      <c r="D414">
        <v>1</v>
      </c>
      <c r="E414">
        <v>5</v>
      </c>
      <c r="F414" t="b">
        <v>0</v>
      </c>
      <c r="G414">
        <v>3</v>
      </c>
      <c r="H414">
        <v>2</v>
      </c>
      <c r="I414">
        <v>0.22</v>
      </c>
      <c r="J414">
        <v>0</v>
      </c>
      <c r="K414">
        <v>0.28789999999999999</v>
      </c>
      <c r="L414">
        <v>0.81</v>
      </c>
      <c r="M414">
        <v>0</v>
      </c>
      <c r="N414">
        <v>3</v>
      </c>
      <c r="O414">
        <v>13</v>
      </c>
      <c r="P414">
        <v>16</v>
      </c>
    </row>
    <row r="415" spans="1:16" x14ac:dyDescent="0.25">
      <c r="A415">
        <v>414</v>
      </c>
      <c r="B415" s="19">
        <v>40562</v>
      </c>
      <c r="C415">
        <v>1</v>
      </c>
      <c r="D415">
        <v>1</v>
      </c>
      <c r="E415">
        <v>6</v>
      </c>
      <c r="F415" t="b">
        <v>0</v>
      </c>
      <c r="G415">
        <v>3</v>
      </c>
      <c r="H415">
        <v>2</v>
      </c>
      <c r="I415">
        <v>0.22</v>
      </c>
      <c r="J415">
        <v>0</v>
      </c>
      <c r="K415">
        <v>0.28789999999999999</v>
      </c>
      <c r="L415">
        <v>0.81</v>
      </c>
      <c r="M415">
        <v>0</v>
      </c>
      <c r="N415">
        <v>3</v>
      </c>
      <c r="O415">
        <v>13</v>
      </c>
      <c r="P415">
        <v>16</v>
      </c>
    </row>
    <row r="416" spans="1:16" x14ac:dyDescent="0.25">
      <c r="A416">
        <v>415</v>
      </c>
      <c r="B416" s="19">
        <v>40562</v>
      </c>
      <c r="C416">
        <v>1</v>
      </c>
      <c r="D416">
        <v>1</v>
      </c>
      <c r="E416">
        <v>7</v>
      </c>
      <c r="F416" t="b">
        <v>0</v>
      </c>
      <c r="G416">
        <v>3</v>
      </c>
      <c r="H416">
        <v>2</v>
      </c>
      <c r="I416">
        <v>0.24</v>
      </c>
      <c r="J416">
        <v>0</v>
      </c>
      <c r="K416">
        <v>0.28789999999999999</v>
      </c>
      <c r="L416">
        <v>0.81</v>
      </c>
      <c r="M416">
        <v>0</v>
      </c>
      <c r="N416">
        <v>3</v>
      </c>
      <c r="O416">
        <v>13</v>
      </c>
      <c r="P416">
        <v>16</v>
      </c>
    </row>
    <row r="417" spans="1:16" x14ac:dyDescent="0.25">
      <c r="A417">
        <v>416</v>
      </c>
      <c r="B417" s="19">
        <v>40562</v>
      </c>
      <c r="C417">
        <v>1</v>
      </c>
      <c r="D417">
        <v>1</v>
      </c>
      <c r="E417">
        <v>8</v>
      </c>
      <c r="F417" t="b">
        <v>0</v>
      </c>
      <c r="G417">
        <v>3</v>
      </c>
      <c r="H417">
        <v>2</v>
      </c>
      <c r="I417">
        <v>0.24</v>
      </c>
      <c r="J417">
        <v>0</v>
      </c>
      <c r="K417">
        <v>0.28789999999999999</v>
      </c>
      <c r="L417">
        <v>0.81</v>
      </c>
      <c r="M417">
        <v>0</v>
      </c>
      <c r="N417">
        <v>3</v>
      </c>
      <c r="O417">
        <v>13</v>
      </c>
      <c r="P417">
        <v>16</v>
      </c>
    </row>
    <row r="418" spans="1:16" x14ac:dyDescent="0.25">
      <c r="A418">
        <v>417</v>
      </c>
      <c r="B418" s="19">
        <v>40562</v>
      </c>
      <c r="C418">
        <v>1</v>
      </c>
      <c r="D418">
        <v>1</v>
      </c>
      <c r="E418">
        <v>9</v>
      </c>
      <c r="F418" t="b">
        <v>0</v>
      </c>
      <c r="G418">
        <v>3</v>
      </c>
      <c r="H418">
        <v>2</v>
      </c>
      <c r="I418">
        <v>0.24</v>
      </c>
      <c r="J418">
        <v>0</v>
      </c>
      <c r="K418">
        <v>0.28789999999999999</v>
      </c>
      <c r="L418">
        <v>0.81</v>
      </c>
      <c r="M418">
        <v>0</v>
      </c>
      <c r="N418">
        <v>3</v>
      </c>
      <c r="O418">
        <v>13</v>
      </c>
      <c r="P418">
        <v>16</v>
      </c>
    </row>
    <row r="419" spans="1:16" x14ac:dyDescent="0.25">
      <c r="A419">
        <v>418</v>
      </c>
      <c r="B419" s="19">
        <v>40562</v>
      </c>
      <c r="C419">
        <v>1</v>
      </c>
      <c r="D419">
        <v>1</v>
      </c>
      <c r="E419">
        <v>10</v>
      </c>
      <c r="F419" t="b">
        <v>0</v>
      </c>
      <c r="G419">
        <v>3</v>
      </c>
      <c r="H419">
        <v>2</v>
      </c>
      <c r="I419">
        <v>0.26</v>
      </c>
      <c r="J419">
        <v>0</v>
      </c>
      <c r="K419">
        <v>0.28789999999999999</v>
      </c>
      <c r="L419">
        <v>0.81</v>
      </c>
      <c r="M419">
        <v>0</v>
      </c>
      <c r="N419">
        <v>3</v>
      </c>
      <c r="O419">
        <v>13</v>
      </c>
      <c r="P419">
        <v>16</v>
      </c>
    </row>
    <row r="420" spans="1:16" x14ac:dyDescent="0.25">
      <c r="A420">
        <v>419</v>
      </c>
      <c r="B420" s="19">
        <v>40562</v>
      </c>
      <c r="C420">
        <v>1</v>
      </c>
      <c r="D420">
        <v>1</v>
      </c>
      <c r="E420">
        <v>11</v>
      </c>
      <c r="F420" t="b">
        <v>0</v>
      </c>
      <c r="G420">
        <v>3</v>
      </c>
      <c r="H420">
        <v>2</v>
      </c>
      <c r="I420">
        <v>0.28000000000000003</v>
      </c>
      <c r="J420">
        <v>0</v>
      </c>
      <c r="K420">
        <v>0.28789999999999999</v>
      </c>
      <c r="L420">
        <v>0.81</v>
      </c>
      <c r="M420">
        <v>0</v>
      </c>
      <c r="N420">
        <v>3</v>
      </c>
      <c r="O420">
        <v>13</v>
      </c>
      <c r="P420">
        <v>16</v>
      </c>
    </row>
    <row r="421" spans="1:16" x14ac:dyDescent="0.25">
      <c r="A421">
        <v>420</v>
      </c>
      <c r="B421" s="19">
        <v>40562</v>
      </c>
      <c r="C421">
        <v>1</v>
      </c>
      <c r="D421">
        <v>1</v>
      </c>
      <c r="E421">
        <v>12</v>
      </c>
      <c r="F421" t="b">
        <v>0</v>
      </c>
      <c r="G421">
        <v>3</v>
      </c>
      <c r="H421">
        <v>2</v>
      </c>
      <c r="I421">
        <v>0.3</v>
      </c>
      <c r="J421">
        <v>0</v>
      </c>
      <c r="K421">
        <v>0.28789999999999999</v>
      </c>
      <c r="L421">
        <v>0.81</v>
      </c>
      <c r="M421">
        <v>0</v>
      </c>
      <c r="N421">
        <v>3</v>
      </c>
      <c r="O421">
        <v>13</v>
      </c>
      <c r="P421">
        <v>16</v>
      </c>
    </row>
    <row r="422" spans="1:16" x14ac:dyDescent="0.25">
      <c r="A422">
        <v>421</v>
      </c>
      <c r="B422" s="19">
        <v>40562</v>
      </c>
      <c r="C422">
        <v>1</v>
      </c>
      <c r="D422">
        <v>1</v>
      </c>
      <c r="E422">
        <v>13</v>
      </c>
      <c r="F422" t="b">
        <v>0</v>
      </c>
      <c r="G422">
        <v>3</v>
      </c>
      <c r="H422">
        <v>1</v>
      </c>
      <c r="I422">
        <v>0.4</v>
      </c>
      <c r="J422">
        <v>0</v>
      </c>
      <c r="K422">
        <v>0.28789999999999999</v>
      </c>
      <c r="L422">
        <v>0.81</v>
      </c>
      <c r="M422">
        <v>0</v>
      </c>
      <c r="N422">
        <v>3</v>
      </c>
      <c r="O422">
        <v>13</v>
      </c>
      <c r="P422">
        <v>16</v>
      </c>
    </row>
    <row r="423" spans="1:16" x14ac:dyDescent="0.25">
      <c r="A423">
        <v>422</v>
      </c>
      <c r="B423" s="19">
        <v>40562</v>
      </c>
      <c r="C423">
        <v>1</v>
      </c>
      <c r="D423">
        <v>1</v>
      </c>
      <c r="E423">
        <v>14</v>
      </c>
      <c r="F423" t="b">
        <v>0</v>
      </c>
      <c r="G423">
        <v>3</v>
      </c>
      <c r="H423">
        <v>1</v>
      </c>
      <c r="I423">
        <v>0.4</v>
      </c>
      <c r="J423">
        <v>0</v>
      </c>
      <c r="K423">
        <v>0.28789999999999999</v>
      </c>
      <c r="L423">
        <v>0.81</v>
      </c>
      <c r="M423">
        <v>0</v>
      </c>
      <c r="N423">
        <v>3</v>
      </c>
      <c r="O423">
        <v>13</v>
      </c>
      <c r="P423">
        <v>16</v>
      </c>
    </row>
    <row r="424" spans="1:16" x14ac:dyDescent="0.25">
      <c r="A424">
        <v>423</v>
      </c>
      <c r="B424" s="19">
        <v>40562</v>
      </c>
      <c r="C424">
        <v>1</v>
      </c>
      <c r="D424">
        <v>1</v>
      </c>
      <c r="E424">
        <v>15</v>
      </c>
      <c r="F424" t="b">
        <v>0</v>
      </c>
      <c r="G424">
        <v>3</v>
      </c>
      <c r="H424">
        <v>1</v>
      </c>
      <c r="I424">
        <v>0.4</v>
      </c>
      <c r="J424">
        <v>0</v>
      </c>
      <c r="K424">
        <v>0.28789999999999999</v>
      </c>
      <c r="L424">
        <v>0.81</v>
      </c>
      <c r="M424">
        <v>0</v>
      </c>
      <c r="N424">
        <v>3</v>
      </c>
      <c r="O424">
        <v>13</v>
      </c>
      <c r="P424">
        <v>16</v>
      </c>
    </row>
    <row r="425" spans="1:16" x14ac:dyDescent="0.25">
      <c r="A425">
        <v>424</v>
      </c>
      <c r="B425" s="19">
        <v>40562</v>
      </c>
      <c r="C425">
        <v>1</v>
      </c>
      <c r="D425">
        <v>1</v>
      </c>
      <c r="E425">
        <v>16</v>
      </c>
      <c r="F425" t="b">
        <v>0</v>
      </c>
      <c r="G425">
        <v>3</v>
      </c>
      <c r="H425">
        <v>1</v>
      </c>
      <c r="I425">
        <v>0.38</v>
      </c>
      <c r="J425">
        <v>0</v>
      </c>
      <c r="K425">
        <v>0.28789999999999999</v>
      </c>
      <c r="L425">
        <v>0.81</v>
      </c>
      <c r="M425">
        <v>0</v>
      </c>
      <c r="N425">
        <v>3</v>
      </c>
      <c r="O425">
        <v>13</v>
      </c>
      <c r="P425">
        <v>16</v>
      </c>
    </row>
    <row r="426" spans="1:16" x14ac:dyDescent="0.25">
      <c r="A426">
        <v>425</v>
      </c>
      <c r="B426" s="19">
        <v>40562</v>
      </c>
      <c r="C426">
        <v>1</v>
      </c>
      <c r="D426">
        <v>1</v>
      </c>
      <c r="E426">
        <v>17</v>
      </c>
      <c r="F426" t="b">
        <v>0</v>
      </c>
      <c r="G426">
        <v>3</v>
      </c>
      <c r="H426">
        <v>1</v>
      </c>
      <c r="I426">
        <v>0.36</v>
      </c>
      <c r="J426">
        <v>0</v>
      </c>
      <c r="K426">
        <v>0.28789999999999999</v>
      </c>
      <c r="L426">
        <v>0.81</v>
      </c>
      <c r="M426">
        <v>0</v>
      </c>
      <c r="N426">
        <v>3</v>
      </c>
      <c r="O426">
        <v>13</v>
      </c>
      <c r="P426">
        <v>16</v>
      </c>
    </row>
    <row r="427" spans="1:16" x14ac:dyDescent="0.25">
      <c r="A427">
        <v>426</v>
      </c>
      <c r="B427" s="19">
        <v>40562</v>
      </c>
      <c r="C427">
        <v>1</v>
      </c>
      <c r="D427">
        <v>1</v>
      </c>
      <c r="E427">
        <v>18</v>
      </c>
      <c r="F427" t="b">
        <v>0</v>
      </c>
      <c r="G427">
        <v>3</v>
      </c>
      <c r="H427">
        <v>1</v>
      </c>
      <c r="I427">
        <v>0.34</v>
      </c>
      <c r="J427">
        <v>0</v>
      </c>
      <c r="K427">
        <v>0.28789999999999999</v>
      </c>
      <c r="L427">
        <v>0.81</v>
      </c>
      <c r="M427">
        <v>0</v>
      </c>
      <c r="N427">
        <v>3</v>
      </c>
      <c r="O427">
        <v>13</v>
      </c>
      <c r="P427">
        <v>16</v>
      </c>
    </row>
    <row r="428" spans="1:16" x14ac:dyDescent="0.25">
      <c r="A428">
        <v>427</v>
      </c>
      <c r="B428" s="19">
        <v>40562</v>
      </c>
      <c r="C428">
        <v>1</v>
      </c>
      <c r="D428">
        <v>1</v>
      </c>
      <c r="E428">
        <v>19</v>
      </c>
      <c r="F428" t="b">
        <v>0</v>
      </c>
      <c r="G428">
        <v>3</v>
      </c>
      <c r="H428">
        <v>1</v>
      </c>
      <c r="I428">
        <v>0.32</v>
      </c>
      <c r="J428">
        <v>0</v>
      </c>
      <c r="K428">
        <v>0.28789999999999999</v>
      </c>
      <c r="L428">
        <v>0.81</v>
      </c>
      <c r="M428">
        <v>0</v>
      </c>
      <c r="N428">
        <v>3</v>
      </c>
      <c r="O428">
        <v>13</v>
      </c>
      <c r="P428">
        <v>16</v>
      </c>
    </row>
    <row r="429" spans="1:16" x14ac:dyDescent="0.25">
      <c r="A429">
        <v>428</v>
      </c>
      <c r="B429" s="19">
        <v>40562</v>
      </c>
      <c r="C429">
        <v>1</v>
      </c>
      <c r="D429">
        <v>1</v>
      </c>
      <c r="E429">
        <v>20</v>
      </c>
      <c r="F429" t="b">
        <v>0</v>
      </c>
      <c r="G429">
        <v>3</v>
      </c>
      <c r="H429">
        <v>1</v>
      </c>
      <c r="I429">
        <v>0.32</v>
      </c>
      <c r="J429">
        <v>0</v>
      </c>
      <c r="K429">
        <v>0.28789999999999999</v>
      </c>
      <c r="L429">
        <v>0.81</v>
      </c>
      <c r="M429">
        <v>0</v>
      </c>
      <c r="N429">
        <v>3</v>
      </c>
      <c r="O429">
        <v>13</v>
      </c>
      <c r="P429">
        <v>16</v>
      </c>
    </row>
    <row r="430" spans="1:16" x14ac:dyDescent="0.25">
      <c r="A430">
        <v>429</v>
      </c>
      <c r="B430" s="19">
        <v>40562</v>
      </c>
      <c r="C430">
        <v>1</v>
      </c>
      <c r="D430">
        <v>1</v>
      </c>
      <c r="E430">
        <v>21</v>
      </c>
      <c r="F430" t="b">
        <v>0</v>
      </c>
      <c r="G430">
        <v>3</v>
      </c>
      <c r="H430">
        <v>1</v>
      </c>
      <c r="I430">
        <v>0.32</v>
      </c>
      <c r="J430">
        <v>0</v>
      </c>
      <c r="K430">
        <v>0.28789999999999999</v>
      </c>
      <c r="L430">
        <v>0.81</v>
      </c>
      <c r="M430">
        <v>0</v>
      </c>
      <c r="N430">
        <v>3</v>
      </c>
      <c r="O430">
        <v>13</v>
      </c>
      <c r="P430">
        <v>16</v>
      </c>
    </row>
    <row r="431" spans="1:16" x14ac:dyDescent="0.25">
      <c r="A431">
        <v>430</v>
      </c>
      <c r="B431" s="19">
        <v>40562</v>
      </c>
      <c r="C431">
        <v>1</v>
      </c>
      <c r="D431">
        <v>1</v>
      </c>
      <c r="E431">
        <v>22</v>
      </c>
      <c r="F431" t="b">
        <v>0</v>
      </c>
      <c r="G431">
        <v>3</v>
      </c>
      <c r="H431">
        <v>1</v>
      </c>
      <c r="I431">
        <v>0.3</v>
      </c>
      <c r="J431">
        <v>0</v>
      </c>
      <c r="K431">
        <v>0.28789999999999999</v>
      </c>
      <c r="L431">
        <v>0.81</v>
      </c>
      <c r="M431">
        <v>0</v>
      </c>
      <c r="N431">
        <v>3</v>
      </c>
      <c r="O431">
        <v>13</v>
      </c>
      <c r="P431">
        <v>16</v>
      </c>
    </row>
    <row r="432" spans="1:16" x14ac:dyDescent="0.25">
      <c r="A432">
        <v>431</v>
      </c>
      <c r="B432" s="19">
        <v>40562</v>
      </c>
      <c r="C432">
        <v>1</v>
      </c>
      <c r="D432">
        <v>1</v>
      </c>
      <c r="E432">
        <v>23</v>
      </c>
      <c r="F432" t="b">
        <v>0</v>
      </c>
      <c r="G432">
        <v>3</v>
      </c>
      <c r="H432">
        <v>1</v>
      </c>
      <c r="I432">
        <v>0.3</v>
      </c>
      <c r="J432">
        <v>0</v>
      </c>
      <c r="K432">
        <v>0.28789999999999999</v>
      </c>
      <c r="L432">
        <v>0.81</v>
      </c>
      <c r="M432">
        <v>0</v>
      </c>
      <c r="N432">
        <v>3</v>
      </c>
      <c r="O432">
        <v>13</v>
      </c>
      <c r="P432">
        <v>16</v>
      </c>
    </row>
    <row r="433" spans="1:16" x14ac:dyDescent="0.25">
      <c r="A433">
        <v>432</v>
      </c>
      <c r="B433" s="19">
        <v>40563</v>
      </c>
      <c r="C433">
        <v>1</v>
      </c>
      <c r="D433">
        <v>1</v>
      </c>
      <c r="E433">
        <v>0</v>
      </c>
      <c r="F433" t="b">
        <v>0</v>
      </c>
      <c r="G433">
        <v>4</v>
      </c>
      <c r="H433">
        <v>1</v>
      </c>
      <c r="I433">
        <v>0.26</v>
      </c>
      <c r="J433">
        <v>0</v>
      </c>
      <c r="K433">
        <v>0.28789999999999999</v>
      </c>
      <c r="L433">
        <v>0.81</v>
      </c>
      <c r="M433">
        <v>0</v>
      </c>
      <c r="N433">
        <v>3</v>
      </c>
      <c r="O433">
        <v>13</v>
      </c>
      <c r="P433">
        <v>16</v>
      </c>
    </row>
    <row r="434" spans="1:16" x14ac:dyDescent="0.25">
      <c r="A434">
        <v>433</v>
      </c>
      <c r="B434" s="19">
        <v>40563</v>
      </c>
      <c r="C434">
        <v>1</v>
      </c>
      <c r="D434">
        <v>1</v>
      </c>
      <c r="E434">
        <v>1</v>
      </c>
      <c r="F434" t="b">
        <v>0</v>
      </c>
      <c r="G434">
        <v>4</v>
      </c>
      <c r="H434">
        <v>1</v>
      </c>
      <c r="I434">
        <v>0.26</v>
      </c>
      <c r="J434">
        <v>0</v>
      </c>
      <c r="K434">
        <v>0.28789999999999999</v>
      </c>
      <c r="L434">
        <v>0.81</v>
      </c>
      <c r="M434">
        <v>0</v>
      </c>
      <c r="N434">
        <v>3</v>
      </c>
      <c r="O434">
        <v>13</v>
      </c>
      <c r="P434">
        <v>16</v>
      </c>
    </row>
    <row r="435" spans="1:16" x14ac:dyDescent="0.25">
      <c r="A435">
        <v>434</v>
      </c>
      <c r="B435" s="19">
        <v>40563</v>
      </c>
      <c r="C435">
        <v>1</v>
      </c>
      <c r="D435">
        <v>1</v>
      </c>
      <c r="E435">
        <v>2</v>
      </c>
      <c r="F435" t="b">
        <v>0</v>
      </c>
      <c r="G435">
        <v>4</v>
      </c>
      <c r="H435">
        <v>1</v>
      </c>
      <c r="I435">
        <v>0.26</v>
      </c>
      <c r="J435">
        <v>0</v>
      </c>
      <c r="K435">
        <v>0.28789999999999999</v>
      </c>
      <c r="L435">
        <v>0.81</v>
      </c>
      <c r="M435">
        <v>0</v>
      </c>
      <c r="N435">
        <v>3</v>
      </c>
      <c r="O435">
        <v>13</v>
      </c>
      <c r="P435">
        <v>16</v>
      </c>
    </row>
    <row r="436" spans="1:16" x14ac:dyDescent="0.25">
      <c r="A436">
        <v>435</v>
      </c>
      <c r="B436" s="19">
        <v>40563</v>
      </c>
      <c r="C436">
        <v>1</v>
      </c>
      <c r="D436">
        <v>1</v>
      </c>
      <c r="E436">
        <v>3</v>
      </c>
      <c r="F436" t="b">
        <v>0</v>
      </c>
      <c r="G436">
        <v>4</v>
      </c>
      <c r="H436">
        <v>1</v>
      </c>
      <c r="I436">
        <v>0.26</v>
      </c>
      <c r="J436">
        <v>0</v>
      </c>
      <c r="K436">
        <v>0.28789999999999999</v>
      </c>
      <c r="L436">
        <v>0.81</v>
      </c>
      <c r="M436">
        <v>0</v>
      </c>
      <c r="N436">
        <v>3</v>
      </c>
      <c r="O436">
        <v>13</v>
      </c>
      <c r="P436">
        <v>16</v>
      </c>
    </row>
    <row r="437" spans="1:16" x14ac:dyDescent="0.25">
      <c r="A437">
        <v>436</v>
      </c>
      <c r="B437" s="19">
        <v>40563</v>
      </c>
      <c r="C437">
        <v>1</v>
      </c>
      <c r="D437">
        <v>1</v>
      </c>
      <c r="E437">
        <v>4</v>
      </c>
      <c r="F437" t="b">
        <v>0</v>
      </c>
      <c r="G437">
        <v>4</v>
      </c>
      <c r="H437">
        <v>1</v>
      </c>
      <c r="I437">
        <v>0.26</v>
      </c>
      <c r="J437">
        <v>0</v>
      </c>
      <c r="K437">
        <v>0.28789999999999999</v>
      </c>
      <c r="L437">
        <v>0.81</v>
      </c>
      <c r="M437">
        <v>0</v>
      </c>
      <c r="N437">
        <v>3</v>
      </c>
      <c r="O437">
        <v>13</v>
      </c>
      <c r="P437">
        <v>16</v>
      </c>
    </row>
    <row r="438" spans="1:16" x14ac:dyDescent="0.25">
      <c r="A438">
        <v>437</v>
      </c>
      <c r="B438" s="19">
        <v>40563</v>
      </c>
      <c r="C438">
        <v>1</v>
      </c>
      <c r="D438">
        <v>1</v>
      </c>
      <c r="E438">
        <v>5</v>
      </c>
      <c r="F438" t="b">
        <v>0</v>
      </c>
      <c r="G438">
        <v>4</v>
      </c>
      <c r="H438">
        <v>1</v>
      </c>
      <c r="I438">
        <v>0.24</v>
      </c>
      <c r="J438">
        <v>0</v>
      </c>
      <c r="K438">
        <v>0.28789999999999999</v>
      </c>
      <c r="L438">
        <v>0.81</v>
      </c>
      <c r="M438">
        <v>0</v>
      </c>
      <c r="N438">
        <v>3</v>
      </c>
      <c r="O438">
        <v>13</v>
      </c>
      <c r="P438">
        <v>16</v>
      </c>
    </row>
    <row r="439" spans="1:16" x14ac:dyDescent="0.25">
      <c r="A439">
        <v>438</v>
      </c>
      <c r="B439" s="19">
        <v>40563</v>
      </c>
      <c r="C439">
        <v>1</v>
      </c>
      <c r="D439">
        <v>1</v>
      </c>
      <c r="E439">
        <v>6</v>
      </c>
      <c r="F439" t="b">
        <v>0</v>
      </c>
      <c r="G439">
        <v>4</v>
      </c>
      <c r="H439">
        <v>1</v>
      </c>
      <c r="I439">
        <v>0.22</v>
      </c>
      <c r="J439">
        <v>0</v>
      </c>
      <c r="K439">
        <v>0.28789999999999999</v>
      </c>
      <c r="L439">
        <v>0.81</v>
      </c>
      <c r="M439">
        <v>0</v>
      </c>
      <c r="N439">
        <v>3</v>
      </c>
      <c r="O439">
        <v>13</v>
      </c>
      <c r="P439">
        <v>16</v>
      </c>
    </row>
    <row r="440" spans="1:16" x14ac:dyDescent="0.25">
      <c r="A440">
        <v>439</v>
      </c>
      <c r="B440" s="19">
        <v>40563</v>
      </c>
      <c r="C440">
        <v>1</v>
      </c>
      <c r="D440">
        <v>1</v>
      </c>
      <c r="E440">
        <v>7</v>
      </c>
      <c r="F440" t="b">
        <v>0</v>
      </c>
      <c r="G440">
        <v>4</v>
      </c>
      <c r="H440">
        <v>1</v>
      </c>
      <c r="I440">
        <v>0.22</v>
      </c>
      <c r="J440">
        <v>0</v>
      </c>
      <c r="K440">
        <v>0.28789999999999999</v>
      </c>
      <c r="L440">
        <v>0.81</v>
      </c>
      <c r="M440">
        <v>0</v>
      </c>
      <c r="N440">
        <v>3</v>
      </c>
      <c r="O440">
        <v>13</v>
      </c>
      <c r="P440">
        <v>16</v>
      </c>
    </row>
    <row r="441" spans="1:16" x14ac:dyDescent="0.25">
      <c r="A441">
        <v>440</v>
      </c>
      <c r="B441" s="19">
        <v>40563</v>
      </c>
      <c r="C441">
        <v>1</v>
      </c>
      <c r="D441">
        <v>1</v>
      </c>
      <c r="E441">
        <v>8</v>
      </c>
      <c r="F441" t="b">
        <v>0</v>
      </c>
      <c r="G441">
        <v>4</v>
      </c>
      <c r="H441">
        <v>1</v>
      </c>
      <c r="I441">
        <v>0.22</v>
      </c>
      <c r="J441">
        <v>0</v>
      </c>
      <c r="K441">
        <v>0.28789999999999999</v>
      </c>
      <c r="L441">
        <v>0.81</v>
      </c>
      <c r="M441">
        <v>0</v>
      </c>
      <c r="N441">
        <v>3</v>
      </c>
      <c r="O441">
        <v>13</v>
      </c>
      <c r="P441">
        <v>16</v>
      </c>
    </row>
    <row r="442" spans="1:16" x14ac:dyDescent="0.25">
      <c r="A442">
        <v>441</v>
      </c>
      <c r="B442" s="19">
        <v>40563</v>
      </c>
      <c r="C442">
        <v>1</v>
      </c>
      <c r="D442">
        <v>1</v>
      </c>
      <c r="E442">
        <v>9</v>
      </c>
      <c r="F442" t="b">
        <v>0</v>
      </c>
      <c r="G442">
        <v>4</v>
      </c>
      <c r="H442">
        <v>2</v>
      </c>
      <c r="I442">
        <v>0.24</v>
      </c>
      <c r="J442">
        <v>0</v>
      </c>
      <c r="K442">
        <v>0.28789999999999999</v>
      </c>
      <c r="L442">
        <v>0.81</v>
      </c>
      <c r="M442">
        <v>0</v>
      </c>
      <c r="N442">
        <v>3</v>
      </c>
      <c r="O442">
        <v>13</v>
      </c>
      <c r="P442">
        <v>16</v>
      </c>
    </row>
    <row r="443" spans="1:16" x14ac:dyDescent="0.25">
      <c r="A443">
        <v>442</v>
      </c>
      <c r="B443" s="19">
        <v>40563</v>
      </c>
      <c r="C443">
        <v>1</v>
      </c>
      <c r="D443">
        <v>1</v>
      </c>
      <c r="E443">
        <v>10</v>
      </c>
      <c r="F443" t="b">
        <v>0</v>
      </c>
      <c r="G443">
        <v>4</v>
      </c>
      <c r="H443">
        <v>1</v>
      </c>
      <c r="I443">
        <v>0.26</v>
      </c>
      <c r="J443">
        <v>0</v>
      </c>
      <c r="K443">
        <v>0.28789999999999999</v>
      </c>
      <c r="L443">
        <v>0.81</v>
      </c>
      <c r="M443">
        <v>0</v>
      </c>
      <c r="N443">
        <v>3</v>
      </c>
      <c r="O443">
        <v>13</v>
      </c>
      <c r="P443">
        <v>16</v>
      </c>
    </row>
    <row r="444" spans="1:16" x14ac:dyDescent="0.25">
      <c r="A444">
        <v>443</v>
      </c>
      <c r="B444" s="19">
        <v>40563</v>
      </c>
      <c r="C444">
        <v>1</v>
      </c>
      <c r="D444">
        <v>1</v>
      </c>
      <c r="E444">
        <v>11</v>
      </c>
      <c r="F444" t="b">
        <v>0</v>
      </c>
      <c r="G444">
        <v>4</v>
      </c>
      <c r="H444">
        <v>2</v>
      </c>
      <c r="I444">
        <v>0.28000000000000003</v>
      </c>
      <c r="J444">
        <v>0</v>
      </c>
      <c r="K444">
        <v>0.28789999999999999</v>
      </c>
      <c r="L444">
        <v>0.81</v>
      </c>
      <c r="M444">
        <v>0</v>
      </c>
      <c r="N444">
        <v>3</v>
      </c>
      <c r="O444">
        <v>13</v>
      </c>
      <c r="P444">
        <v>16</v>
      </c>
    </row>
    <row r="445" spans="1:16" x14ac:dyDescent="0.25">
      <c r="A445">
        <v>444</v>
      </c>
      <c r="B445" s="19">
        <v>40563</v>
      </c>
      <c r="C445">
        <v>1</v>
      </c>
      <c r="D445">
        <v>1</v>
      </c>
      <c r="E445">
        <v>12</v>
      </c>
      <c r="F445" t="b">
        <v>0</v>
      </c>
      <c r="G445">
        <v>4</v>
      </c>
      <c r="H445">
        <v>2</v>
      </c>
      <c r="I445">
        <v>0.3</v>
      </c>
      <c r="J445">
        <v>0</v>
      </c>
      <c r="K445">
        <v>0.28789999999999999</v>
      </c>
      <c r="L445">
        <v>0.81</v>
      </c>
      <c r="M445">
        <v>0</v>
      </c>
      <c r="N445">
        <v>3</v>
      </c>
      <c r="O445">
        <v>13</v>
      </c>
      <c r="P445">
        <v>16</v>
      </c>
    </row>
    <row r="446" spans="1:16" x14ac:dyDescent="0.25">
      <c r="A446">
        <v>445</v>
      </c>
      <c r="B446" s="19">
        <v>40563</v>
      </c>
      <c r="C446">
        <v>1</v>
      </c>
      <c r="D446">
        <v>1</v>
      </c>
      <c r="E446">
        <v>13</v>
      </c>
      <c r="F446" t="b">
        <v>0</v>
      </c>
      <c r="G446">
        <v>4</v>
      </c>
      <c r="H446">
        <v>2</v>
      </c>
      <c r="I446">
        <v>0.28000000000000003</v>
      </c>
      <c r="J446">
        <v>0</v>
      </c>
      <c r="K446">
        <v>0.28789999999999999</v>
      </c>
      <c r="L446">
        <v>0.81</v>
      </c>
      <c r="M446">
        <v>0</v>
      </c>
      <c r="N446">
        <v>3</v>
      </c>
      <c r="O446">
        <v>13</v>
      </c>
      <c r="P446">
        <v>16</v>
      </c>
    </row>
    <row r="447" spans="1:16" x14ac:dyDescent="0.25">
      <c r="A447">
        <v>446</v>
      </c>
      <c r="B447" s="19">
        <v>40563</v>
      </c>
      <c r="C447">
        <v>1</v>
      </c>
      <c r="D447">
        <v>1</v>
      </c>
      <c r="E447">
        <v>14</v>
      </c>
      <c r="F447" t="b">
        <v>0</v>
      </c>
      <c r="G447">
        <v>4</v>
      </c>
      <c r="H447">
        <v>2</v>
      </c>
      <c r="I447">
        <v>0.3</v>
      </c>
      <c r="J447">
        <v>0</v>
      </c>
      <c r="K447">
        <v>0.28789999999999999</v>
      </c>
      <c r="L447">
        <v>0.81</v>
      </c>
      <c r="M447">
        <v>0</v>
      </c>
      <c r="N447">
        <v>3</v>
      </c>
      <c r="O447">
        <v>13</v>
      </c>
      <c r="P447">
        <v>16</v>
      </c>
    </row>
    <row r="448" spans="1:16" x14ac:dyDescent="0.25">
      <c r="A448">
        <v>447</v>
      </c>
      <c r="B448" s="19">
        <v>40563</v>
      </c>
      <c r="C448">
        <v>1</v>
      </c>
      <c r="D448">
        <v>1</v>
      </c>
      <c r="E448">
        <v>15</v>
      </c>
      <c r="F448" t="b">
        <v>0</v>
      </c>
      <c r="G448">
        <v>4</v>
      </c>
      <c r="H448">
        <v>2</v>
      </c>
      <c r="I448">
        <v>0.32</v>
      </c>
      <c r="J448">
        <v>0</v>
      </c>
      <c r="K448">
        <v>0.28789999999999999</v>
      </c>
      <c r="L448">
        <v>0.81</v>
      </c>
      <c r="M448">
        <v>0</v>
      </c>
      <c r="N448">
        <v>3</v>
      </c>
      <c r="O448">
        <v>13</v>
      </c>
      <c r="P448">
        <v>16</v>
      </c>
    </row>
    <row r="449" spans="1:16" x14ac:dyDescent="0.25">
      <c r="A449">
        <v>448</v>
      </c>
      <c r="B449" s="19">
        <v>40563</v>
      </c>
      <c r="C449">
        <v>1</v>
      </c>
      <c r="D449">
        <v>1</v>
      </c>
      <c r="E449">
        <v>16</v>
      </c>
      <c r="F449" t="b">
        <v>0</v>
      </c>
      <c r="G449">
        <v>4</v>
      </c>
      <c r="H449">
        <v>2</v>
      </c>
      <c r="I449">
        <v>0.3</v>
      </c>
      <c r="J449">
        <v>0</v>
      </c>
      <c r="K449">
        <v>0.28789999999999999</v>
      </c>
      <c r="L449">
        <v>0.81</v>
      </c>
      <c r="M449">
        <v>0</v>
      </c>
      <c r="N449">
        <v>3</v>
      </c>
      <c r="O449">
        <v>13</v>
      </c>
      <c r="P449">
        <v>16</v>
      </c>
    </row>
    <row r="450" spans="1:16" x14ac:dyDescent="0.25">
      <c r="A450">
        <v>449</v>
      </c>
      <c r="B450" s="19">
        <v>40563</v>
      </c>
      <c r="C450">
        <v>1</v>
      </c>
      <c r="D450">
        <v>1</v>
      </c>
      <c r="E450">
        <v>17</v>
      </c>
      <c r="F450" t="b">
        <v>0</v>
      </c>
      <c r="G450">
        <v>4</v>
      </c>
      <c r="H450">
        <v>2</v>
      </c>
      <c r="I450">
        <v>0.3</v>
      </c>
      <c r="J450">
        <v>0</v>
      </c>
      <c r="K450">
        <v>0.28789999999999999</v>
      </c>
      <c r="L450">
        <v>0.81</v>
      </c>
      <c r="M450">
        <v>0</v>
      </c>
      <c r="N450">
        <v>3</v>
      </c>
      <c r="O450">
        <v>13</v>
      </c>
      <c r="P450">
        <v>16</v>
      </c>
    </row>
    <row r="451" spans="1:16" x14ac:dyDescent="0.25">
      <c r="A451">
        <v>450</v>
      </c>
      <c r="B451" s="19">
        <v>40563</v>
      </c>
      <c r="C451">
        <v>1</v>
      </c>
      <c r="D451">
        <v>1</v>
      </c>
      <c r="E451">
        <v>18</v>
      </c>
      <c r="F451" t="b">
        <v>0</v>
      </c>
      <c r="G451">
        <v>4</v>
      </c>
      <c r="H451">
        <v>2</v>
      </c>
      <c r="I451">
        <v>0.26</v>
      </c>
      <c r="J451">
        <v>0</v>
      </c>
      <c r="K451">
        <v>0.28789999999999999</v>
      </c>
      <c r="L451">
        <v>0.81</v>
      </c>
      <c r="M451">
        <v>0</v>
      </c>
      <c r="N451">
        <v>3</v>
      </c>
      <c r="O451">
        <v>13</v>
      </c>
      <c r="P451">
        <v>16</v>
      </c>
    </row>
    <row r="452" spans="1:16" x14ac:dyDescent="0.25">
      <c r="A452">
        <v>451</v>
      </c>
      <c r="B452" s="19">
        <v>40563</v>
      </c>
      <c r="C452">
        <v>1</v>
      </c>
      <c r="D452">
        <v>1</v>
      </c>
      <c r="E452">
        <v>19</v>
      </c>
      <c r="F452" t="b">
        <v>0</v>
      </c>
      <c r="G452">
        <v>4</v>
      </c>
      <c r="H452">
        <v>1</v>
      </c>
      <c r="I452">
        <v>0.26</v>
      </c>
      <c r="J452">
        <v>0</v>
      </c>
      <c r="K452">
        <v>0.28789999999999999</v>
      </c>
      <c r="L452">
        <v>0.81</v>
      </c>
      <c r="M452">
        <v>0</v>
      </c>
      <c r="N452">
        <v>3</v>
      </c>
      <c r="O452">
        <v>13</v>
      </c>
      <c r="P452">
        <v>16</v>
      </c>
    </row>
    <row r="453" spans="1:16" x14ac:dyDescent="0.25">
      <c r="A453">
        <v>452</v>
      </c>
      <c r="B453" s="19">
        <v>40563</v>
      </c>
      <c r="C453">
        <v>1</v>
      </c>
      <c r="D453">
        <v>1</v>
      </c>
      <c r="E453">
        <v>20</v>
      </c>
      <c r="F453" t="b">
        <v>0</v>
      </c>
      <c r="G453">
        <v>4</v>
      </c>
      <c r="H453">
        <v>2</v>
      </c>
      <c r="I453">
        <v>0.26</v>
      </c>
      <c r="J453">
        <v>0</v>
      </c>
      <c r="K453">
        <v>0.28789999999999999</v>
      </c>
      <c r="L453">
        <v>0.81</v>
      </c>
      <c r="M453">
        <v>0</v>
      </c>
      <c r="N453">
        <v>3</v>
      </c>
      <c r="O453">
        <v>13</v>
      </c>
      <c r="P453">
        <v>16</v>
      </c>
    </row>
    <row r="454" spans="1:16" x14ac:dyDescent="0.25">
      <c r="A454">
        <v>453</v>
      </c>
      <c r="B454" s="19">
        <v>40563</v>
      </c>
      <c r="C454">
        <v>1</v>
      </c>
      <c r="D454">
        <v>1</v>
      </c>
      <c r="E454">
        <v>21</v>
      </c>
      <c r="F454" t="b">
        <v>0</v>
      </c>
      <c r="G454">
        <v>4</v>
      </c>
      <c r="H454">
        <v>2</v>
      </c>
      <c r="I454">
        <v>0.24</v>
      </c>
      <c r="J454">
        <v>0</v>
      </c>
      <c r="K454">
        <v>0.28789999999999999</v>
      </c>
      <c r="L454">
        <v>0.81</v>
      </c>
      <c r="M454">
        <v>0</v>
      </c>
      <c r="N454">
        <v>3</v>
      </c>
      <c r="O454">
        <v>13</v>
      </c>
      <c r="P454">
        <v>16</v>
      </c>
    </row>
    <row r="455" spans="1:16" x14ac:dyDescent="0.25">
      <c r="A455">
        <v>454</v>
      </c>
      <c r="B455" s="19">
        <v>40563</v>
      </c>
      <c r="C455">
        <v>1</v>
      </c>
      <c r="D455">
        <v>1</v>
      </c>
      <c r="E455">
        <v>22</v>
      </c>
      <c r="F455" t="b">
        <v>0</v>
      </c>
      <c r="G455">
        <v>4</v>
      </c>
      <c r="H455">
        <v>2</v>
      </c>
      <c r="I455">
        <v>0.24</v>
      </c>
      <c r="J455">
        <v>0</v>
      </c>
      <c r="K455">
        <v>0.28789999999999999</v>
      </c>
      <c r="L455">
        <v>0.81</v>
      </c>
      <c r="M455">
        <v>0</v>
      </c>
      <c r="N455">
        <v>3</v>
      </c>
      <c r="O455">
        <v>13</v>
      </c>
      <c r="P455">
        <v>16</v>
      </c>
    </row>
    <row r="456" spans="1:16" x14ac:dyDescent="0.25">
      <c r="A456">
        <v>455</v>
      </c>
      <c r="B456" s="19">
        <v>40563</v>
      </c>
      <c r="C456">
        <v>1</v>
      </c>
      <c r="D456">
        <v>1</v>
      </c>
      <c r="E456">
        <v>23</v>
      </c>
      <c r="F456" t="b">
        <v>0</v>
      </c>
      <c r="G456">
        <v>4</v>
      </c>
      <c r="H456">
        <v>2</v>
      </c>
      <c r="I456">
        <v>0.24</v>
      </c>
      <c r="J456">
        <v>0</v>
      </c>
      <c r="K456">
        <v>0.28789999999999999</v>
      </c>
      <c r="L456">
        <v>0.81</v>
      </c>
      <c r="M456">
        <v>0</v>
      </c>
      <c r="N456">
        <v>3</v>
      </c>
      <c r="O456">
        <v>13</v>
      </c>
      <c r="P456">
        <v>16</v>
      </c>
    </row>
    <row r="457" spans="1:16" x14ac:dyDescent="0.25">
      <c r="A457">
        <v>456</v>
      </c>
      <c r="B457" s="19">
        <v>40564</v>
      </c>
      <c r="C457">
        <v>1</v>
      </c>
      <c r="D457">
        <v>1</v>
      </c>
      <c r="E457">
        <v>0</v>
      </c>
      <c r="F457" t="b">
        <v>0</v>
      </c>
      <c r="G457">
        <v>5</v>
      </c>
      <c r="H457">
        <v>2</v>
      </c>
      <c r="I457">
        <v>0.24</v>
      </c>
      <c r="J457">
        <v>0</v>
      </c>
      <c r="K457">
        <v>0.28789999999999999</v>
      </c>
      <c r="L457">
        <v>0.81</v>
      </c>
      <c r="M457">
        <v>0</v>
      </c>
      <c r="N457">
        <v>3</v>
      </c>
      <c r="O457">
        <v>13</v>
      </c>
      <c r="P457">
        <v>16</v>
      </c>
    </row>
    <row r="458" spans="1:16" x14ac:dyDescent="0.25">
      <c r="A458">
        <v>457</v>
      </c>
      <c r="B458" s="19">
        <v>40564</v>
      </c>
      <c r="C458">
        <v>1</v>
      </c>
      <c r="D458">
        <v>1</v>
      </c>
      <c r="E458">
        <v>1</v>
      </c>
      <c r="F458" t="b">
        <v>0</v>
      </c>
      <c r="G458">
        <v>5</v>
      </c>
      <c r="H458">
        <v>2</v>
      </c>
      <c r="I458">
        <v>0.24</v>
      </c>
      <c r="J458">
        <v>0</v>
      </c>
      <c r="K458">
        <v>0.28789999999999999</v>
      </c>
      <c r="L458">
        <v>0.81</v>
      </c>
      <c r="M458">
        <v>0</v>
      </c>
      <c r="N458">
        <v>3</v>
      </c>
      <c r="O458">
        <v>13</v>
      </c>
      <c r="P458">
        <v>16</v>
      </c>
    </row>
    <row r="459" spans="1:16" x14ac:dyDescent="0.25">
      <c r="A459">
        <v>458</v>
      </c>
      <c r="B459" s="19">
        <v>40564</v>
      </c>
      <c r="C459">
        <v>1</v>
      </c>
      <c r="D459">
        <v>1</v>
      </c>
      <c r="E459">
        <v>2</v>
      </c>
      <c r="F459" t="b">
        <v>0</v>
      </c>
      <c r="G459">
        <v>5</v>
      </c>
      <c r="H459">
        <v>3</v>
      </c>
      <c r="I459">
        <v>0.24</v>
      </c>
      <c r="J459">
        <v>0</v>
      </c>
      <c r="K459">
        <v>0.28789999999999999</v>
      </c>
      <c r="L459">
        <v>0.81</v>
      </c>
      <c r="M459">
        <v>0</v>
      </c>
      <c r="N459">
        <v>3</v>
      </c>
      <c r="O459">
        <v>13</v>
      </c>
      <c r="P459">
        <v>16</v>
      </c>
    </row>
    <row r="460" spans="1:16" x14ac:dyDescent="0.25">
      <c r="A460">
        <v>459</v>
      </c>
      <c r="B460" s="19">
        <v>40564</v>
      </c>
      <c r="C460">
        <v>1</v>
      </c>
      <c r="D460">
        <v>1</v>
      </c>
      <c r="E460">
        <v>3</v>
      </c>
      <c r="F460" t="b">
        <v>0</v>
      </c>
      <c r="G460">
        <v>5</v>
      </c>
      <c r="H460">
        <v>3</v>
      </c>
      <c r="I460">
        <v>0.22</v>
      </c>
      <c r="J460">
        <v>0</v>
      </c>
      <c r="K460">
        <v>0.28789999999999999</v>
      </c>
      <c r="L460">
        <v>0.81</v>
      </c>
      <c r="M460">
        <v>0</v>
      </c>
      <c r="N460">
        <v>3</v>
      </c>
      <c r="O460">
        <v>13</v>
      </c>
      <c r="P460">
        <v>16</v>
      </c>
    </row>
    <row r="461" spans="1:16" x14ac:dyDescent="0.25">
      <c r="A461">
        <v>460</v>
      </c>
      <c r="B461" s="19">
        <v>40564</v>
      </c>
      <c r="C461">
        <v>1</v>
      </c>
      <c r="D461">
        <v>1</v>
      </c>
      <c r="E461">
        <v>4</v>
      </c>
      <c r="F461" t="b">
        <v>0</v>
      </c>
      <c r="G461">
        <v>5</v>
      </c>
      <c r="H461">
        <v>2</v>
      </c>
      <c r="I461">
        <v>0.22</v>
      </c>
      <c r="J461">
        <v>0</v>
      </c>
      <c r="K461">
        <v>0.28789999999999999</v>
      </c>
      <c r="L461">
        <v>0.81</v>
      </c>
      <c r="M461">
        <v>0</v>
      </c>
      <c r="N461">
        <v>3</v>
      </c>
      <c r="O461">
        <v>13</v>
      </c>
      <c r="P461">
        <v>16</v>
      </c>
    </row>
    <row r="462" spans="1:16" x14ac:dyDescent="0.25">
      <c r="A462">
        <v>461</v>
      </c>
      <c r="B462" s="19">
        <v>40564</v>
      </c>
      <c r="C462">
        <v>1</v>
      </c>
      <c r="D462">
        <v>1</v>
      </c>
      <c r="E462">
        <v>5</v>
      </c>
      <c r="F462" t="b">
        <v>0</v>
      </c>
      <c r="G462">
        <v>5</v>
      </c>
      <c r="H462">
        <v>1</v>
      </c>
      <c r="I462">
        <v>0.24</v>
      </c>
      <c r="J462">
        <v>0</v>
      </c>
      <c r="K462">
        <v>0.28789999999999999</v>
      </c>
      <c r="L462">
        <v>0.81</v>
      </c>
      <c r="M462">
        <v>0</v>
      </c>
      <c r="N462">
        <v>3</v>
      </c>
      <c r="O462">
        <v>13</v>
      </c>
      <c r="P462">
        <v>16</v>
      </c>
    </row>
    <row r="463" spans="1:16" x14ac:dyDescent="0.25">
      <c r="A463">
        <v>462</v>
      </c>
      <c r="B463" s="19">
        <v>40564</v>
      </c>
      <c r="C463">
        <v>1</v>
      </c>
      <c r="D463">
        <v>1</v>
      </c>
      <c r="E463">
        <v>6</v>
      </c>
      <c r="F463" t="b">
        <v>0</v>
      </c>
      <c r="G463">
        <v>5</v>
      </c>
      <c r="H463">
        <v>1</v>
      </c>
      <c r="I463">
        <v>0.22</v>
      </c>
      <c r="J463">
        <v>0</v>
      </c>
      <c r="K463">
        <v>0.28789999999999999</v>
      </c>
      <c r="L463">
        <v>0.81</v>
      </c>
      <c r="M463">
        <v>0</v>
      </c>
      <c r="N463">
        <v>3</v>
      </c>
      <c r="O463">
        <v>13</v>
      </c>
      <c r="P463">
        <v>16</v>
      </c>
    </row>
    <row r="464" spans="1:16" x14ac:dyDescent="0.25">
      <c r="A464">
        <v>463</v>
      </c>
      <c r="B464" s="19">
        <v>40564</v>
      </c>
      <c r="C464">
        <v>1</v>
      </c>
      <c r="D464">
        <v>1</v>
      </c>
      <c r="E464">
        <v>7</v>
      </c>
      <c r="F464" t="b">
        <v>0</v>
      </c>
      <c r="G464">
        <v>5</v>
      </c>
      <c r="H464">
        <v>1</v>
      </c>
      <c r="I464">
        <v>0.2</v>
      </c>
      <c r="J464">
        <v>0</v>
      </c>
      <c r="K464">
        <v>0.28789999999999999</v>
      </c>
      <c r="L464">
        <v>0.81</v>
      </c>
      <c r="M464">
        <v>0</v>
      </c>
      <c r="N464">
        <v>3</v>
      </c>
      <c r="O464">
        <v>13</v>
      </c>
      <c r="P464">
        <v>16</v>
      </c>
    </row>
    <row r="465" spans="1:16" x14ac:dyDescent="0.25">
      <c r="A465">
        <v>464</v>
      </c>
      <c r="B465" s="19">
        <v>40564</v>
      </c>
      <c r="C465">
        <v>1</v>
      </c>
      <c r="D465">
        <v>1</v>
      </c>
      <c r="E465">
        <v>8</v>
      </c>
      <c r="F465" t="b">
        <v>0</v>
      </c>
      <c r="G465">
        <v>5</v>
      </c>
      <c r="H465">
        <v>1</v>
      </c>
      <c r="I465">
        <v>0.2</v>
      </c>
      <c r="J465">
        <v>0</v>
      </c>
      <c r="K465">
        <v>0.28789999999999999</v>
      </c>
      <c r="L465">
        <v>0.81</v>
      </c>
      <c r="M465">
        <v>0</v>
      </c>
      <c r="N465">
        <v>3</v>
      </c>
      <c r="O465">
        <v>13</v>
      </c>
      <c r="P465">
        <v>16</v>
      </c>
    </row>
    <row r="466" spans="1:16" x14ac:dyDescent="0.25">
      <c r="A466">
        <v>465</v>
      </c>
      <c r="B466" s="19">
        <v>40564</v>
      </c>
      <c r="C466">
        <v>1</v>
      </c>
      <c r="D466">
        <v>1</v>
      </c>
      <c r="E466">
        <v>9</v>
      </c>
      <c r="F466" t="b">
        <v>0</v>
      </c>
      <c r="G466">
        <v>5</v>
      </c>
      <c r="H466">
        <v>1</v>
      </c>
      <c r="I466">
        <v>0.2</v>
      </c>
      <c r="J466">
        <v>0</v>
      </c>
      <c r="K466">
        <v>0.28789999999999999</v>
      </c>
      <c r="L466">
        <v>0.81</v>
      </c>
      <c r="M466">
        <v>0</v>
      </c>
      <c r="N466">
        <v>3</v>
      </c>
      <c r="O466">
        <v>13</v>
      </c>
      <c r="P466">
        <v>16</v>
      </c>
    </row>
    <row r="467" spans="1:16" x14ac:dyDescent="0.25">
      <c r="A467">
        <v>466</v>
      </c>
      <c r="B467" s="19">
        <v>40564</v>
      </c>
      <c r="C467">
        <v>1</v>
      </c>
      <c r="D467">
        <v>1</v>
      </c>
      <c r="E467">
        <v>10</v>
      </c>
      <c r="F467" t="b">
        <v>0</v>
      </c>
      <c r="G467">
        <v>5</v>
      </c>
      <c r="H467">
        <v>1</v>
      </c>
      <c r="I467">
        <v>0.2</v>
      </c>
      <c r="J467">
        <v>0</v>
      </c>
      <c r="K467">
        <v>0.28789999999999999</v>
      </c>
      <c r="L467">
        <v>0.81</v>
      </c>
      <c r="M467">
        <v>0</v>
      </c>
      <c r="N467">
        <v>3</v>
      </c>
      <c r="O467">
        <v>13</v>
      </c>
      <c r="P467">
        <v>16</v>
      </c>
    </row>
    <row r="468" spans="1:16" x14ac:dyDescent="0.25">
      <c r="A468">
        <v>467</v>
      </c>
      <c r="B468" s="19">
        <v>40564</v>
      </c>
      <c r="C468">
        <v>1</v>
      </c>
      <c r="D468">
        <v>1</v>
      </c>
      <c r="E468">
        <v>11</v>
      </c>
      <c r="F468" t="b">
        <v>0</v>
      </c>
      <c r="G468">
        <v>5</v>
      </c>
      <c r="H468">
        <v>1</v>
      </c>
      <c r="I468">
        <v>0.22</v>
      </c>
      <c r="J468">
        <v>0</v>
      </c>
      <c r="K468">
        <v>0.28789999999999999</v>
      </c>
      <c r="L468">
        <v>0.81</v>
      </c>
      <c r="M468">
        <v>0</v>
      </c>
      <c r="N468">
        <v>3</v>
      </c>
      <c r="O468">
        <v>13</v>
      </c>
      <c r="P468">
        <v>16</v>
      </c>
    </row>
    <row r="469" spans="1:16" x14ac:dyDescent="0.25">
      <c r="A469">
        <v>468</v>
      </c>
      <c r="B469" s="19">
        <v>40564</v>
      </c>
      <c r="C469">
        <v>1</v>
      </c>
      <c r="D469">
        <v>1</v>
      </c>
      <c r="E469">
        <v>12</v>
      </c>
      <c r="F469" t="b">
        <v>0</v>
      </c>
      <c r="G469">
        <v>5</v>
      </c>
      <c r="H469">
        <v>1</v>
      </c>
      <c r="I469">
        <v>0.22</v>
      </c>
      <c r="J469">
        <v>0</v>
      </c>
      <c r="K469">
        <v>0.28789999999999999</v>
      </c>
      <c r="L469">
        <v>0.81</v>
      </c>
      <c r="M469">
        <v>0</v>
      </c>
      <c r="N469">
        <v>3</v>
      </c>
      <c r="O469">
        <v>13</v>
      </c>
      <c r="P469">
        <v>16</v>
      </c>
    </row>
    <row r="470" spans="1:16" x14ac:dyDescent="0.25">
      <c r="A470">
        <v>469</v>
      </c>
      <c r="B470" s="19">
        <v>40564</v>
      </c>
      <c r="C470">
        <v>1</v>
      </c>
      <c r="D470">
        <v>1</v>
      </c>
      <c r="E470">
        <v>13</v>
      </c>
      <c r="F470" t="b">
        <v>0</v>
      </c>
      <c r="G470">
        <v>5</v>
      </c>
      <c r="H470">
        <v>1</v>
      </c>
      <c r="I470">
        <v>0.2</v>
      </c>
      <c r="J470">
        <v>0</v>
      </c>
      <c r="K470">
        <v>0.28789999999999999</v>
      </c>
      <c r="L470">
        <v>0.81</v>
      </c>
      <c r="M470">
        <v>0</v>
      </c>
      <c r="N470">
        <v>3</v>
      </c>
      <c r="O470">
        <v>13</v>
      </c>
      <c r="P470">
        <v>16</v>
      </c>
    </row>
    <row r="471" spans="1:16" x14ac:dyDescent="0.25">
      <c r="A471">
        <v>470</v>
      </c>
      <c r="B471" s="19">
        <v>40564</v>
      </c>
      <c r="C471">
        <v>1</v>
      </c>
      <c r="D471">
        <v>1</v>
      </c>
      <c r="E471">
        <v>14</v>
      </c>
      <c r="F471" t="b">
        <v>0</v>
      </c>
      <c r="G471">
        <v>5</v>
      </c>
      <c r="H471">
        <v>1</v>
      </c>
      <c r="I471">
        <v>0.2</v>
      </c>
      <c r="J471">
        <v>0</v>
      </c>
      <c r="K471">
        <v>0.28789999999999999</v>
      </c>
      <c r="L471">
        <v>0.81</v>
      </c>
      <c r="M471">
        <v>0</v>
      </c>
      <c r="N471">
        <v>3</v>
      </c>
      <c r="O471">
        <v>13</v>
      </c>
      <c r="P471">
        <v>16</v>
      </c>
    </row>
    <row r="472" spans="1:16" x14ac:dyDescent="0.25">
      <c r="A472">
        <v>471</v>
      </c>
      <c r="B472" s="19">
        <v>40564</v>
      </c>
      <c r="C472">
        <v>1</v>
      </c>
      <c r="D472">
        <v>1</v>
      </c>
      <c r="E472">
        <v>15</v>
      </c>
      <c r="F472" t="b">
        <v>0</v>
      </c>
      <c r="G472">
        <v>5</v>
      </c>
      <c r="H472">
        <v>1</v>
      </c>
      <c r="I472">
        <v>0.16</v>
      </c>
      <c r="J472">
        <v>0</v>
      </c>
      <c r="K472">
        <v>0.28789999999999999</v>
      </c>
      <c r="L472">
        <v>0.81</v>
      </c>
      <c r="M472">
        <v>0</v>
      </c>
      <c r="N472">
        <v>3</v>
      </c>
      <c r="O472">
        <v>13</v>
      </c>
      <c r="P472">
        <v>16</v>
      </c>
    </row>
    <row r="473" spans="1:16" x14ac:dyDescent="0.25">
      <c r="A473">
        <v>472</v>
      </c>
      <c r="B473" s="19">
        <v>40564</v>
      </c>
      <c r="C473">
        <v>1</v>
      </c>
      <c r="D473">
        <v>1</v>
      </c>
      <c r="E473">
        <v>16</v>
      </c>
      <c r="F473" t="b">
        <v>0</v>
      </c>
      <c r="G473">
        <v>5</v>
      </c>
      <c r="H473">
        <v>1</v>
      </c>
      <c r="I473">
        <v>0.16</v>
      </c>
      <c r="J473">
        <v>0</v>
      </c>
      <c r="K473">
        <v>0.28789999999999999</v>
      </c>
      <c r="L473">
        <v>0.81</v>
      </c>
      <c r="M473">
        <v>0</v>
      </c>
      <c r="N473">
        <v>3</v>
      </c>
      <c r="O473">
        <v>13</v>
      </c>
      <c r="P473">
        <v>16</v>
      </c>
    </row>
    <row r="474" spans="1:16" x14ac:dyDescent="0.25">
      <c r="A474">
        <v>473</v>
      </c>
      <c r="B474" s="19">
        <v>40564</v>
      </c>
      <c r="C474">
        <v>1</v>
      </c>
      <c r="D474">
        <v>1</v>
      </c>
      <c r="E474">
        <v>17</v>
      </c>
      <c r="F474" t="b">
        <v>0</v>
      </c>
      <c r="G474">
        <v>5</v>
      </c>
      <c r="H474">
        <v>1</v>
      </c>
      <c r="I474">
        <v>0.14000000000000001</v>
      </c>
      <c r="J474">
        <v>0</v>
      </c>
      <c r="K474">
        <v>0.28789999999999999</v>
      </c>
      <c r="L474">
        <v>0.81</v>
      </c>
      <c r="M474">
        <v>0</v>
      </c>
      <c r="N474">
        <v>3</v>
      </c>
      <c r="O474">
        <v>13</v>
      </c>
      <c r="P474">
        <v>16</v>
      </c>
    </row>
    <row r="475" spans="1:16" x14ac:dyDescent="0.25">
      <c r="A475">
        <v>474</v>
      </c>
      <c r="B475" s="19">
        <v>40564</v>
      </c>
      <c r="C475">
        <v>1</v>
      </c>
      <c r="D475">
        <v>1</v>
      </c>
      <c r="E475">
        <v>18</v>
      </c>
      <c r="F475" t="b">
        <v>0</v>
      </c>
      <c r="G475">
        <v>5</v>
      </c>
      <c r="H475">
        <v>1</v>
      </c>
      <c r="I475">
        <v>0.12</v>
      </c>
      <c r="J475">
        <v>0</v>
      </c>
      <c r="K475">
        <v>0.28789999999999999</v>
      </c>
      <c r="L475">
        <v>0.81</v>
      </c>
      <c r="M475">
        <v>0</v>
      </c>
      <c r="N475">
        <v>3</v>
      </c>
      <c r="O475">
        <v>13</v>
      </c>
      <c r="P475">
        <v>16</v>
      </c>
    </row>
    <row r="476" spans="1:16" x14ac:dyDescent="0.25">
      <c r="A476">
        <v>475</v>
      </c>
      <c r="B476" s="19">
        <v>40564</v>
      </c>
      <c r="C476">
        <v>1</v>
      </c>
      <c r="D476">
        <v>1</v>
      </c>
      <c r="E476">
        <v>19</v>
      </c>
      <c r="F476" t="b">
        <v>0</v>
      </c>
      <c r="G476">
        <v>5</v>
      </c>
      <c r="H476">
        <v>1</v>
      </c>
      <c r="I476">
        <v>0.12</v>
      </c>
      <c r="J476">
        <v>0</v>
      </c>
      <c r="K476">
        <v>0.28789999999999999</v>
      </c>
      <c r="L476">
        <v>0.81</v>
      </c>
      <c r="M476">
        <v>0</v>
      </c>
      <c r="N476">
        <v>3</v>
      </c>
      <c r="O476">
        <v>13</v>
      </c>
      <c r="P476">
        <v>16</v>
      </c>
    </row>
    <row r="477" spans="1:16" x14ac:dyDescent="0.25">
      <c r="A477">
        <v>476</v>
      </c>
      <c r="B477" s="19">
        <v>40564</v>
      </c>
      <c r="C477">
        <v>1</v>
      </c>
      <c r="D477">
        <v>1</v>
      </c>
      <c r="E477">
        <v>20</v>
      </c>
      <c r="F477" t="b">
        <v>0</v>
      </c>
      <c r="G477">
        <v>5</v>
      </c>
      <c r="H477">
        <v>1</v>
      </c>
      <c r="I477">
        <v>0.1</v>
      </c>
      <c r="J477">
        <v>0</v>
      </c>
      <c r="K477">
        <v>0.28789999999999999</v>
      </c>
      <c r="L477">
        <v>0.81</v>
      </c>
      <c r="M477">
        <v>0</v>
      </c>
      <c r="N477">
        <v>3</v>
      </c>
      <c r="O477">
        <v>13</v>
      </c>
      <c r="P477">
        <v>16</v>
      </c>
    </row>
    <row r="478" spans="1:16" x14ac:dyDescent="0.25">
      <c r="A478">
        <v>477</v>
      </c>
      <c r="B478" s="19">
        <v>40564</v>
      </c>
      <c r="C478">
        <v>1</v>
      </c>
      <c r="D478">
        <v>1</v>
      </c>
      <c r="E478">
        <v>21</v>
      </c>
      <c r="F478" t="b">
        <v>0</v>
      </c>
      <c r="G478">
        <v>5</v>
      </c>
      <c r="H478">
        <v>1</v>
      </c>
      <c r="I478">
        <v>0.08</v>
      </c>
      <c r="J478">
        <v>0</v>
      </c>
      <c r="K478">
        <v>0.28789999999999999</v>
      </c>
      <c r="L478">
        <v>0.81</v>
      </c>
      <c r="M478">
        <v>0</v>
      </c>
      <c r="N478">
        <v>3</v>
      </c>
      <c r="O478">
        <v>13</v>
      </c>
      <c r="P478">
        <v>16</v>
      </c>
    </row>
    <row r="479" spans="1:16" x14ac:dyDescent="0.25">
      <c r="A479">
        <v>478</v>
      </c>
      <c r="B479" s="19">
        <v>40564</v>
      </c>
      <c r="C479">
        <v>1</v>
      </c>
      <c r="D479">
        <v>1</v>
      </c>
      <c r="E479">
        <v>22</v>
      </c>
      <c r="F479" t="b">
        <v>0</v>
      </c>
      <c r="G479">
        <v>5</v>
      </c>
      <c r="H479">
        <v>1</v>
      </c>
      <c r="I479">
        <v>0.06</v>
      </c>
      <c r="J479">
        <v>0</v>
      </c>
      <c r="K479">
        <v>0.28789999999999999</v>
      </c>
      <c r="L479">
        <v>0.81</v>
      </c>
      <c r="M479">
        <v>0</v>
      </c>
      <c r="N479">
        <v>3</v>
      </c>
      <c r="O479">
        <v>13</v>
      </c>
      <c r="P479">
        <v>16</v>
      </c>
    </row>
    <row r="480" spans="1:16" x14ac:dyDescent="0.25">
      <c r="A480">
        <v>479</v>
      </c>
      <c r="B480" s="19">
        <v>40564</v>
      </c>
      <c r="C480">
        <v>1</v>
      </c>
      <c r="D480">
        <v>1</v>
      </c>
      <c r="E480">
        <v>23</v>
      </c>
      <c r="F480" t="b">
        <v>0</v>
      </c>
      <c r="G480">
        <v>5</v>
      </c>
      <c r="H480">
        <v>1</v>
      </c>
      <c r="I480">
        <v>0.06</v>
      </c>
      <c r="J480">
        <v>0</v>
      </c>
      <c r="K480">
        <v>0.28789999999999999</v>
      </c>
      <c r="L480">
        <v>0.81</v>
      </c>
      <c r="M480">
        <v>0</v>
      </c>
      <c r="N480">
        <v>3</v>
      </c>
      <c r="O480">
        <v>13</v>
      </c>
      <c r="P480">
        <v>16</v>
      </c>
    </row>
    <row r="481" spans="1:16" x14ac:dyDescent="0.25">
      <c r="A481">
        <v>480</v>
      </c>
      <c r="B481" s="19">
        <v>40565</v>
      </c>
      <c r="C481">
        <v>1</v>
      </c>
      <c r="D481">
        <v>1</v>
      </c>
      <c r="E481">
        <v>0</v>
      </c>
      <c r="F481" t="b">
        <v>0</v>
      </c>
      <c r="G481">
        <v>6</v>
      </c>
      <c r="H481">
        <v>1</v>
      </c>
      <c r="I481">
        <v>0.04</v>
      </c>
      <c r="J481">
        <v>0</v>
      </c>
      <c r="K481">
        <v>0.28789999999999999</v>
      </c>
      <c r="L481">
        <v>0.81</v>
      </c>
      <c r="M481">
        <v>0</v>
      </c>
      <c r="N481">
        <v>3</v>
      </c>
      <c r="O481">
        <v>13</v>
      </c>
      <c r="P481">
        <v>16</v>
      </c>
    </row>
    <row r="482" spans="1:16" x14ac:dyDescent="0.25">
      <c r="A482">
        <v>481</v>
      </c>
      <c r="B482" s="19">
        <v>40565</v>
      </c>
      <c r="C482">
        <v>1</v>
      </c>
      <c r="D482">
        <v>1</v>
      </c>
      <c r="E482">
        <v>1</v>
      </c>
      <c r="F482" t="b">
        <v>0</v>
      </c>
      <c r="G482">
        <v>6</v>
      </c>
      <c r="H482">
        <v>2</v>
      </c>
      <c r="I482">
        <v>0.04</v>
      </c>
      <c r="J482">
        <v>0</v>
      </c>
      <c r="K482">
        <v>0.28789999999999999</v>
      </c>
      <c r="L482">
        <v>0.81</v>
      </c>
      <c r="M482">
        <v>0</v>
      </c>
      <c r="N482">
        <v>3</v>
      </c>
      <c r="O482">
        <v>13</v>
      </c>
      <c r="P482">
        <v>16</v>
      </c>
    </row>
    <row r="483" spans="1:16" x14ac:dyDescent="0.25">
      <c r="A483">
        <v>482</v>
      </c>
      <c r="B483" s="19">
        <v>40565</v>
      </c>
      <c r="C483">
        <v>1</v>
      </c>
      <c r="D483">
        <v>1</v>
      </c>
      <c r="E483">
        <v>2</v>
      </c>
      <c r="F483" t="b">
        <v>0</v>
      </c>
      <c r="G483">
        <v>6</v>
      </c>
      <c r="H483">
        <v>2</v>
      </c>
      <c r="I483">
        <v>0.04</v>
      </c>
      <c r="J483">
        <v>0</v>
      </c>
      <c r="K483">
        <v>0.28789999999999999</v>
      </c>
      <c r="L483">
        <v>0.81</v>
      </c>
      <c r="M483">
        <v>0</v>
      </c>
      <c r="N483">
        <v>3</v>
      </c>
      <c r="O483">
        <v>13</v>
      </c>
      <c r="P483">
        <v>16</v>
      </c>
    </row>
    <row r="484" spans="1:16" x14ac:dyDescent="0.25">
      <c r="A484">
        <v>483</v>
      </c>
      <c r="B484" s="19">
        <v>40565</v>
      </c>
      <c r="C484">
        <v>1</v>
      </c>
      <c r="D484">
        <v>1</v>
      </c>
      <c r="E484">
        <v>3</v>
      </c>
      <c r="F484" t="b">
        <v>0</v>
      </c>
      <c r="G484">
        <v>6</v>
      </c>
      <c r="H484">
        <v>2</v>
      </c>
      <c r="I484">
        <v>0.04</v>
      </c>
      <c r="J484">
        <v>0</v>
      </c>
      <c r="K484">
        <v>0.28789999999999999</v>
      </c>
      <c r="L484">
        <v>0.81</v>
      </c>
      <c r="M484">
        <v>0</v>
      </c>
      <c r="N484">
        <v>3</v>
      </c>
      <c r="O484">
        <v>13</v>
      </c>
      <c r="P484">
        <v>16</v>
      </c>
    </row>
    <row r="485" spans="1:16" x14ac:dyDescent="0.25">
      <c r="A485">
        <v>484</v>
      </c>
      <c r="B485" s="19">
        <v>40565</v>
      </c>
      <c r="C485">
        <v>1</v>
      </c>
      <c r="D485">
        <v>1</v>
      </c>
      <c r="E485">
        <v>4</v>
      </c>
      <c r="F485" t="b">
        <v>0</v>
      </c>
      <c r="G485">
        <v>6</v>
      </c>
      <c r="H485">
        <v>2</v>
      </c>
      <c r="I485">
        <v>0.02</v>
      </c>
      <c r="J485">
        <v>0</v>
      </c>
      <c r="K485">
        <v>0.28789999999999999</v>
      </c>
      <c r="L485">
        <v>0.81</v>
      </c>
      <c r="M485">
        <v>0</v>
      </c>
      <c r="N485">
        <v>3</v>
      </c>
      <c r="O485">
        <v>13</v>
      </c>
      <c r="P485">
        <v>16</v>
      </c>
    </row>
    <row r="486" spans="1:16" x14ac:dyDescent="0.25">
      <c r="A486">
        <v>485</v>
      </c>
      <c r="B486" s="19">
        <v>40565</v>
      </c>
      <c r="C486">
        <v>1</v>
      </c>
      <c r="D486">
        <v>1</v>
      </c>
      <c r="E486">
        <v>6</v>
      </c>
      <c r="F486" t="b">
        <v>0</v>
      </c>
      <c r="G486">
        <v>6</v>
      </c>
      <c r="H486">
        <v>2</v>
      </c>
      <c r="I486">
        <v>0.02</v>
      </c>
      <c r="J486">
        <v>0</v>
      </c>
      <c r="K486">
        <v>0.28789999999999999</v>
      </c>
      <c r="L486">
        <v>0.81</v>
      </c>
      <c r="M486">
        <v>0</v>
      </c>
      <c r="N486">
        <v>3</v>
      </c>
      <c r="O486">
        <v>13</v>
      </c>
      <c r="P486">
        <v>16</v>
      </c>
    </row>
    <row r="487" spans="1:16" x14ac:dyDescent="0.25">
      <c r="A487">
        <v>486</v>
      </c>
      <c r="B487" s="19">
        <v>40565</v>
      </c>
      <c r="C487">
        <v>1</v>
      </c>
      <c r="D487">
        <v>1</v>
      </c>
      <c r="E487">
        <v>7</v>
      </c>
      <c r="F487" t="b">
        <v>0</v>
      </c>
      <c r="G487">
        <v>6</v>
      </c>
      <c r="H487">
        <v>1</v>
      </c>
      <c r="I487">
        <v>0.02</v>
      </c>
      <c r="J487">
        <v>0</v>
      </c>
      <c r="K487">
        <v>0.28789999999999999</v>
      </c>
      <c r="L487">
        <v>0.81</v>
      </c>
      <c r="M487">
        <v>0</v>
      </c>
      <c r="N487">
        <v>3</v>
      </c>
      <c r="O487">
        <v>13</v>
      </c>
      <c r="P487">
        <v>16</v>
      </c>
    </row>
    <row r="488" spans="1:16" x14ac:dyDescent="0.25">
      <c r="A488">
        <v>487</v>
      </c>
      <c r="B488" s="19">
        <v>40565</v>
      </c>
      <c r="C488">
        <v>1</v>
      </c>
      <c r="D488">
        <v>1</v>
      </c>
      <c r="E488">
        <v>8</v>
      </c>
      <c r="F488" t="b">
        <v>0</v>
      </c>
      <c r="G488">
        <v>6</v>
      </c>
      <c r="H488">
        <v>1</v>
      </c>
      <c r="I488">
        <v>0.02</v>
      </c>
      <c r="J488">
        <v>0</v>
      </c>
      <c r="K488">
        <v>0.28789999999999999</v>
      </c>
      <c r="L488">
        <v>0.81</v>
      </c>
      <c r="M488">
        <v>0</v>
      </c>
      <c r="N488">
        <v>3</v>
      </c>
      <c r="O488">
        <v>13</v>
      </c>
      <c r="P488">
        <v>16</v>
      </c>
    </row>
    <row r="489" spans="1:16" x14ac:dyDescent="0.25">
      <c r="A489">
        <v>488</v>
      </c>
      <c r="B489" s="19">
        <v>40565</v>
      </c>
      <c r="C489">
        <v>1</v>
      </c>
      <c r="D489">
        <v>1</v>
      </c>
      <c r="E489">
        <v>9</v>
      </c>
      <c r="F489" t="b">
        <v>0</v>
      </c>
      <c r="G489">
        <v>6</v>
      </c>
      <c r="H489">
        <v>1</v>
      </c>
      <c r="I489">
        <v>0.04</v>
      </c>
      <c r="J489">
        <v>0</v>
      </c>
      <c r="K489">
        <v>0.28789999999999999</v>
      </c>
      <c r="L489">
        <v>0.81</v>
      </c>
      <c r="M489">
        <v>0</v>
      </c>
      <c r="N489">
        <v>3</v>
      </c>
      <c r="O489">
        <v>13</v>
      </c>
      <c r="P489">
        <v>16</v>
      </c>
    </row>
    <row r="490" spans="1:16" x14ac:dyDescent="0.25">
      <c r="A490">
        <v>489</v>
      </c>
      <c r="B490" s="19">
        <v>40565</v>
      </c>
      <c r="C490">
        <v>1</v>
      </c>
      <c r="D490">
        <v>1</v>
      </c>
      <c r="E490">
        <v>10</v>
      </c>
      <c r="F490" t="b">
        <v>0</v>
      </c>
      <c r="G490">
        <v>6</v>
      </c>
      <c r="H490">
        <v>2</v>
      </c>
      <c r="I490">
        <v>0.04</v>
      </c>
      <c r="J490">
        <v>0</v>
      </c>
      <c r="K490">
        <v>0.28789999999999999</v>
      </c>
      <c r="L490">
        <v>0.81</v>
      </c>
      <c r="M490">
        <v>0</v>
      </c>
      <c r="N490">
        <v>3</v>
      </c>
      <c r="O490">
        <v>13</v>
      </c>
      <c r="P490">
        <v>16</v>
      </c>
    </row>
    <row r="491" spans="1:16" x14ac:dyDescent="0.25">
      <c r="A491">
        <v>490</v>
      </c>
      <c r="B491" s="19">
        <v>40565</v>
      </c>
      <c r="C491">
        <v>1</v>
      </c>
      <c r="D491">
        <v>1</v>
      </c>
      <c r="E491">
        <v>11</v>
      </c>
      <c r="F491" t="b">
        <v>0</v>
      </c>
      <c r="G491">
        <v>6</v>
      </c>
      <c r="H491">
        <v>2</v>
      </c>
      <c r="I491">
        <v>0.06</v>
      </c>
      <c r="J491">
        <v>0</v>
      </c>
      <c r="K491">
        <v>0.28789999999999999</v>
      </c>
      <c r="L491">
        <v>0.81</v>
      </c>
      <c r="M491">
        <v>0</v>
      </c>
      <c r="N491">
        <v>3</v>
      </c>
      <c r="O491">
        <v>13</v>
      </c>
      <c r="P491">
        <v>16</v>
      </c>
    </row>
    <row r="492" spans="1:16" x14ac:dyDescent="0.25">
      <c r="A492">
        <v>491</v>
      </c>
      <c r="B492" s="19">
        <v>40565</v>
      </c>
      <c r="C492">
        <v>1</v>
      </c>
      <c r="D492">
        <v>1</v>
      </c>
      <c r="E492">
        <v>12</v>
      </c>
      <c r="F492" t="b">
        <v>0</v>
      </c>
      <c r="G492">
        <v>6</v>
      </c>
      <c r="H492">
        <v>2</v>
      </c>
      <c r="I492">
        <v>0.06</v>
      </c>
      <c r="J492">
        <v>0</v>
      </c>
      <c r="K492">
        <v>0.28789999999999999</v>
      </c>
      <c r="L492">
        <v>0.81</v>
      </c>
      <c r="M492">
        <v>0</v>
      </c>
      <c r="N492">
        <v>3</v>
      </c>
      <c r="O492">
        <v>13</v>
      </c>
      <c r="P492">
        <v>16</v>
      </c>
    </row>
    <row r="493" spans="1:16" x14ac:dyDescent="0.25">
      <c r="A493">
        <v>492</v>
      </c>
      <c r="B493" s="19">
        <v>40565</v>
      </c>
      <c r="C493">
        <v>1</v>
      </c>
      <c r="D493">
        <v>1</v>
      </c>
      <c r="E493">
        <v>13</v>
      </c>
      <c r="F493" t="b">
        <v>0</v>
      </c>
      <c r="G493">
        <v>6</v>
      </c>
      <c r="H493">
        <v>1</v>
      </c>
      <c r="I493">
        <v>0.08</v>
      </c>
      <c r="J493">
        <v>0</v>
      </c>
      <c r="K493">
        <v>0.28789999999999999</v>
      </c>
      <c r="L493">
        <v>0.81</v>
      </c>
      <c r="M493">
        <v>0</v>
      </c>
      <c r="N493">
        <v>3</v>
      </c>
      <c r="O493">
        <v>13</v>
      </c>
      <c r="P493">
        <v>16</v>
      </c>
    </row>
    <row r="494" spans="1:16" x14ac:dyDescent="0.25">
      <c r="A494">
        <v>493</v>
      </c>
      <c r="B494" s="19">
        <v>40565</v>
      </c>
      <c r="C494">
        <v>1</v>
      </c>
      <c r="D494">
        <v>1</v>
      </c>
      <c r="E494">
        <v>14</v>
      </c>
      <c r="F494" t="b">
        <v>0</v>
      </c>
      <c r="G494">
        <v>6</v>
      </c>
      <c r="H494">
        <v>1</v>
      </c>
      <c r="I494">
        <v>0.1</v>
      </c>
      <c r="J494">
        <v>0</v>
      </c>
      <c r="K494">
        <v>0.28789999999999999</v>
      </c>
      <c r="L494">
        <v>0.81</v>
      </c>
      <c r="M494">
        <v>0</v>
      </c>
      <c r="N494">
        <v>3</v>
      </c>
      <c r="O494">
        <v>13</v>
      </c>
      <c r="P494">
        <v>16</v>
      </c>
    </row>
    <row r="495" spans="1:16" x14ac:dyDescent="0.25">
      <c r="A495">
        <v>494</v>
      </c>
      <c r="B495" s="19">
        <v>40565</v>
      </c>
      <c r="C495">
        <v>1</v>
      </c>
      <c r="D495">
        <v>1</v>
      </c>
      <c r="E495">
        <v>15</v>
      </c>
      <c r="F495" t="b">
        <v>0</v>
      </c>
      <c r="G495">
        <v>6</v>
      </c>
      <c r="H495">
        <v>1</v>
      </c>
      <c r="I495">
        <v>0.12</v>
      </c>
      <c r="J495">
        <v>0</v>
      </c>
      <c r="K495">
        <v>0.28789999999999999</v>
      </c>
      <c r="L495">
        <v>0.81</v>
      </c>
      <c r="M495">
        <v>0</v>
      </c>
      <c r="N495">
        <v>3</v>
      </c>
      <c r="O495">
        <v>13</v>
      </c>
      <c r="P495">
        <v>16</v>
      </c>
    </row>
    <row r="496" spans="1:16" x14ac:dyDescent="0.25">
      <c r="A496">
        <v>495</v>
      </c>
      <c r="B496" s="19">
        <v>40565</v>
      </c>
      <c r="C496">
        <v>1</v>
      </c>
      <c r="D496">
        <v>1</v>
      </c>
      <c r="E496">
        <v>16</v>
      </c>
      <c r="F496" t="b">
        <v>0</v>
      </c>
      <c r="G496">
        <v>6</v>
      </c>
      <c r="H496">
        <v>1</v>
      </c>
      <c r="I496">
        <v>0.12</v>
      </c>
      <c r="J496">
        <v>0</v>
      </c>
      <c r="K496">
        <v>0.28789999999999999</v>
      </c>
      <c r="L496">
        <v>0.81</v>
      </c>
      <c r="M496">
        <v>0</v>
      </c>
      <c r="N496">
        <v>3</v>
      </c>
      <c r="O496">
        <v>13</v>
      </c>
      <c r="P496">
        <v>16</v>
      </c>
    </row>
    <row r="497" spans="1:16" x14ac:dyDescent="0.25">
      <c r="A497">
        <v>496</v>
      </c>
      <c r="B497" s="19">
        <v>40565</v>
      </c>
      <c r="C497">
        <v>1</v>
      </c>
      <c r="D497">
        <v>1</v>
      </c>
      <c r="E497">
        <v>17</v>
      </c>
      <c r="F497" t="b">
        <v>0</v>
      </c>
      <c r="G497">
        <v>6</v>
      </c>
      <c r="H497">
        <v>1</v>
      </c>
      <c r="I497">
        <v>0.12</v>
      </c>
      <c r="J497">
        <v>0</v>
      </c>
      <c r="K497">
        <v>0.28789999999999999</v>
      </c>
      <c r="L497">
        <v>0.81</v>
      </c>
      <c r="M497">
        <v>0</v>
      </c>
      <c r="N497">
        <v>3</v>
      </c>
      <c r="O497">
        <v>13</v>
      </c>
      <c r="P497">
        <v>16</v>
      </c>
    </row>
    <row r="498" spans="1:16" x14ac:dyDescent="0.25">
      <c r="A498">
        <v>497</v>
      </c>
      <c r="B498" s="19">
        <v>40565</v>
      </c>
      <c r="C498">
        <v>1</v>
      </c>
      <c r="D498">
        <v>1</v>
      </c>
      <c r="E498">
        <v>18</v>
      </c>
      <c r="F498" t="b">
        <v>0</v>
      </c>
      <c r="G498">
        <v>6</v>
      </c>
      <c r="H498">
        <v>1</v>
      </c>
      <c r="I498">
        <v>0.08</v>
      </c>
      <c r="J498">
        <v>0</v>
      </c>
      <c r="K498">
        <v>0.28789999999999999</v>
      </c>
      <c r="L498">
        <v>0.81</v>
      </c>
      <c r="M498">
        <v>0</v>
      </c>
      <c r="N498">
        <v>3</v>
      </c>
      <c r="O498">
        <v>13</v>
      </c>
      <c r="P498">
        <v>16</v>
      </c>
    </row>
    <row r="499" spans="1:16" x14ac:dyDescent="0.25">
      <c r="A499">
        <v>498</v>
      </c>
      <c r="B499" s="19">
        <v>40565</v>
      </c>
      <c r="C499">
        <v>1</v>
      </c>
      <c r="D499">
        <v>1</v>
      </c>
      <c r="E499">
        <v>19</v>
      </c>
      <c r="F499" t="b">
        <v>0</v>
      </c>
      <c r="G499">
        <v>6</v>
      </c>
      <c r="H499">
        <v>1</v>
      </c>
      <c r="I499">
        <v>0.08</v>
      </c>
      <c r="J499">
        <v>0</v>
      </c>
      <c r="K499">
        <v>0.28789999999999999</v>
      </c>
      <c r="L499">
        <v>0.81</v>
      </c>
      <c r="M499">
        <v>0</v>
      </c>
      <c r="N499">
        <v>3</v>
      </c>
      <c r="O499">
        <v>13</v>
      </c>
      <c r="P499">
        <v>16</v>
      </c>
    </row>
    <row r="500" spans="1:16" x14ac:dyDescent="0.25">
      <c r="A500">
        <v>499</v>
      </c>
      <c r="B500" s="19">
        <v>40565</v>
      </c>
      <c r="C500">
        <v>1</v>
      </c>
      <c r="D500">
        <v>1</v>
      </c>
      <c r="E500">
        <v>20</v>
      </c>
      <c r="F500" t="b">
        <v>0</v>
      </c>
      <c r="G500">
        <v>6</v>
      </c>
      <c r="H500">
        <v>1</v>
      </c>
      <c r="I500">
        <v>0.06</v>
      </c>
      <c r="J500">
        <v>0</v>
      </c>
      <c r="K500">
        <v>0.28789999999999999</v>
      </c>
      <c r="L500">
        <v>0.81</v>
      </c>
      <c r="M500">
        <v>0</v>
      </c>
      <c r="N500">
        <v>3</v>
      </c>
      <c r="O500">
        <v>13</v>
      </c>
      <c r="P500">
        <v>16</v>
      </c>
    </row>
    <row r="501" spans="1:16" x14ac:dyDescent="0.25">
      <c r="A501">
        <v>500</v>
      </c>
      <c r="B501" s="19">
        <v>40565</v>
      </c>
      <c r="C501">
        <v>1</v>
      </c>
      <c r="D501">
        <v>1</v>
      </c>
      <c r="E501">
        <v>21</v>
      </c>
      <c r="F501" t="b">
        <v>0</v>
      </c>
      <c r="G501">
        <v>6</v>
      </c>
      <c r="H501">
        <v>1</v>
      </c>
      <c r="I501">
        <v>0.06</v>
      </c>
      <c r="J501">
        <v>0</v>
      </c>
      <c r="K501">
        <v>0.28789999999999999</v>
      </c>
      <c r="L501">
        <v>0.81</v>
      </c>
      <c r="M501">
        <v>0</v>
      </c>
      <c r="N501">
        <v>3</v>
      </c>
      <c r="O501">
        <v>13</v>
      </c>
      <c r="P501">
        <v>16</v>
      </c>
    </row>
    <row r="502" spans="1:16" x14ac:dyDescent="0.25">
      <c r="A502">
        <v>501</v>
      </c>
      <c r="B502" s="19">
        <v>40565</v>
      </c>
      <c r="C502">
        <v>1</v>
      </c>
      <c r="D502">
        <v>1</v>
      </c>
      <c r="E502">
        <v>22</v>
      </c>
      <c r="F502" t="b">
        <v>0</v>
      </c>
      <c r="G502">
        <v>6</v>
      </c>
      <c r="H502">
        <v>1</v>
      </c>
      <c r="I502">
        <v>0.06</v>
      </c>
      <c r="J502">
        <v>0</v>
      </c>
      <c r="K502">
        <v>0.28789999999999999</v>
      </c>
      <c r="L502">
        <v>0.81</v>
      </c>
      <c r="M502">
        <v>0</v>
      </c>
      <c r="N502">
        <v>3</v>
      </c>
      <c r="O502">
        <v>13</v>
      </c>
      <c r="P502">
        <v>16</v>
      </c>
    </row>
    <row r="503" spans="1:16" x14ac:dyDescent="0.25">
      <c r="A503">
        <v>502</v>
      </c>
      <c r="B503" s="19">
        <v>40565</v>
      </c>
      <c r="C503">
        <v>1</v>
      </c>
      <c r="D503">
        <v>1</v>
      </c>
      <c r="E503">
        <v>23</v>
      </c>
      <c r="F503" t="b">
        <v>0</v>
      </c>
      <c r="G503">
        <v>6</v>
      </c>
      <c r="H503">
        <v>1</v>
      </c>
      <c r="I503">
        <v>0.04</v>
      </c>
      <c r="J503">
        <v>0</v>
      </c>
      <c r="K503">
        <v>0.28789999999999999</v>
      </c>
      <c r="L503">
        <v>0.81</v>
      </c>
      <c r="M503">
        <v>0</v>
      </c>
      <c r="N503">
        <v>3</v>
      </c>
      <c r="O503">
        <v>13</v>
      </c>
      <c r="P503">
        <v>16</v>
      </c>
    </row>
    <row r="504" spans="1:16" x14ac:dyDescent="0.25">
      <c r="A504">
        <v>503</v>
      </c>
      <c r="B504" s="19">
        <v>40566</v>
      </c>
      <c r="C504">
        <v>1</v>
      </c>
      <c r="D504">
        <v>1</v>
      </c>
      <c r="E504">
        <v>0</v>
      </c>
      <c r="F504" t="b">
        <v>0</v>
      </c>
      <c r="G504">
        <v>0</v>
      </c>
      <c r="H504">
        <v>1</v>
      </c>
      <c r="I504">
        <v>0.04</v>
      </c>
      <c r="J504">
        <v>0</v>
      </c>
      <c r="K504">
        <v>0.28789999999999999</v>
      </c>
      <c r="L504">
        <v>0.81</v>
      </c>
      <c r="M504">
        <v>0</v>
      </c>
      <c r="N504">
        <v>3</v>
      </c>
      <c r="O504">
        <v>13</v>
      </c>
      <c r="P504">
        <v>16</v>
      </c>
    </row>
    <row r="505" spans="1:16" x14ac:dyDescent="0.25">
      <c r="A505">
        <v>504</v>
      </c>
      <c r="B505" s="19">
        <v>40566</v>
      </c>
      <c r="C505">
        <v>1</v>
      </c>
      <c r="D505">
        <v>1</v>
      </c>
      <c r="E505">
        <v>1</v>
      </c>
      <c r="F505" t="b">
        <v>0</v>
      </c>
      <c r="G505">
        <v>0</v>
      </c>
      <c r="H505">
        <v>1</v>
      </c>
      <c r="I505">
        <v>0.04</v>
      </c>
      <c r="J505">
        <v>0</v>
      </c>
      <c r="K505">
        <v>0.28789999999999999</v>
      </c>
      <c r="L505">
        <v>0.81</v>
      </c>
      <c r="M505">
        <v>0</v>
      </c>
      <c r="N505">
        <v>3</v>
      </c>
      <c r="O505">
        <v>13</v>
      </c>
      <c r="P505">
        <v>16</v>
      </c>
    </row>
    <row r="506" spans="1:16" x14ac:dyDescent="0.25">
      <c r="A506">
        <v>505</v>
      </c>
      <c r="B506" s="19">
        <v>40566</v>
      </c>
      <c r="C506">
        <v>1</v>
      </c>
      <c r="D506">
        <v>1</v>
      </c>
      <c r="E506">
        <v>2</v>
      </c>
      <c r="F506" t="b">
        <v>0</v>
      </c>
      <c r="G506">
        <v>0</v>
      </c>
      <c r="H506">
        <v>1</v>
      </c>
      <c r="I506">
        <v>0.02</v>
      </c>
      <c r="J506">
        <v>0</v>
      </c>
      <c r="K506">
        <v>0.28789999999999999</v>
      </c>
      <c r="L506">
        <v>0.81</v>
      </c>
      <c r="M506">
        <v>0</v>
      </c>
      <c r="N506">
        <v>3</v>
      </c>
      <c r="O506">
        <v>13</v>
      </c>
      <c r="P506">
        <v>16</v>
      </c>
    </row>
    <row r="507" spans="1:16" x14ac:dyDescent="0.25">
      <c r="A507">
        <v>506</v>
      </c>
      <c r="B507" s="19">
        <v>40566</v>
      </c>
      <c r="C507">
        <v>1</v>
      </c>
      <c r="D507">
        <v>1</v>
      </c>
      <c r="E507">
        <v>3</v>
      </c>
      <c r="F507" t="b">
        <v>0</v>
      </c>
      <c r="G507">
        <v>0</v>
      </c>
      <c r="H507">
        <v>1</v>
      </c>
      <c r="I507">
        <v>0.02</v>
      </c>
      <c r="J507">
        <v>0</v>
      </c>
      <c r="K507">
        <v>0.28789999999999999</v>
      </c>
      <c r="L507">
        <v>0.81</v>
      </c>
      <c r="M507">
        <v>0</v>
      </c>
      <c r="N507">
        <v>3</v>
      </c>
      <c r="O507">
        <v>13</v>
      </c>
      <c r="P507">
        <v>16</v>
      </c>
    </row>
    <row r="508" spans="1:16" x14ac:dyDescent="0.25">
      <c r="A508">
        <v>507</v>
      </c>
      <c r="B508" s="19">
        <v>40566</v>
      </c>
      <c r="C508">
        <v>1</v>
      </c>
      <c r="D508">
        <v>1</v>
      </c>
      <c r="E508">
        <v>5</v>
      </c>
      <c r="F508" t="b">
        <v>0</v>
      </c>
      <c r="G508">
        <v>0</v>
      </c>
      <c r="H508">
        <v>2</v>
      </c>
      <c r="I508">
        <v>0.04</v>
      </c>
      <c r="J508">
        <v>0</v>
      </c>
      <c r="K508">
        <v>0.28789999999999999</v>
      </c>
      <c r="L508">
        <v>0.81</v>
      </c>
      <c r="M508">
        <v>0</v>
      </c>
      <c r="N508">
        <v>3</v>
      </c>
      <c r="O508">
        <v>13</v>
      </c>
      <c r="P508">
        <v>16</v>
      </c>
    </row>
    <row r="509" spans="1:16" x14ac:dyDescent="0.25">
      <c r="A509">
        <v>508</v>
      </c>
      <c r="B509" s="19">
        <v>40566</v>
      </c>
      <c r="C509">
        <v>1</v>
      </c>
      <c r="D509">
        <v>1</v>
      </c>
      <c r="E509">
        <v>6</v>
      </c>
      <c r="F509" t="b">
        <v>0</v>
      </c>
      <c r="G509">
        <v>0</v>
      </c>
      <c r="H509">
        <v>2</v>
      </c>
      <c r="I509">
        <v>0.04</v>
      </c>
      <c r="J509">
        <v>0</v>
      </c>
      <c r="K509">
        <v>0.28789999999999999</v>
      </c>
      <c r="L509">
        <v>0.81</v>
      </c>
      <c r="M509">
        <v>0</v>
      </c>
      <c r="N509">
        <v>3</v>
      </c>
      <c r="O509">
        <v>13</v>
      </c>
      <c r="P509">
        <v>16</v>
      </c>
    </row>
    <row r="510" spans="1:16" x14ac:dyDescent="0.25">
      <c r="A510">
        <v>509</v>
      </c>
      <c r="B510" s="19">
        <v>40566</v>
      </c>
      <c r="C510">
        <v>1</v>
      </c>
      <c r="D510">
        <v>1</v>
      </c>
      <c r="E510">
        <v>7</v>
      </c>
      <c r="F510" t="b">
        <v>0</v>
      </c>
      <c r="G510">
        <v>0</v>
      </c>
      <c r="H510">
        <v>1</v>
      </c>
      <c r="I510">
        <v>0.08</v>
      </c>
      <c r="J510">
        <v>0</v>
      </c>
      <c r="K510">
        <v>0.28789999999999999</v>
      </c>
      <c r="L510">
        <v>0.81</v>
      </c>
      <c r="M510">
        <v>0</v>
      </c>
      <c r="N510">
        <v>3</v>
      </c>
      <c r="O510">
        <v>13</v>
      </c>
      <c r="P510">
        <v>16</v>
      </c>
    </row>
    <row r="511" spans="1:16" x14ac:dyDescent="0.25">
      <c r="A511">
        <v>510</v>
      </c>
      <c r="B511" s="19">
        <v>40566</v>
      </c>
      <c r="C511">
        <v>1</v>
      </c>
      <c r="D511">
        <v>1</v>
      </c>
      <c r="E511">
        <v>8</v>
      </c>
      <c r="F511" t="b">
        <v>0</v>
      </c>
      <c r="G511">
        <v>0</v>
      </c>
      <c r="H511">
        <v>1</v>
      </c>
      <c r="I511">
        <v>0.06</v>
      </c>
      <c r="J511">
        <v>0</v>
      </c>
      <c r="K511">
        <v>0.28789999999999999</v>
      </c>
      <c r="L511">
        <v>0.81</v>
      </c>
      <c r="M511">
        <v>0</v>
      </c>
      <c r="N511">
        <v>3</v>
      </c>
      <c r="O511">
        <v>13</v>
      </c>
      <c r="P511">
        <v>16</v>
      </c>
    </row>
    <row r="512" spans="1:16" x14ac:dyDescent="0.25">
      <c r="A512">
        <v>511</v>
      </c>
      <c r="B512" s="19">
        <v>40566</v>
      </c>
      <c r="C512">
        <v>1</v>
      </c>
      <c r="D512">
        <v>1</v>
      </c>
      <c r="E512">
        <v>9</v>
      </c>
      <c r="F512" t="b">
        <v>0</v>
      </c>
      <c r="G512">
        <v>0</v>
      </c>
      <c r="H512">
        <v>1</v>
      </c>
      <c r="I512">
        <v>0.1</v>
      </c>
      <c r="J512">
        <v>0</v>
      </c>
      <c r="K512">
        <v>0.28789999999999999</v>
      </c>
      <c r="L512">
        <v>0.81</v>
      </c>
      <c r="M512">
        <v>0</v>
      </c>
      <c r="N512">
        <v>3</v>
      </c>
      <c r="O512">
        <v>13</v>
      </c>
      <c r="P512">
        <v>16</v>
      </c>
    </row>
    <row r="513" spans="1:16" x14ac:dyDescent="0.25">
      <c r="A513">
        <v>512</v>
      </c>
      <c r="B513" s="19">
        <v>40566</v>
      </c>
      <c r="C513">
        <v>1</v>
      </c>
      <c r="D513">
        <v>1</v>
      </c>
      <c r="E513">
        <v>10</v>
      </c>
      <c r="F513" t="b">
        <v>0</v>
      </c>
      <c r="G513">
        <v>0</v>
      </c>
      <c r="H513">
        <v>1</v>
      </c>
      <c r="I513">
        <v>0.14000000000000001</v>
      </c>
      <c r="J513">
        <v>0</v>
      </c>
      <c r="K513">
        <v>0.28789999999999999</v>
      </c>
      <c r="L513">
        <v>0.81</v>
      </c>
      <c r="M513">
        <v>0</v>
      </c>
      <c r="N513">
        <v>3</v>
      </c>
      <c r="O513">
        <v>13</v>
      </c>
      <c r="P513">
        <v>16</v>
      </c>
    </row>
    <row r="514" spans="1:16" x14ac:dyDescent="0.25">
      <c r="A514">
        <v>513</v>
      </c>
      <c r="B514" s="19">
        <v>40566</v>
      </c>
      <c r="C514">
        <v>1</v>
      </c>
      <c r="D514">
        <v>1</v>
      </c>
      <c r="E514">
        <v>11</v>
      </c>
      <c r="F514" t="b">
        <v>0</v>
      </c>
      <c r="G514">
        <v>0</v>
      </c>
      <c r="H514">
        <v>1</v>
      </c>
      <c r="I514">
        <v>0.14000000000000001</v>
      </c>
      <c r="J514">
        <v>0</v>
      </c>
      <c r="K514">
        <v>0.28789999999999999</v>
      </c>
      <c r="L514">
        <v>0.81</v>
      </c>
      <c r="M514">
        <v>0</v>
      </c>
      <c r="N514">
        <v>3</v>
      </c>
      <c r="O514">
        <v>13</v>
      </c>
      <c r="P514">
        <v>16</v>
      </c>
    </row>
    <row r="515" spans="1:16" x14ac:dyDescent="0.25">
      <c r="A515">
        <v>514</v>
      </c>
      <c r="B515" s="19">
        <v>40566</v>
      </c>
      <c r="C515">
        <v>1</v>
      </c>
      <c r="D515">
        <v>1</v>
      </c>
      <c r="E515">
        <v>12</v>
      </c>
      <c r="F515" t="b">
        <v>0</v>
      </c>
      <c r="G515">
        <v>0</v>
      </c>
      <c r="H515">
        <v>1</v>
      </c>
      <c r="I515">
        <v>0.16</v>
      </c>
      <c r="J515">
        <v>0</v>
      </c>
      <c r="K515">
        <v>0.28789999999999999</v>
      </c>
      <c r="L515">
        <v>0.81</v>
      </c>
      <c r="M515">
        <v>0</v>
      </c>
      <c r="N515">
        <v>3</v>
      </c>
      <c r="O515">
        <v>13</v>
      </c>
      <c r="P515">
        <v>16</v>
      </c>
    </row>
    <row r="516" spans="1:16" x14ac:dyDescent="0.25">
      <c r="A516">
        <v>515</v>
      </c>
      <c r="B516" s="19">
        <v>40566</v>
      </c>
      <c r="C516">
        <v>1</v>
      </c>
      <c r="D516">
        <v>1</v>
      </c>
      <c r="E516">
        <v>13</v>
      </c>
      <c r="F516" t="b">
        <v>0</v>
      </c>
      <c r="G516">
        <v>0</v>
      </c>
      <c r="H516">
        <v>1</v>
      </c>
      <c r="I516">
        <v>0.14000000000000001</v>
      </c>
      <c r="J516">
        <v>0</v>
      </c>
      <c r="K516">
        <v>0.28789999999999999</v>
      </c>
      <c r="L516">
        <v>0.81</v>
      </c>
      <c r="M516">
        <v>0</v>
      </c>
      <c r="N516">
        <v>3</v>
      </c>
      <c r="O516">
        <v>13</v>
      </c>
      <c r="P516">
        <v>16</v>
      </c>
    </row>
    <row r="517" spans="1:16" x14ac:dyDescent="0.25">
      <c r="A517">
        <v>516</v>
      </c>
      <c r="B517" s="19">
        <v>40566</v>
      </c>
      <c r="C517">
        <v>1</v>
      </c>
      <c r="D517">
        <v>1</v>
      </c>
      <c r="E517">
        <v>14</v>
      </c>
      <c r="F517" t="b">
        <v>0</v>
      </c>
      <c r="G517">
        <v>0</v>
      </c>
      <c r="H517">
        <v>1</v>
      </c>
      <c r="I517">
        <v>0.16</v>
      </c>
      <c r="J517">
        <v>0</v>
      </c>
      <c r="K517">
        <v>0.28789999999999999</v>
      </c>
      <c r="L517">
        <v>0.81</v>
      </c>
      <c r="M517">
        <v>0</v>
      </c>
      <c r="N517">
        <v>3</v>
      </c>
      <c r="O517">
        <v>13</v>
      </c>
      <c r="P517">
        <v>16</v>
      </c>
    </row>
    <row r="518" spans="1:16" x14ac:dyDescent="0.25">
      <c r="A518">
        <v>517</v>
      </c>
      <c r="B518" s="19">
        <v>40566</v>
      </c>
      <c r="C518">
        <v>1</v>
      </c>
      <c r="D518">
        <v>1</v>
      </c>
      <c r="E518">
        <v>15</v>
      </c>
      <c r="F518" t="b">
        <v>0</v>
      </c>
      <c r="G518">
        <v>0</v>
      </c>
      <c r="H518">
        <v>1</v>
      </c>
      <c r="I518">
        <v>0.16</v>
      </c>
      <c r="J518">
        <v>0</v>
      </c>
      <c r="K518">
        <v>0.28789999999999999</v>
      </c>
      <c r="L518">
        <v>0.81</v>
      </c>
      <c r="M518">
        <v>0</v>
      </c>
      <c r="N518">
        <v>3</v>
      </c>
      <c r="O518">
        <v>13</v>
      </c>
      <c r="P518">
        <v>16</v>
      </c>
    </row>
    <row r="519" spans="1:16" x14ac:dyDescent="0.25">
      <c r="A519">
        <v>518</v>
      </c>
      <c r="B519" s="19">
        <v>40566</v>
      </c>
      <c r="C519">
        <v>1</v>
      </c>
      <c r="D519">
        <v>1</v>
      </c>
      <c r="E519">
        <v>16</v>
      </c>
      <c r="F519" t="b">
        <v>0</v>
      </c>
      <c r="G519">
        <v>0</v>
      </c>
      <c r="H519">
        <v>1</v>
      </c>
      <c r="I519">
        <v>0.16</v>
      </c>
      <c r="J519">
        <v>0</v>
      </c>
      <c r="K519">
        <v>0.28789999999999999</v>
      </c>
      <c r="L519">
        <v>0.81</v>
      </c>
      <c r="M519">
        <v>0</v>
      </c>
      <c r="N519">
        <v>3</v>
      </c>
      <c r="O519">
        <v>13</v>
      </c>
      <c r="P519">
        <v>16</v>
      </c>
    </row>
    <row r="520" spans="1:16" x14ac:dyDescent="0.25">
      <c r="A520">
        <v>519</v>
      </c>
      <c r="B520" s="19">
        <v>40566</v>
      </c>
      <c r="C520">
        <v>1</v>
      </c>
      <c r="D520">
        <v>1</v>
      </c>
      <c r="E520">
        <v>17</v>
      </c>
      <c r="F520" t="b">
        <v>0</v>
      </c>
      <c r="G520">
        <v>0</v>
      </c>
      <c r="H520">
        <v>1</v>
      </c>
      <c r="I520">
        <v>0.14000000000000001</v>
      </c>
      <c r="J520">
        <v>0</v>
      </c>
      <c r="K520">
        <v>0.28789999999999999</v>
      </c>
      <c r="L520">
        <v>0.81</v>
      </c>
      <c r="M520">
        <v>0</v>
      </c>
      <c r="N520">
        <v>3</v>
      </c>
      <c r="O520">
        <v>13</v>
      </c>
      <c r="P520">
        <v>16</v>
      </c>
    </row>
    <row r="521" spans="1:16" x14ac:dyDescent="0.25">
      <c r="A521">
        <v>520</v>
      </c>
      <c r="B521" s="19">
        <v>40566</v>
      </c>
      <c r="C521">
        <v>1</v>
      </c>
      <c r="D521">
        <v>1</v>
      </c>
      <c r="E521">
        <v>18</v>
      </c>
      <c r="F521" t="b">
        <v>0</v>
      </c>
      <c r="G521">
        <v>0</v>
      </c>
      <c r="H521">
        <v>1</v>
      </c>
      <c r="I521">
        <v>0.12</v>
      </c>
      <c r="J521">
        <v>0</v>
      </c>
      <c r="K521">
        <v>0.28789999999999999</v>
      </c>
      <c r="L521">
        <v>0.81</v>
      </c>
      <c r="M521">
        <v>0</v>
      </c>
      <c r="N521">
        <v>3</v>
      </c>
      <c r="O521">
        <v>13</v>
      </c>
      <c r="P521">
        <v>16</v>
      </c>
    </row>
    <row r="522" spans="1:16" x14ac:dyDescent="0.25">
      <c r="A522">
        <v>521</v>
      </c>
      <c r="B522" s="19">
        <v>40566</v>
      </c>
      <c r="C522">
        <v>1</v>
      </c>
      <c r="D522">
        <v>1</v>
      </c>
      <c r="E522">
        <v>19</v>
      </c>
      <c r="F522" t="b">
        <v>0</v>
      </c>
      <c r="G522">
        <v>0</v>
      </c>
      <c r="H522">
        <v>1</v>
      </c>
      <c r="I522">
        <v>0.12</v>
      </c>
      <c r="J522">
        <v>0</v>
      </c>
      <c r="K522">
        <v>0.28789999999999999</v>
      </c>
      <c r="L522">
        <v>0.81</v>
      </c>
      <c r="M522">
        <v>0</v>
      </c>
      <c r="N522">
        <v>3</v>
      </c>
      <c r="O522">
        <v>13</v>
      </c>
      <c r="P522">
        <v>16</v>
      </c>
    </row>
    <row r="523" spans="1:16" x14ac:dyDescent="0.25">
      <c r="A523">
        <v>522</v>
      </c>
      <c r="B523" s="19">
        <v>40566</v>
      </c>
      <c r="C523">
        <v>1</v>
      </c>
      <c r="D523">
        <v>1</v>
      </c>
      <c r="E523">
        <v>20</v>
      </c>
      <c r="F523" t="b">
        <v>0</v>
      </c>
      <c r="G523">
        <v>0</v>
      </c>
      <c r="H523">
        <v>1</v>
      </c>
      <c r="I523">
        <v>0.1</v>
      </c>
      <c r="J523">
        <v>0</v>
      </c>
      <c r="K523">
        <v>0.28789999999999999</v>
      </c>
      <c r="L523">
        <v>0.81</v>
      </c>
      <c r="M523">
        <v>0</v>
      </c>
      <c r="N523">
        <v>3</v>
      </c>
      <c r="O523">
        <v>13</v>
      </c>
      <c r="P523">
        <v>16</v>
      </c>
    </row>
    <row r="524" spans="1:16" x14ac:dyDescent="0.25">
      <c r="A524">
        <v>523</v>
      </c>
      <c r="B524" s="19">
        <v>40566</v>
      </c>
      <c r="C524">
        <v>1</v>
      </c>
      <c r="D524">
        <v>1</v>
      </c>
      <c r="E524">
        <v>21</v>
      </c>
      <c r="F524" t="b">
        <v>0</v>
      </c>
      <c r="G524">
        <v>0</v>
      </c>
      <c r="H524">
        <v>1</v>
      </c>
      <c r="I524">
        <v>0.1</v>
      </c>
      <c r="J524">
        <v>0</v>
      </c>
      <c r="K524">
        <v>0.28789999999999999</v>
      </c>
      <c r="L524">
        <v>0.81</v>
      </c>
      <c r="M524">
        <v>0</v>
      </c>
      <c r="N524">
        <v>3</v>
      </c>
      <c r="O524">
        <v>13</v>
      </c>
      <c r="P524">
        <v>16</v>
      </c>
    </row>
    <row r="525" spans="1:16" x14ac:dyDescent="0.25">
      <c r="A525">
        <v>524</v>
      </c>
      <c r="B525" s="19">
        <v>40566</v>
      </c>
      <c r="C525">
        <v>1</v>
      </c>
      <c r="D525">
        <v>1</v>
      </c>
      <c r="E525">
        <v>22</v>
      </c>
      <c r="F525" t="b">
        <v>0</v>
      </c>
      <c r="G525">
        <v>0</v>
      </c>
      <c r="H525">
        <v>1</v>
      </c>
      <c r="I525">
        <v>0.08</v>
      </c>
      <c r="J525">
        <v>0</v>
      </c>
      <c r="K525">
        <v>0.28789999999999999</v>
      </c>
      <c r="L525">
        <v>0.81</v>
      </c>
      <c r="M525">
        <v>0</v>
      </c>
      <c r="N525">
        <v>3</v>
      </c>
      <c r="O525">
        <v>13</v>
      </c>
      <c r="P525">
        <v>16</v>
      </c>
    </row>
    <row r="526" spans="1:16" x14ac:dyDescent="0.25">
      <c r="A526">
        <v>525</v>
      </c>
      <c r="B526" s="19">
        <v>40566</v>
      </c>
      <c r="C526">
        <v>1</v>
      </c>
      <c r="D526">
        <v>1</v>
      </c>
      <c r="E526">
        <v>23</v>
      </c>
      <c r="F526" t="b">
        <v>0</v>
      </c>
      <c r="G526">
        <v>0</v>
      </c>
      <c r="H526">
        <v>1</v>
      </c>
      <c r="I526">
        <v>0.06</v>
      </c>
      <c r="J526">
        <v>0</v>
      </c>
      <c r="K526">
        <v>0.28789999999999999</v>
      </c>
      <c r="L526">
        <v>0.81</v>
      </c>
      <c r="M526">
        <v>0</v>
      </c>
      <c r="N526">
        <v>3</v>
      </c>
      <c r="O526">
        <v>13</v>
      </c>
      <c r="P526">
        <v>16</v>
      </c>
    </row>
    <row r="527" spans="1:16" x14ac:dyDescent="0.25">
      <c r="A527">
        <v>526</v>
      </c>
      <c r="B527" s="19">
        <v>40567</v>
      </c>
      <c r="C527">
        <v>1</v>
      </c>
      <c r="D527">
        <v>1</v>
      </c>
      <c r="E527">
        <v>0</v>
      </c>
      <c r="F527" t="b">
        <v>0</v>
      </c>
      <c r="G527">
        <v>1</v>
      </c>
      <c r="H527">
        <v>1</v>
      </c>
      <c r="I527">
        <v>0.06</v>
      </c>
      <c r="J527">
        <v>0</v>
      </c>
      <c r="K527">
        <v>0.28789999999999999</v>
      </c>
      <c r="L527">
        <v>0.81</v>
      </c>
      <c r="M527">
        <v>0</v>
      </c>
      <c r="N527">
        <v>3</v>
      </c>
      <c r="O527">
        <v>13</v>
      </c>
      <c r="P527">
        <v>16</v>
      </c>
    </row>
    <row r="528" spans="1:16" x14ac:dyDescent="0.25">
      <c r="A528">
        <v>527</v>
      </c>
      <c r="B528" s="19">
        <v>40567</v>
      </c>
      <c r="C528">
        <v>1</v>
      </c>
      <c r="D528">
        <v>1</v>
      </c>
      <c r="E528">
        <v>1</v>
      </c>
      <c r="F528" t="b">
        <v>0</v>
      </c>
      <c r="G528">
        <v>1</v>
      </c>
      <c r="H528">
        <v>1</v>
      </c>
      <c r="I528">
        <v>0.04</v>
      </c>
      <c r="J528">
        <v>0</v>
      </c>
      <c r="K528">
        <v>0.28789999999999999</v>
      </c>
      <c r="L528">
        <v>0.81</v>
      </c>
      <c r="M528">
        <v>0</v>
      </c>
      <c r="N528">
        <v>3</v>
      </c>
      <c r="O528">
        <v>13</v>
      </c>
      <c r="P528">
        <v>16</v>
      </c>
    </row>
    <row r="529" spans="1:16" x14ac:dyDescent="0.25">
      <c r="A529">
        <v>528</v>
      </c>
      <c r="B529" s="19">
        <v>40567</v>
      </c>
      <c r="C529">
        <v>1</v>
      </c>
      <c r="D529">
        <v>1</v>
      </c>
      <c r="E529">
        <v>3</v>
      </c>
      <c r="F529" t="b">
        <v>0</v>
      </c>
      <c r="G529">
        <v>1</v>
      </c>
      <c r="H529">
        <v>1</v>
      </c>
      <c r="I529">
        <v>0.04</v>
      </c>
      <c r="J529">
        <v>0</v>
      </c>
      <c r="K529">
        <v>0.28789999999999999</v>
      </c>
      <c r="L529">
        <v>0.81</v>
      </c>
      <c r="M529">
        <v>0</v>
      </c>
      <c r="N529">
        <v>3</v>
      </c>
      <c r="O529">
        <v>13</v>
      </c>
      <c r="P529">
        <v>16</v>
      </c>
    </row>
    <row r="530" spans="1:16" x14ac:dyDescent="0.25">
      <c r="A530">
        <v>529</v>
      </c>
      <c r="B530" s="19">
        <v>40567</v>
      </c>
      <c r="C530">
        <v>1</v>
      </c>
      <c r="D530">
        <v>1</v>
      </c>
      <c r="E530">
        <v>4</v>
      </c>
      <c r="F530" t="b">
        <v>0</v>
      </c>
      <c r="G530">
        <v>1</v>
      </c>
      <c r="H530">
        <v>1</v>
      </c>
      <c r="I530">
        <v>0.02</v>
      </c>
      <c r="J530">
        <v>0</v>
      </c>
      <c r="K530">
        <v>0.28789999999999999</v>
      </c>
      <c r="L530">
        <v>0.81</v>
      </c>
      <c r="M530">
        <v>0</v>
      </c>
      <c r="N530">
        <v>3</v>
      </c>
      <c r="O530">
        <v>13</v>
      </c>
      <c r="P530">
        <v>16</v>
      </c>
    </row>
    <row r="531" spans="1:16" x14ac:dyDescent="0.25">
      <c r="A531">
        <v>530</v>
      </c>
      <c r="B531" s="19">
        <v>40567</v>
      </c>
      <c r="C531">
        <v>1</v>
      </c>
      <c r="D531">
        <v>1</v>
      </c>
      <c r="E531">
        <v>5</v>
      </c>
      <c r="F531" t="b">
        <v>0</v>
      </c>
      <c r="G531">
        <v>1</v>
      </c>
      <c r="H531">
        <v>1</v>
      </c>
      <c r="I531">
        <v>0.02</v>
      </c>
      <c r="J531">
        <v>0</v>
      </c>
      <c r="K531">
        <v>0.28789999999999999</v>
      </c>
      <c r="L531">
        <v>0.81</v>
      </c>
      <c r="M531">
        <v>0</v>
      </c>
      <c r="N531">
        <v>3</v>
      </c>
      <c r="O531">
        <v>13</v>
      </c>
      <c r="P531">
        <v>16</v>
      </c>
    </row>
    <row r="532" spans="1:16" x14ac:dyDescent="0.25">
      <c r="A532">
        <v>531</v>
      </c>
      <c r="B532" s="19">
        <v>40567</v>
      </c>
      <c r="C532">
        <v>1</v>
      </c>
      <c r="D532">
        <v>1</v>
      </c>
      <c r="E532">
        <v>6</v>
      </c>
      <c r="F532" t="b">
        <v>0</v>
      </c>
      <c r="G532">
        <v>1</v>
      </c>
      <c r="H532">
        <v>1</v>
      </c>
      <c r="I532">
        <v>0.02</v>
      </c>
      <c r="J532">
        <v>0</v>
      </c>
      <c r="K532">
        <v>0.28789999999999999</v>
      </c>
      <c r="L532">
        <v>0.81</v>
      </c>
      <c r="M532">
        <v>0</v>
      </c>
      <c r="N532">
        <v>3</v>
      </c>
      <c r="O532">
        <v>13</v>
      </c>
      <c r="P532">
        <v>16</v>
      </c>
    </row>
    <row r="533" spans="1:16" x14ac:dyDescent="0.25">
      <c r="A533">
        <v>532</v>
      </c>
      <c r="B533" s="19">
        <v>40567</v>
      </c>
      <c r="C533">
        <v>1</v>
      </c>
      <c r="D533">
        <v>1</v>
      </c>
      <c r="E533">
        <v>7</v>
      </c>
      <c r="F533" t="b">
        <v>0</v>
      </c>
      <c r="G533">
        <v>1</v>
      </c>
      <c r="H533">
        <v>1</v>
      </c>
      <c r="I533">
        <v>0.02</v>
      </c>
      <c r="J533">
        <v>0</v>
      </c>
      <c r="K533">
        <v>0.28789999999999999</v>
      </c>
      <c r="L533">
        <v>0.81</v>
      </c>
      <c r="M533">
        <v>0</v>
      </c>
      <c r="N533">
        <v>3</v>
      </c>
      <c r="O533">
        <v>13</v>
      </c>
      <c r="P533">
        <v>16</v>
      </c>
    </row>
    <row r="534" spans="1:16" x14ac:dyDescent="0.25">
      <c r="A534">
        <v>533</v>
      </c>
      <c r="B534" s="19">
        <v>40567</v>
      </c>
      <c r="C534">
        <v>1</v>
      </c>
      <c r="D534">
        <v>1</v>
      </c>
      <c r="E534">
        <v>8</v>
      </c>
      <c r="F534" t="b">
        <v>0</v>
      </c>
      <c r="G534">
        <v>1</v>
      </c>
      <c r="H534">
        <v>1</v>
      </c>
      <c r="I534">
        <v>0.04</v>
      </c>
      <c r="J534">
        <v>0</v>
      </c>
      <c r="K534">
        <v>0.28789999999999999</v>
      </c>
      <c r="L534">
        <v>0.81</v>
      </c>
      <c r="M534">
        <v>0</v>
      </c>
      <c r="N534">
        <v>3</v>
      </c>
      <c r="O534">
        <v>13</v>
      </c>
      <c r="P534">
        <v>16</v>
      </c>
    </row>
    <row r="535" spans="1:16" x14ac:dyDescent="0.25">
      <c r="A535">
        <v>534</v>
      </c>
      <c r="B535" s="19">
        <v>40567</v>
      </c>
      <c r="C535">
        <v>1</v>
      </c>
      <c r="D535">
        <v>1</v>
      </c>
      <c r="E535">
        <v>9</v>
      </c>
      <c r="F535" t="b">
        <v>0</v>
      </c>
      <c r="G535">
        <v>1</v>
      </c>
      <c r="H535">
        <v>1</v>
      </c>
      <c r="I535">
        <v>0.06</v>
      </c>
      <c r="J535">
        <v>0</v>
      </c>
      <c r="K535">
        <v>0.28789999999999999</v>
      </c>
      <c r="L535">
        <v>0.81</v>
      </c>
      <c r="M535">
        <v>0</v>
      </c>
      <c r="N535">
        <v>3</v>
      </c>
      <c r="O535">
        <v>13</v>
      </c>
      <c r="P535">
        <v>16</v>
      </c>
    </row>
    <row r="536" spans="1:16" x14ac:dyDescent="0.25">
      <c r="A536">
        <v>535</v>
      </c>
      <c r="B536" s="19">
        <v>40567</v>
      </c>
      <c r="C536">
        <v>1</v>
      </c>
      <c r="D536">
        <v>1</v>
      </c>
      <c r="E536">
        <v>10</v>
      </c>
      <c r="F536" t="b">
        <v>0</v>
      </c>
      <c r="G536">
        <v>1</v>
      </c>
      <c r="H536">
        <v>1</v>
      </c>
      <c r="I536">
        <v>0.1</v>
      </c>
      <c r="J536">
        <v>0</v>
      </c>
      <c r="K536">
        <v>0.28789999999999999</v>
      </c>
      <c r="L536">
        <v>0.81</v>
      </c>
      <c r="M536">
        <v>0</v>
      </c>
      <c r="N536">
        <v>3</v>
      </c>
      <c r="O536">
        <v>13</v>
      </c>
      <c r="P536">
        <v>16</v>
      </c>
    </row>
    <row r="537" spans="1:16" x14ac:dyDescent="0.25">
      <c r="A537">
        <v>536</v>
      </c>
      <c r="B537" s="19">
        <v>40567</v>
      </c>
      <c r="C537">
        <v>1</v>
      </c>
      <c r="D537">
        <v>1</v>
      </c>
      <c r="E537">
        <v>11</v>
      </c>
      <c r="F537" t="b">
        <v>0</v>
      </c>
      <c r="G537">
        <v>1</v>
      </c>
      <c r="H537">
        <v>1</v>
      </c>
      <c r="I537">
        <v>0.1</v>
      </c>
      <c r="J537">
        <v>0</v>
      </c>
      <c r="K537">
        <v>0.28789999999999999</v>
      </c>
      <c r="L537">
        <v>0.81</v>
      </c>
      <c r="M537">
        <v>0</v>
      </c>
      <c r="N537">
        <v>3</v>
      </c>
      <c r="O537">
        <v>13</v>
      </c>
      <c r="P537">
        <v>16</v>
      </c>
    </row>
    <row r="538" spans="1:16" x14ac:dyDescent="0.25">
      <c r="A538">
        <v>537</v>
      </c>
      <c r="B538" s="19">
        <v>40567</v>
      </c>
      <c r="C538">
        <v>1</v>
      </c>
      <c r="D538">
        <v>1</v>
      </c>
      <c r="E538">
        <v>12</v>
      </c>
      <c r="F538" t="b">
        <v>0</v>
      </c>
      <c r="G538">
        <v>1</v>
      </c>
      <c r="H538">
        <v>2</v>
      </c>
      <c r="I538">
        <v>0.12</v>
      </c>
      <c r="J538">
        <v>0</v>
      </c>
      <c r="K538">
        <v>0.28789999999999999</v>
      </c>
      <c r="L538">
        <v>0.81</v>
      </c>
      <c r="M538">
        <v>0</v>
      </c>
      <c r="N538">
        <v>3</v>
      </c>
      <c r="O538">
        <v>13</v>
      </c>
      <c r="P538">
        <v>16</v>
      </c>
    </row>
    <row r="539" spans="1:16" x14ac:dyDescent="0.25">
      <c r="A539">
        <v>538</v>
      </c>
      <c r="B539" s="19">
        <v>40567</v>
      </c>
      <c r="C539">
        <v>1</v>
      </c>
      <c r="D539">
        <v>1</v>
      </c>
      <c r="E539">
        <v>13</v>
      </c>
      <c r="F539" t="b">
        <v>0</v>
      </c>
      <c r="G539">
        <v>1</v>
      </c>
      <c r="H539">
        <v>2</v>
      </c>
      <c r="I539">
        <v>0.14000000000000001</v>
      </c>
      <c r="J539">
        <v>0</v>
      </c>
      <c r="K539">
        <v>0.28789999999999999</v>
      </c>
      <c r="L539">
        <v>0.81</v>
      </c>
      <c r="M539">
        <v>0</v>
      </c>
      <c r="N539">
        <v>3</v>
      </c>
      <c r="O539">
        <v>13</v>
      </c>
      <c r="P539">
        <v>16</v>
      </c>
    </row>
    <row r="540" spans="1:16" x14ac:dyDescent="0.25">
      <c r="A540">
        <v>539</v>
      </c>
      <c r="B540" s="19">
        <v>40567</v>
      </c>
      <c r="C540">
        <v>1</v>
      </c>
      <c r="D540">
        <v>1</v>
      </c>
      <c r="E540">
        <v>14</v>
      </c>
      <c r="F540" t="b">
        <v>0</v>
      </c>
      <c r="G540">
        <v>1</v>
      </c>
      <c r="H540">
        <v>2</v>
      </c>
      <c r="I540">
        <v>0.14000000000000001</v>
      </c>
      <c r="J540">
        <v>0</v>
      </c>
      <c r="K540">
        <v>0.28789999999999999</v>
      </c>
      <c r="L540">
        <v>0.81</v>
      </c>
      <c r="M540">
        <v>0</v>
      </c>
      <c r="N540">
        <v>3</v>
      </c>
      <c r="O540">
        <v>13</v>
      </c>
      <c r="P540">
        <v>16</v>
      </c>
    </row>
    <row r="541" spans="1:16" x14ac:dyDescent="0.25">
      <c r="A541">
        <v>540</v>
      </c>
      <c r="B541" s="19">
        <v>40567</v>
      </c>
      <c r="C541">
        <v>1</v>
      </c>
      <c r="D541">
        <v>1</v>
      </c>
      <c r="E541">
        <v>15</v>
      </c>
      <c r="F541" t="b">
        <v>0</v>
      </c>
      <c r="G541">
        <v>1</v>
      </c>
      <c r="H541">
        <v>1</v>
      </c>
      <c r="I541">
        <v>0.16</v>
      </c>
      <c r="J541">
        <v>0</v>
      </c>
      <c r="K541">
        <v>0.28789999999999999</v>
      </c>
      <c r="L541">
        <v>0.81</v>
      </c>
      <c r="M541">
        <v>0</v>
      </c>
      <c r="N541">
        <v>3</v>
      </c>
      <c r="O541">
        <v>13</v>
      </c>
      <c r="P541">
        <v>16</v>
      </c>
    </row>
    <row r="542" spans="1:16" x14ac:dyDescent="0.25">
      <c r="A542">
        <v>541</v>
      </c>
      <c r="B542" s="19">
        <v>40567</v>
      </c>
      <c r="C542">
        <v>1</v>
      </c>
      <c r="D542">
        <v>1</v>
      </c>
      <c r="E542">
        <v>16</v>
      </c>
      <c r="F542" t="b">
        <v>0</v>
      </c>
      <c r="G542">
        <v>1</v>
      </c>
      <c r="H542">
        <v>1</v>
      </c>
      <c r="I542">
        <v>0.16</v>
      </c>
      <c r="J542">
        <v>0</v>
      </c>
      <c r="K542">
        <v>0.28789999999999999</v>
      </c>
      <c r="L542">
        <v>0.81</v>
      </c>
      <c r="M542">
        <v>0</v>
      </c>
      <c r="N542">
        <v>3</v>
      </c>
      <c r="O542">
        <v>13</v>
      </c>
      <c r="P542">
        <v>16</v>
      </c>
    </row>
    <row r="543" spans="1:16" x14ac:dyDescent="0.25">
      <c r="A543">
        <v>542</v>
      </c>
      <c r="B543" s="19">
        <v>40567</v>
      </c>
      <c r="C543">
        <v>1</v>
      </c>
      <c r="D543">
        <v>1</v>
      </c>
      <c r="E543">
        <v>17</v>
      </c>
      <c r="F543" t="b">
        <v>0</v>
      </c>
      <c r="G543">
        <v>1</v>
      </c>
      <c r="H543">
        <v>1</v>
      </c>
      <c r="I543">
        <v>0.14000000000000001</v>
      </c>
      <c r="J543">
        <v>0</v>
      </c>
      <c r="K543">
        <v>0.28789999999999999</v>
      </c>
      <c r="L543">
        <v>0.81</v>
      </c>
      <c r="M543">
        <v>0</v>
      </c>
      <c r="N543">
        <v>3</v>
      </c>
      <c r="O543">
        <v>13</v>
      </c>
      <c r="P543">
        <v>16</v>
      </c>
    </row>
    <row r="544" spans="1:16" x14ac:dyDescent="0.25">
      <c r="A544">
        <v>543</v>
      </c>
      <c r="B544" s="19">
        <v>40567</v>
      </c>
      <c r="C544">
        <v>1</v>
      </c>
      <c r="D544">
        <v>1</v>
      </c>
      <c r="E544">
        <v>18</v>
      </c>
      <c r="F544" t="b">
        <v>0</v>
      </c>
      <c r="G544">
        <v>1</v>
      </c>
      <c r="H544">
        <v>1</v>
      </c>
      <c r="I544">
        <v>0.14000000000000001</v>
      </c>
      <c r="J544">
        <v>0</v>
      </c>
      <c r="K544">
        <v>0.28789999999999999</v>
      </c>
      <c r="L544">
        <v>0.81</v>
      </c>
      <c r="M544">
        <v>0</v>
      </c>
      <c r="N544">
        <v>3</v>
      </c>
      <c r="O544">
        <v>13</v>
      </c>
      <c r="P544">
        <v>16</v>
      </c>
    </row>
    <row r="545" spans="1:16" x14ac:dyDescent="0.25">
      <c r="A545">
        <v>544</v>
      </c>
      <c r="B545" s="19">
        <v>40567</v>
      </c>
      <c r="C545">
        <v>1</v>
      </c>
      <c r="D545">
        <v>1</v>
      </c>
      <c r="E545">
        <v>19</v>
      </c>
      <c r="F545" t="b">
        <v>0</v>
      </c>
      <c r="G545">
        <v>1</v>
      </c>
      <c r="H545">
        <v>1</v>
      </c>
      <c r="I545">
        <v>0.14000000000000001</v>
      </c>
      <c r="J545">
        <v>0</v>
      </c>
      <c r="K545">
        <v>0.28789999999999999</v>
      </c>
      <c r="L545">
        <v>0.81</v>
      </c>
      <c r="M545">
        <v>0</v>
      </c>
      <c r="N545">
        <v>3</v>
      </c>
      <c r="O545">
        <v>13</v>
      </c>
      <c r="P545">
        <v>16</v>
      </c>
    </row>
    <row r="546" spans="1:16" x14ac:dyDescent="0.25">
      <c r="A546">
        <v>545</v>
      </c>
      <c r="B546" s="19">
        <v>40567</v>
      </c>
      <c r="C546">
        <v>1</v>
      </c>
      <c r="D546">
        <v>1</v>
      </c>
      <c r="E546">
        <v>20</v>
      </c>
      <c r="F546" t="b">
        <v>0</v>
      </c>
      <c r="G546">
        <v>1</v>
      </c>
      <c r="H546">
        <v>1</v>
      </c>
      <c r="I546">
        <v>0.14000000000000001</v>
      </c>
      <c r="J546">
        <v>0</v>
      </c>
      <c r="K546">
        <v>0.28789999999999999</v>
      </c>
      <c r="L546">
        <v>0.81</v>
      </c>
      <c r="M546">
        <v>0</v>
      </c>
      <c r="N546">
        <v>3</v>
      </c>
      <c r="O546">
        <v>13</v>
      </c>
      <c r="P546">
        <v>16</v>
      </c>
    </row>
    <row r="547" spans="1:16" x14ac:dyDescent="0.25">
      <c r="A547">
        <v>546</v>
      </c>
      <c r="B547" s="19">
        <v>40567</v>
      </c>
      <c r="C547">
        <v>1</v>
      </c>
      <c r="D547">
        <v>1</v>
      </c>
      <c r="E547">
        <v>21</v>
      </c>
      <c r="F547" t="b">
        <v>0</v>
      </c>
      <c r="G547">
        <v>1</v>
      </c>
      <c r="H547">
        <v>1</v>
      </c>
      <c r="I547">
        <v>0.14000000000000001</v>
      </c>
      <c r="J547">
        <v>0</v>
      </c>
      <c r="K547">
        <v>0.28789999999999999</v>
      </c>
      <c r="L547">
        <v>0.81</v>
      </c>
      <c r="M547">
        <v>0</v>
      </c>
      <c r="N547">
        <v>3</v>
      </c>
      <c r="O547">
        <v>13</v>
      </c>
      <c r="P547">
        <v>16</v>
      </c>
    </row>
    <row r="548" spans="1:16" x14ac:dyDescent="0.25">
      <c r="A548">
        <v>547</v>
      </c>
      <c r="B548" s="19">
        <v>40567</v>
      </c>
      <c r="C548">
        <v>1</v>
      </c>
      <c r="D548">
        <v>1</v>
      </c>
      <c r="E548">
        <v>22</v>
      </c>
      <c r="F548" t="b">
        <v>0</v>
      </c>
      <c r="G548">
        <v>1</v>
      </c>
      <c r="H548">
        <v>2</v>
      </c>
      <c r="I548">
        <v>0.14000000000000001</v>
      </c>
      <c r="J548">
        <v>0</v>
      </c>
      <c r="K548">
        <v>0.28789999999999999</v>
      </c>
      <c r="L548">
        <v>0.81</v>
      </c>
      <c r="M548">
        <v>0</v>
      </c>
      <c r="N548">
        <v>3</v>
      </c>
      <c r="O548">
        <v>13</v>
      </c>
      <c r="P548">
        <v>16</v>
      </c>
    </row>
    <row r="549" spans="1:16" x14ac:dyDescent="0.25">
      <c r="A549">
        <v>548</v>
      </c>
      <c r="B549" s="19">
        <v>40567</v>
      </c>
      <c r="C549">
        <v>1</v>
      </c>
      <c r="D549">
        <v>1</v>
      </c>
      <c r="E549">
        <v>23</v>
      </c>
      <c r="F549" t="b">
        <v>0</v>
      </c>
      <c r="G549">
        <v>1</v>
      </c>
      <c r="H549">
        <v>2</v>
      </c>
      <c r="I549">
        <v>0.16</v>
      </c>
      <c r="J549">
        <v>0</v>
      </c>
      <c r="K549">
        <v>0.28789999999999999</v>
      </c>
      <c r="L549">
        <v>0.81</v>
      </c>
      <c r="M549">
        <v>0</v>
      </c>
      <c r="N549">
        <v>3</v>
      </c>
      <c r="O549">
        <v>13</v>
      </c>
      <c r="P549">
        <v>16</v>
      </c>
    </row>
    <row r="550" spans="1:16" x14ac:dyDescent="0.25">
      <c r="A550">
        <v>549</v>
      </c>
      <c r="B550" s="19">
        <v>40568</v>
      </c>
      <c r="C550">
        <v>1</v>
      </c>
      <c r="D550">
        <v>1</v>
      </c>
      <c r="E550">
        <v>0</v>
      </c>
      <c r="F550" t="b">
        <v>0</v>
      </c>
      <c r="G550">
        <v>2</v>
      </c>
      <c r="H550">
        <v>2</v>
      </c>
      <c r="I550">
        <v>0.16</v>
      </c>
      <c r="J550">
        <v>0</v>
      </c>
      <c r="K550">
        <v>0.28789999999999999</v>
      </c>
      <c r="L550">
        <v>0.81</v>
      </c>
      <c r="M550">
        <v>0</v>
      </c>
      <c r="N550">
        <v>3</v>
      </c>
      <c r="O550">
        <v>13</v>
      </c>
      <c r="P550">
        <v>16</v>
      </c>
    </row>
    <row r="551" spans="1:16" x14ac:dyDescent="0.25">
      <c r="A551">
        <v>550</v>
      </c>
      <c r="B551" s="19">
        <v>40568</v>
      </c>
      <c r="C551">
        <v>1</v>
      </c>
      <c r="D551">
        <v>1</v>
      </c>
      <c r="E551">
        <v>1</v>
      </c>
      <c r="F551" t="b">
        <v>0</v>
      </c>
      <c r="G551">
        <v>2</v>
      </c>
      <c r="H551">
        <v>2</v>
      </c>
      <c r="I551">
        <v>0.16</v>
      </c>
      <c r="J551">
        <v>0</v>
      </c>
      <c r="K551">
        <v>0.28789999999999999</v>
      </c>
      <c r="L551">
        <v>0.81</v>
      </c>
      <c r="M551">
        <v>0</v>
      </c>
      <c r="N551">
        <v>3</v>
      </c>
      <c r="O551">
        <v>13</v>
      </c>
      <c r="P551">
        <v>16</v>
      </c>
    </row>
    <row r="552" spans="1:16" x14ac:dyDescent="0.25">
      <c r="A552">
        <v>551</v>
      </c>
      <c r="B552" s="19">
        <v>40568</v>
      </c>
      <c r="C552">
        <v>1</v>
      </c>
      <c r="D552">
        <v>1</v>
      </c>
      <c r="E552">
        <v>2</v>
      </c>
      <c r="F552" t="b">
        <v>0</v>
      </c>
      <c r="G552">
        <v>2</v>
      </c>
      <c r="H552">
        <v>1</v>
      </c>
      <c r="I552">
        <v>0.16</v>
      </c>
      <c r="J552">
        <v>0</v>
      </c>
      <c r="K552">
        <v>0.28789999999999999</v>
      </c>
      <c r="L552">
        <v>0.81</v>
      </c>
      <c r="M552">
        <v>0</v>
      </c>
      <c r="N552">
        <v>3</v>
      </c>
      <c r="O552">
        <v>13</v>
      </c>
      <c r="P552">
        <v>16</v>
      </c>
    </row>
    <row r="553" spans="1:16" x14ac:dyDescent="0.25">
      <c r="A553">
        <v>552</v>
      </c>
      <c r="B553" s="19">
        <v>40568</v>
      </c>
      <c r="C553">
        <v>1</v>
      </c>
      <c r="D553">
        <v>1</v>
      </c>
      <c r="E553">
        <v>4</v>
      </c>
      <c r="F553" t="b">
        <v>0</v>
      </c>
      <c r="G553">
        <v>2</v>
      </c>
      <c r="H553">
        <v>1</v>
      </c>
      <c r="I553">
        <v>0.14000000000000001</v>
      </c>
      <c r="J553">
        <v>0</v>
      </c>
      <c r="K553">
        <v>0.28789999999999999</v>
      </c>
      <c r="L553">
        <v>0.81</v>
      </c>
      <c r="M553">
        <v>0</v>
      </c>
      <c r="N553">
        <v>3</v>
      </c>
      <c r="O553">
        <v>13</v>
      </c>
      <c r="P553">
        <v>16</v>
      </c>
    </row>
    <row r="554" spans="1:16" x14ac:dyDescent="0.25">
      <c r="A554">
        <v>553</v>
      </c>
      <c r="B554" s="19">
        <v>40568</v>
      </c>
      <c r="C554">
        <v>1</v>
      </c>
      <c r="D554">
        <v>1</v>
      </c>
      <c r="E554">
        <v>5</v>
      </c>
      <c r="F554" t="b">
        <v>0</v>
      </c>
      <c r="G554">
        <v>2</v>
      </c>
      <c r="H554">
        <v>1</v>
      </c>
      <c r="I554">
        <v>0.14000000000000001</v>
      </c>
      <c r="J554">
        <v>0</v>
      </c>
      <c r="K554">
        <v>0.28789999999999999</v>
      </c>
      <c r="L554">
        <v>0.81</v>
      </c>
      <c r="M554">
        <v>0</v>
      </c>
      <c r="N554">
        <v>3</v>
      </c>
      <c r="O554">
        <v>13</v>
      </c>
      <c r="P554">
        <v>16</v>
      </c>
    </row>
    <row r="555" spans="1:16" x14ac:dyDescent="0.25">
      <c r="A555">
        <v>554</v>
      </c>
      <c r="B555" s="19">
        <v>40568</v>
      </c>
      <c r="C555">
        <v>1</v>
      </c>
      <c r="D555">
        <v>1</v>
      </c>
      <c r="E555">
        <v>6</v>
      </c>
      <c r="F555" t="b">
        <v>0</v>
      </c>
      <c r="G555">
        <v>2</v>
      </c>
      <c r="H555">
        <v>1</v>
      </c>
      <c r="I555">
        <v>0.16</v>
      </c>
      <c r="J555">
        <v>0</v>
      </c>
      <c r="K555">
        <v>0.28789999999999999</v>
      </c>
      <c r="L555">
        <v>0.81</v>
      </c>
      <c r="M555">
        <v>0</v>
      </c>
      <c r="N555">
        <v>3</v>
      </c>
      <c r="O555">
        <v>13</v>
      </c>
      <c r="P555">
        <v>16</v>
      </c>
    </row>
    <row r="556" spans="1:16" x14ac:dyDescent="0.25">
      <c r="A556">
        <v>555</v>
      </c>
      <c r="B556" s="19">
        <v>40568</v>
      </c>
      <c r="C556">
        <v>1</v>
      </c>
      <c r="D556">
        <v>1</v>
      </c>
      <c r="E556">
        <v>7</v>
      </c>
      <c r="F556" t="b">
        <v>0</v>
      </c>
      <c r="G556">
        <v>2</v>
      </c>
      <c r="H556">
        <v>1</v>
      </c>
      <c r="I556">
        <v>0.16</v>
      </c>
      <c r="J556">
        <v>0</v>
      </c>
      <c r="K556">
        <v>0.28789999999999999</v>
      </c>
      <c r="L556">
        <v>0.81</v>
      </c>
      <c r="M556">
        <v>0</v>
      </c>
      <c r="N556">
        <v>3</v>
      </c>
      <c r="O556">
        <v>13</v>
      </c>
      <c r="P556">
        <v>16</v>
      </c>
    </row>
    <row r="557" spans="1:16" x14ac:dyDescent="0.25">
      <c r="A557">
        <v>556</v>
      </c>
      <c r="B557" s="19">
        <v>40568</v>
      </c>
      <c r="C557">
        <v>1</v>
      </c>
      <c r="D557">
        <v>1</v>
      </c>
      <c r="E557">
        <v>8</v>
      </c>
      <c r="F557" t="b">
        <v>0</v>
      </c>
      <c r="G557">
        <v>2</v>
      </c>
      <c r="H557">
        <v>2</v>
      </c>
      <c r="I557">
        <v>0.16</v>
      </c>
      <c r="J557">
        <v>0</v>
      </c>
      <c r="K557">
        <v>0.28789999999999999</v>
      </c>
      <c r="L557">
        <v>0.81</v>
      </c>
      <c r="M557">
        <v>0</v>
      </c>
      <c r="N557">
        <v>3</v>
      </c>
      <c r="O557">
        <v>13</v>
      </c>
      <c r="P557">
        <v>16</v>
      </c>
    </row>
    <row r="558" spans="1:16" x14ac:dyDescent="0.25">
      <c r="A558">
        <v>557</v>
      </c>
      <c r="B558" s="19">
        <v>40568</v>
      </c>
      <c r="C558">
        <v>1</v>
      </c>
      <c r="D558">
        <v>1</v>
      </c>
      <c r="E558">
        <v>9</v>
      </c>
      <c r="F558" t="b">
        <v>0</v>
      </c>
      <c r="G558">
        <v>2</v>
      </c>
      <c r="H558">
        <v>2</v>
      </c>
      <c r="I558">
        <v>0.2</v>
      </c>
      <c r="J558">
        <v>0</v>
      </c>
      <c r="K558">
        <v>0.28789999999999999</v>
      </c>
      <c r="L558">
        <v>0.81</v>
      </c>
      <c r="M558">
        <v>0</v>
      </c>
      <c r="N558">
        <v>3</v>
      </c>
      <c r="O558">
        <v>13</v>
      </c>
      <c r="P558">
        <v>16</v>
      </c>
    </row>
    <row r="559" spans="1:16" x14ac:dyDescent="0.25">
      <c r="A559">
        <v>558</v>
      </c>
      <c r="B559" s="19">
        <v>40568</v>
      </c>
      <c r="C559">
        <v>1</v>
      </c>
      <c r="D559">
        <v>1</v>
      </c>
      <c r="E559">
        <v>10</v>
      </c>
      <c r="F559" t="b">
        <v>0</v>
      </c>
      <c r="G559">
        <v>2</v>
      </c>
      <c r="H559">
        <v>2</v>
      </c>
      <c r="I559">
        <v>0.22</v>
      </c>
      <c r="J559">
        <v>0</v>
      </c>
      <c r="K559">
        <v>0.28789999999999999</v>
      </c>
      <c r="L559">
        <v>0.81</v>
      </c>
      <c r="M559">
        <v>0</v>
      </c>
      <c r="N559">
        <v>3</v>
      </c>
      <c r="O559">
        <v>13</v>
      </c>
      <c r="P559">
        <v>16</v>
      </c>
    </row>
    <row r="560" spans="1:16" x14ac:dyDescent="0.25">
      <c r="A560">
        <v>559</v>
      </c>
      <c r="B560" s="19">
        <v>40568</v>
      </c>
      <c r="C560">
        <v>1</v>
      </c>
      <c r="D560">
        <v>1</v>
      </c>
      <c r="E560">
        <v>11</v>
      </c>
      <c r="F560" t="b">
        <v>0</v>
      </c>
      <c r="G560">
        <v>2</v>
      </c>
      <c r="H560">
        <v>2</v>
      </c>
      <c r="I560">
        <v>0.24</v>
      </c>
      <c r="J560">
        <v>0</v>
      </c>
      <c r="K560">
        <v>0.28789999999999999</v>
      </c>
      <c r="L560">
        <v>0.81</v>
      </c>
      <c r="M560">
        <v>0</v>
      </c>
      <c r="N560">
        <v>3</v>
      </c>
      <c r="O560">
        <v>13</v>
      </c>
      <c r="P560">
        <v>16</v>
      </c>
    </row>
    <row r="561" spans="1:16" x14ac:dyDescent="0.25">
      <c r="A561">
        <v>560</v>
      </c>
      <c r="B561" s="19">
        <v>40568</v>
      </c>
      <c r="C561">
        <v>1</v>
      </c>
      <c r="D561">
        <v>1</v>
      </c>
      <c r="E561">
        <v>12</v>
      </c>
      <c r="F561" t="b">
        <v>0</v>
      </c>
      <c r="G561">
        <v>2</v>
      </c>
      <c r="H561">
        <v>2</v>
      </c>
      <c r="I561">
        <v>0.26</v>
      </c>
      <c r="J561">
        <v>0</v>
      </c>
      <c r="K561">
        <v>0.28789999999999999</v>
      </c>
      <c r="L561">
        <v>0.81</v>
      </c>
      <c r="M561">
        <v>0</v>
      </c>
      <c r="N561">
        <v>3</v>
      </c>
      <c r="O561">
        <v>13</v>
      </c>
      <c r="P561">
        <v>16</v>
      </c>
    </row>
    <row r="562" spans="1:16" x14ac:dyDescent="0.25">
      <c r="A562">
        <v>561</v>
      </c>
      <c r="B562" s="19">
        <v>40568</v>
      </c>
      <c r="C562">
        <v>1</v>
      </c>
      <c r="D562">
        <v>1</v>
      </c>
      <c r="E562">
        <v>13</v>
      </c>
      <c r="F562" t="b">
        <v>0</v>
      </c>
      <c r="G562">
        <v>2</v>
      </c>
      <c r="H562">
        <v>2</v>
      </c>
      <c r="I562">
        <v>0.26</v>
      </c>
      <c r="J562">
        <v>0</v>
      </c>
      <c r="K562">
        <v>0.28789999999999999</v>
      </c>
      <c r="L562">
        <v>0.81</v>
      </c>
      <c r="M562">
        <v>0</v>
      </c>
      <c r="N562">
        <v>3</v>
      </c>
      <c r="O562">
        <v>13</v>
      </c>
      <c r="P562">
        <v>16</v>
      </c>
    </row>
    <row r="563" spans="1:16" x14ac:dyDescent="0.25">
      <c r="A563">
        <v>562</v>
      </c>
      <c r="B563" s="19">
        <v>40568</v>
      </c>
      <c r="C563">
        <v>1</v>
      </c>
      <c r="D563">
        <v>1</v>
      </c>
      <c r="E563">
        <v>14</v>
      </c>
      <c r="F563" t="b">
        <v>0</v>
      </c>
      <c r="G563">
        <v>2</v>
      </c>
      <c r="H563">
        <v>2</v>
      </c>
      <c r="I563">
        <v>0.3</v>
      </c>
      <c r="J563">
        <v>0</v>
      </c>
      <c r="K563">
        <v>0.28789999999999999</v>
      </c>
      <c r="L563">
        <v>0.81</v>
      </c>
      <c r="M563">
        <v>0</v>
      </c>
      <c r="N563">
        <v>3</v>
      </c>
      <c r="O563">
        <v>13</v>
      </c>
      <c r="P563">
        <v>16</v>
      </c>
    </row>
    <row r="564" spans="1:16" x14ac:dyDescent="0.25">
      <c r="A564">
        <v>563</v>
      </c>
      <c r="B564" s="19">
        <v>40568</v>
      </c>
      <c r="C564">
        <v>1</v>
      </c>
      <c r="D564">
        <v>1</v>
      </c>
      <c r="E564">
        <v>15</v>
      </c>
      <c r="F564" t="b">
        <v>0</v>
      </c>
      <c r="G564">
        <v>2</v>
      </c>
      <c r="H564">
        <v>2</v>
      </c>
      <c r="I564">
        <v>0.32</v>
      </c>
      <c r="J564">
        <v>0</v>
      </c>
      <c r="K564">
        <v>0.28789999999999999</v>
      </c>
      <c r="L564">
        <v>0.81</v>
      </c>
      <c r="M564">
        <v>0</v>
      </c>
      <c r="N564">
        <v>3</v>
      </c>
      <c r="O564">
        <v>13</v>
      </c>
      <c r="P564">
        <v>16</v>
      </c>
    </row>
    <row r="565" spans="1:16" x14ac:dyDescent="0.25">
      <c r="A565">
        <v>564</v>
      </c>
      <c r="B565" s="19">
        <v>40568</v>
      </c>
      <c r="C565">
        <v>1</v>
      </c>
      <c r="D565">
        <v>1</v>
      </c>
      <c r="E565">
        <v>16</v>
      </c>
      <c r="F565" t="b">
        <v>0</v>
      </c>
      <c r="G565">
        <v>2</v>
      </c>
      <c r="H565">
        <v>2</v>
      </c>
      <c r="I565">
        <v>0.32</v>
      </c>
      <c r="J565">
        <v>0</v>
      </c>
      <c r="K565">
        <v>0.28789999999999999</v>
      </c>
      <c r="L565">
        <v>0.81</v>
      </c>
      <c r="M565">
        <v>0</v>
      </c>
      <c r="N565">
        <v>3</v>
      </c>
      <c r="O565">
        <v>13</v>
      </c>
      <c r="P565">
        <v>16</v>
      </c>
    </row>
    <row r="566" spans="1:16" x14ac:dyDescent="0.25">
      <c r="A566">
        <v>565</v>
      </c>
      <c r="B566" s="19">
        <v>40568</v>
      </c>
      <c r="C566">
        <v>1</v>
      </c>
      <c r="D566">
        <v>1</v>
      </c>
      <c r="E566">
        <v>17</v>
      </c>
      <c r="F566" t="b">
        <v>0</v>
      </c>
      <c r="G566">
        <v>2</v>
      </c>
      <c r="H566">
        <v>1</v>
      </c>
      <c r="I566">
        <v>0.3</v>
      </c>
      <c r="J566">
        <v>0</v>
      </c>
      <c r="K566">
        <v>0.28789999999999999</v>
      </c>
      <c r="L566">
        <v>0.81</v>
      </c>
      <c r="M566">
        <v>0</v>
      </c>
      <c r="N566">
        <v>3</v>
      </c>
      <c r="O566">
        <v>13</v>
      </c>
      <c r="P566">
        <v>16</v>
      </c>
    </row>
    <row r="567" spans="1:16" x14ac:dyDescent="0.25">
      <c r="A567">
        <v>566</v>
      </c>
      <c r="B567" s="19">
        <v>40568</v>
      </c>
      <c r="C567">
        <v>1</v>
      </c>
      <c r="D567">
        <v>1</v>
      </c>
      <c r="E567">
        <v>18</v>
      </c>
      <c r="F567" t="b">
        <v>0</v>
      </c>
      <c r="G567">
        <v>2</v>
      </c>
      <c r="H567">
        <v>2</v>
      </c>
      <c r="I567">
        <v>0.3</v>
      </c>
      <c r="J567">
        <v>0</v>
      </c>
      <c r="K567">
        <v>0.28789999999999999</v>
      </c>
      <c r="L567">
        <v>0.81</v>
      </c>
      <c r="M567">
        <v>0</v>
      </c>
      <c r="N567">
        <v>3</v>
      </c>
      <c r="O567">
        <v>13</v>
      </c>
      <c r="P567">
        <v>16</v>
      </c>
    </row>
    <row r="568" spans="1:16" x14ac:dyDescent="0.25">
      <c r="A568">
        <v>567</v>
      </c>
      <c r="B568" s="19">
        <v>40568</v>
      </c>
      <c r="C568">
        <v>1</v>
      </c>
      <c r="D568">
        <v>1</v>
      </c>
      <c r="E568">
        <v>19</v>
      </c>
      <c r="F568" t="b">
        <v>0</v>
      </c>
      <c r="G568">
        <v>2</v>
      </c>
      <c r="H568">
        <v>2</v>
      </c>
      <c r="I568">
        <v>0.26</v>
      </c>
      <c r="J568">
        <v>0</v>
      </c>
      <c r="K568">
        <v>0.28789999999999999</v>
      </c>
      <c r="L568">
        <v>0.81</v>
      </c>
      <c r="M568">
        <v>0</v>
      </c>
      <c r="N568">
        <v>3</v>
      </c>
      <c r="O568">
        <v>13</v>
      </c>
      <c r="P568">
        <v>16</v>
      </c>
    </row>
    <row r="569" spans="1:16" x14ac:dyDescent="0.25">
      <c r="A569">
        <v>568</v>
      </c>
      <c r="B569" s="19">
        <v>40568</v>
      </c>
      <c r="C569">
        <v>1</v>
      </c>
      <c r="D569">
        <v>1</v>
      </c>
      <c r="E569">
        <v>20</v>
      </c>
      <c r="F569" t="b">
        <v>0</v>
      </c>
      <c r="G569">
        <v>2</v>
      </c>
      <c r="H569">
        <v>1</v>
      </c>
      <c r="I569">
        <v>0.24</v>
      </c>
      <c r="J569">
        <v>0</v>
      </c>
      <c r="K569">
        <v>0.28789999999999999</v>
      </c>
      <c r="L569">
        <v>0.81</v>
      </c>
      <c r="M569">
        <v>0</v>
      </c>
      <c r="N569">
        <v>3</v>
      </c>
      <c r="O569">
        <v>13</v>
      </c>
      <c r="P569">
        <v>16</v>
      </c>
    </row>
    <row r="570" spans="1:16" x14ac:dyDescent="0.25">
      <c r="A570">
        <v>569</v>
      </c>
      <c r="B570" s="19">
        <v>40568</v>
      </c>
      <c r="C570">
        <v>1</v>
      </c>
      <c r="D570">
        <v>1</v>
      </c>
      <c r="E570">
        <v>21</v>
      </c>
      <c r="F570" t="b">
        <v>0</v>
      </c>
      <c r="G570">
        <v>2</v>
      </c>
      <c r="H570">
        <v>1</v>
      </c>
      <c r="I570">
        <v>0.24</v>
      </c>
      <c r="J570">
        <v>0</v>
      </c>
      <c r="K570">
        <v>0.28789999999999999</v>
      </c>
      <c r="L570">
        <v>0.81</v>
      </c>
      <c r="M570">
        <v>0</v>
      </c>
      <c r="N570">
        <v>3</v>
      </c>
      <c r="O570">
        <v>13</v>
      </c>
      <c r="P570">
        <v>16</v>
      </c>
    </row>
    <row r="571" spans="1:16" x14ac:dyDescent="0.25">
      <c r="A571">
        <v>570</v>
      </c>
      <c r="B571" s="19">
        <v>40568</v>
      </c>
      <c r="C571">
        <v>1</v>
      </c>
      <c r="D571">
        <v>1</v>
      </c>
      <c r="E571">
        <v>22</v>
      </c>
      <c r="F571" t="b">
        <v>0</v>
      </c>
      <c r="G571">
        <v>2</v>
      </c>
      <c r="H571">
        <v>1</v>
      </c>
      <c r="I571">
        <v>0.22</v>
      </c>
      <c r="J571">
        <v>0</v>
      </c>
      <c r="K571">
        <v>0.28789999999999999</v>
      </c>
      <c r="L571">
        <v>0.81</v>
      </c>
      <c r="M571">
        <v>0</v>
      </c>
      <c r="N571">
        <v>3</v>
      </c>
      <c r="O571">
        <v>13</v>
      </c>
      <c r="P571">
        <v>16</v>
      </c>
    </row>
    <row r="572" spans="1:16" x14ac:dyDescent="0.25">
      <c r="A572">
        <v>571</v>
      </c>
      <c r="B572" s="19">
        <v>40568</v>
      </c>
      <c r="C572">
        <v>1</v>
      </c>
      <c r="D572">
        <v>1</v>
      </c>
      <c r="E572">
        <v>23</v>
      </c>
      <c r="F572" t="b">
        <v>0</v>
      </c>
      <c r="G572">
        <v>2</v>
      </c>
      <c r="H572">
        <v>2</v>
      </c>
      <c r="I572">
        <v>0.22</v>
      </c>
      <c r="J572">
        <v>0</v>
      </c>
      <c r="K572">
        <v>0.28789999999999999</v>
      </c>
      <c r="L572">
        <v>0.81</v>
      </c>
      <c r="M572">
        <v>0</v>
      </c>
      <c r="N572">
        <v>3</v>
      </c>
      <c r="O572">
        <v>13</v>
      </c>
      <c r="P572">
        <v>16</v>
      </c>
    </row>
    <row r="573" spans="1:16" x14ac:dyDescent="0.25">
      <c r="A573">
        <v>572</v>
      </c>
      <c r="B573" s="19">
        <v>40569</v>
      </c>
      <c r="C573">
        <v>1</v>
      </c>
      <c r="D573">
        <v>1</v>
      </c>
      <c r="E573">
        <v>0</v>
      </c>
      <c r="F573" t="b">
        <v>0</v>
      </c>
      <c r="G573">
        <v>3</v>
      </c>
      <c r="H573">
        <v>2</v>
      </c>
      <c r="I573">
        <v>0.22</v>
      </c>
      <c r="J573">
        <v>0</v>
      </c>
      <c r="K573">
        <v>0.28789999999999999</v>
      </c>
      <c r="L573">
        <v>0.81</v>
      </c>
      <c r="M573">
        <v>0</v>
      </c>
      <c r="N573">
        <v>3</v>
      </c>
      <c r="O573">
        <v>13</v>
      </c>
      <c r="P573">
        <v>16</v>
      </c>
    </row>
    <row r="574" spans="1:16" x14ac:dyDescent="0.25">
      <c r="A574">
        <v>573</v>
      </c>
      <c r="B574" s="19">
        <v>40569</v>
      </c>
      <c r="C574">
        <v>1</v>
      </c>
      <c r="D574">
        <v>1</v>
      </c>
      <c r="E574">
        <v>1</v>
      </c>
      <c r="F574" t="b">
        <v>0</v>
      </c>
      <c r="G574">
        <v>3</v>
      </c>
      <c r="H574">
        <v>2</v>
      </c>
      <c r="I574">
        <v>0.24</v>
      </c>
      <c r="J574">
        <v>0</v>
      </c>
      <c r="K574">
        <v>0.28789999999999999</v>
      </c>
      <c r="L574">
        <v>0.81</v>
      </c>
      <c r="M574">
        <v>0</v>
      </c>
      <c r="N574">
        <v>3</v>
      </c>
      <c r="O574">
        <v>13</v>
      </c>
      <c r="P574">
        <v>16</v>
      </c>
    </row>
    <row r="575" spans="1:16" x14ac:dyDescent="0.25">
      <c r="A575">
        <v>574</v>
      </c>
      <c r="B575" s="19">
        <v>40569</v>
      </c>
      <c r="C575">
        <v>1</v>
      </c>
      <c r="D575">
        <v>1</v>
      </c>
      <c r="E575">
        <v>2</v>
      </c>
      <c r="F575" t="b">
        <v>0</v>
      </c>
      <c r="G575">
        <v>3</v>
      </c>
      <c r="H575">
        <v>3</v>
      </c>
      <c r="I575">
        <v>0.22</v>
      </c>
      <c r="J575">
        <v>0</v>
      </c>
      <c r="K575">
        <v>0.28789999999999999</v>
      </c>
      <c r="L575">
        <v>0.81</v>
      </c>
      <c r="M575">
        <v>0</v>
      </c>
      <c r="N575">
        <v>3</v>
      </c>
      <c r="O575">
        <v>13</v>
      </c>
      <c r="P575">
        <v>16</v>
      </c>
    </row>
    <row r="576" spans="1:16" x14ac:dyDescent="0.25">
      <c r="A576">
        <v>575</v>
      </c>
      <c r="B576" s="19">
        <v>40569</v>
      </c>
      <c r="C576">
        <v>1</v>
      </c>
      <c r="D576">
        <v>1</v>
      </c>
      <c r="E576">
        <v>5</v>
      </c>
      <c r="F576" t="b">
        <v>0</v>
      </c>
      <c r="G576">
        <v>3</v>
      </c>
      <c r="H576">
        <v>3</v>
      </c>
      <c r="I576">
        <v>0.2</v>
      </c>
      <c r="J576">
        <v>0</v>
      </c>
      <c r="K576">
        <v>0.28789999999999999</v>
      </c>
      <c r="L576">
        <v>0.81</v>
      </c>
      <c r="M576">
        <v>0</v>
      </c>
      <c r="N576">
        <v>3</v>
      </c>
      <c r="O576">
        <v>13</v>
      </c>
      <c r="P576">
        <v>16</v>
      </c>
    </row>
    <row r="577" spans="1:16" x14ac:dyDescent="0.25">
      <c r="A577">
        <v>576</v>
      </c>
      <c r="B577" s="19">
        <v>40569</v>
      </c>
      <c r="C577">
        <v>1</v>
      </c>
      <c r="D577">
        <v>1</v>
      </c>
      <c r="E577">
        <v>6</v>
      </c>
      <c r="F577" t="b">
        <v>0</v>
      </c>
      <c r="G577">
        <v>3</v>
      </c>
      <c r="H577">
        <v>3</v>
      </c>
      <c r="I577">
        <v>0.2</v>
      </c>
      <c r="J577">
        <v>0</v>
      </c>
      <c r="K577">
        <v>0.28789999999999999</v>
      </c>
      <c r="L577">
        <v>0.81</v>
      </c>
      <c r="M577">
        <v>0</v>
      </c>
      <c r="N577">
        <v>3</v>
      </c>
      <c r="O577">
        <v>13</v>
      </c>
      <c r="P577">
        <v>16</v>
      </c>
    </row>
    <row r="578" spans="1:16" x14ac:dyDescent="0.25">
      <c r="A578">
        <v>577</v>
      </c>
      <c r="B578" s="19">
        <v>40569</v>
      </c>
      <c r="C578">
        <v>1</v>
      </c>
      <c r="D578">
        <v>1</v>
      </c>
      <c r="E578">
        <v>7</v>
      </c>
      <c r="F578" t="b">
        <v>0</v>
      </c>
      <c r="G578">
        <v>3</v>
      </c>
      <c r="H578">
        <v>3</v>
      </c>
      <c r="I578">
        <v>0.22</v>
      </c>
      <c r="J578">
        <v>0</v>
      </c>
      <c r="K578">
        <v>0.28789999999999999</v>
      </c>
      <c r="L578">
        <v>0.81</v>
      </c>
      <c r="M578">
        <v>0</v>
      </c>
      <c r="N578">
        <v>3</v>
      </c>
      <c r="O578">
        <v>13</v>
      </c>
      <c r="P578">
        <v>16</v>
      </c>
    </row>
    <row r="579" spans="1:16" x14ac:dyDescent="0.25">
      <c r="A579">
        <v>578</v>
      </c>
      <c r="B579" s="19">
        <v>40569</v>
      </c>
      <c r="C579">
        <v>1</v>
      </c>
      <c r="D579">
        <v>1</v>
      </c>
      <c r="E579">
        <v>8</v>
      </c>
      <c r="F579" t="b">
        <v>0</v>
      </c>
      <c r="G579">
        <v>3</v>
      </c>
      <c r="H579">
        <v>3</v>
      </c>
      <c r="I579">
        <v>0.22</v>
      </c>
      <c r="J579">
        <v>0</v>
      </c>
      <c r="K579">
        <v>0.28789999999999999</v>
      </c>
      <c r="L579">
        <v>0.81</v>
      </c>
      <c r="M579">
        <v>0</v>
      </c>
      <c r="N579">
        <v>3</v>
      </c>
      <c r="O579">
        <v>13</v>
      </c>
      <c r="P579">
        <v>16</v>
      </c>
    </row>
    <row r="580" spans="1:16" x14ac:dyDescent="0.25">
      <c r="A580">
        <v>579</v>
      </c>
      <c r="B580" s="19">
        <v>40569</v>
      </c>
      <c r="C580">
        <v>1</v>
      </c>
      <c r="D580">
        <v>1</v>
      </c>
      <c r="E580">
        <v>9</v>
      </c>
      <c r="F580" t="b">
        <v>0</v>
      </c>
      <c r="G580">
        <v>3</v>
      </c>
      <c r="H580">
        <v>3</v>
      </c>
      <c r="I580">
        <v>0.22</v>
      </c>
      <c r="J580">
        <v>0</v>
      </c>
      <c r="K580">
        <v>0.28789999999999999</v>
      </c>
      <c r="L580">
        <v>0.81</v>
      </c>
      <c r="M580">
        <v>0</v>
      </c>
      <c r="N580">
        <v>3</v>
      </c>
      <c r="O580">
        <v>13</v>
      </c>
      <c r="P580">
        <v>16</v>
      </c>
    </row>
    <row r="581" spans="1:16" x14ac:dyDescent="0.25">
      <c r="A581">
        <v>580</v>
      </c>
      <c r="B581" s="19">
        <v>40569</v>
      </c>
      <c r="C581">
        <v>1</v>
      </c>
      <c r="D581">
        <v>1</v>
      </c>
      <c r="E581">
        <v>10</v>
      </c>
      <c r="F581" t="b">
        <v>0</v>
      </c>
      <c r="G581">
        <v>3</v>
      </c>
      <c r="H581">
        <v>3</v>
      </c>
      <c r="I581">
        <v>0.22</v>
      </c>
      <c r="J581">
        <v>0</v>
      </c>
      <c r="K581">
        <v>0.28789999999999999</v>
      </c>
      <c r="L581">
        <v>0.81</v>
      </c>
      <c r="M581">
        <v>0</v>
      </c>
      <c r="N581">
        <v>3</v>
      </c>
      <c r="O581">
        <v>13</v>
      </c>
      <c r="P581">
        <v>16</v>
      </c>
    </row>
    <row r="582" spans="1:16" x14ac:dyDescent="0.25">
      <c r="A582">
        <v>581</v>
      </c>
      <c r="B582" s="19">
        <v>40569</v>
      </c>
      <c r="C582">
        <v>1</v>
      </c>
      <c r="D582">
        <v>1</v>
      </c>
      <c r="E582">
        <v>11</v>
      </c>
      <c r="F582" t="b">
        <v>0</v>
      </c>
      <c r="G582">
        <v>3</v>
      </c>
      <c r="H582">
        <v>3</v>
      </c>
      <c r="I582">
        <v>0.22</v>
      </c>
      <c r="J582">
        <v>0</v>
      </c>
      <c r="K582">
        <v>0.28789999999999999</v>
      </c>
      <c r="L582">
        <v>0.81</v>
      </c>
      <c r="M582">
        <v>0</v>
      </c>
      <c r="N582">
        <v>3</v>
      </c>
      <c r="O582">
        <v>13</v>
      </c>
      <c r="P582">
        <v>16</v>
      </c>
    </row>
    <row r="583" spans="1:16" x14ac:dyDescent="0.25">
      <c r="A583">
        <v>582</v>
      </c>
      <c r="B583" s="19">
        <v>40569</v>
      </c>
      <c r="C583">
        <v>1</v>
      </c>
      <c r="D583">
        <v>1</v>
      </c>
      <c r="E583">
        <v>12</v>
      </c>
      <c r="F583" t="b">
        <v>0</v>
      </c>
      <c r="G583">
        <v>3</v>
      </c>
      <c r="H583">
        <v>3</v>
      </c>
      <c r="I583">
        <v>0.22</v>
      </c>
      <c r="J583">
        <v>0</v>
      </c>
      <c r="K583">
        <v>0.28789999999999999</v>
      </c>
      <c r="L583">
        <v>0.81</v>
      </c>
      <c r="M583">
        <v>0</v>
      </c>
      <c r="N583">
        <v>3</v>
      </c>
      <c r="O583">
        <v>13</v>
      </c>
      <c r="P583">
        <v>16</v>
      </c>
    </row>
    <row r="584" spans="1:16" x14ac:dyDescent="0.25">
      <c r="A584">
        <v>583</v>
      </c>
      <c r="B584" s="19">
        <v>40569</v>
      </c>
      <c r="C584">
        <v>1</v>
      </c>
      <c r="D584">
        <v>1</v>
      </c>
      <c r="E584">
        <v>13</v>
      </c>
      <c r="F584" t="b">
        <v>0</v>
      </c>
      <c r="G584">
        <v>3</v>
      </c>
      <c r="H584">
        <v>3</v>
      </c>
      <c r="I584">
        <v>0.22</v>
      </c>
      <c r="J584">
        <v>0</v>
      </c>
      <c r="K584">
        <v>0.28789999999999999</v>
      </c>
      <c r="L584">
        <v>0.81</v>
      </c>
      <c r="M584">
        <v>0</v>
      </c>
      <c r="N584">
        <v>3</v>
      </c>
      <c r="O584">
        <v>13</v>
      </c>
      <c r="P584">
        <v>16</v>
      </c>
    </row>
    <row r="585" spans="1:16" x14ac:dyDescent="0.25">
      <c r="A585">
        <v>584</v>
      </c>
      <c r="B585" s="19">
        <v>40569</v>
      </c>
      <c r="C585">
        <v>1</v>
      </c>
      <c r="D585">
        <v>1</v>
      </c>
      <c r="E585">
        <v>14</v>
      </c>
      <c r="F585" t="b">
        <v>0</v>
      </c>
      <c r="G585">
        <v>3</v>
      </c>
      <c r="H585">
        <v>3</v>
      </c>
      <c r="I585">
        <v>0.22</v>
      </c>
      <c r="J585">
        <v>0</v>
      </c>
      <c r="K585">
        <v>0.28789999999999999</v>
      </c>
      <c r="L585">
        <v>0.81</v>
      </c>
      <c r="M585">
        <v>0</v>
      </c>
      <c r="N585">
        <v>3</v>
      </c>
      <c r="O585">
        <v>13</v>
      </c>
      <c r="P585">
        <v>16</v>
      </c>
    </row>
    <row r="586" spans="1:16" x14ac:dyDescent="0.25">
      <c r="A586">
        <v>585</v>
      </c>
      <c r="B586" s="19">
        <v>40569</v>
      </c>
      <c r="C586">
        <v>1</v>
      </c>
      <c r="D586">
        <v>1</v>
      </c>
      <c r="E586">
        <v>15</v>
      </c>
      <c r="F586" t="b">
        <v>0</v>
      </c>
      <c r="G586">
        <v>3</v>
      </c>
      <c r="H586">
        <v>3</v>
      </c>
      <c r="I586">
        <v>0.22</v>
      </c>
      <c r="J586">
        <v>0</v>
      </c>
      <c r="K586">
        <v>0.28789999999999999</v>
      </c>
      <c r="L586">
        <v>0.81</v>
      </c>
      <c r="M586">
        <v>0</v>
      </c>
      <c r="N586">
        <v>3</v>
      </c>
      <c r="O586">
        <v>13</v>
      </c>
      <c r="P586">
        <v>16</v>
      </c>
    </row>
    <row r="587" spans="1:16" x14ac:dyDescent="0.25">
      <c r="A587">
        <v>586</v>
      </c>
      <c r="B587" s="19">
        <v>40569</v>
      </c>
      <c r="C587">
        <v>1</v>
      </c>
      <c r="D587">
        <v>1</v>
      </c>
      <c r="E587">
        <v>16</v>
      </c>
      <c r="F587" t="b">
        <v>0</v>
      </c>
      <c r="G587">
        <v>3</v>
      </c>
      <c r="H587">
        <v>4</v>
      </c>
      <c r="I587">
        <v>0.22</v>
      </c>
      <c r="J587">
        <v>0</v>
      </c>
      <c r="K587">
        <v>0.28789999999999999</v>
      </c>
      <c r="L587">
        <v>0.81</v>
      </c>
      <c r="M587">
        <v>0</v>
      </c>
      <c r="N587">
        <v>3</v>
      </c>
      <c r="O587">
        <v>13</v>
      </c>
      <c r="P587">
        <v>16</v>
      </c>
    </row>
    <row r="588" spans="1:16" x14ac:dyDescent="0.25">
      <c r="A588">
        <v>587</v>
      </c>
      <c r="B588" s="19">
        <v>40569</v>
      </c>
      <c r="C588">
        <v>1</v>
      </c>
      <c r="D588">
        <v>1</v>
      </c>
      <c r="E588">
        <v>17</v>
      </c>
      <c r="F588" t="b">
        <v>0</v>
      </c>
      <c r="G588">
        <v>3</v>
      </c>
      <c r="H588">
        <v>3</v>
      </c>
      <c r="I588">
        <v>0.2</v>
      </c>
      <c r="J588">
        <v>0</v>
      </c>
      <c r="K588">
        <v>0.28789999999999999</v>
      </c>
      <c r="L588">
        <v>0.81</v>
      </c>
      <c r="M588">
        <v>0</v>
      </c>
      <c r="N588">
        <v>3</v>
      </c>
      <c r="O588">
        <v>13</v>
      </c>
      <c r="P588">
        <v>16</v>
      </c>
    </row>
    <row r="589" spans="1:16" x14ac:dyDescent="0.25">
      <c r="A589">
        <v>588</v>
      </c>
      <c r="B589" s="19">
        <v>40570</v>
      </c>
      <c r="C589">
        <v>1</v>
      </c>
      <c r="D589">
        <v>1</v>
      </c>
      <c r="E589">
        <v>16</v>
      </c>
      <c r="F589" t="b">
        <v>0</v>
      </c>
      <c r="G589">
        <v>4</v>
      </c>
      <c r="H589">
        <v>1</v>
      </c>
      <c r="I589">
        <v>0.22</v>
      </c>
      <c r="J589">
        <v>0</v>
      </c>
      <c r="K589">
        <v>0.28789999999999999</v>
      </c>
      <c r="L589">
        <v>0.81</v>
      </c>
      <c r="M589">
        <v>0</v>
      </c>
      <c r="N589">
        <v>3</v>
      </c>
      <c r="O589">
        <v>13</v>
      </c>
      <c r="P589">
        <v>16</v>
      </c>
    </row>
    <row r="590" spans="1:16" x14ac:dyDescent="0.25">
      <c r="A590">
        <v>589</v>
      </c>
      <c r="B590" s="19">
        <v>40570</v>
      </c>
      <c r="C590">
        <v>1</v>
      </c>
      <c r="D590">
        <v>1</v>
      </c>
      <c r="E590">
        <v>17</v>
      </c>
      <c r="F590" t="b">
        <v>0</v>
      </c>
      <c r="G590">
        <v>4</v>
      </c>
      <c r="H590">
        <v>1</v>
      </c>
      <c r="I590">
        <v>0.22</v>
      </c>
      <c r="J590">
        <v>0</v>
      </c>
      <c r="K590">
        <v>0.28789999999999999</v>
      </c>
      <c r="L590">
        <v>0.81</v>
      </c>
      <c r="M590">
        <v>0</v>
      </c>
      <c r="N590">
        <v>3</v>
      </c>
      <c r="O590">
        <v>13</v>
      </c>
      <c r="P590">
        <v>16</v>
      </c>
    </row>
    <row r="591" spans="1:16" x14ac:dyDescent="0.25">
      <c r="A591">
        <v>590</v>
      </c>
      <c r="B591" s="19">
        <v>40570</v>
      </c>
      <c r="C591">
        <v>1</v>
      </c>
      <c r="D591">
        <v>1</v>
      </c>
      <c r="E591">
        <v>18</v>
      </c>
      <c r="F591" t="b">
        <v>0</v>
      </c>
      <c r="G591">
        <v>4</v>
      </c>
      <c r="H591">
        <v>1</v>
      </c>
      <c r="I591">
        <v>0.2</v>
      </c>
      <c r="J591">
        <v>0</v>
      </c>
      <c r="K591">
        <v>0.28789999999999999</v>
      </c>
      <c r="L591">
        <v>0.81</v>
      </c>
      <c r="M591">
        <v>0</v>
      </c>
      <c r="N591">
        <v>3</v>
      </c>
      <c r="O591">
        <v>13</v>
      </c>
      <c r="P591">
        <v>16</v>
      </c>
    </row>
    <row r="592" spans="1:16" x14ac:dyDescent="0.25">
      <c r="A592">
        <v>591</v>
      </c>
      <c r="B592" s="19">
        <v>40570</v>
      </c>
      <c r="C592">
        <v>1</v>
      </c>
      <c r="D592">
        <v>1</v>
      </c>
      <c r="E592">
        <v>19</v>
      </c>
      <c r="F592" t="b">
        <v>0</v>
      </c>
      <c r="G592">
        <v>4</v>
      </c>
      <c r="H592">
        <v>1</v>
      </c>
      <c r="I592">
        <v>0.2</v>
      </c>
      <c r="J592">
        <v>0</v>
      </c>
      <c r="K592">
        <v>0.28789999999999999</v>
      </c>
      <c r="L592">
        <v>0.81</v>
      </c>
      <c r="M592">
        <v>0</v>
      </c>
      <c r="N592">
        <v>3</v>
      </c>
      <c r="O592">
        <v>13</v>
      </c>
      <c r="P592">
        <v>16</v>
      </c>
    </row>
    <row r="593" spans="1:16" x14ac:dyDescent="0.25">
      <c r="A593">
        <v>592</v>
      </c>
      <c r="B593" s="19">
        <v>40570</v>
      </c>
      <c r="C593">
        <v>1</v>
      </c>
      <c r="D593">
        <v>1</v>
      </c>
      <c r="E593">
        <v>20</v>
      </c>
      <c r="F593" t="b">
        <v>0</v>
      </c>
      <c r="G593">
        <v>4</v>
      </c>
      <c r="H593">
        <v>1</v>
      </c>
      <c r="I593">
        <v>0.18</v>
      </c>
      <c r="J593">
        <v>0</v>
      </c>
      <c r="K593">
        <v>0.28789999999999999</v>
      </c>
      <c r="L593">
        <v>0.81</v>
      </c>
      <c r="M593">
        <v>0</v>
      </c>
      <c r="N593">
        <v>3</v>
      </c>
      <c r="O593">
        <v>13</v>
      </c>
      <c r="P593">
        <v>16</v>
      </c>
    </row>
    <row r="594" spans="1:16" x14ac:dyDescent="0.25">
      <c r="A594">
        <v>593</v>
      </c>
      <c r="B594" s="19">
        <v>40570</v>
      </c>
      <c r="C594">
        <v>1</v>
      </c>
      <c r="D594">
        <v>1</v>
      </c>
      <c r="E594">
        <v>21</v>
      </c>
      <c r="F594" t="b">
        <v>0</v>
      </c>
      <c r="G594">
        <v>4</v>
      </c>
      <c r="H594">
        <v>1</v>
      </c>
      <c r="I594">
        <v>0.18</v>
      </c>
      <c r="J594">
        <v>0</v>
      </c>
      <c r="K594">
        <v>0.28789999999999999</v>
      </c>
      <c r="L594">
        <v>0.81</v>
      </c>
      <c r="M594">
        <v>0</v>
      </c>
      <c r="N594">
        <v>3</v>
      </c>
      <c r="O594">
        <v>13</v>
      </c>
      <c r="P594">
        <v>16</v>
      </c>
    </row>
    <row r="595" spans="1:16" x14ac:dyDescent="0.25">
      <c r="A595">
        <v>594</v>
      </c>
      <c r="B595" s="19">
        <v>40570</v>
      </c>
      <c r="C595">
        <v>1</v>
      </c>
      <c r="D595">
        <v>1</v>
      </c>
      <c r="E595">
        <v>22</v>
      </c>
      <c r="F595" t="b">
        <v>0</v>
      </c>
      <c r="G595">
        <v>4</v>
      </c>
      <c r="H595">
        <v>1</v>
      </c>
      <c r="I595">
        <v>0.18</v>
      </c>
      <c r="J595">
        <v>0</v>
      </c>
      <c r="K595">
        <v>0.28789999999999999</v>
      </c>
      <c r="L595">
        <v>0.81</v>
      </c>
      <c r="M595">
        <v>0</v>
      </c>
      <c r="N595">
        <v>3</v>
      </c>
      <c r="O595">
        <v>13</v>
      </c>
      <c r="P595">
        <v>16</v>
      </c>
    </row>
    <row r="596" spans="1:16" x14ac:dyDescent="0.25">
      <c r="A596">
        <v>595</v>
      </c>
      <c r="B596" s="19">
        <v>40570</v>
      </c>
      <c r="C596">
        <v>1</v>
      </c>
      <c r="D596">
        <v>1</v>
      </c>
      <c r="E596">
        <v>23</v>
      </c>
      <c r="F596" t="b">
        <v>0</v>
      </c>
      <c r="G596">
        <v>4</v>
      </c>
      <c r="H596">
        <v>1</v>
      </c>
      <c r="I596">
        <v>0.18</v>
      </c>
      <c r="J596">
        <v>0</v>
      </c>
      <c r="K596">
        <v>0.28789999999999999</v>
      </c>
      <c r="L596">
        <v>0.81</v>
      </c>
      <c r="M596">
        <v>0</v>
      </c>
      <c r="N596">
        <v>3</v>
      </c>
      <c r="O596">
        <v>13</v>
      </c>
      <c r="P596">
        <v>16</v>
      </c>
    </row>
    <row r="597" spans="1:16" x14ac:dyDescent="0.25">
      <c r="A597">
        <v>596</v>
      </c>
      <c r="B597" s="19">
        <v>40571</v>
      </c>
      <c r="C597">
        <v>1</v>
      </c>
      <c r="D597">
        <v>1</v>
      </c>
      <c r="E597">
        <v>0</v>
      </c>
      <c r="F597" t="b">
        <v>0</v>
      </c>
      <c r="G597">
        <v>5</v>
      </c>
      <c r="H597">
        <v>2</v>
      </c>
      <c r="I597">
        <v>0.2</v>
      </c>
      <c r="J597">
        <v>0</v>
      </c>
      <c r="K597">
        <v>0.28789999999999999</v>
      </c>
      <c r="L597">
        <v>0.81</v>
      </c>
      <c r="M597">
        <v>0</v>
      </c>
      <c r="N597">
        <v>3</v>
      </c>
      <c r="O597">
        <v>13</v>
      </c>
      <c r="P597">
        <v>16</v>
      </c>
    </row>
    <row r="598" spans="1:16" x14ac:dyDescent="0.25">
      <c r="A598">
        <v>597</v>
      </c>
      <c r="B598" s="19">
        <v>40571</v>
      </c>
      <c r="C598">
        <v>1</v>
      </c>
      <c r="D598">
        <v>1</v>
      </c>
      <c r="E598">
        <v>1</v>
      </c>
      <c r="F598" t="b">
        <v>0</v>
      </c>
      <c r="G598">
        <v>5</v>
      </c>
      <c r="H598">
        <v>2</v>
      </c>
      <c r="I598">
        <v>0.2</v>
      </c>
      <c r="J598">
        <v>0</v>
      </c>
      <c r="K598">
        <v>0.28789999999999999</v>
      </c>
      <c r="L598">
        <v>0.81</v>
      </c>
      <c r="M598">
        <v>0</v>
      </c>
      <c r="N598">
        <v>3</v>
      </c>
      <c r="O598">
        <v>13</v>
      </c>
      <c r="P598">
        <v>16</v>
      </c>
    </row>
    <row r="599" spans="1:16" x14ac:dyDescent="0.25">
      <c r="A599">
        <v>598</v>
      </c>
      <c r="B599" s="19">
        <v>40571</v>
      </c>
      <c r="C599">
        <v>1</v>
      </c>
      <c r="D599">
        <v>1</v>
      </c>
      <c r="E599">
        <v>2</v>
      </c>
      <c r="F599" t="b">
        <v>0</v>
      </c>
      <c r="G599">
        <v>5</v>
      </c>
      <c r="H599">
        <v>2</v>
      </c>
      <c r="I599">
        <v>0.2</v>
      </c>
      <c r="J599">
        <v>0</v>
      </c>
      <c r="K599">
        <v>0.28789999999999999</v>
      </c>
      <c r="L599">
        <v>0.81</v>
      </c>
      <c r="M599">
        <v>0</v>
      </c>
      <c r="N599">
        <v>3</v>
      </c>
      <c r="O599">
        <v>13</v>
      </c>
      <c r="P599">
        <v>16</v>
      </c>
    </row>
    <row r="600" spans="1:16" x14ac:dyDescent="0.25">
      <c r="A600">
        <v>599</v>
      </c>
      <c r="B600" s="19">
        <v>40571</v>
      </c>
      <c r="C600">
        <v>1</v>
      </c>
      <c r="D600">
        <v>1</v>
      </c>
      <c r="E600">
        <v>3</v>
      </c>
      <c r="F600" t="b">
        <v>0</v>
      </c>
      <c r="G600">
        <v>5</v>
      </c>
      <c r="H600">
        <v>2</v>
      </c>
      <c r="I600">
        <v>0.2</v>
      </c>
      <c r="J600">
        <v>0</v>
      </c>
      <c r="K600">
        <v>0.28789999999999999</v>
      </c>
      <c r="L600">
        <v>0.81</v>
      </c>
      <c r="M600">
        <v>0</v>
      </c>
      <c r="N600">
        <v>3</v>
      </c>
      <c r="O600">
        <v>13</v>
      </c>
      <c r="P600">
        <v>16</v>
      </c>
    </row>
    <row r="601" spans="1:16" x14ac:dyDescent="0.25">
      <c r="A601">
        <v>600</v>
      </c>
      <c r="B601" s="19">
        <v>40571</v>
      </c>
      <c r="C601">
        <v>1</v>
      </c>
      <c r="D601">
        <v>1</v>
      </c>
      <c r="E601">
        <v>5</v>
      </c>
      <c r="F601" t="b">
        <v>0</v>
      </c>
      <c r="G601">
        <v>5</v>
      </c>
      <c r="H601">
        <v>2</v>
      </c>
      <c r="I601">
        <v>0.18</v>
      </c>
      <c r="J601">
        <v>0</v>
      </c>
      <c r="K601">
        <v>0.28789999999999999</v>
      </c>
      <c r="L601">
        <v>0.81</v>
      </c>
      <c r="M601">
        <v>0</v>
      </c>
      <c r="N601">
        <v>3</v>
      </c>
      <c r="O601">
        <v>13</v>
      </c>
      <c r="P601">
        <v>16</v>
      </c>
    </row>
    <row r="602" spans="1:16" x14ac:dyDescent="0.25">
      <c r="A602">
        <v>601</v>
      </c>
      <c r="B602" s="19">
        <v>40571</v>
      </c>
      <c r="C602">
        <v>1</v>
      </c>
      <c r="D602">
        <v>1</v>
      </c>
      <c r="E602">
        <v>6</v>
      </c>
      <c r="F602" t="b">
        <v>0</v>
      </c>
      <c r="G602">
        <v>5</v>
      </c>
      <c r="H602">
        <v>2</v>
      </c>
      <c r="I602">
        <v>0.18</v>
      </c>
      <c r="J602">
        <v>0</v>
      </c>
      <c r="K602">
        <v>0.28789999999999999</v>
      </c>
      <c r="L602">
        <v>0.81</v>
      </c>
      <c r="M602">
        <v>0</v>
      </c>
      <c r="N602">
        <v>3</v>
      </c>
      <c r="O602">
        <v>13</v>
      </c>
      <c r="P602">
        <v>16</v>
      </c>
    </row>
    <row r="603" spans="1:16" x14ac:dyDescent="0.25">
      <c r="A603">
        <v>602</v>
      </c>
      <c r="B603" s="19">
        <v>40571</v>
      </c>
      <c r="C603">
        <v>1</v>
      </c>
      <c r="D603">
        <v>1</v>
      </c>
      <c r="E603">
        <v>7</v>
      </c>
      <c r="F603" t="b">
        <v>0</v>
      </c>
      <c r="G603">
        <v>5</v>
      </c>
      <c r="H603">
        <v>2</v>
      </c>
      <c r="I603">
        <v>0.16</v>
      </c>
      <c r="J603">
        <v>0</v>
      </c>
      <c r="K603">
        <v>0.28789999999999999</v>
      </c>
      <c r="L603">
        <v>0.81</v>
      </c>
      <c r="M603">
        <v>0</v>
      </c>
      <c r="N603">
        <v>3</v>
      </c>
      <c r="O603">
        <v>13</v>
      </c>
      <c r="P603">
        <v>16</v>
      </c>
    </row>
    <row r="604" spans="1:16" x14ac:dyDescent="0.25">
      <c r="A604">
        <v>603</v>
      </c>
      <c r="B604" s="19">
        <v>40571</v>
      </c>
      <c r="C604">
        <v>1</v>
      </c>
      <c r="D604">
        <v>1</v>
      </c>
      <c r="E604">
        <v>8</v>
      </c>
      <c r="F604" t="b">
        <v>0</v>
      </c>
      <c r="G604">
        <v>5</v>
      </c>
      <c r="H604">
        <v>2</v>
      </c>
      <c r="I604">
        <v>0.16</v>
      </c>
      <c r="J604">
        <v>0</v>
      </c>
      <c r="K604">
        <v>0.28789999999999999</v>
      </c>
      <c r="L604">
        <v>0.81</v>
      </c>
      <c r="M604">
        <v>0</v>
      </c>
      <c r="N604">
        <v>3</v>
      </c>
      <c r="O604">
        <v>13</v>
      </c>
      <c r="P604">
        <v>16</v>
      </c>
    </row>
    <row r="605" spans="1:16" x14ac:dyDescent="0.25">
      <c r="A605">
        <v>604</v>
      </c>
      <c r="B605" s="19">
        <v>40571</v>
      </c>
      <c r="C605">
        <v>1</v>
      </c>
      <c r="D605">
        <v>1</v>
      </c>
      <c r="E605">
        <v>9</v>
      </c>
      <c r="F605" t="b">
        <v>0</v>
      </c>
      <c r="G605">
        <v>5</v>
      </c>
      <c r="H605">
        <v>3</v>
      </c>
      <c r="I605">
        <v>0.18</v>
      </c>
      <c r="J605">
        <v>0</v>
      </c>
      <c r="K605">
        <v>0.28789999999999999</v>
      </c>
      <c r="L605">
        <v>0.81</v>
      </c>
      <c r="M605">
        <v>0</v>
      </c>
      <c r="N605">
        <v>3</v>
      </c>
      <c r="O605">
        <v>13</v>
      </c>
      <c r="P605">
        <v>16</v>
      </c>
    </row>
    <row r="606" spans="1:16" x14ac:dyDescent="0.25">
      <c r="A606">
        <v>605</v>
      </c>
      <c r="B606" s="19">
        <v>40571</v>
      </c>
      <c r="C606">
        <v>1</v>
      </c>
      <c r="D606">
        <v>1</v>
      </c>
      <c r="E606">
        <v>10</v>
      </c>
      <c r="F606" t="b">
        <v>0</v>
      </c>
      <c r="G606">
        <v>5</v>
      </c>
      <c r="H606">
        <v>3</v>
      </c>
      <c r="I606">
        <v>0.18</v>
      </c>
      <c r="J606">
        <v>0</v>
      </c>
      <c r="K606">
        <v>0.28789999999999999</v>
      </c>
      <c r="L606">
        <v>0.81</v>
      </c>
      <c r="M606">
        <v>0</v>
      </c>
      <c r="N606">
        <v>3</v>
      </c>
      <c r="O606">
        <v>13</v>
      </c>
      <c r="P606">
        <v>16</v>
      </c>
    </row>
    <row r="607" spans="1:16" x14ac:dyDescent="0.25">
      <c r="A607">
        <v>606</v>
      </c>
      <c r="B607" s="19">
        <v>40571</v>
      </c>
      <c r="C607">
        <v>1</v>
      </c>
      <c r="D607">
        <v>1</v>
      </c>
      <c r="E607">
        <v>11</v>
      </c>
      <c r="F607" t="b">
        <v>0</v>
      </c>
      <c r="G607">
        <v>5</v>
      </c>
      <c r="H607">
        <v>3</v>
      </c>
      <c r="I607">
        <v>0.18</v>
      </c>
      <c r="J607">
        <v>0</v>
      </c>
      <c r="K607">
        <v>0.28789999999999999</v>
      </c>
      <c r="L607">
        <v>0.81</v>
      </c>
      <c r="M607">
        <v>0</v>
      </c>
      <c r="N607">
        <v>3</v>
      </c>
      <c r="O607">
        <v>13</v>
      </c>
      <c r="P607">
        <v>16</v>
      </c>
    </row>
    <row r="608" spans="1:16" x14ac:dyDescent="0.25">
      <c r="A608">
        <v>607</v>
      </c>
      <c r="B608" s="19">
        <v>40571</v>
      </c>
      <c r="C608">
        <v>1</v>
      </c>
      <c r="D608">
        <v>1</v>
      </c>
      <c r="E608">
        <v>12</v>
      </c>
      <c r="F608" t="b">
        <v>0</v>
      </c>
      <c r="G608">
        <v>5</v>
      </c>
      <c r="H608">
        <v>3</v>
      </c>
      <c r="I608">
        <v>0.18</v>
      </c>
      <c r="J608">
        <v>0</v>
      </c>
      <c r="K608">
        <v>0.28789999999999999</v>
      </c>
      <c r="L608">
        <v>0.81</v>
      </c>
      <c r="M608">
        <v>0</v>
      </c>
      <c r="N608">
        <v>3</v>
      </c>
      <c r="O608">
        <v>13</v>
      </c>
      <c r="P608">
        <v>16</v>
      </c>
    </row>
    <row r="609" spans="1:16" x14ac:dyDescent="0.25">
      <c r="A609">
        <v>608</v>
      </c>
      <c r="B609" s="19">
        <v>40571</v>
      </c>
      <c r="C609">
        <v>1</v>
      </c>
      <c r="D609">
        <v>1</v>
      </c>
      <c r="E609">
        <v>13</v>
      </c>
      <c r="F609" t="b">
        <v>0</v>
      </c>
      <c r="G609">
        <v>5</v>
      </c>
      <c r="H609">
        <v>3</v>
      </c>
      <c r="I609">
        <v>0.18</v>
      </c>
      <c r="J609">
        <v>0</v>
      </c>
      <c r="K609">
        <v>0.28789999999999999</v>
      </c>
      <c r="L609">
        <v>0.81</v>
      </c>
      <c r="M609">
        <v>0</v>
      </c>
      <c r="N609">
        <v>3</v>
      </c>
      <c r="O609">
        <v>13</v>
      </c>
      <c r="P609">
        <v>16</v>
      </c>
    </row>
    <row r="610" spans="1:16" x14ac:dyDescent="0.25">
      <c r="A610">
        <v>609</v>
      </c>
      <c r="B610" s="19">
        <v>40571</v>
      </c>
      <c r="C610">
        <v>1</v>
      </c>
      <c r="D610">
        <v>1</v>
      </c>
      <c r="E610">
        <v>14</v>
      </c>
      <c r="F610" t="b">
        <v>0</v>
      </c>
      <c r="G610">
        <v>5</v>
      </c>
      <c r="H610">
        <v>3</v>
      </c>
      <c r="I610">
        <v>0.22</v>
      </c>
      <c r="J610">
        <v>0</v>
      </c>
      <c r="K610">
        <v>0.28789999999999999</v>
      </c>
      <c r="L610">
        <v>0.81</v>
      </c>
      <c r="M610">
        <v>0</v>
      </c>
      <c r="N610">
        <v>3</v>
      </c>
      <c r="O610">
        <v>13</v>
      </c>
      <c r="P610">
        <v>16</v>
      </c>
    </row>
    <row r="611" spans="1:16" x14ac:dyDescent="0.25">
      <c r="A611">
        <v>610</v>
      </c>
      <c r="B611" s="19">
        <v>40571</v>
      </c>
      <c r="C611">
        <v>1</v>
      </c>
      <c r="D611">
        <v>1</v>
      </c>
      <c r="E611">
        <v>15</v>
      </c>
      <c r="F611" t="b">
        <v>0</v>
      </c>
      <c r="G611">
        <v>5</v>
      </c>
      <c r="H611">
        <v>2</v>
      </c>
      <c r="I611">
        <v>0.2</v>
      </c>
      <c r="J611">
        <v>0</v>
      </c>
      <c r="K611">
        <v>0.28789999999999999</v>
      </c>
      <c r="L611">
        <v>0.81</v>
      </c>
      <c r="M611">
        <v>0</v>
      </c>
      <c r="N611">
        <v>3</v>
      </c>
      <c r="O611">
        <v>13</v>
      </c>
      <c r="P611">
        <v>16</v>
      </c>
    </row>
    <row r="612" spans="1:16" x14ac:dyDescent="0.25">
      <c r="A612">
        <v>1</v>
      </c>
      <c r="B612" s="19">
        <v>40571</v>
      </c>
      <c r="C612">
        <v>1</v>
      </c>
      <c r="D612">
        <v>1</v>
      </c>
      <c r="E612">
        <v>15</v>
      </c>
      <c r="F612" t="b">
        <v>0</v>
      </c>
      <c r="G612">
        <v>5</v>
      </c>
      <c r="H612">
        <v>2</v>
      </c>
      <c r="I612">
        <v>0.2</v>
      </c>
      <c r="J612">
        <v>0</v>
      </c>
      <c r="K612">
        <v>0.28789999999999999</v>
      </c>
      <c r="L612">
        <v>0.81</v>
      </c>
      <c r="M612">
        <v>0</v>
      </c>
      <c r="N612">
        <v>3</v>
      </c>
      <c r="O612">
        <v>13</v>
      </c>
      <c r="P612">
        <v>16</v>
      </c>
    </row>
    <row r="613" spans="1:16" x14ac:dyDescent="0.25">
      <c r="A613">
        <v>2</v>
      </c>
      <c r="B613" s="19">
        <v>40571</v>
      </c>
      <c r="C613">
        <v>1</v>
      </c>
      <c r="D613">
        <v>1</v>
      </c>
      <c r="E613">
        <v>15</v>
      </c>
      <c r="F613" t="b">
        <v>0</v>
      </c>
      <c r="G613">
        <v>5</v>
      </c>
      <c r="H613">
        <v>2</v>
      </c>
      <c r="I613">
        <v>0.2</v>
      </c>
      <c r="J613">
        <v>1</v>
      </c>
      <c r="K613">
        <v>0.2727</v>
      </c>
      <c r="L613">
        <v>0.8</v>
      </c>
      <c r="M613">
        <v>0</v>
      </c>
      <c r="N613">
        <v>8</v>
      </c>
      <c r="O613">
        <v>32</v>
      </c>
      <c r="P613">
        <v>40</v>
      </c>
    </row>
    <row r="614" spans="1:16" x14ac:dyDescent="0.25">
      <c r="A614">
        <v>3</v>
      </c>
      <c r="B614" s="19">
        <v>40571</v>
      </c>
      <c r="C614">
        <v>1</v>
      </c>
      <c r="D614">
        <v>1</v>
      </c>
      <c r="E614">
        <v>15</v>
      </c>
      <c r="F614" t="b">
        <v>0</v>
      </c>
      <c r="G614">
        <v>5</v>
      </c>
      <c r="H614">
        <v>2</v>
      </c>
      <c r="I614">
        <v>0.2</v>
      </c>
      <c r="J614">
        <v>2</v>
      </c>
      <c r="K614">
        <v>0.2727</v>
      </c>
      <c r="L614">
        <v>0.8</v>
      </c>
      <c r="M614">
        <v>0</v>
      </c>
      <c r="N614">
        <v>5</v>
      </c>
      <c r="O614">
        <v>27</v>
      </c>
      <c r="P614">
        <v>32</v>
      </c>
    </row>
    <row r="615" spans="1:16" x14ac:dyDescent="0.25">
      <c r="A615">
        <v>4</v>
      </c>
      <c r="B615" s="19">
        <v>40571</v>
      </c>
      <c r="C615">
        <v>1</v>
      </c>
      <c r="D615">
        <v>1</v>
      </c>
      <c r="E615">
        <v>15</v>
      </c>
      <c r="F615" t="b">
        <v>0</v>
      </c>
      <c r="G615">
        <v>5</v>
      </c>
      <c r="H615">
        <v>2</v>
      </c>
      <c r="I615">
        <v>0.2</v>
      </c>
      <c r="J615">
        <v>3</v>
      </c>
      <c r="K615">
        <v>0.28789999999999999</v>
      </c>
      <c r="L615">
        <v>0.75</v>
      </c>
      <c r="M615">
        <v>0</v>
      </c>
      <c r="N615">
        <v>3</v>
      </c>
      <c r="O615">
        <v>10</v>
      </c>
      <c r="P615">
        <v>13</v>
      </c>
    </row>
    <row r="616" spans="1:16" x14ac:dyDescent="0.25">
      <c r="A616">
        <v>5</v>
      </c>
      <c r="B616" s="19">
        <v>40571</v>
      </c>
      <c r="C616">
        <v>1</v>
      </c>
      <c r="D616">
        <v>1</v>
      </c>
      <c r="E616">
        <v>15</v>
      </c>
      <c r="F616" t="b">
        <v>0</v>
      </c>
      <c r="G616">
        <v>5</v>
      </c>
      <c r="H616">
        <v>2</v>
      </c>
      <c r="I616">
        <v>0.2</v>
      </c>
      <c r="J616">
        <v>4</v>
      </c>
      <c r="K616">
        <v>0.28789999999999999</v>
      </c>
      <c r="L616">
        <v>0.75</v>
      </c>
      <c r="M616">
        <v>0</v>
      </c>
      <c r="N616">
        <v>0</v>
      </c>
      <c r="O616">
        <v>1</v>
      </c>
      <c r="P616">
        <v>1</v>
      </c>
    </row>
    <row r="617" spans="1:16" x14ac:dyDescent="0.25">
      <c r="A617">
        <v>6</v>
      </c>
      <c r="B617" s="19">
        <v>40571</v>
      </c>
      <c r="C617">
        <v>1</v>
      </c>
      <c r="D617">
        <v>1</v>
      </c>
      <c r="E617">
        <v>15</v>
      </c>
      <c r="F617" t="b">
        <v>0</v>
      </c>
      <c r="G617">
        <v>5</v>
      </c>
      <c r="H617">
        <v>2</v>
      </c>
      <c r="I617">
        <v>0.2</v>
      </c>
      <c r="J617">
        <v>5</v>
      </c>
      <c r="K617">
        <v>0.2576</v>
      </c>
      <c r="L617">
        <v>0.75</v>
      </c>
      <c r="M617">
        <v>8.9599999999999999E-2</v>
      </c>
      <c r="N617">
        <v>0</v>
      </c>
      <c r="O617">
        <v>1</v>
      </c>
      <c r="P617">
        <v>1</v>
      </c>
    </row>
    <row r="618" spans="1:16" x14ac:dyDescent="0.25">
      <c r="A618">
        <v>7</v>
      </c>
      <c r="B618" s="19">
        <v>40571</v>
      </c>
      <c r="C618">
        <v>1</v>
      </c>
      <c r="D618">
        <v>1</v>
      </c>
      <c r="E618">
        <v>15</v>
      </c>
      <c r="F618" t="b">
        <v>0</v>
      </c>
      <c r="G618">
        <v>5</v>
      </c>
      <c r="H618">
        <v>2</v>
      </c>
      <c r="I618">
        <v>0.2</v>
      </c>
      <c r="J618">
        <v>6</v>
      </c>
      <c r="K618">
        <v>0.2727</v>
      </c>
      <c r="L618">
        <v>0.8</v>
      </c>
      <c r="M618">
        <v>0</v>
      </c>
      <c r="N618">
        <v>2</v>
      </c>
      <c r="O618">
        <v>0</v>
      </c>
      <c r="P618">
        <v>2</v>
      </c>
    </row>
    <row r="619" spans="1:16" x14ac:dyDescent="0.25">
      <c r="A619">
        <v>8</v>
      </c>
      <c r="B619" s="19">
        <v>40571</v>
      </c>
      <c r="C619">
        <v>1</v>
      </c>
      <c r="D619">
        <v>1</v>
      </c>
      <c r="E619">
        <v>15</v>
      </c>
      <c r="F619" t="b">
        <v>0</v>
      </c>
      <c r="G619">
        <v>5</v>
      </c>
      <c r="H619">
        <v>2</v>
      </c>
      <c r="I619">
        <v>0.2</v>
      </c>
      <c r="J619">
        <v>7</v>
      </c>
      <c r="K619">
        <v>0.2576</v>
      </c>
      <c r="L619">
        <v>0.86</v>
      </c>
      <c r="M619">
        <v>0</v>
      </c>
      <c r="N619">
        <v>1</v>
      </c>
      <c r="O619">
        <v>2</v>
      </c>
      <c r="P619">
        <v>3</v>
      </c>
    </row>
    <row r="620" spans="1:16" x14ac:dyDescent="0.25">
      <c r="A620">
        <v>9</v>
      </c>
      <c r="B620" s="19">
        <v>40571</v>
      </c>
      <c r="C620">
        <v>1</v>
      </c>
      <c r="D620">
        <v>1</v>
      </c>
      <c r="E620">
        <v>15</v>
      </c>
      <c r="F620" t="b">
        <v>0</v>
      </c>
      <c r="G620">
        <v>5</v>
      </c>
      <c r="H620">
        <v>2</v>
      </c>
      <c r="I620">
        <v>0.2</v>
      </c>
      <c r="J620">
        <v>8</v>
      </c>
      <c r="K620">
        <v>0</v>
      </c>
      <c r="L620">
        <v>0.75</v>
      </c>
      <c r="M620">
        <v>0</v>
      </c>
      <c r="N620">
        <v>1</v>
      </c>
      <c r="O620">
        <v>7</v>
      </c>
      <c r="P620">
        <v>8</v>
      </c>
    </row>
    <row r="621" spans="1:16" x14ac:dyDescent="0.25">
      <c r="A621">
        <v>10</v>
      </c>
      <c r="B621" s="19">
        <v>40571</v>
      </c>
      <c r="C621">
        <v>1</v>
      </c>
      <c r="D621">
        <v>1</v>
      </c>
      <c r="E621">
        <v>15</v>
      </c>
      <c r="F621" t="b">
        <v>0</v>
      </c>
      <c r="G621">
        <v>5</v>
      </c>
      <c r="H621">
        <v>2</v>
      </c>
      <c r="I621">
        <v>0.2</v>
      </c>
      <c r="J621">
        <v>9</v>
      </c>
      <c r="K621">
        <v>0.34849999999999998</v>
      </c>
      <c r="L621">
        <v>0.76</v>
      </c>
      <c r="M621">
        <v>0</v>
      </c>
      <c r="N621">
        <v>8</v>
      </c>
      <c r="O621">
        <v>6</v>
      </c>
      <c r="P621">
        <v>14</v>
      </c>
    </row>
    <row r="622" spans="1:16" x14ac:dyDescent="0.25">
      <c r="A622">
        <v>11</v>
      </c>
      <c r="B622" s="19">
        <v>40571</v>
      </c>
      <c r="C622">
        <v>1</v>
      </c>
      <c r="D622">
        <v>1</v>
      </c>
      <c r="E622">
        <v>15</v>
      </c>
      <c r="F622" t="b">
        <v>0</v>
      </c>
      <c r="G622">
        <v>5</v>
      </c>
      <c r="H622">
        <v>2</v>
      </c>
      <c r="I622">
        <v>0.2</v>
      </c>
      <c r="J622">
        <v>10</v>
      </c>
      <c r="K622">
        <v>0.39389999999999997</v>
      </c>
      <c r="L622">
        <v>0.76</v>
      </c>
      <c r="M622">
        <v>0.25369999999999998</v>
      </c>
      <c r="N622">
        <v>12</v>
      </c>
      <c r="O622">
        <v>24</v>
      </c>
      <c r="P622">
        <v>36</v>
      </c>
    </row>
    <row r="623" spans="1:16" x14ac:dyDescent="0.25">
      <c r="A623">
        <v>12</v>
      </c>
      <c r="B623" s="19">
        <v>40571</v>
      </c>
      <c r="C623">
        <v>1</v>
      </c>
      <c r="D623">
        <v>1</v>
      </c>
      <c r="E623">
        <v>15</v>
      </c>
      <c r="F623" t="b">
        <v>0</v>
      </c>
      <c r="G623">
        <v>5</v>
      </c>
      <c r="H623">
        <v>2</v>
      </c>
      <c r="I623">
        <v>0.2</v>
      </c>
      <c r="J623">
        <v>11</v>
      </c>
      <c r="K623">
        <v>0.33329999999999999</v>
      </c>
      <c r="L623">
        <v>0.81</v>
      </c>
      <c r="M623">
        <v>0.28360000000000002</v>
      </c>
      <c r="N623">
        <v>26</v>
      </c>
      <c r="O623">
        <v>30</v>
      </c>
      <c r="P623">
        <v>56</v>
      </c>
    </row>
    <row r="624" spans="1:16" x14ac:dyDescent="0.25">
      <c r="A624">
        <v>13</v>
      </c>
      <c r="B624" s="19">
        <v>40571</v>
      </c>
      <c r="C624">
        <v>1</v>
      </c>
      <c r="D624">
        <v>1</v>
      </c>
      <c r="E624">
        <v>15</v>
      </c>
      <c r="F624" t="b">
        <v>0</v>
      </c>
      <c r="G624">
        <v>5</v>
      </c>
      <c r="H624">
        <v>2</v>
      </c>
      <c r="I624">
        <v>0.2</v>
      </c>
      <c r="J624">
        <v>12</v>
      </c>
      <c r="K624">
        <v>0.42420000000000002</v>
      </c>
      <c r="L624">
        <v>0.77</v>
      </c>
      <c r="M624">
        <v>0.28360000000000002</v>
      </c>
      <c r="N624">
        <v>29</v>
      </c>
      <c r="O624">
        <v>55</v>
      </c>
      <c r="P624">
        <v>84</v>
      </c>
    </row>
    <row r="625" spans="1:16" x14ac:dyDescent="0.25">
      <c r="A625">
        <v>14</v>
      </c>
      <c r="B625" s="19">
        <v>40571</v>
      </c>
      <c r="C625">
        <v>1</v>
      </c>
      <c r="D625">
        <v>1</v>
      </c>
      <c r="E625">
        <v>15</v>
      </c>
      <c r="F625" t="b">
        <v>0</v>
      </c>
      <c r="G625">
        <v>5</v>
      </c>
      <c r="H625">
        <v>2</v>
      </c>
      <c r="I625">
        <v>0.2</v>
      </c>
      <c r="J625">
        <v>13</v>
      </c>
      <c r="K625">
        <v>0.45450000000000002</v>
      </c>
      <c r="L625">
        <v>0.72</v>
      </c>
      <c r="M625">
        <v>0.29849999999999999</v>
      </c>
      <c r="N625">
        <v>47</v>
      </c>
      <c r="O625">
        <v>47</v>
      </c>
      <c r="P625">
        <v>94</v>
      </c>
    </row>
    <row r="626" spans="1:16" x14ac:dyDescent="0.25">
      <c r="A626">
        <v>15</v>
      </c>
      <c r="B626" s="19">
        <v>40571</v>
      </c>
      <c r="C626">
        <v>1</v>
      </c>
      <c r="D626">
        <v>1</v>
      </c>
      <c r="E626">
        <v>15</v>
      </c>
      <c r="F626" t="b">
        <v>0</v>
      </c>
      <c r="G626">
        <v>5</v>
      </c>
      <c r="H626">
        <v>2</v>
      </c>
      <c r="I626">
        <v>0.2</v>
      </c>
      <c r="J626">
        <v>14</v>
      </c>
      <c r="K626">
        <v>0.45450000000000002</v>
      </c>
      <c r="L626">
        <v>0.72</v>
      </c>
      <c r="M626">
        <v>0.28360000000000002</v>
      </c>
      <c r="N626">
        <v>35</v>
      </c>
      <c r="O626">
        <v>71</v>
      </c>
      <c r="P626">
        <v>106</v>
      </c>
    </row>
    <row r="627" spans="1:16" x14ac:dyDescent="0.25">
      <c r="A627">
        <v>16</v>
      </c>
      <c r="B627" s="19">
        <v>40571</v>
      </c>
      <c r="C627">
        <v>1</v>
      </c>
      <c r="D627">
        <v>1</v>
      </c>
      <c r="E627">
        <v>15</v>
      </c>
      <c r="F627" t="b">
        <v>0</v>
      </c>
      <c r="G627">
        <v>5</v>
      </c>
      <c r="H627">
        <v>2</v>
      </c>
      <c r="I627">
        <v>0.2</v>
      </c>
      <c r="J627">
        <v>15</v>
      </c>
      <c r="K627">
        <v>0.43940000000000001</v>
      </c>
      <c r="L627">
        <v>0.77</v>
      </c>
      <c r="M627">
        <v>0.29849999999999999</v>
      </c>
      <c r="N627">
        <v>40</v>
      </c>
      <c r="O627">
        <v>70</v>
      </c>
      <c r="P627">
        <v>110</v>
      </c>
    </row>
    <row r="628" spans="1:16" x14ac:dyDescent="0.25">
      <c r="A628">
        <v>17</v>
      </c>
      <c r="B628" s="19">
        <v>40571</v>
      </c>
      <c r="C628">
        <v>1</v>
      </c>
      <c r="D628">
        <v>1</v>
      </c>
      <c r="E628">
        <v>15</v>
      </c>
      <c r="F628" t="b">
        <v>0</v>
      </c>
      <c r="G628">
        <v>5</v>
      </c>
      <c r="H628">
        <v>2</v>
      </c>
      <c r="I628">
        <v>0.2</v>
      </c>
      <c r="J628">
        <v>16</v>
      </c>
      <c r="K628">
        <v>0.42420000000000002</v>
      </c>
      <c r="L628">
        <v>0.82</v>
      </c>
      <c r="M628">
        <v>0.29849999999999999</v>
      </c>
      <c r="N628">
        <v>41</v>
      </c>
      <c r="O628">
        <v>52</v>
      </c>
      <c r="P628">
        <v>93</v>
      </c>
    </row>
    <row r="629" spans="1:16" x14ac:dyDescent="0.25">
      <c r="A629">
        <v>18</v>
      </c>
      <c r="B629" s="19">
        <v>40571</v>
      </c>
      <c r="C629">
        <v>1</v>
      </c>
      <c r="D629">
        <v>1</v>
      </c>
      <c r="E629">
        <v>15</v>
      </c>
      <c r="F629" t="b">
        <v>0</v>
      </c>
      <c r="G629">
        <v>5</v>
      </c>
      <c r="H629">
        <v>2</v>
      </c>
      <c r="I629">
        <v>0.2</v>
      </c>
      <c r="J629">
        <v>17</v>
      </c>
      <c r="K629">
        <v>0</v>
      </c>
      <c r="L629">
        <v>0.82</v>
      </c>
      <c r="M629">
        <v>0.28360000000000002</v>
      </c>
      <c r="N629">
        <v>15</v>
      </c>
      <c r="O629">
        <v>52</v>
      </c>
      <c r="P629">
        <v>67</v>
      </c>
    </row>
    <row r="630" spans="1:16" x14ac:dyDescent="0.25">
      <c r="A630">
        <v>19</v>
      </c>
      <c r="B630" s="19">
        <v>40571</v>
      </c>
      <c r="C630">
        <v>1</v>
      </c>
      <c r="D630">
        <v>1</v>
      </c>
      <c r="E630">
        <v>15</v>
      </c>
      <c r="F630" t="b">
        <v>0</v>
      </c>
      <c r="G630">
        <v>5</v>
      </c>
      <c r="H630">
        <v>2</v>
      </c>
      <c r="I630">
        <v>0.2</v>
      </c>
      <c r="J630">
        <v>18</v>
      </c>
      <c r="K630">
        <v>0.42420000000000002</v>
      </c>
      <c r="L630">
        <v>0.88</v>
      </c>
      <c r="M630">
        <v>0.25369999999999998</v>
      </c>
      <c r="N630">
        <v>9</v>
      </c>
      <c r="O630">
        <v>26</v>
      </c>
      <c r="P630">
        <v>35</v>
      </c>
    </row>
    <row r="631" spans="1:16" x14ac:dyDescent="0.25">
      <c r="A631">
        <v>20</v>
      </c>
      <c r="B631" s="19">
        <v>40571</v>
      </c>
      <c r="C631">
        <v>1</v>
      </c>
      <c r="D631">
        <v>1</v>
      </c>
      <c r="E631">
        <v>15</v>
      </c>
      <c r="F631" t="b">
        <v>0</v>
      </c>
      <c r="G631">
        <v>5</v>
      </c>
      <c r="H631">
        <v>2</v>
      </c>
      <c r="I631">
        <v>0.2</v>
      </c>
      <c r="J631">
        <v>19</v>
      </c>
      <c r="K631">
        <v>0.42420000000000002</v>
      </c>
      <c r="L631">
        <v>0.88</v>
      </c>
      <c r="M631">
        <v>0.25369999999999998</v>
      </c>
      <c r="N631">
        <v>6</v>
      </c>
      <c r="O631">
        <v>31</v>
      </c>
      <c r="P631">
        <v>37</v>
      </c>
    </row>
    <row r="632" spans="1:16" x14ac:dyDescent="0.25">
      <c r="A632">
        <v>21</v>
      </c>
      <c r="B632" s="19">
        <v>40571</v>
      </c>
      <c r="C632">
        <v>1</v>
      </c>
      <c r="D632">
        <v>1</v>
      </c>
      <c r="E632">
        <v>15</v>
      </c>
      <c r="F632" t="b">
        <v>0</v>
      </c>
      <c r="G632">
        <v>5</v>
      </c>
      <c r="H632">
        <v>2</v>
      </c>
      <c r="I632">
        <v>0.2</v>
      </c>
      <c r="J632">
        <v>20</v>
      </c>
      <c r="K632">
        <v>0.40910000000000002</v>
      </c>
      <c r="L632">
        <v>0.87</v>
      </c>
      <c r="M632">
        <v>0.25369999999999998</v>
      </c>
      <c r="N632">
        <v>11</v>
      </c>
      <c r="O632">
        <v>25</v>
      </c>
      <c r="P632">
        <v>36</v>
      </c>
    </row>
    <row r="633" spans="1:16" x14ac:dyDescent="0.25">
      <c r="A633">
        <v>22</v>
      </c>
      <c r="B633" s="19">
        <v>40571</v>
      </c>
      <c r="C633">
        <v>1</v>
      </c>
      <c r="D633">
        <v>1</v>
      </c>
      <c r="E633">
        <v>15</v>
      </c>
      <c r="F633" t="b">
        <v>0</v>
      </c>
      <c r="G633">
        <v>5</v>
      </c>
      <c r="H633">
        <v>2</v>
      </c>
      <c r="I633">
        <v>0.2</v>
      </c>
      <c r="J633">
        <v>21</v>
      </c>
      <c r="K633">
        <v>0.40910000000000002</v>
      </c>
      <c r="L633">
        <v>0.87</v>
      </c>
      <c r="M633">
        <v>0.19400000000000001</v>
      </c>
      <c r="N633">
        <v>3</v>
      </c>
      <c r="O633">
        <v>31</v>
      </c>
      <c r="P633">
        <v>34</v>
      </c>
    </row>
    <row r="634" spans="1:16" x14ac:dyDescent="0.25">
      <c r="A634">
        <v>23</v>
      </c>
      <c r="B634" s="19">
        <v>40571</v>
      </c>
      <c r="C634">
        <v>1</v>
      </c>
      <c r="D634">
        <v>1</v>
      </c>
      <c r="E634">
        <v>15</v>
      </c>
      <c r="F634" t="b">
        <v>0</v>
      </c>
      <c r="G634">
        <v>5</v>
      </c>
      <c r="H634">
        <v>2</v>
      </c>
      <c r="I634">
        <v>0.2</v>
      </c>
      <c r="J634">
        <v>22</v>
      </c>
      <c r="K634">
        <v>0.40910000000000002</v>
      </c>
      <c r="L634">
        <v>0.94</v>
      </c>
      <c r="M634">
        <v>0.22389999999999999</v>
      </c>
      <c r="N634">
        <v>11</v>
      </c>
      <c r="O634">
        <v>17</v>
      </c>
      <c r="P634">
        <v>28</v>
      </c>
    </row>
    <row r="635" spans="1:16" x14ac:dyDescent="0.25">
      <c r="A635">
        <v>24</v>
      </c>
      <c r="B635" s="19">
        <v>40571</v>
      </c>
      <c r="C635">
        <v>1</v>
      </c>
      <c r="D635">
        <v>1</v>
      </c>
      <c r="E635">
        <v>15</v>
      </c>
      <c r="F635" t="b">
        <v>0</v>
      </c>
      <c r="G635">
        <v>5</v>
      </c>
      <c r="H635">
        <v>2</v>
      </c>
      <c r="I635">
        <v>0.2</v>
      </c>
      <c r="J635">
        <v>23</v>
      </c>
      <c r="K635">
        <v>0</v>
      </c>
      <c r="L635">
        <v>0.88</v>
      </c>
      <c r="M635">
        <v>0.29849999999999999</v>
      </c>
      <c r="N635">
        <v>15</v>
      </c>
      <c r="O635">
        <v>24</v>
      </c>
      <c r="P635">
        <v>39</v>
      </c>
    </row>
    <row r="636" spans="1:16" x14ac:dyDescent="0.25">
      <c r="A636">
        <v>25</v>
      </c>
      <c r="B636" s="19">
        <v>40571</v>
      </c>
      <c r="C636">
        <v>1</v>
      </c>
      <c r="D636">
        <v>1</v>
      </c>
      <c r="E636">
        <v>15</v>
      </c>
      <c r="F636" t="b">
        <v>0</v>
      </c>
      <c r="G636">
        <v>5</v>
      </c>
      <c r="H636">
        <v>2</v>
      </c>
      <c r="I636">
        <v>0.2</v>
      </c>
      <c r="J636">
        <v>24</v>
      </c>
      <c r="K636">
        <v>0.45450000000000002</v>
      </c>
      <c r="L636">
        <v>0.88</v>
      </c>
      <c r="M636">
        <v>0.29849999999999999</v>
      </c>
      <c r="N636">
        <v>4</v>
      </c>
      <c r="O636">
        <v>13</v>
      </c>
      <c r="P636">
        <v>17</v>
      </c>
    </row>
    <row r="637" spans="1:16" x14ac:dyDescent="0.25">
      <c r="A637">
        <v>26</v>
      </c>
      <c r="B637" s="19">
        <v>40571</v>
      </c>
      <c r="C637">
        <v>1</v>
      </c>
      <c r="D637">
        <v>1</v>
      </c>
      <c r="E637">
        <v>15</v>
      </c>
      <c r="F637" t="b">
        <v>0</v>
      </c>
      <c r="G637">
        <v>5</v>
      </c>
      <c r="H637">
        <v>2</v>
      </c>
      <c r="I637">
        <v>0.2</v>
      </c>
      <c r="J637">
        <v>25</v>
      </c>
      <c r="K637">
        <v>0.43940000000000001</v>
      </c>
      <c r="L637">
        <v>0.94</v>
      </c>
      <c r="M637">
        <v>0.25369999999999998</v>
      </c>
      <c r="N637">
        <v>1</v>
      </c>
      <c r="O637">
        <v>16</v>
      </c>
      <c r="P637">
        <v>17</v>
      </c>
    </row>
    <row r="638" spans="1:16" x14ac:dyDescent="0.25">
      <c r="A638">
        <v>27</v>
      </c>
      <c r="B638" s="19">
        <v>40571</v>
      </c>
      <c r="C638">
        <v>1</v>
      </c>
      <c r="D638">
        <v>1</v>
      </c>
      <c r="E638">
        <v>15</v>
      </c>
      <c r="F638" t="b">
        <v>0</v>
      </c>
      <c r="G638">
        <v>5</v>
      </c>
      <c r="H638">
        <v>2</v>
      </c>
      <c r="I638">
        <v>0.2</v>
      </c>
      <c r="J638">
        <v>26</v>
      </c>
      <c r="K638">
        <v>0.42420000000000002</v>
      </c>
      <c r="L638">
        <v>1</v>
      </c>
      <c r="M638">
        <v>0.28360000000000002</v>
      </c>
      <c r="N638">
        <v>1</v>
      </c>
      <c r="O638">
        <v>8</v>
      </c>
      <c r="P638">
        <v>9</v>
      </c>
    </row>
    <row r="639" spans="1:16" x14ac:dyDescent="0.25">
      <c r="A639">
        <v>28</v>
      </c>
      <c r="B639" s="19">
        <v>40571</v>
      </c>
      <c r="C639">
        <v>1</v>
      </c>
      <c r="D639">
        <v>1</v>
      </c>
      <c r="E639">
        <v>15</v>
      </c>
      <c r="F639" t="b">
        <v>0</v>
      </c>
      <c r="G639">
        <v>5</v>
      </c>
      <c r="H639">
        <v>2</v>
      </c>
      <c r="I639">
        <v>0.2</v>
      </c>
      <c r="J639">
        <v>27</v>
      </c>
      <c r="K639">
        <v>0.45450000000000002</v>
      </c>
      <c r="L639">
        <v>0.94</v>
      </c>
      <c r="M639">
        <v>0.19400000000000001</v>
      </c>
      <c r="N639">
        <v>2</v>
      </c>
      <c r="O639">
        <v>4</v>
      </c>
      <c r="P639">
        <v>6</v>
      </c>
    </row>
    <row r="640" spans="1:16" x14ac:dyDescent="0.25">
      <c r="A640">
        <v>29</v>
      </c>
      <c r="B640" s="19">
        <v>40571</v>
      </c>
      <c r="C640">
        <v>1</v>
      </c>
      <c r="D640">
        <v>1</v>
      </c>
      <c r="E640">
        <v>15</v>
      </c>
      <c r="F640" t="b">
        <v>0</v>
      </c>
      <c r="G640">
        <v>5</v>
      </c>
      <c r="H640">
        <v>2</v>
      </c>
      <c r="I640">
        <v>0.2</v>
      </c>
      <c r="J640">
        <v>28</v>
      </c>
      <c r="K640">
        <v>0</v>
      </c>
      <c r="L640">
        <v>0.94</v>
      </c>
      <c r="M640">
        <v>0.19400000000000001</v>
      </c>
      <c r="N640">
        <v>2</v>
      </c>
      <c r="O640">
        <v>1</v>
      </c>
      <c r="P640">
        <v>3</v>
      </c>
    </row>
    <row r="641" spans="1:16" x14ac:dyDescent="0.25">
      <c r="A641">
        <v>30</v>
      </c>
      <c r="B641" s="19">
        <v>40571</v>
      </c>
      <c r="C641">
        <v>1</v>
      </c>
      <c r="D641">
        <v>1</v>
      </c>
      <c r="E641">
        <v>15</v>
      </c>
      <c r="F641" t="b">
        <v>0</v>
      </c>
      <c r="G641">
        <v>5</v>
      </c>
      <c r="H641">
        <v>2</v>
      </c>
      <c r="I641">
        <v>0.2</v>
      </c>
      <c r="J641">
        <v>29</v>
      </c>
      <c r="K641">
        <v>0.42420000000000002</v>
      </c>
      <c r="L641">
        <v>0.77</v>
      </c>
      <c r="M641">
        <v>0.29849999999999999</v>
      </c>
      <c r="N641">
        <v>0</v>
      </c>
      <c r="O641">
        <v>2</v>
      </c>
      <c r="P641">
        <v>2</v>
      </c>
    </row>
    <row r="642" spans="1:16" x14ac:dyDescent="0.25">
      <c r="A642">
        <v>31</v>
      </c>
      <c r="B642" s="19">
        <v>40571</v>
      </c>
      <c r="C642">
        <v>1</v>
      </c>
      <c r="D642">
        <v>1</v>
      </c>
      <c r="E642">
        <v>15</v>
      </c>
      <c r="F642" t="b">
        <v>0</v>
      </c>
      <c r="G642">
        <v>5</v>
      </c>
      <c r="H642">
        <v>2</v>
      </c>
      <c r="I642">
        <v>0.2</v>
      </c>
      <c r="J642">
        <v>30</v>
      </c>
      <c r="K642">
        <v>0.40910000000000002</v>
      </c>
      <c r="L642">
        <v>0.76</v>
      </c>
      <c r="M642">
        <v>0.19400000000000001</v>
      </c>
      <c r="N642">
        <v>0</v>
      </c>
      <c r="O642">
        <v>1</v>
      </c>
      <c r="P642">
        <v>1</v>
      </c>
    </row>
    <row r="643" spans="1:16" x14ac:dyDescent="0.25">
      <c r="A643">
        <v>32</v>
      </c>
      <c r="B643" s="19">
        <v>40571</v>
      </c>
      <c r="C643">
        <v>1</v>
      </c>
      <c r="D643">
        <v>1</v>
      </c>
      <c r="E643">
        <v>15</v>
      </c>
      <c r="F643" t="b">
        <v>0</v>
      </c>
      <c r="G643">
        <v>5</v>
      </c>
      <c r="H643">
        <v>2</v>
      </c>
      <c r="I643">
        <v>0.2</v>
      </c>
      <c r="J643">
        <v>31</v>
      </c>
      <c r="K643">
        <v>0.40910000000000002</v>
      </c>
      <c r="L643">
        <v>0.71</v>
      </c>
      <c r="M643">
        <v>0.22389999999999999</v>
      </c>
      <c r="N643">
        <v>0</v>
      </c>
      <c r="O643">
        <v>8</v>
      </c>
      <c r="P643">
        <v>8</v>
      </c>
    </row>
    <row r="644" spans="1:16" x14ac:dyDescent="0.25">
      <c r="A644">
        <v>33</v>
      </c>
      <c r="B644" s="19">
        <v>40571</v>
      </c>
      <c r="C644">
        <v>1</v>
      </c>
      <c r="D644">
        <v>1</v>
      </c>
      <c r="E644">
        <v>15</v>
      </c>
      <c r="F644" t="b">
        <v>0</v>
      </c>
      <c r="G644">
        <v>5</v>
      </c>
      <c r="H644">
        <v>2</v>
      </c>
      <c r="I644">
        <v>0.2</v>
      </c>
      <c r="J644">
        <v>32</v>
      </c>
      <c r="K644">
        <v>0</v>
      </c>
      <c r="L644">
        <v>0.76</v>
      </c>
      <c r="M644">
        <v>0.22389999999999999</v>
      </c>
      <c r="N644">
        <v>1</v>
      </c>
      <c r="O644">
        <v>19</v>
      </c>
      <c r="P644">
        <v>20</v>
      </c>
    </row>
    <row r="645" spans="1:16" x14ac:dyDescent="0.25">
      <c r="A645">
        <v>34</v>
      </c>
      <c r="B645" s="19">
        <v>40571</v>
      </c>
      <c r="C645">
        <v>1</v>
      </c>
      <c r="D645">
        <v>1</v>
      </c>
      <c r="E645">
        <v>15</v>
      </c>
      <c r="F645" t="b">
        <v>0</v>
      </c>
      <c r="G645">
        <v>5</v>
      </c>
      <c r="H645">
        <v>2</v>
      </c>
      <c r="I645">
        <v>0.2</v>
      </c>
      <c r="J645">
        <v>33</v>
      </c>
      <c r="K645">
        <v>0.34849999999999998</v>
      </c>
      <c r="L645">
        <v>0.81</v>
      </c>
      <c r="M645">
        <v>0.22389999999999999</v>
      </c>
      <c r="N645">
        <v>7</v>
      </c>
      <c r="O645">
        <v>46</v>
      </c>
      <c r="P645">
        <v>53</v>
      </c>
    </row>
    <row r="646" spans="1:16" x14ac:dyDescent="0.25">
      <c r="A646">
        <v>35</v>
      </c>
      <c r="B646" s="19">
        <v>40571</v>
      </c>
      <c r="C646">
        <v>1</v>
      </c>
      <c r="D646">
        <v>1</v>
      </c>
      <c r="E646">
        <v>15</v>
      </c>
      <c r="F646" t="b">
        <v>0</v>
      </c>
      <c r="G646">
        <v>5</v>
      </c>
      <c r="H646">
        <v>2</v>
      </c>
      <c r="I646">
        <v>0.2</v>
      </c>
      <c r="J646">
        <v>34</v>
      </c>
      <c r="K646">
        <v>0.33329999999999999</v>
      </c>
      <c r="L646">
        <v>0.71</v>
      </c>
      <c r="M646">
        <v>0.25369999999999998</v>
      </c>
      <c r="N646">
        <v>16</v>
      </c>
      <c r="O646">
        <v>54</v>
      </c>
      <c r="P646">
        <v>70</v>
      </c>
    </row>
    <row r="647" spans="1:16" x14ac:dyDescent="0.25">
      <c r="A647">
        <v>36</v>
      </c>
      <c r="B647" s="19">
        <v>40571</v>
      </c>
      <c r="C647">
        <v>1</v>
      </c>
      <c r="D647">
        <v>1</v>
      </c>
      <c r="E647">
        <v>15</v>
      </c>
      <c r="F647" t="b">
        <v>0</v>
      </c>
      <c r="G647">
        <v>5</v>
      </c>
      <c r="H647">
        <v>2</v>
      </c>
      <c r="I647">
        <v>0.2</v>
      </c>
      <c r="J647">
        <v>35</v>
      </c>
      <c r="K647">
        <v>0.33329999999999999</v>
      </c>
      <c r="L647">
        <v>0.66</v>
      </c>
      <c r="M647">
        <v>0.29849999999999999</v>
      </c>
      <c r="N647">
        <v>20</v>
      </c>
      <c r="O647">
        <v>73</v>
      </c>
      <c r="P647">
        <v>93</v>
      </c>
    </row>
    <row r="648" spans="1:16" x14ac:dyDescent="0.25">
      <c r="A648">
        <v>37</v>
      </c>
      <c r="B648" s="19">
        <v>40571</v>
      </c>
      <c r="C648">
        <v>1</v>
      </c>
      <c r="D648">
        <v>1</v>
      </c>
      <c r="E648">
        <v>15</v>
      </c>
      <c r="F648" t="b">
        <v>0</v>
      </c>
      <c r="G648">
        <v>5</v>
      </c>
      <c r="H648">
        <v>2</v>
      </c>
      <c r="I648">
        <v>0.2</v>
      </c>
      <c r="J648">
        <v>36</v>
      </c>
      <c r="K648">
        <v>0.34849999999999998</v>
      </c>
      <c r="L648">
        <v>0.66</v>
      </c>
      <c r="M648">
        <v>0.1343</v>
      </c>
      <c r="N648">
        <v>11</v>
      </c>
      <c r="O648">
        <v>64</v>
      </c>
      <c r="P648">
        <v>75</v>
      </c>
    </row>
    <row r="649" spans="1:16" x14ac:dyDescent="0.25">
      <c r="A649">
        <v>38</v>
      </c>
      <c r="B649" s="19">
        <v>40571</v>
      </c>
      <c r="C649">
        <v>1</v>
      </c>
      <c r="D649">
        <v>1</v>
      </c>
      <c r="E649">
        <v>15</v>
      </c>
      <c r="F649" t="b">
        <v>0</v>
      </c>
      <c r="G649">
        <v>5</v>
      </c>
      <c r="H649">
        <v>2</v>
      </c>
      <c r="I649">
        <v>0.2</v>
      </c>
      <c r="J649">
        <v>37</v>
      </c>
      <c r="K649">
        <v>0</v>
      </c>
      <c r="L649">
        <v>0.76</v>
      </c>
      <c r="M649">
        <v>0.19400000000000001</v>
      </c>
      <c r="N649">
        <v>4</v>
      </c>
      <c r="O649">
        <v>55</v>
      </c>
      <c r="P649">
        <v>59</v>
      </c>
    </row>
    <row r="650" spans="1:16" x14ac:dyDescent="0.25">
      <c r="A650">
        <v>39</v>
      </c>
      <c r="B650" s="19">
        <v>40571</v>
      </c>
      <c r="C650">
        <v>1</v>
      </c>
      <c r="D650">
        <v>1</v>
      </c>
      <c r="E650">
        <v>15</v>
      </c>
      <c r="F650" t="b">
        <v>0</v>
      </c>
      <c r="G650">
        <v>5</v>
      </c>
      <c r="H650">
        <v>2</v>
      </c>
      <c r="I650">
        <v>0.2</v>
      </c>
      <c r="J650">
        <v>38</v>
      </c>
      <c r="K650">
        <v>0.33329999999999999</v>
      </c>
      <c r="L650">
        <v>0.81</v>
      </c>
      <c r="M650">
        <v>0.16420000000000001</v>
      </c>
      <c r="N650">
        <v>19</v>
      </c>
      <c r="O650">
        <v>55</v>
      </c>
      <c r="P650">
        <v>74</v>
      </c>
    </row>
    <row r="651" spans="1:16" x14ac:dyDescent="0.25">
      <c r="A651">
        <v>40</v>
      </c>
      <c r="B651" s="19">
        <v>40571</v>
      </c>
      <c r="C651">
        <v>1</v>
      </c>
      <c r="D651">
        <v>1</v>
      </c>
      <c r="E651">
        <v>15</v>
      </c>
      <c r="F651" t="b">
        <v>0</v>
      </c>
      <c r="G651">
        <v>5</v>
      </c>
      <c r="H651">
        <v>2</v>
      </c>
      <c r="I651">
        <v>0.2</v>
      </c>
      <c r="J651">
        <v>39</v>
      </c>
      <c r="K651">
        <v>0.33329999999999999</v>
      </c>
      <c r="L651">
        <v>0.71</v>
      </c>
      <c r="M651">
        <v>0.16420000000000001</v>
      </c>
      <c r="N651">
        <v>9</v>
      </c>
      <c r="O651">
        <v>67</v>
      </c>
      <c r="P651">
        <v>76</v>
      </c>
    </row>
    <row r="652" spans="1:16" x14ac:dyDescent="0.25">
      <c r="A652">
        <v>41</v>
      </c>
      <c r="B652" s="19">
        <v>40571</v>
      </c>
      <c r="C652">
        <v>1</v>
      </c>
      <c r="D652">
        <v>1</v>
      </c>
      <c r="E652">
        <v>15</v>
      </c>
      <c r="F652" t="b">
        <v>0</v>
      </c>
      <c r="G652">
        <v>5</v>
      </c>
      <c r="H652">
        <v>2</v>
      </c>
      <c r="I652">
        <v>0.2</v>
      </c>
      <c r="J652">
        <v>40</v>
      </c>
      <c r="K652">
        <v>0.33329999999999999</v>
      </c>
      <c r="L652">
        <v>0.56999999999999995</v>
      </c>
      <c r="M652">
        <v>0.19400000000000001</v>
      </c>
      <c r="N652">
        <v>7</v>
      </c>
      <c r="O652">
        <v>58</v>
      </c>
      <c r="P652">
        <v>65</v>
      </c>
    </row>
    <row r="653" spans="1:16" x14ac:dyDescent="0.25">
      <c r="A653">
        <v>42</v>
      </c>
      <c r="B653" s="19">
        <v>40571</v>
      </c>
      <c r="C653">
        <v>1</v>
      </c>
      <c r="D653">
        <v>1</v>
      </c>
      <c r="E653">
        <v>15</v>
      </c>
      <c r="F653" t="b">
        <v>0</v>
      </c>
      <c r="G653">
        <v>5</v>
      </c>
      <c r="H653">
        <v>2</v>
      </c>
      <c r="I653">
        <v>0.2</v>
      </c>
      <c r="J653">
        <v>41</v>
      </c>
      <c r="K653">
        <v>0.33329999999999999</v>
      </c>
      <c r="L653">
        <v>0.46</v>
      </c>
      <c r="M653">
        <v>0.32840000000000003</v>
      </c>
      <c r="N653">
        <v>10</v>
      </c>
      <c r="O653">
        <v>43</v>
      </c>
      <c r="P653">
        <v>53</v>
      </c>
    </row>
    <row r="654" spans="1:16" x14ac:dyDescent="0.25">
      <c r="A654">
        <v>43</v>
      </c>
      <c r="B654" s="19">
        <v>40571</v>
      </c>
      <c r="C654">
        <v>1</v>
      </c>
      <c r="D654">
        <v>1</v>
      </c>
      <c r="E654">
        <v>15</v>
      </c>
      <c r="F654" t="b">
        <v>0</v>
      </c>
      <c r="G654">
        <v>5</v>
      </c>
      <c r="H654">
        <v>2</v>
      </c>
      <c r="I654">
        <v>0.2</v>
      </c>
      <c r="J654">
        <v>42</v>
      </c>
      <c r="K654">
        <v>0.28789999999999999</v>
      </c>
      <c r="L654">
        <v>0.42</v>
      </c>
      <c r="M654">
        <v>0.44779999999999998</v>
      </c>
      <c r="N654">
        <v>1</v>
      </c>
      <c r="O654">
        <v>29</v>
      </c>
      <c r="P654">
        <v>30</v>
      </c>
    </row>
    <row r="655" spans="1:16" x14ac:dyDescent="0.25">
      <c r="A655">
        <v>44</v>
      </c>
      <c r="B655" s="19">
        <v>40571</v>
      </c>
      <c r="C655">
        <v>1</v>
      </c>
      <c r="D655">
        <v>1</v>
      </c>
      <c r="E655">
        <v>15</v>
      </c>
      <c r="F655" t="b">
        <v>0</v>
      </c>
      <c r="G655">
        <v>5</v>
      </c>
      <c r="H655">
        <v>2</v>
      </c>
      <c r="I655">
        <v>0.2</v>
      </c>
      <c r="J655">
        <v>43</v>
      </c>
      <c r="K655">
        <v>0</v>
      </c>
      <c r="L655">
        <v>0.39</v>
      </c>
      <c r="M655">
        <v>0.35820000000000002</v>
      </c>
      <c r="N655">
        <v>5</v>
      </c>
      <c r="O655">
        <v>17</v>
      </c>
      <c r="P655">
        <v>22</v>
      </c>
    </row>
    <row r="656" spans="1:16" x14ac:dyDescent="0.25">
      <c r="A656">
        <v>45</v>
      </c>
      <c r="B656" s="19">
        <v>40571</v>
      </c>
      <c r="C656">
        <v>1</v>
      </c>
      <c r="D656">
        <v>1</v>
      </c>
      <c r="E656">
        <v>15</v>
      </c>
      <c r="F656" t="b">
        <v>0</v>
      </c>
      <c r="G656">
        <v>5</v>
      </c>
      <c r="H656">
        <v>2</v>
      </c>
      <c r="I656">
        <v>0.2</v>
      </c>
      <c r="J656">
        <v>44</v>
      </c>
      <c r="K656">
        <v>0.2273</v>
      </c>
      <c r="L656">
        <v>0.44</v>
      </c>
      <c r="M656">
        <v>0.32840000000000003</v>
      </c>
      <c r="N656">
        <v>11</v>
      </c>
      <c r="O656">
        <v>20</v>
      </c>
      <c r="P656">
        <v>31</v>
      </c>
    </row>
    <row r="657" spans="1:16" x14ac:dyDescent="0.25">
      <c r="A657">
        <v>46</v>
      </c>
      <c r="B657" s="19">
        <v>40571</v>
      </c>
      <c r="C657">
        <v>1</v>
      </c>
      <c r="D657">
        <v>1</v>
      </c>
      <c r="E657">
        <v>15</v>
      </c>
      <c r="F657" t="b">
        <v>0</v>
      </c>
      <c r="G657">
        <v>5</v>
      </c>
      <c r="H657">
        <v>2</v>
      </c>
      <c r="I657">
        <v>0.2</v>
      </c>
      <c r="J657">
        <v>45</v>
      </c>
      <c r="K657">
        <v>0.21210000000000001</v>
      </c>
      <c r="L657">
        <v>0.44</v>
      </c>
      <c r="M657">
        <v>0.29849999999999999</v>
      </c>
      <c r="N657">
        <v>0</v>
      </c>
      <c r="O657">
        <v>9</v>
      </c>
      <c r="P657">
        <v>9</v>
      </c>
    </row>
    <row r="658" spans="1:16" x14ac:dyDescent="0.25">
      <c r="A658">
        <v>47</v>
      </c>
      <c r="B658" s="19">
        <v>40571</v>
      </c>
      <c r="C658">
        <v>1</v>
      </c>
      <c r="D658">
        <v>1</v>
      </c>
      <c r="E658">
        <v>15</v>
      </c>
      <c r="F658" t="b">
        <v>0</v>
      </c>
      <c r="G658">
        <v>5</v>
      </c>
      <c r="H658">
        <v>2</v>
      </c>
      <c r="I658">
        <v>0.2</v>
      </c>
      <c r="J658">
        <v>46</v>
      </c>
      <c r="K658">
        <v>0.2273</v>
      </c>
      <c r="L658">
        <v>0.47</v>
      </c>
      <c r="M658">
        <v>0.16420000000000001</v>
      </c>
      <c r="N658">
        <v>0</v>
      </c>
      <c r="O658">
        <v>8</v>
      </c>
      <c r="P658">
        <v>8</v>
      </c>
    </row>
    <row r="659" spans="1:16" x14ac:dyDescent="0.25">
      <c r="A659">
        <v>48</v>
      </c>
      <c r="B659" s="19">
        <v>40571</v>
      </c>
      <c r="C659">
        <v>1</v>
      </c>
      <c r="D659">
        <v>1</v>
      </c>
      <c r="E659">
        <v>15</v>
      </c>
      <c r="F659" t="b">
        <v>0</v>
      </c>
      <c r="G659">
        <v>5</v>
      </c>
      <c r="H659">
        <v>2</v>
      </c>
      <c r="I659">
        <v>0.2</v>
      </c>
      <c r="J659">
        <v>47</v>
      </c>
      <c r="K659">
        <v>0.19700000000000001</v>
      </c>
      <c r="L659">
        <v>0.44</v>
      </c>
      <c r="M659">
        <v>0.35820000000000002</v>
      </c>
      <c r="N659">
        <v>0</v>
      </c>
      <c r="O659">
        <v>5</v>
      </c>
      <c r="P659">
        <v>5</v>
      </c>
    </row>
    <row r="660" spans="1:16" x14ac:dyDescent="0.25">
      <c r="A660">
        <v>49</v>
      </c>
      <c r="B660" s="19">
        <v>40571</v>
      </c>
      <c r="C660">
        <v>1</v>
      </c>
      <c r="D660">
        <v>1</v>
      </c>
      <c r="E660">
        <v>15</v>
      </c>
      <c r="F660" t="b">
        <v>0</v>
      </c>
      <c r="G660">
        <v>5</v>
      </c>
      <c r="H660">
        <v>2</v>
      </c>
      <c r="I660">
        <v>0.2</v>
      </c>
      <c r="J660">
        <v>48</v>
      </c>
      <c r="K660">
        <v>0</v>
      </c>
      <c r="L660">
        <v>0.44</v>
      </c>
      <c r="M660">
        <v>0.41789999999999999</v>
      </c>
      <c r="N660">
        <v>0</v>
      </c>
      <c r="O660">
        <v>2</v>
      </c>
      <c r="P660">
        <v>2</v>
      </c>
    </row>
    <row r="661" spans="1:16" x14ac:dyDescent="0.25">
      <c r="A661">
        <v>50</v>
      </c>
      <c r="B661" s="19">
        <v>40571</v>
      </c>
      <c r="C661">
        <v>1</v>
      </c>
      <c r="D661">
        <v>1</v>
      </c>
      <c r="E661">
        <v>15</v>
      </c>
      <c r="F661" t="b">
        <v>0</v>
      </c>
      <c r="G661">
        <v>5</v>
      </c>
      <c r="H661">
        <v>2</v>
      </c>
      <c r="I661">
        <v>0.2</v>
      </c>
      <c r="J661">
        <v>49</v>
      </c>
      <c r="K661">
        <v>0.13639999999999999</v>
      </c>
      <c r="L661">
        <v>0.47</v>
      </c>
      <c r="M661">
        <v>0.3881</v>
      </c>
      <c r="N661">
        <v>0</v>
      </c>
      <c r="O661">
        <v>1</v>
      </c>
      <c r="P661">
        <v>1</v>
      </c>
    </row>
    <row r="662" spans="1:16" x14ac:dyDescent="0.25">
      <c r="A662">
        <v>51</v>
      </c>
      <c r="B662" s="19">
        <v>40571</v>
      </c>
      <c r="C662">
        <v>1</v>
      </c>
      <c r="D662">
        <v>1</v>
      </c>
      <c r="E662">
        <v>15</v>
      </c>
      <c r="F662" t="b">
        <v>0</v>
      </c>
      <c r="G662">
        <v>5</v>
      </c>
      <c r="H662">
        <v>2</v>
      </c>
      <c r="I662">
        <v>0.2</v>
      </c>
      <c r="J662">
        <v>50</v>
      </c>
      <c r="K662">
        <v>0.13639999999999999</v>
      </c>
      <c r="L662">
        <v>0.47</v>
      </c>
      <c r="M662">
        <v>0.28360000000000002</v>
      </c>
      <c r="N662">
        <v>0</v>
      </c>
      <c r="O662">
        <v>3</v>
      </c>
      <c r="P662">
        <v>3</v>
      </c>
    </row>
    <row r="663" spans="1:16" x14ac:dyDescent="0.25">
      <c r="A663">
        <v>52</v>
      </c>
      <c r="B663" s="19">
        <v>40571</v>
      </c>
      <c r="C663">
        <v>1</v>
      </c>
      <c r="D663">
        <v>1</v>
      </c>
      <c r="E663">
        <v>15</v>
      </c>
      <c r="F663" t="b">
        <v>0</v>
      </c>
      <c r="G663">
        <v>5</v>
      </c>
      <c r="H663">
        <v>2</v>
      </c>
      <c r="I663">
        <v>0.2</v>
      </c>
      <c r="J663">
        <v>51</v>
      </c>
      <c r="K663">
        <v>0.1061</v>
      </c>
      <c r="L663">
        <v>0.5</v>
      </c>
      <c r="M663">
        <v>0.3881</v>
      </c>
      <c r="N663">
        <v>0</v>
      </c>
      <c r="O663">
        <v>30</v>
      </c>
      <c r="P663">
        <v>30</v>
      </c>
    </row>
    <row r="664" spans="1:16" x14ac:dyDescent="0.25">
      <c r="A664">
        <v>53</v>
      </c>
      <c r="B664" s="19">
        <v>40571</v>
      </c>
      <c r="C664">
        <v>1</v>
      </c>
      <c r="D664">
        <v>1</v>
      </c>
      <c r="E664">
        <v>15</v>
      </c>
      <c r="F664" t="b">
        <v>0</v>
      </c>
      <c r="G664">
        <v>5</v>
      </c>
      <c r="H664">
        <v>2</v>
      </c>
      <c r="I664">
        <v>0.2</v>
      </c>
      <c r="J664">
        <v>52</v>
      </c>
      <c r="K664">
        <v>0.13639999999999999</v>
      </c>
      <c r="L664">
        <v>0.5</v>
      </c>
      <c r="M664">
        <v>0.19400000000000001</v>
      </c>
      <c r="N664">
        <v>1</v>
      </c>
      <c r="O664">
        <v>63</v>
      </c>
      <c r="P664">
        <v>64</v>
      </c>
    </row>
    <row r="665" spans="1:16" x14ac:dyDescent="0.25">
      <c r="A665">
        <v>54</v>
      </c>
      <c r="B665" s="19">
        <v>40571</v>
      </c>
      <c r="C665">
        <v>1</v>
      </c>
      <c r="D665">
        <v>1</v>
      </c>
      <c r="E665">
        <v>15</v>
      </c>
      <c r="F665" t="b">
        <v>0</v>
      </c>
      <c r="G665">
        <v>5</v>
      </c>
      <c r="H665">
        <v>2</v>
      </c>
      <c r="I665">
        <v>0.2</v>
      </c>
      <c r="J665">
        <v>53</v>
      </c>
      <c r="K665">
        <v>0.1212</v>
      </c>
      <c r="L665">
        <v>0.5</v>
      </c>
      <c r="M665">
        <v>0.28360000000000002</v>
      </c>
      <c r="N665">
        <v>1</v>
      </c>
      <c r="O665">
        <v>153</v>
      </c>
      <c r="P665">
        <v>154</v>
      </c>
    </row>
    <row r="666" spans="1:16" x14ac:dyDescent="0.25">
      <c r="A666">
        <v>55</v>
      </c>
      <c r="B666" s="19">
        <v>40571</v>
      </c>
      <c r="C666">
        <v>1</v>
      </c>
      <c r="D666">
        <v>1</v>
      </c>
      <c r="E666">
        <v>15</v>
      </c>
      <c r="F666" t="b">
        <v>0</v>
      </c>
      <c r="G666">
        <v>5</v>
      </c>
      <c r="H666">
        <v>2</v>
      </c>
      <c r="I666">
        <v>0.2</v>
      </c>
      <c r="J666">
        <v>54</v>
      </c>
      <c r="K666">
        <v>0.13639999999999999</v>
      </c>
      <c r="L666">
        <v>0.43</v>
      </c>
      <c r="M666">
        <v>0.3881</v>
      </c>
      <c r="N666">
        <v>7</v>
      </c>
      <c r="O666">
        <v>81</v>
      </c>
      <c r="P666">
        <v>88</v>
      </c>
    </row>
    <row r="667" spans="1:16" x14ac:dyDescent="0.25">
      <c r="A667">
        <v>56</v>
      </c>
      <c r="B667" s="19">
        <v>40571</v>
      </c>
      <c r="C667">
        <v>1</v>
      </c>
      <c r="D667">
        <v>1</v>
      </c>
      <c r="E667">
        <v>15</v>
      </c>
      <c r="F667" t="b">
        <v>0</v>
      </c>
      <c r="G667">
        <v>5</v>
      </c>
      <c r="H667">
        <v>2</v>
      </c>
      <c r="I667">
        <v>0.2</v>
      </c>
      <c r="J667">
        <v>55</v>
      </c>
      <c r="K667">
        <v>0.16669999999999999</v>
      </c>
      <c r="L667">
        <v>0.43</v>
      </c>
      <c r="M667">
        <v>0.25369999999999998</v>
      </c>
      <c r="N667">
        <v>11</v>
      </c>
      <c r="O667">
        <v>33</v>
      </c>
      <c r="P667">
        <v>44</v>
      </c>
    </row>
    <row r="668" spans="1:16" x14ac:dyDescent="0.25">
      <c r="A668">
        <v>57</v>
      </c>
      <c r="B668" s="19">
        <v>40571</v>
      </c>
      <c r="C668">
        <v>1</v>
      </c>
      <c r="D668">
        <v>1</v>
      </c>
      <c r="E668">
        <v>15</v>
      </c>
      <c r="F668" t="b">
        <v>0</v>
      </c>
      <c r="G668">
        <v>5</v>
      </c>
      <c r="H668">
        <v>2</v>
      </c>
      <c r="I668">
        <v>0.2</v>
      </c>
      <c r="J668">
        <v>56</v>
      </c>
      <c r="K668">
        <v>0.18179999999999999</v>
      </c>
      <c r="L668">
        <v>0.4</v>
      </c>
      <c r="M668">
        <v>0.32840000000000003</v>
      </c>
      <c r="N668">
        <v>10</v>
      </c>
      <c r="O668">
        <v>41</v>
      </c>
      <c r="P668">
        <v>51</v>
      </c>
    </row>
    <row r="669" spans="1:16" x14ac:dyDescent="0.25">
      <c r="A669">
        <v>58</v>
      </c>
      <c r="B669" s="19">
        <v>40571</v>
      </c>
      <c r="C669">
        <v>1</v>
      </c>
      <c r="D669">
        <v>1</v>
      </c>
      <c r="E669">
        <v>15</v>
      </c>
      <c r="F669" t="b">
        <v>0</v>
      </c>
      <c r="G669">
        <v>5</v>
      </c>
      <c r="H669">
        <v>2</v>
      </c>
      <c r="I669">
        <v>0.2</v>
      </c>
      <c r="J669">
        <v>57</v>
      </c>
      <c r="K669">
        <v>0.21210000000000001</v>
      </c>
      <c r="L669">
        <v>0.35</v>
      </c>
      <c r="M669">
        <v>0.29849999999999999</v>
      </c>
      <c r="N669">
        <v>13</v>
      </c>
      <c r="O669">
        <v>48</v>
      </c>
      <c r="P669">
        <v>61</v>
      </c>
    </row>
    <row r="670" spans="1:16" x14ac:dyDescent="0.25">
      <c r="A670">
        <v>59</v>
      </c>
      <c r="B670" s="19">
        <v>40571</v>
      </c>
      <c r="C670">
        <v>1</v>
      </c>
      <c r="D670">
        <v>1</v>
      </c>
      <c r="E670">
        <v>15</v>
      </c>
      <c r="F670" t="b">
        <v>0</v>
      </c>
      <c r="G670">
        <v>5</v>
      </c>
      <c r="H670">
        <v>2</v>
      </c>
      <c r="I670">
        <v>0.2</v>
      </c>
      <c r="J670">
        <v>58</v>
      </c>
      <c r="K670">
        <v>0</v>
      </c>
      <c r="L670">
        <v>0.35</v>
      </c>
      <c r="M670">
        <v>0.28360000000000002</v>
      </c>
      <c r="N670">
        <v>8</v>
      </c>
      <c r="O670">
        <v>53</v>
      </c>
      <c r="P670">
        <v>61</v>
      </c>
    </row>
    <row r="671" spans="1:16" x14ac:dyDescent="0.25">
      <c r="A671">
        <v>60</v>
      </c>
      <c r="B671" s="19">
        <v>40571</v>
      </c>
      <c r="C671">
        <v>1</v>
      </c>
      <c r="D671">
        <v>1</v>
      </c>
      <c r="E671">
        <v>15</v>
      </c>
      <c r="F671" t="b">
        <v>0</v>
      </c>
      <c r="G671">
        <v>5</v>
      </c>
      <c r="H671">
        <v>2</v>
      </c>
      <c r="I671">
        <v>0.2</v>
      </c>
      <c r="J671">
        <v>59</v>
      </c>
      <c r="K671">
        <v>0.2424</v>
      </c>
      <c r="L671">
        <v>0.3</v>
      </c>
      <c r="M671">
        <v>0.28360000000000002</v>
      </c>
      <c r="N671">
        <v>11</v>
      </c>
      <c r="O671">
        <v>66</v>
      </c>
      <c r="P671">
        <v>77</v>
      </c>
    </row>
    <row r="672" spans="1:16" x14ac:dyDescent="0.25">
      <c r="A672">
        <v>61</v>
      </c>
      <c r="B672" s="19">
        <v>40571</v>
      </c>
      <c r="C672">
        <v>1</v>
      </c>
      <c r="D672">
        <v>1</v>
      </c>
      <c r="E672">
        <v>15</v>
      </c>
      <c r="F672" t="b">
        <v>0</v>
      </c>
      <c r="G672">
        <v>5</v>
      </c>
      <c r="H672">
        <v>2</v>
      </c>
      <c r="I672">
        <v>0.2</v>
      </c>
      <c r="J672">
        <v>60</v>
      </c>
      <c r="K672">
        <v>0.2424</v>
      </c>
      <c r="L672">
        <v>0.3</v>
      </c>
      <c r="M672">
        <v>0.25369999999999998</v>
      </c>
      <c r="N672">
        <v>14</v>
      </c>
      <c r="O672">
        <v>58</v>
      </c>
      <c r="P672">
        <v>72</v>
      </c>
    </row>
    <row r="673" spans="1:16" x14ac:dyDescent="0.25">
      <c r="A673">
        <v>62</v>
      </c>
      <c r="B673" s="19">
        <v>40571</v>
      </c>
      <c r="C673">
        <v>1</v>
      </c>
      <c r="D673">
        <v>1</v>
      </c>
      <c r="E673">
        <v>15</v>
      </c>
      <c r="F673" t="b">
        <v>0</v>
      </c>
      <c r="G673">
        <v>5</v>
      </c>
      <c r="H673">
        <v>2</v>
      </c>
      <c r="I673">
        <v>0.2</v>
      </c>
      <c r="J673">
        <v>61</v>
      </c>
      <c r="K673">
        <v>0.2424</v>
      </c>
      <c r="L673">
        <v>0.3</v>
      </c>
      <c r="M673">
        <v>0.25369999999999998</v>
      </c>
      <c r="N673">
        <v>9</v>
      </c>
      <c r="O673">
        <v>67</v>
      </c>
      <c r="P673">
        <v>76</v>
      </c>
    </row>
    <row r="674" spans="1:16" x14ac:dyDescent="0.25">
      <c r="A674">
        <v>63</v>
      </c>
      <c r="B674" s="19">
        <v>40571</v>
      </c>
      <c r="C674">
        <v>1</v>
      </c>
      <c r="D674">
        <v>1</v>
      </c>
      <c r="E674">
        <v>15</v>
      </c>
      <c r="F674" t="b">
        <v>0</v>
      </c>
      <c r="G674">
        <v>5</v>
      </c>
      <c r="H674">
        <v>2</v>
      </c>
      <c r="I674">
        <v>0.2</v>
      </c>
      <c r="J674">
        <v>62</v>
      </c>
      <c r="K674">
        <v>0.2273</v>
      </c>
      <c r="L674">
        <v>0.3</v>
      </c>
      <c r="M674">
        <v>0.22389999999999999</v>
      </c>
      <c r="N674">
        <v>11</v>
      </c>
      <c r="O674">
        <v>146</v>
      </c>
      <c r="P674">
        <v>157</v>
      </c>
    </row>
    <row r="675" spans="1:16" x14ac:dyDescent="0.25">
      <c r="A675">
        <v>64</v>
      </c>
      <c r="B675" s="19">
        <v>40571</v>
      </c>
      <c r="C675">
        <v>1</v>
      </c>
      <c r="D675">
        <v>1</v>
      </c>
      <c r="E675">
        <v>15</v>
      </c>
      <c r="F675" t="b">
        <v>0</v>
      </c>
      <c r="G675">
        <v>5</v>
      </c>
      <c r="H675">
        <v>2</v>
      </c>
      <c r="I675">
        <v>0.2</v>
      </c>
      <c r="J675">
        <v>63</v>
      </c>
      <c r="K675">
        <v>0.2576</v>
      </c>
      <c r="L675">
        <v>0.32</v>
      </c>
      <c r="M675">
        <v>0.1045</v>
      </c>
      <c r="N675">
        <v>9</v>
      </c>
      <c r="O675">
        <v>148</v>
      </c>
      <c r="P675">
        <v>157</v>
      </c>
    </row>
    <row r="676" spans="1:16" x14ac:dyDescent="0.25">
      <c r="A676">
        <v>65</v>
      </c>
      <c r="B676" s="19">
        <v>40571</v>
      </c>
      <c r="C676">
        <v>1</v>
      </c>
      <c r="D676">
        <v>1</v>
      </c>
      <c r="E676">
        <v>15</v>
      </c>
      <c r="F676" t="b">
        <v>0</v>
      </c>
      <c r="G676">
        <v>5</v>
      </c>
      <c r="H676">
        <v>2</v>
      </c>
      <c r="I676">
        <v>0.2</v>
      </c>
      <c r="J676">
        <v>64</v>
      </c>
      <c r="K676">
        <v>0.2576</v>
      </c>
      <c r="L676">
        <v>0.47</v>
      </c>
      <c r="M676">
        <v>0</v>
      </c>
      <c r="N676">
        <v>8</v>
      </c>
      <c r="O676">
        <v>102</v>
      </c>
      <c r="P676">
        <v>110</v>
      </c>
    </row>
    <row r="677" spans="1:16" x14ac:dyDescent="0.25">
      <c r="A677">
        <v>66</v>
      </c>
      <c r="B677" s="19">
        <v>40571</v>
      </c>
      <c r="C677">
        <v>1</v>
      </c>
      <c r="D677">
        <v>1</v>
      </c>
      <c r="E677">
        <v>15</v>
      </c>
      <c r="F677" t="b">
        <v>0</v>
      </c>
      <c r="G677">
        <v>5</v>
      </c>
      <c r="H677">
        <v>2</v>
      </c>
      <c r="I677">
        <v>0.2</v>
      </c>
      <c r="J677">
        <v>65</v>
      </c>
      <c r="K677">
        <v>0</v>
      </c>
      <c r="L677">
        <v>0.47</v>
      </c>
      <c r="M677">
        <v>0.1045</v>
      </c>
      <c r="N677">
        <v>3</v>
      </c>
      <c r="O677">
        <v>49</v>
      </c>
      <c r="P677">
        <v>52</v>
      </c>
    </row>
    <row r="678" spans="1:16" x14ac:dyDescent="0.25">
      <c r="A678">
        <v>67</v>
      </c>
      <c r="B678" s="19">
        <v>40571</v>
      </c>
      <c r="C678">
        <v>1</v>
      </c>
      <c r="D678">
        <v>1</v>
      </c>
      <c r="E678">
        <v>15</v>
      </c>
      <c r="F678" t="b">
        <v>0</v>
      </c>
      <c r="G678">
        <v>5</v>
      </c>
      <c r="H678">
        <v>2</v>
      </c>
      <c r="I678">
        <v>0.2</v>
      </c>
      <c r="J678">
        <v>66</v>
      </c>
      <c r="K678">
        <v>0.19700000000000001</v>
      </c>
      <c r="L678">
        <v>0.64</v>
      </c>
      <c r="M678">
        <v>0.1343</v>
      </c>
      <c r="N678">
        <v>3</v>
      </c>
      <c r="O678">
        <v>49</v>
      </c>
      <c r="P678">
        <v>52</v>
      </c>
    </row>
    <row r="679" spans="1:16" x14ac:dyDescent="0.25">
      <c r="A679">
        <v>68</v>
      </c>
      <c r="B679" s="19">
        <v>40571</v>
      </c>
      <c r="C679">
        <v>1</v>
      </c>
      <c r="D679">
        <v>1</v>
      </c>
      <c r="E679">
        <v>15</v>
      </c>
      <c r="F679" t="b">
        <v>0</v>
      </c>
      <c r="G679">
        <v>5</v>
      </c>
      <c r="H679">
        <v>2</v>
      </c>
      <c r="I679">
        <v>0.2</v>
      </c>
      <c r="J679">
        <v>67</v>
      </c>
      <c r="K679">
        <v>0.1515</v>
      </c>
      <c r="L679">
        <v>0.69</v>
      </c>
      <c r="M679">
        <v>0.1343</v>
      </c>
      <c r="N679">
        <v>0</v>
      </c>
      <c r="O679">
        <v>20</v>
      </c>
      <c r="P679">
        <v>20</v>
      </c>
    </row>
    <row r="680" spans="1:16" x14ac:dyDescent="0.25">
      <c r="A680">
        <v>69</v>
      </c>
      <c r="B680" s="19">
        <v>40571</v>
      </c>
      <c r="C680">
        <v>1</v>
      </c>
      <c r="D680">
        <v>1</v>
      </c>
      <c r="E680">
        <v>15</v>
      </c>
      <c r="F680" t="b">
        <v>0</v>
      </c>
      <c r="G680">
        <v>5</v>
      </c>
      <c r="H680">
        <v>2</v>
      </c>
      <c r="I680">
        <v>0.2</v>
      </c>
      <c r="J680">
        <v>68</v>
      </c>
      <c r="K680">
        <v>0.21210000000000001</v>
      </c>
      <c r="L680">
        <v>0.55000000000000004</v>
      </c>
      <c r="M680">
        <v>0.1045</v>
      </c>
      <c r="N680">
        <v>1</v>
      </c>
      <c r="O680">
        <v>11</v>
      </c>
      <c r="P680">
        <v>12</v>
      </c>
    </row>
    <row r="681" spans="1:16" x14ac:dyDescent="0.25">
      <c r="A681">
        <v>70</v>
      </c>
      <c r="B681" s="19">
        <v>40571</v>
      </c>
      <c r="C681">
        <v>1</v>
      </c>
      <c r="D681">
        <v>1</v>
      </c>
      <c r="E681">
        <v>15</v>
      </c>
      <c r="F681" t="b">
        <v>0</v>
      </c>
      <c r="G681">
        <v>5</v>
      </c>
      <c r="H681">
        <v>2</v>
      </c>
      <c r="I681">
        <v>0.2</v>
      </c>
      <c r="J681">
        <v>69</v>
      </c>
      <c r="K681">
        <v>0</v>
      </c>
      <c r="L681">
        <v>0.55000000000000004</v>
      </c>
      <c r="M681">
        <v>0.1045</v>
      </c>
      <c r="N681">
        <v>0</v>
      </c>
      <c r="O681">
        <v>5</v>
      </c>
      <c r="P681">
        <v>5</v>
      </c>
    </row>
    <row r="682" spans="1:16" x14ac:dyDescent="0.25">
      <c r="A682">
        <v>71</v>
      </c>
      <c r="B682" s="19">
        <v>40571</v>
      </c>
      <c r="C682">
        <v>1</v>
      </c>
      <c r="D682">
        <v>1</v>
      </c>
      <c r="E682">
        <v>15</v>
      </c>
      <c r="F682" t="b">
        <v>0</v>
      </c>
      <c r="G682">
        <v>5</v>
      </c>
      <c r="H682">
        <v>2</v>
      </c>
      <c r="I682">
        <v>0.2</v>
      </c>
      <c r="J682">
        <v>70</v>
      </c>
      <c r="K682">
        <v>0.18179999999999999</v>
      </c>
      <c r="L682">
        <v>0.59</v>
      </c>
      <c r="M682">
        <v>0.1045</v>
      </c>
      <c r="N682">
        <v>0</v>
      </c>
      <c r="O682">
        <v>2</v>
      </c>
      <c r="P682">
        <v>2</v>
      </c>
    </row>
    <row r="683" spans="1:16" x14ac:dyDescent="0.25">
      <c r="A683">
        <v>72</v>
      </c>
      <c r="B683" s="19">
        <v>40571</v>
      </c>
      <c r="C683">
        <v>1</v>
      </c>
      <c r="D683">
        <v>1</v>
      </c>
      <c r="E683">
        <v>15</v>
      </c>
      <c r="F683" t="b">
        <v>0</v>
      </c>
      <c r="G683">
        <v>5</v>
      </c>
      <c r="H683">
        <v>2</v>
      </c>
      <c r="I683">
        <v>0.2</v>
      </c>
      <c r="J683">
        <v>71</v>
      </c>
      <c r="K683">
        <v>0.1515</v>
      </c>
      <c r="L683">
        <v>0.63</v>
      </c>
      <c r="M683">
        <v>0.1343</v>
      </c>
      <c r="N683">
        <v>0</v>
      </c>
      <c r="O683">
        <v>1</v>
      </c>
      <c r="P683">
        <v>1</v>
      </c>
    </row>
    <row r="684" spans="1:16" x14ac:dyDescent="0.25">
      <c r="A684">
        <v>73</v>
      </c>
      <c r="B684" s="19">
        <v>40571</v>
      </c>
      <c r="C684">
        <v>1</v>
      </c>
      <c r="D684">
        <v>1</v>
      </c>
      <c r="E684">
        <v>15</v>
      </c>
      <c r="F684" t="b">
        <v>0</v>
      </c>
      <c r="G684">
        <v>5</v>
      </c>
      <c r="H684">
        <v>2</v>
      </c>
      <c r="I684">
        <v>0.2</v>
      </c>
      <c r="J684">
        <v>72</v>
      </c>
      <c r="K684">
        <v>0.18179999999999999</v>
      </c>
      <c r="L684">
        <v>0.63</v>
      </c>
      <c r="M684">
        <v>8.9599999999999999E-2</v>
      </c>
      <c r="N684">
        <v>0</v>
      </c>
      <c r="O684">
        <v>2</v>
      </c>
      <c r="P684">
        <v>2</v>
      </c>
    </row>
    <row r="685" spans="1:16" x14ac:dyDescent="0.25">
      <c r="A685">
        <v>74</v>
      </c>
      <c r="B685" s="19">
        <v>40571</v>
      </c>
      <c r="C685">
        <v>1</v>
      </c>
      <c r="D685">
        <v>1</v>
      </c>
      <c r="E685">
        <v>15</v>
      </c>
      <c r="F685" t="b">
        <v>0</v>
      </c>
      <c r="G685">
        <v>5</v>
      </c>
      <c r="H685">
        <v>2</v>
      </c>
      <c r="I685">
        <v>0.2</v>
      </c>
      <c r="J685">
        <v>73</v>
      </c>
      <c r="K685">
        <v>0.1515</v>
      </c>
      <c r="L685">
        <v>0.68</v>
      </c>
      <c r="M685">
        <v>0.1045</v>
      </c>
      <c r="N685">
        <v>0</v>
      </c>
      <c r="O685">
        <v>4</v>
      </c>
      <c r="P685">
        <v>4</v>
      </c>
    </row>
    <row r="686" spans="1:16" x14ac:dyDescent="0.25">
      <c r="A686">
        <v>75</v>
      </c>
      <c r="B686" s="19">
        <v>40571</v>
      </c>
      <c r="C686">
        <v>1</v>
      </c>
      <c r="D686">
        <v>1</v>
      </c>
      <c r="E686">
        <v>15</v>
      </c>
      <c r="F686" t="b">
        <v>0</v>
      </c>
      <c r="G686">
        <v>5</v>
      </c>
      <c r="H686">
        <v>2</v>
      </c>
      <c r="I686">
        <v>0.2</v>
      </c>
      <c r="J686">
        <v>74</v>
      </c>
      <c r="K686">
        <v>0.1515</v>
      </c>
      <c r="L686">
        <v>0.74</v>
      </c>
      <c r="M686">
        <v>0.1045</v>
      </c>
      <c r="N686">
        <v>0</v>
      </c>
      <c r="O686">
        <v>36</v>
      </c>
      <c r="P686">
        <v>36</v>
      </c>
    </row>
    <row r="687" spans="1:16" x14ac:dyDescent="0.25">
      <c r="A687">
        <v>76</v>
      </c>
      <c r="B687" s="19">
        <v>40571</v>
      </c>
      <c r="C687">
        <v>1</v>
      </c>
      <c r="D687">
        <v>1</v>
      </c>
      <c r="E687">
        <v>15</v>
      </c>
      <c r="F687" t="b">
        <v>0</v>
      </c>
      <c r="G687">
        <v>5</v>
      </c>
      <c r="H687">
        <v>2</v>
      </c>
      <c r="I687">
        <v>0.2</v>
      </c>
      <c r="J687">
        <v>75</v>
      </c>
      <c r="K687">
        <v>0.1515</v>
      </c>
      <c r="L687">
        <v>0.74</v>
      </c>
      <c r="M687">
        <v>0.1343</v>
      </c>
      <c r="N687">
        <v>2</v>
      </c>
      <c r="O687">
        <v>92</v>
      </c>
      <c r="P687">
        <v>94</v>
      </c>
    </row>
    <row r="688" spans="1:16" x14ac:dyDescent="0.25">
      <c r="A688">
        <v>77</v>
      </c>
      <c r="B688" s="19">
        <v>40571</v>
      </c>
      <c r="C688">
        <v>1</v>
      </c>
      <c r="D688">
        <v>1</v>
      </c>
      <c r="E688">
        <v>15</v>
      </c>
      <c r="F688" t="b">
        <v>0</v>
      </c>
      <c r="G688">
        <v>5</v>
      </c>
      <c r="H688">
        <v>2</v>
      </c>
      <c r="I688">
        <v>0.2</v>
      </c>
      <c r="J688">
        <v>76</v>
      </c>
      <c r="K688">
        <v>0.1515</v>
      </c>
      <c r="L688">
        <v>0.69</v>
      </c>
      <c r="M688">
        <v>0.16420000000000001</v>
      </c>
      <c r="N688">
        <v>2</v>
      </c>
      <c r="O688">
        <v>177</v>
      </c>
      <c r="P688">
        <v>179</v>
      </c>
    </row>
    <row r="689" spans="1:16" x14ac:dyDescent="0.25">
      <c r="A689">
        <v>78</v>
      </c>
      <c r="B689" s="19">
        <v>40571</v>
      </c>
      <c r="C689">
        <v>1</v>
      </c>
      <c r="D689">
        <v>1</v>
      </c>
      <c r="E689">
        <v>15</v>
      </c>
      <c r="F689" t="b">
        <v>0</v>
      </c>
      <c r="G689">
        <v>5</v>
      </c>
      <c r="H689">
        <v>2</v>
      </c>
      <c r="I689">
        <v>0.2</v>
      </c>
      <c r="J689">
        <v>77</v>
      </c>
      <c r="K689">
        <v>0.1515</v>
      </c>
      <c r="L689">
        <v>0.64</v>
      </c>
      <c r="M689">
        <v>0.22389999999999999</v>
      </c>
      <c r="N689">
        <v>2</v>
      </c>
      <c r="O689">
        <v>98</v>
      </c>
      <c r="P689">
        <v>100</v>
      </c>
    </row>
    <row r="690" spans="1:16" x14ac:dyDescent="0.25">
      <c r="A690">
        <v>79</v>
      </c>
      <c r="B690" s="19">
        <v>40571</v>
      </c>
      <c r="C690">
        <v>1</v>
      </c>
      <c r="D690">
        <v>1</v>
      </c>
      <c r="E690">
        <v>15</v>
      </c>
      <c r="F690" t="b">
        <v>0</v>
      </c>
      <c r="G690">
        <v>5</v>
      </c>
      <c r="H690">
        <v>2</v>
      </c>
      <c r="I690">
        <v>0.2</v>
      </c>
      <c r="J690">
        <v>78</v>
      </c>
      <c r="K690">
        <v>0.13639999999999999</v>
      </c>
      <c r="L690">
        <v>0.69</v>
      </c>
      <c r="M690">
        <v>0.32840000000000003</v>
      </c>
      <c r="N690">
        <v>5</v>
      </c>
      <c r="O690">
        <v>37</v>
      </c>
      <c r="P690">
        <v>42</v>
      </c>
    </row>
    <row r="691" spans="1:16" x14ac:dyDescent="0.25">
      <c r="A691">
        <v>80</v>
      </c>
      <c r="B691" s="19">
        <v>40571</v>
      </c>
      <c r="C691">
        <v>1</v>
      </c>
      <c r="D691">
        <v>1</v>
      </c>
      <c r="E691">
        <v>15</v>
      </c>
      <c r="F691" t="b">
        <v>0</v>
      </c>
      <c r="G691">
        <v>5</v>
      </c>
      <c r="H691">
        <v>2</v>
      </c>
      <c r="I691">
        <v>0.2</v>
      </c>
      <c r="J691">
        <v>79</v>
      </c>
      <c r="K691">
        <v>0.21210000000000001</v>
      </c>
      <c r="L691">
        <v>0.51</v>
      </c>
      <c r="M691">
        <v>0.29849999999999999</v>
      </c>
      <c r="N691">
        <v>7</v>
      </c>
      <c r="O691">
        <v>50</v>
      </c>
      <c r="P691">
        <v>57</v>
      </c>
    </row>
    <row r="692" spans="1:16" x14ac:dyDescent="0.25">
      <c r="A692">
        <v>81</v>
      </c>
      <c r="B692" s="19">
        <v>40571</v>
      </c>
      <c r="C692">
        <v>1</v>
      </c>
      <c r="D692">
        <v>1</v>
      </c>
      <c r="E692">
        <v>15</v>
      </c>
      <c r="F692" t="b">
        <v>0</v>
      </c>
      <c r="G692">
        <v>5</v>
      </c>
      <c r="H692">
        <v>2</v>
      </c>
      <c r="I692">
        <v>0.2</v>
      </c>
      <c r="J692">
        <v>80</v>
      </c>
      <c r="K692">
        <v>0.2273</v>
      </c>
      <c r="L692">
        <v>0.51</v>
      </c>
      <c r="M692">
        <v>0.16420000000000001</v>
      </c>
      <c r="N692">
        <v>12</v>
      </c>
      <c r="O692">
        <v>66</v>
      </c>
      <c r="P692">
        <v>78</v>
      </c>
    </row>
    <row r="693" spans="1:16" x14ac:dyDescent="0.25">
      <c r="A693">
        <v>82</v>
      </c>
      <c r="B693" s="19">
        <v>40571</v>
      </c>
      <c r="C693">
        <v>1</v>
      </c>
      <c r="D693">
        <v>1</v>
      </c>
      <c r="E693">
        <v>15</v>
      </c>
      <c r="F693" t="b">
        <v>0</v>
      </c>
      <c r="G693">
        <v>5</v>
      </c>
      <c r="H693">
        <v>2</v>
      </c>
      <c r="I693">
        <v>0.2</v>
      </c>
      <c r="J693">
        <v>81</v>
      </c>
      <c r="K693">
        <v>0.2273</v>
      </c>
      <c r="L693">
        <v>0.56000000000000005</v>
      </c>
      <c r="M693">
        <v>0.19400000000000001</v>
      </c>
      <c r="N693">
        <v>18</v>
      </c>
      <c r="O693">
        <v>79</v>
      </c>
      <c r="P693">
        <v>97</v>
      </c>
    </row>
    <row r="694" spans="1:16" x14ac:dyDescent="0.25">
      <c r="A694">
        <v>83</v>
      </c>
      <c r="B694" s="19">
        <v>40571</v>
      </c>
      <c r="C694">
        <v>1</v>
      </c>
      <c r="D694">
        <v>1</v>
      </c>
      <c r="E694">
        <v>15</v>
      </c>
      <c r="F694" t="b">
        <v>0</v>
      </c>
      <c r="G694">
        <v>5</v>
      </c>
      <c r="H694">
        <v>2</v>
      </c>
      <c r="I694">
        <v>0.2</v>
      </c>
      <c r="J694">
        <v>82</v>
      </c>
      <c r="K694">
        <v>0.2576</v>
      </c>
      <c r="L694">
        <v>0.52</v>
      </c>
      <c r="M694">
        <v>0.22389999999999999</v>
      </c>
      <c r="N694">
        <v>9</v>
      </c>
      <c r="O694">
        <v>54</v>
      </c>
      <c r="P694">
        <v>63</v>
      </c>
    </row>
    <row r="695" spans="1:16" x14ac:dyDescent="0.25">
      <c r="A695">
        <v>84</v>
      </c>
      <c r="B695" s="19">
        <v>40571</v>
      </c>
      <c r="C695">
        <v>1</v>
      </c>
      <c r="D695">
        <v>1</v>
      </c>
      <c r="E695">
        <v>15</v>
      </c>
      <c r="F695" t="b">
        <v>0</v>
      </c>
      <c r="G695">
        <v>5</v>
      </c>
      <c r="H695">
        <v>2</v>
      </c>
      <c r="I695">
        <v>0.2</v>
      </c>
      <c r="J695">
        <v>83</v>
      </c>
      <c r="K695">
        <v>0.2727</v>
      </c>
      <c r="L695">
        <v>0.52</v>
      </c>
      <c r="M695">
        <v>0.25369999999999998</v>
      </c>
      <c r="N695">
        <v>17</v>
      </c>
      <c r="O695">
        <v>48</v>
      </c>
      <c r="P695">
        <v>65</v>
      </c>
    </row>
    <row r="696" spans="1:16" x14ac:dyDescent="0.25">
      <c r="A696">
        <v>85</v>
      </c>
      <c r="B696" s="19">
        <v>40571</v>
      </c>
      <c r="C696">
        <v>1</v>
      </c>
      <c r="D696">
        <v>1</v>
      </c>
      <c r="E696">
        <v>15</v>
      </c>
      <c r="F696" t="b">
        <v>0</v>
      </c>
      <c r="G696">
        <v>5</v>
      </c>
      <c r="H696">
        <v>2</v>
      </c>
      <c r="I696">
        <v>0.2</v>
      </c>
      <c r="J696">
        <v>84</v>
      </c>
      <c r="K696">
        <v>0.28789999999999999</v>
      </c>
      <c r="L696">
        <v>0.49</v>
      </c>
      <c r="M696">
        <v>0.25369999999999998</v>
      </c>
      <c r="N696">
        <v>15</v>
      </c>
      <c r="O696">
        <v>68</v>
      </c>
      <c r="P696">
        <v>83</v>
      </c>
    </row>
    <row r="697" spans="1:16" x14ac:dyDescent="0.25">
      <c r="A697">
        <v>86</v>
      </c>
      <c r="B697" s="19">
        <v>40571</v>
      </c>
      <c r="C697">
        <v>1</v>
      </c>
      <c r="D697">
        <v>1</v>
      </c>
      <c r="E697">
        <v>15</v>
      </c>
      <c r="F697" t="b">
        <v>0</v>
      </c>
      <c r="G697">
        <v>5</v>
      </c>
      <c r="H697">
        <v>2</v>
      </c>
      <c r="I697">
        <v>0.2</v>
      </c>
      <c r="J697">
        <v>85</v>
      </c>
      <c r="K697">
        <v>0.2727</v>
      </c>
      <c r="L697">
        <v>0.48</v>
      </c>
      <c r="M697">
        <v>0.22389999999999999</v>
      </c>
      <c r="N697">
        <v>10</v>
      </c>
      <c r="O697">
        <v>202</v>
      </c>
      <c r="P697">
        <v>212</v>
      </c>
    </row>
    <row r="698" spans="1:16" x14ac:dyDescent="0.25">
      <c r="A698">
        <v>87</v>
      </c>
      <c r="B698" s="19">
        <v>40571</v>
      </c>
      <c r="C698">
        <v>1</v>
      </c>
      <c r="D698">
        <v>1</v>
      </c>
      <c r="E698">
        <v>15</v>
      </c>
      <c r="F698" t="b">
        <v>0</v>
      </c>
      <c r="G698">
        <v>5</v>
      </c>
      <c r="H698">
        <v>2</v>
      </c>
      <c r="I698">
        <v>0.2</v>
      </c>
      <c r="J698">
        <v>86</v>
      </c>
      <c r="K698">
        <v>0.2576</v>
      </c>
      <c r="L698">
        <v>0.48</v>
      </c>
      <c r="M698">
        <v>0.19400000000000001</v>
      </c>
      <c r="N698">
        <v>3</v>
      </c>
      <c r="O698">
        <v>179</v>
      </c>
      <c r="P698">
        <v>182</v>
      </c>
    </row>
    <row r="699" spans="1:16" x14ac:dyDescent="0.25">
      <c r="A699">
        <v>88</v>
      </c>
      <c r="B699" s="19">
        <v>40571</v>
      </c>
      <c r="C699">
        <v>1</v>
      </c>
      <c r="D699">
        <v>1</v>
      </c>
      <c r="E699">
        <v>15</v>
      </c>
      <c r="F699" t="b">
        <v>0</v>
      </c>
      <c r="G699">
        <v>5</v>
      </c>
      <c r="H699">
        <v>2</v>
      </c>
      <c r="I699">
        <v>0.2</v>
      </c>
      <c r="J699">
        <v>87</v>
      </c>
      <c r="K699">
        <v>0.2576</v>
      </c>
      <c r="L699">
        <v>0.48</v>
      </c>
      <c r="M699">
        <v>0.1045</v>
      </c>
      <c r="N699">
        <v>2</v>
      </c>
      <c r="O699">
        <v>110</v>
      </c>
      <c r="P699">
        <v>112</v>
      </c>
    </row>
    <row r="700" spans="1:16" x14ac:dyDescent="0.25">
      <c r="A700">
        <v>89</v>
      </c>
      <c r="B700" s="19">
        <v>40571</v>
      </c>
      <c r="C700">
        <v>1</v>
      </c>
      <c r="D700">
        <v>1</v>
      </c>
      <c r="E700">
        <v>15</v>
      </c>
      <c r="F700" t="b">
        <v>0</v>
      </c>
      <c r="G700">
        <v>5</v>
      </c>
      <c r="H700">
        <v>2</v>
      </c>
      <c r="I700">
        <v>0.2</v>
      </c>
      <c r="J700">
        <v>88</v>
      </c>
      <c r="K700">
        <v>0.2576</v>
      </c>
      <c r="L700">
        <v>0.48</v>
      </c>
      <c r="M700">
        <v>0.1045</v>
      </c>
      <c r="N700">
        <v>1</v>
      </c>
      <c r="O700">
        <v>53</v>
      </c>
      <c r="P700">
        <v>54</v>
      </c>
    </row>
    <row r="701" spans="1:16" x14ac:dyDescent="0.25">
      <c r="A701">
        <v>90</v>
      </c>
      <c r="B701" s="19">
        <v>40571</v>
      </c>
      <c r="C701">
        <v>1</v>
      </c>
      <c r="D701">
        <v>1</v>
      </c>
      <c r="E701">
        <v>15</v>
      </c>
      <c r="F701" t="b">
        <v>0</v>
      </c>
      <c r="G701">
        <v>5</v>
      </c>
      <c r="H701">
        <v>2</v>
      </c>
      <c r="I701">
        <v>0.2</v>
      </c>
      <c r="J701">
        <v>89</v>
      </c>
      <c r="K701">
        <v>0.2727</v>
      </c>
      <c r="L701">
        <v>0.64</v>
      </c>
      <c r="M701">
        <v>0</v>
      </c>
      <c r="N701">
        <v>0</v>
      </c>
      <c r="O701">
        <v>48</v>
      </c>
      <c r="P701">
        <v>48</v>
      </c>
    </row>
    <row r="702" spans="1:16" x14ac:dyDescent="0.25">
      <c r="A702">
        <v>91</v>
      </c>
      <c r="B702" s="19">
        <v>40571</v>
      </c>
      <c r="C702">
        <v>1</v>
      </c>
      <c r="D702">
        <v>1</v>
      </c>
      <c r="E702">
        <v>15</v>
      </c>
      <c r="F702" t="b">
        <v>0</v>
      </c>
      <c r="G702">
        <v>5</v>
      </c>
      <c r="H702">
        <v>2</v>
      </c>
      <c r="I702">
        <v>0.2</v>
      </c>
      <c r="J702">
        <v>90</v>
      </c>
      <c r="K702">
        <v>0.2576</v>
      </c>
      <c r="L702">
        <v>0.64</v>
      </c>
      <c r="M702">
        <v>8.9599999999999999E-2</v>
      </c>
      <c r="N702">
        <v>1</v>
      </c>
      <c r="O702">
        <v>34</v>
      </c>
      <c r="P702">
        <v>35</v>
      </c>
    </row>
    <row r="703" spans="1:16" x14ac:dyDescent="0.25">
      <c r="A703">
        <v>92</v>
      </c>
      <c r="B703" s="19">
        <v>40571</v>
      </c>
      <c r="C703">
        <v>1</v>
      </c>
      <c r="D703">
        <v>1</v>
      </c>
      <c r="E703">
        <v>15</v>
      </c>
      <c r="F703" t="b">
        <v>0</v>
      </c>
      <c r="G703">
        <v>5</v>
      </c>
      <c r="H703">
        <v>2</v>
      </c>
      <c r="I703">
        <v>0.2</v>
      </c>
      <c r="J703">
        <v>91</v>
      </c>
      <c r="K703">
        <v>0.2273</v>
      </c>
      <c r="L703">
        <v>0.69</v>
      </c>
      <c r="M703">
        <v>8.9599999999999999E-2</v>
      </c>
      <c r="N703">
        <v>2</v>
      </c>
      <c r="O703">
        <v>9</v>
      </c>
      <c r="P703">
        <v>11</v>
      </c>
    </row>
    <row r="704" spans="1:16" x14ac:dyDescent="0.25">
      <c r="A704">
        <v>93</v>
      </c>
      <c r="B704" s="19">
        <v>40571</v>
      </c>
      <c r="C704">
        <v>1</v>
      </c>
      <c r="D704">
        <v>1</v>
      </c>
      <c r="E704">
        <v>15</v>
      </c>
      <c r="F704" t="b">
        <v>0</v>
      </c>
      <c r="G704">
        <v>5</v>
      </c>
      <c r="H704">
        <v>2</v>
      </c>
      <c r="I704">
        <v>0.2</v>
      </c>
      <c r="J704">
        <v>92</v>
      </c>
      <c r="K704">
        <v>0.2576</v>
      </c>
      <c r="L704">
        <v>0.64</v>
      </c>
      <c r="M704">
        <v>0</v>
      </c>
      <c r="N704">
        <v>0</v>
      </c>
      <c r="O704">
        <v>6</v>
      </c>
      <c r="P704">
        <v>6</v>
      </c>
    </row>
    <row r="705" spans="1:16" x14ac:dyDescent="0.25">
      <c r="A705">
        <v>94</v>
      </c>
      <c r="B705" s="19">
        <v>40571</v>
      </c>
      <c r="C705">
        <v>1</v>
      </c>
      <c r="D705">
        <v>1</v>
      </c>
      <c r="E705">
        <v>15</v>
      </c>
      <c r="F705" t="b">
        <v>0</v>
      </c>
      <c r="G705">
        <v>5</v>
      </c>
      <c r="H705">
        <v>2</v>
      </c>
      <c r="I705">
        <v>0.2</v>
      </c>
      <c r="J705">
        <v>93</v>
      </c>
      <c r="K705">
        <v>0.19700000000000001</v>
      </c>
      <c r="L705">
        <v>0.74</v>
      </c>
      <c r="M705">
        <v>8.9599999999999999E-2</v>
      </c>
      <c r="N705">
        <v>0</v>
      </c>
      <c r="O705">
        <v>6</v>
      </c>
      <c r="P705">
        <v>6</v>
      </c>
    </row>
    <row r="706" spans="1:16" x14ac:dyDescent="0.25">
      <c r="A706">
        <v>95</v>
      </c>
      <c r="B706" s="19">
        <v>40571</v>
      </c>
      <c r="C706">
        <v>1</v>
      </c>
      <c r="D706">
        <v>1</v>
      </c>
      <c r="E706">
        <v>15</v>
      </c>
      <c r="F706" t="b">
        <v>0</v>
      </c>
      <c r="G706">
        <v>5</v>
      </c>
      <c r="H706">
        <v>2</v>
      </c>
      <c r="I706">
        <v>0.2</v>
      </c>
      <c r="J706">
        <v>94</v>
      </c>
      <c r="K706">
        <v>0.19700000000000001</v>
      </c>
      <c r="L706">
        <v>0.74</v>
      </c>
      <c r="M706">
        <v>8.9599999999999999E-2</v>
      </c>
      <c r="N706">
        <v>0</v>
      </c>
      <c r="O706">
        <v>2</v>
      </c>
      <c r="P706">
        <v>2</v>
      </c>
    </row>
    <row r="707" spans="1:16" x14ac:dyDescent="0.25">
      <c r="A707">
        <v>96</v>
      </c>
      <c r="B707" s="19">
        <v>40571</v>
      </c>
      <c r="C707">
        <v>1</v>
      </c>
      <c r="D707">
        <v>1</v>
      </c>
      <c r="E707">
        <v>15</v>
      </c>
      <c r="F707" t="b">
        <v>0</v>
      </c>
      <c r="G707">
        <v>5</v>
      </c>
      <c r="H707">
        <v>2</v>
      </c>
      <c r="I707">
        <v>0.2</v>
      </c>
      <c r="J707">
        <v>95</v>
      </c>
      <c r="K707">
        <v>0.2273</v>
      </c>
      <c r="L707">
        <v>0.48</v>
      </c>
      <c r="M707">
        <v>0.22389999999999999</v>
      </c>
      <c r="N707">
        <v>0</v>
      </c>
      <c r="O707">
        <v>2</v>
      </c>
      <c r="P707">
        <v>2</v>
      </c>
    </row>
    <row r="708" spans="1:16" x14ac:dyDescent="0.25">
      <c r="A708">
        <v>97</v>
      </c>
      <c r="B708" s="19">
        <v>40571</v>
      </c>
      <c r="C708">
        <v>1</v>
      </c>
      <c r="D708">
        <v>1</v>
      </c>
      <c r="E708">
        <v>15</v>
      </c>
      <c r="F708" t="b">
        <v>0</v>
      </c>
      <c r="G708">
        <v>5</v>
      </c>
      <c r="H708">
        <v>2</v>
      </c>
      <c r="I708">
        <v>0.2</v>
      </c>
      <c r="J708">
        <v>96</v>
      </c>
      <c r="K708">
        <v>0.2273</v>
      </c>
      <c r="L708">
        <v>0.47</v>
      </c>
      <c r="M708">
        <v>0.16420000000000001</v>
      </c>
      <c r="N708">
        <v>0</v>
      </c>
      <c r="O708">
        <v>3</v>
      </c>
      <c r="P708">
        <v>3</v>
      </c>
    </row>
    <row r="709" spans="1:16" x14ac:dyDescent="0.25">
      <c r="A709">
        <v>98</v>
      </c>
      <c r="B709" s="19">
        <v>40571</v>
      </c>
      <c r="C709">
        <v>1</v>
      </c>
      <c r="D709">
        <v>1</v>
      </c>
      <c r="E709">
        <v>15</v>
      </c>
      <c r="F709" t="b">
        <v>0</v>
      </c>
      <c r="G709">
        <v>5</v>
      </c>
      <c r="H709">
        <v>2</v>
      </c>
      <c r="I709">
        <v>0.2</v>
      </c>
      <c r="J709">
        <v>97</v>
      </c>
      <c r="K709">
        <v>0.19700000000000001</v>
      </c>
      <c r="L709">
        <v>0.47</v>
      </c>
      <c r="M709">
        <v>0.22389999999999999</v>
      </c>
      <c r="N709">
        <v>0</v>
      </c>
      <c r="O709">
        <v>33</v>
      </c>
      <c r="P709">
        <v>33</v>
      </c>
    </row>
    <row r="710" spans="1:16" x14ac:dyDescent="0.25">
      <c r="A710">
        <v>99</v>
      </c>
      <c r="B710" s="19">
        <v>40571</v>
      </c>
      <c r="C710">
        <v>1</v>
      </c>
      <c r="D710">
        <v>1</v>
      </c>
      <c r="E710">
        <v>15</v>
      </c>
      <c r="F710" t="b">
        <v>0</v>
      </c>
      <c r="G710">
        <v>5</v>
      </c>
      <c r="H710">
        <v>2</v>
      </c>
      <c r="I710">
        <v>0.2</v>
      </c>
      <c r="J710">
        <v>98</v>
      </c>
      <c r="K710">
        <v>0.18179999999999999</v>
      </c>
      <c r="L710">
        <v>0.43</v>
      </c>
      <c r="M710">
        <v>0.19400000000000001</v>
      </c>
      <c r="N710">
        <v>1</v>
      </c>
      <c r="O710">
        <v>87</v>
      </c>
      <c r="P710">
        <v>88</v>
      </c>
    </row>
    <row r="711" spans="1:16" x14ac:dyDescent="0.25">
      <c r="A711">
        <v>100</v>
      </c>
      <c r="B711" s="19">
        <v>40571</v>
      </c>
      <c r="C711">
        <v>1</v>
      </c>
      <c r="D711">
        <v>1</v>
      </c>
      <c r="E711">
        <v>15</v>
      </c>
      <c r="F711" t="b">
        <v>0</v>
      </c>
      <c r="G711">
        <v>5</v>
      </c>
      <c r="H711">
        <v>2</v>
      </c>
      <c r="I711">
        <v>0.2</v>
      </c>
      <c r="J711">
        <v>99</v>
      </c>
      <c r="K711">
        <v>0.18179999999999999</v>
      </c>
      <c r="L711">
        <v>0.4</v>
      </c>
      <c r="M711">
        <v>0.29849999999999999</v>
      </c>
      <c r="N711">
        <v>3</v>
      </c>
      <c r="O711">
        <v>192</v>
      </c>
      <c r="P711">
        <v>195</v>
      </c>
    </row>
    <row r="712" spans="1:16" x14ac:dyDescent="0.25">
      <c r="A712">
        <v>101</v>
      </c>
      <c r="B712" s="19">
        <v>40571</v>
      </c>
      <c r="C712">
        <v>1</v>
      </c>
      <c r="D712">
        <v>1</v>
      </c>
      <c r="E712">
        <v>15</v>
      </c>
      <c r="F712" t="b">
        <v>0</v>
      </c>
      <c r="G712">
        <v>5</v>
      </c>
      <c r="H712">
        <v>2</v>
      </c>
      <c r="I712">
        <v>0.2</v>
      </c>
      <c r="J712">
        <v>100</v>
      </c>
      <c r="K712">
        <v>0.19700000000000001</v>
      </c>
      <c r="L712">
        <v>0.37</v>
      </c>
      <c r="M712">
        <v>0.32840000000000003</v>
      </c>
      <c r="N712">
        <v>6</v>
      </c>
      <c r="O712">
        <v>109</v>
      </c>
      <c r="P712">
        <v>115</v>
      </c>
    </row>
    <row r="713" spans="1:16" x14ac:dyDescent="0.25">
      <c r="A713">
        <v>102</v>
      </c>
      <c r="B713" s="19">
        <v>40571</v>
      </c>
      <c r="C713">
        <v>1</v>
      </c>
      <c r="D713">
        <v>1</v>
      </c>
      <c r="E713">
        <v>15</v>
      </c>
      <c r="F713" t="b">
        <v>0</v>
      </c>
      <c r="G713">
        <v>5</v>
      </c>
      <c r="H713">
        <v>2</v>
      </c>
      <c r="I713">
        <v>0.2</v>
      </c>
      <c r="J713">
        <v>101</v>
      </c>
      <c r="K713">
        <v>0.19700000000000001</v>
      </c>
      <c r="L713">
        <v>0.37</v>
      </c>
      <c r="M713">
        <v>0.32840000000000003</v>
      </c>
      <c r="N713">
        <v>4</v>
      </c>
      <c r="O713">
        <v>53</v>
      </c>
      <c r="P713">
        <v>57</v>
      </c>
    </row>
    <row r="714" spans="1:16" x14ac:dyDescent="0.25">
      <c r="A714">
        <v>103</v>
      </c>
      <c r="B714" s="19">
        <v>40571</v>
      </c>
      <c r="C714">
        <v>1</v>
      </c>
      <c r="D714">
        <v>1</v>
      </c>
      <c r="E714">
        <v>15</v>
      </c>
      <c r="F714" t="b">
        <v>0</v>
      </c>
      <c r="G714">
        <v>5</v>
      </c>
      <c r="H714">
        <v>2</v>
      </c>
      <c r="I714">
        <v>0.2</v>
      </c>
      <c r="J714">
        <v>102</v>
      </c>
      <c r="K714">
        <v>0.2273</v>
      </c>
      <c r="L714">
        <v>0.33</v>
      </c>
      <c r="M714">
        <v>0.32840000000000003</v>
      </c>
      <c r="N714">
        <v>12</v>
      </c>
      <c r="O714">
        <v>34</v>
      </c>
      <c r="P714">
        <v>46</v>
      </c>
    </row>
    <row r="715" spans="1:16" x14ac:dyDescent="0.25">
      <c r="A715">
        <v>104</v>
      </c>
      <c r="B715" s="19">
        <v>40571</v>
      </c>
      <c r="C715">
        <v>1</v>
      </c>
      <c r="D715">
        <v>1</v>
      </c>
      <c r="E715">
        <v>15</v>
      </c>
      <c r="F715" t="b">
        <v>0</v>
      </c>
      <c r="G715">
        <v>5</v>
      </c>
      <c r="H715">
        <v>2</v>
      </c>
      <c r="I715">
        <v>0.2</v>
      </c>
      <c r="J715">
        <v>103</v>
      </c>
      <c r="K715">
        <v>0.2273</v>
      </c>
      <c r="L715">
        <v>0.33</v>
      </c>
      <c r="M715">
        <v>0.32840000000000003</v>
      </c>
      <c r="N715">
        <v>5</v>
      </c>
      <c r="O715">
        <v>74</v>
      </c>
      <c r="P715">
        <v>79</v>
      </c>
    </row>
    <row r="716" spans="1:16" x14ac:dyDescent="0.25">
      <c r="A716">
        <v>105</v>
      </c>
      <c r="B716" s="19">
        <v>40571</v>
      </c>
      <c r="C716">
        <v>1</v>
      </c>
      <c r="D716">
        <v>1</v>
      </c>
      <c r="E716">
        <v>15</v>
      </c>
      <c r="F716" t="b">
        <v>0</v>
      </c>
      <c r="G716">
        <v>5</v>
      </c>
      <c r="H716">
        <v>2</v>
      </c>
      <c r="I716">
        <v>0.2</v>
      </c>
      <c r="J716">
        <v>104</v>
      </c>
      <c r="K716">
        <v>0.2576</v>
      </c>
      <c r="L716">
        <v>0.3</v>
      </c>
      <c r="M716">
        <v>0.29849999999999999</v>
      </c>
      <c r="N716">
        <v>6</v>
      </c>
      <c r="O716">
        <v>65</v>
      </c>
      <c r="P716">
        <v>71</v>
      </c>
    </row>
    <row r="717" spans="1:16" x14ac:dyDescent="0.25">
      <c r="A717">
        <v>106</v>
      </c>
      <c r="B717" s="19">
        <v>40571</v>
      </c>
      <c r="C717">
        <v>1</v>
      </c>
      <c r="D717">
        <v>1</v>
      </c>
      <c r="E717">
        <v>15</v>
      </c>
      <c r="F717" t="b">
        <v>0</v>
      </c>
      <c r="G717">
        <v>5</v>
      </c>
      <c r="H717">
        <v>2</v>
      </c>
      <c r="I717">
        <v>0.2</v>
      </c>
      <c r="J717">
        <v>105</v>
      </c>
      <c r="K717">
        <v>0.28789999999999999</v>
      </c>
      <c r="L717">
        <v>0.28000000000000003</v>
      </c>
      <c r="M717">
        <v>0.19400000000000001</v>
      </c>
      <c r="N717">
        <v>10</v>
      </c>
      <c r="O717">
        <v>52</v>
      </c>
      <c r="P717">
        <v>62</v>
      </c>
    </row>
    <row r="718" spans="1:16" x14ac:dyDescent="0.25">
      <c r="A718">
        <v>107</v>
      </c>
      <c r="B718" s="19">
        <v>40571</v>
      </c>
      <c r="C718">
        <v>1</v>
      </c>
      <c r="D718">
        <v>1</v>
      </c>
      <c r="E718">
        <v>15</v>
      </c>
      <c r="F718" t="b">
        <v>0</v>
      </c>
      <c r="G718">
        <v>5</v>
      </c>
      <c r="H718">
        <v>2</v>
      </c>
      <c r="I718">
        <v>0.2</v>
      </c>
      <c r="J718">
        <v>106</v>
      </c>
      <c r="K718">
        <v>0.28789999999999999</v>
      </c>
      <c r="L718">
        <v>0.28000000000000003</v>
      </c>
      <c r="M718">
        <v>0.19400000000000001</v>
      </c>
      <c r="N718">
        <v>7</v>
      </c>
      <c r="O718">
        <v>55</v>
      </c>
      <c r="P718">
        <v>62</v>
      </c>
    </row>
    <row r="719" spans="1:16" x14ac:dyDescent="0.25">
      <c r="A719">
        <v>108</v>
      </c>
      <c r="B719" s="19">
        <v>40571</v>
      </c>
      <c r="C719">
        <v>1</v>
      </c>
      <c r="D719">
        <v>1</v>
      </c>
      <c r="E719">
        <v>15</v>
      </c>
      <c r="F719" t="b">
        <v>0</v>
      </c>
      <c r="G719">
        <v>5</v>
      </c>
      <c r="H719">
        <v>2</v>
      </c>
      <c r="I719">
        <v>0.2</v>
      </c>
      <c r="J719">
        <v>107</v>
      </c>
      <c r="K719">
        <v>0.31819999999999998</v>
      </c>
      <c r="L719">
        <v>0.28000000000000003</v>
      </c>
      <c r="M719">
        <v>8.9599999999999999E-2</v>
      </c>
      <c r="N719">
        <v>4</v>
      </c>
      <c r="O719">
        <v>85</v>
      </c>
      <c r="P719">
        <v>89</v>
      </c>
    </row>
    <row r="720" spans="1:16" x14ac:dyDescent="0.25">
      <c r="A720">
        <v>109</v>
      </c>
      <c r="B720" s="19">
        <v>40571</v>
      </c>
      <c r="C720">
        <v>1</v>
      </c>
      <c r="D720">
        <v>1</v>
      </c>
      <c r="E720">
        <v>15</v>
      </c>
      <c r="F720" t="b">
        <v>0</v>
      </c>
      <c r="G720">
        <v>5</v>
      </c>
      <c r="H720">
        <v>2</v>
      </c>
      <c r="I720">
        <v>0.2</v>
      </c>
      <c r="J720">
        <v>108</v>
      </c>
      <c r="K720">
        <v>0.2273</v>
      </c>
      <c r="L720">
        <v>0.38</v>
      </c>
      <c r="M720">
        <v>0.19400000000000001</v>
      </c>
      <c r="N720">
        <v>4</v>
      </c>
      <c r="O720">
        <v>186</v>
      </c>
      <c r="P720">
        <v>190</v>
      </c>
    </row>
    <row r="721" spans="1:16" x14ac:dyDescent="0.25">
      <c r="A721">
        <v>110</v>
      </c>
      <c r="B721" s="19">
        <v>40571</v>
      </c>
      <c r="C721">
        <v>1</v>
      </c>
      <c r="D721">
        <v>1</v>
      </c>
      <c r="E721">
        <v>15</v>
      </c>
      <c r="F721" t="b">
        <v>0</v>
      </c>
      <c r="G721">
        <v>5</v>
      </c>
      <c r="H721">
        <v>2</v>
      </c>
      <c r="I721">
        <v>0.2</v>
      </c>
      <c r="J721">
        <v>109</v>
      </c>
      <c r="K721">
        <v>0.2424</v>
      </c>
      <c r="L721">
        <v>0.38</v>
      </c>
      <c r="M721">
        <v>0.1343</v>
      </c>
      <c r="N721">
        <v>3</v>
      </c>
      <c r="O721">
        <v>166</v>
      </c>
      <c r="P721">
        <v>169</v>
      </c>
    </row>
    <row r="722" spans="1:16" x14ac:dyDescent="0.25">
      <c r="A722">
        <v>111</v>
      </c>
      <c r="B722" s="19">
        <v>40571</v>
      </c>
      <c r="C722">
        <v>1</v>
      </c>
      <c r="D722">
        <v>1</v>
      </c>
      <c r="E722">
        <v>15</v>
      </c>
      <c r="F722" t="b">
        <v>0</v>
      </c>
      <c r="G722">
        <v>5</v>
      </c>
      <c r="H722">
        <v>2</v>
      </c>
      <c r="I722">
        <v>0.2</v>
      </c>
      <c r="J722">
        <v>110</v>
      </c>
      <c r="K722">
        <v>0.2576</v>
      </c>
      <c r="L722">
        <v>0.38</v>
      </c>
      <c r="M722">
        <v>0.1045</v>
      </c>
      <c r="N722">
        <v>5</v>
      </c>
      <c r="O722">
        <v>127</v>
      </c>
      <c r="P722">
        <v>132</v>
      </c>
    </row>
    <row r="723" spans="1:16" x14ac:dyDescent="0.25">
      <c r="A723">
        <v>112</v>
      </c>
      <c r="B723" s="19">
        <v>40571</v>
      </c>
      <c r="C723">
        <v>1</v>
      </c>
      <c r="D723">
        <v>1</v>
      </c>
      <c r="E723">
        <v>15</v>
      </c>
      <c r="F723" t="b">
        <v>0</v>
      </c>
      <c r="G723">
        <v>5</v>
      </c>
      <c r="H723">
        <v>2</v>
      </c>
      <c r="I723">
        <v>0.2</v>
      </c>
      <c r="J723">
        <v>111</v>
      </c>
      <c r="K723">
        <v>0.2273</v>
      </c>
      <c r="L723">
        <v>0.47</v>
      </c>
      <c r="M723">
        <v>0.16420000000000001</v>
      </c>
      <c r="N723">
        <v>7</v>
      </c>
      <c r="O723">
        <v>82</v>
      </c>
      <c r="P723">
        <v>89</v>
      </c>
    </row>
    <row r="724" spans="1:16" x14ac:dyDescent="0.25">
      <c r="A724">
        <v>113</v>
      </c>
      <c r="B724" s="19">
        <v>40571</v>
      </c>
      <c r="C724">
        <v>1</v>
      </c>
      <c r="D724">
        <v>1</v>
      </c>
      <c r="E724">
        <v>15</v>
      </c>
      <c r="F724" t="b">
        <v>0</v>
      </c>
      <c r="G724">
        <v>5</v>
      </c>
      <c r="H724">
        <v>2</v>
      </c>
      <c r="I724">
        <v>0.2</v>
      </c>
      <c r="J724">
        <v>112</v>
      </c>
      <c r="K724">
        <v>0.19700000000000001</v>
      </c>
      <c r="L724">
        <v>0.51</v>
      </c>
      <c r="M724">
        <v>0.19400000000000001</v>
      </c>
      <c r="N724">
        <v>3</v>
      </c>
      <c r="O724">
        <v>40</v>
      </c>
      <c r="P724">
        <v>43</v>
      </c>
    </row>
    <row r="725" spans="1:16" x14ac:dyDescent="0.25">
      <c r="A725">
        <v>114</v>
      </c>
      <c r="B725" s="19">
        <v>40571</v>
      </c>
      <c r="C725">
        <v>1</v>
      </c>
      <c r="D725">
        <v>1</v>
      </c>
      <c r="E725">
        <v>15</v>
      </c>
      <c r="F725" t="b">
        <v>0</v>
      </c>
      <c r="G725">
        <v>5</v>
      </c>
      <c r="H725">
        <v>2</v>
      </c>
      <c r="I725">
        <v>0.2</v>
      </c>
      <c r="J725">
        <v>113</v>
      </c>
      <c r="K725">
        <v>0.19700000000000001</v>
      </c>
      <c r="L725">
        <v>0.55000000000000004</v>
      </c>
      <c r="M725">
        <v>0.1343</v>
      </c>
      <c r="N725">
        <v>1</v>
      </c>
      <c r="O725">
        <v>41</v>
      </c>
      <c r="P725">
        <v>42</v>
      </c>
    </row>
    <row r="726" spans="1:16" x14ac:dyDescent="0.25">
      <c r="A726">
        <v>115</v>
      </c>
      <c r="B726" s="19">
        <v>40571</v>
      </c>
      <c r="C726">
        <v>1</v>
      </c>
      <c r="D726">
        <v>1</v>
      </c>
      <c r="E726">
        <v>15</v>
      </c>
      <c r="F726" t="b">
        <v>0</v>
      </c>
      <c r="G726">
        <v>5</v>
      </c>
      <c r="H726">
        <v>2</v>
      </c>
      <c r="I726">
        <v>0.2</v>
      </c>
      <c r="J726">
        <v>114</v>
      </c>
      <c r="K726">
        <v>0.2576</v>
      </c>
      <c r="L726">
        <v>0.47</v>
      </c>
      <c r="M726">
        <v>0</v>
      </c>
      <c r="N726">
        <v>1</v>
      </c>
      <c r="O726">
        <v>18</v>
      </c>
      <c r="P726">
        <v>19</v>
      </c>
    </row>
    <row r="727" spans="1:16" x14ac:dyDescent="0.25">
      <c r="A727">
        <v>116</v>
      </c>
      <c r="B727" s="19">
        <v>40571</v>
      </c>
      <c r="C727">
        <v>1</v>
      </c>
      <c r="D727">
        <v>1</v>
      </c>
      <c r="E727">
        <v>15</v>
      </c>
      <c r="F727" t="b">
        <v>0</v>
      </c>
      <c r="G727">
        <v>5</v>
      </c>
      <c r="H727">
        <v>2</v>
      </c>
      <c r="I727">
        <v>0.2</v>
      </c>
      <c r="J727">
        <v>115</v>
      </c>
      <c r="K727">
        <v>0.2424</v>
      </c>
      <c r="L727">
        <v>0.55000000000000004</v>
      </c>
      <c r="M727">
        <v>0</v>
      </c>
      <c r="N727">
        <v>0</v>
      </c>
      <c r="O727">
        <v>11</v>
      </c>
      <c r="P727">
        <v>11</v>
      </c>
    </row>
    <row r="728" spans="1:16" x14ac:dyDescent="0.25">
      <c r="A728">
        <v>117</v>
      </c>
      <c r="B728" s="19">
        <v>40571</v>
      </c>
      <c r="C728">
        <v>1</v>
      </c>
      <c r="D728">
        <v>1</v>
      </c>
      <c r="E728">
        <v>15</v>
      </c>
      <c r="F728" t="b">
        <v>0</v>
      </c>
      <c r="G728">
        <v>5</v>
      </c>
      <c r="H728">
        <v>2</v>
      </c>
      <c r="I728">
        <v>0.2</v>
      </c>
      <c r="J728">
        <v>116</v>
      </c>
      <c r="K728">
        <v>0.2273</v>
      </c>
      <c r="L728">
        <v>0.64</v>
      </c>
      <c r="M728">
        <v>0</v>
      </c>
      <c r="N728">
        <v>0</v>
      </c>
      <c r="O728">
        <v>4</v>
      </c>
      <c r="P728">
        <v>4</v>
      </c>
    </row>
    <row r="729" spans="1:16" x14ac:dyDescent="0.25">
      <c r="A729">
        <v>118</v>
      </c>
      <c r="B729" s="19">
        <v>40571</v>
      </c>
      <c r="C729">
        <v>1</v>
      </c>
      <c r="D729">
        <v>1</v>
      </c>
      <c r="E729">
        <v>15</v>
      </c>
      <c r="F729" t="b">
        <v>0</v>
      </c>
      <c r="G729">
        <v>5</v>
      </c>
      <c r="H729">
        <v>2</v>
      </c>
      <c r="I729">
        <v>0.2</v>
      </c>
      <c r="J729">
        <v>117</v>
      </c>
      <c r="K729">
        <v>0.2273</v>
      </c>
      <c r="L729">
        <v>0.64</v>
      </c>
      <c r="M729">
        <v>0</v>
      </c>
      <c r="N729">
        <v>0</v>
      </c>
      <c r="O729">
        <v>2</v>
      </c>
      <c r="P729">
        <v>2</v>
      </c>
    </row>
    <row r="730" spans="1:16" x14ac:dyDescent="0.25">
      <c r="A730">
        <v>119</v>
      </c>
      <c r="B730" s="19">
        <v>40571</v>
      </c>
      <c r="C730">
        <v>1</v>
      </c>
      <c r="D730">
        <v>1</v>
      </c>
      <c r="E730">
        <v>15</v>
      </c>
      <c r="F730" t="b">
        <v>0</v>
      </c>
      <c r="G730">
        <v>5</v>
      </c>
      <c r="H730">
        <v>2</v>
      </c>
      <c r="I730">
        <v>0.2</v>
      </c>
      <c r="J730">
        <v>118</v>
      </c>
      <c r="K730">
        <v>0.19700000000000001</v>
      </c>
      <c r="L730">
        <v>0.64</v>
      </c>
      <c r="M730">
        <v>8.9599999999999999E-2</v>
      </c>
      <c r="N730">
        <v>0</v>
      </c>
      <c r="O730">
        <v>1</v>
      </c>
      <c r="P730">
        <v>1</v>
      </c>
    </row>
    <row r="731" spans="1:16" x14ac:dyDescent="0.25">
      <c r="A731">
        <v>120</v>
      </c>
      <c r="B731" s="19">
        <v>40571</v>
      </c>
      <c r="C731">
        <v>1</v>
      </c>
      <c r="D731">
        <v>1</v>
      </c>
      <c r="E731">
        <v>15</v>
      </c>
      <c r="F731" t="b">
        <v>0</v>
      </c>
      <c r="G731">
        <v>5</v>
      </c>
      <c r="H731">
        <v>2</v>
      </c>
      <c r="I731">
        <v>0.2</v>
      </c>
      <c r="J731">
        <v>119</v>
      </c>
      <c r="K731">
        <v>0.18179999999999999</v>
      </c>
      <c r="L731">
        <v>0.69</v>
      </c>
      <c r="M731">
        <v>8.9599999999999999E-2</v>
      </c>
      <c r="N731">
        <v>0</v>
      </c>
      <c r="O731">
        <v>4</v>
      </c>
      <c r="P731">
        <v>4</v>
      </c>
    </row>
    <row r="732" spans="1:16" x14ac:dyDescent="0.25">
      <c r="A732">
        <v>121</v>
      </c>
      <c r="B732" s="19">
        <v>40571</v>
      </c>
      <c r="C732">
        <v>1</v>
      </c>
      <c r="D732">
        <v>1</v>
      </c>
      <c r="E732">
        <v>15</v>
      </c>
      <c r="F732" t="b">
        <v>0</v>
      </c>
      <c r="G732">
        <v>5</v>
      </c>
      <c r="H732">
        <v>2</v>
      </c>
      <c r="I732">
        <v>0.2</v>
      </c>
      <c r="J732">
        <v>120</v>
      </c>
      <c r="K732">
        <v>0.16669999999999999</v>
      </c>
      <c r="L732">
        <v>0.63</v>
      </c>
      <c r="M732">
        <v>0.1045</v>
      </c>
      <c r="N732">
        <v>0</v>
      </c>
      <c r="O732">
        <v>36</v>
      </c>
      <c r="P732">
        <v>36</v>
      </c>
    </row>
    <row r="733" spans="1:16" x14ac:dyDescent="0.25">
      <c r="A733">
        <v>122</v>
      </c>
      <c r="B733" s="19">
        <v>40571</v>
      </c>
      <c r="C733">
        <v>1</v>
      </c>
      <c r="D733">
        <v>1</v>
      </c>
      <c r="E733">
        <v>15</v>
      </c>
      <c r="F733" t="b">
        <v>0</v>
      </c>
      <c r="G733">
        <v>5</v>
      </c>
      <c r="H733">
        <v>2</v>
      </c>
      <c r="I733">
        <v>0.2</v>
      </c>
      <c r="J733">
        <v>121</v>
      </c>
      <c r="K733">
        <v>0.2273</v>
      </c>
      <c r="L733">
        <v>0.59</v>
      </c>
      <c r="M733">
        <v>0</v>
      </c>
      <c r="N733">
        <v>0</v>
      </c>
      <c r="O733">
        <v>95</v>
      </c>
      <c r="P733">
        <v>95</v>
      </c>
    </row>
    <row r="734" spans="1:16" x14ac:dyDescent="0.25">
      <c r="A734">
        <v>123</v>
      </c>
      <c r="B734" s="19">
        <v>40571</v>
      </c>
      <c r="C734">
        <v>1</v>
      </c>
      <c r="D734">
        <v>1</v>
      </c>
      <c r="E734">
        <v>15</v>
      </c>
      <c r="F734" t="b">
        <v>0</v>
      </c>
      <c r="G734">
        <v>5</v>
      </c>
      <c r="H734">
        <v>2</v>
      </c>
      <c r="I734">
        <v>0.2</v>
      </c>
      <c r="J734">
        <v>122</v>
      </c>
      <c r="K734">
        <v>0.2273</v>
      </c>
      <c r="L734">
        <v>0.59</v>
      </c>
      <c r="M734">
        <v>0</v>
      </c>
      <c r="N734">
        <v>3</v>
      </c>
      <c r="O734">
        <v>216</v>
      </c>
      <c r="P734">
        <v>219</v>
      </c>
    </row>
    <row r="735" spans="1:16" x14ac:dyDescent="0.25">
      <c r="A735">
        <v>124</v>
      </c>
      <c r="B735" s="19">
        <v>40571</v>
      </c>
      <c r="C735">
        <v>1</v>
      </c>
      <c r="D735">
        <v>1</v>
      </c>
      <c r="E735">
        <v>15</v>
      </c>
      <c r="F735" t="b">
        <v>0</v>
      </c>
      <c r="G735">
        <v>5</v>
      </c>
      <c r="H735">
        <v>2</v>
      </c>
      <c r="I735">
        <v>0.2</v>
      </c>
      <c r="J735">
        <v>123</v>
      </c>
      <c r="K735">
        <v>0.2424</v>
      </c>
      <c r="L735">
        <v>0.51</v>
      </c>
      <c r="M735">
        <v>0</v>
      </c>
      <c r="N735">
        <v>6</v>
      </c>
      <c r="O735">
        <v>116</v>
      </c>
      <c r="P735">
        <v>122</v>
      </c>
    </row>
    <row r="736" spans="1:16" x14ac:dyDescent="0.25">
      <c r="A736">
        <v>125</v>
      </c>
      <c r="B736" s="19">
        <v>40571</v>
      </c>
      <c r="C736">
        <v>1</v>
      </c>
      <c r="D736">
        <v>1</v>
      </c>
      <c r="E736">
        <v>15</v>
      </c>
      <c r="F736" t="b">
        <v>0</v>
      </c>
      <c r="G736">
        <v>5</v>
      </c>
      <c r="H736">
        <v>2</v>
      </c>
      <c r="I736">
        <v>0.2</v>
      </c>
      <c r="J736">
        <v>124</v>
      </c>
      <c r="K736">
        <v>0.2576</v>
      </c>
      <c r="L736">
        <v>0.47</v>
      </c>
      <c r="M736">
        <v>0</v>
      </c>
      <c r="N736">
        <v>3</v>
      </c>
      <c r="O736">
        <v>42</v>
      </c>
      <c r="P736">
        <v>45</v>
      </c>
    </row>
    <row r="737" spans="1:16" x14ac:dyDescent="0.25">
      <c r="A737">
        <v>126</v>
      </c>
      <c r="B737" s="19">
        <v>40571</v>
      </c>
      <c r="C737">
        <v>1</v>
      </c>
      <c r="D737">
        <v>1</v>
      </c>
      <c r="E737">
        <v>15</v>
      </c>
      <c r="F737" t="b">
        <v>0</v>
      </c>
      <c r="G737">
        <v>5</v>
      </c>
      <c r="H737">
        <v>2</v>
      </c>
      <c r="I737">
        <v>0.2</v>
      </c>
      <c r="J737">
        <v>125</v>
      </c>
      <c r="K737">
        <v>0.2576</v>
      </c>
      <c r="L737">
        <v>0.44</v>
      </c>
      <c r="M737">
        <v>8.9599999999999999E-2</v>
      </c>
      <c r="N737">
        <v>2</v>
      </c>
      <c r="O737">
        <v>57</v>
      </c>
      <c r="P737">
        <v>59</v>
      </c>
    </row>
    <row r="738" spans="1:16" x14ac:dyDescent="0.25">
      <c r="A738">
        <v>127</v>
      </c>
      <c r="B738" s="19">
        <v>40571</v>
      </c>
      <c r="C738">
        <v>1</v>
      </c>
      <c r="D738">
        <v>1</v>
      </c>
      <c r="E738">
        <v>15</v>
      </c>
      <c r="F738" t="b">
        <v>0</v>
      </c>
      <c r="G738">
        <v>5</v>
      </c>
      <c r="H738">
        <v>2</v>
      </c>
      <c r="I738">
        <v>0.2</v>
      </c>
      <c r="J738">
        <v>126</v>
      </c>
      <c r="K738">
        <v>0.28789999999999999</v>
      </c>
      <c r="L738">
        <v>0.35</v>
      </c>
      <c r="M738">
        <v>0</v>
      </c>
      <c r="N738">
        <v>6</v>
      </c>
      <c r="O738">
        <v>78</v>
      </c>
      <c r="P738">
        <v>84</v>
      </c>
    </row>
    <row r="739" spans="1:16" x14ac:dyDescent="0.25">
      <c r="A739">
        <v>128</v>
      </c>
      <c r="B739" s="19">
        <v>40571</v>
      </c>
      <c r="C739">
        <v>1</v>
      </c>
      <c r="D739">
        <v>1</v>
      </c>
      <c r="E739">
        <v>15</v>
      </c>
      <c r="F739" t="b">
        <v>0</v>
      </c>
      <c r="G739">
        <v>5</v>
      </c>
      <c r="H739">
        <v>2</v>
      </c>
      <c r="I739">
        <v>0.2</v>
      </c>
      <c r="J739">
        <v>127</v>
      </c>
      <c r="K739">
        <v>0.2727</v>
      </c>
      <c r="L739">
        <v>0.35</v>
      </c>
      <c r="M739">
        <v>0.1045</v>
      </c>
      <c r="N739">
        <v>12</v>
      </c>
      <c r="O739">
        <v>55</v>
      </c>
      <c r="P739">
        <v>67</v>
      </c>
    </row>
    <row r="740" spans="1:16" x14ac:dyDescent="0.25">
      <c r="A740">
        <v>129</v>
      </c>
      <c r="B740" s="19">
        <v>40571</v>
      </c>
      <c r="C740">
        <v>1</v>
      </c>
      <c r="D740">
        <v>1</v>
      </c>
      <c r="E740">
        <v>15</v>
      </c>
      <c r="F740" t="b">
        <v>0</v>
      </c>
      <c r="G740">
        <v>5</v>
      </c>
      <c r="H740">
        <v>2</v>
      </c>
      <c r="I740">
        <v>0.2</v>
      </c>
      <c r="J740">
        <v>128</v>
      </c>
      <c r="K740">
        <v>0.2727</v>
      </c>
      <c r="L740">
        <v>0.36</v>
      </c>
      <c r="M740">
        <v>0.16420000000000001</v>
      </c>
      <c r="N740">
        <v>11</v>
      </c>
      <c r="O740">
        <v>59</v>
      </c>
      <c r="P740">
        <v>70</v>
      </c>
    </row>
    <row r="741" spans="1:16" x14ac:dyDescent="0.25">
      <c r="A741">
        <v>130</v>
      </c>
      <c r="B741" s="19">
        <v>40571</v>
      </c>
      <c r="C741">
        <v>1</v>
      </c>
      <c r="D741">
        <v>1</v>
      </c>
      <c r="E741">
        <v>15</v>
      </c>
      <c r="F741" t="b">
        <v>0</v>
      </c>
      <c r="G741">
        <v>5</v>
      </c>
      <c r="H741">
        <v>2</v>
      </c>
      <c r="I741">
        <v>0.2</v>
      </c>
      <c r="J741">
        <v>129</v>
      </c>
      <c r="K741">
        <v>0.2727</v>
      </c>
      <c r="L741">
        <v>0.36</v>
      </c>
      <c r="M741">
        <v>0</v>
      </c>
      <c r="N741">
        <v>8</v>
      </c>
      <c r="O741">
        <v>54</v>
      </c>
      <c r="P741">
        <v>62</v>
      </c>
    </row>
    <row r="742" spans="1:16" x14ac:dyDescent="0.25">
      <c r="A742">
        <v>131</v>
      </c>
      <c r="B742" s="19">
        <v>40571</v>
      </c>
      <c r="C742">
        <v>1</v>
      </c>
      <c r="D742">
        <v>1</v>
      </c>
      <c r="E742">
        <v>15</v>
      </c>
      <c r="F742" t="b">
        <v>0</v>
      </c>
      <c r="G742">
        <v>5</v>
      </c>
      <c r="H742">
        <v>2</v>
      </c>
      <c r="I742">
        <v>0.2</v>
      </c>
      <c r="J742">
        <v>130</v>
      </c>
      <c r="K742">
        <v>0.2576</v>
      </c>
      <c r="L742">
        <v>0.38</v>
      </c>
      <c r="M742">
        <v>0.16420000000000001</v>
      </c>
      <c r="N742">
        <v>12</v>
      </c>
      <c r="O742">
        <v>74</v>
      </c>
      <c r="P742">
        <v>86</v>
      </c>
    </row>
    <row r="743" spans="1:16" x14ac:dyDescent="0.25">
      <c r="A743">
        <v>132</v>
      </c>
      <c r="B743" s="19">
        <v>40571</v>
      </c>
      <c r="C743">
        <v>1</v>
      </c>
      <c r="D743">
        <v>1</v>
      </c>
      <c r="E743">
        <v>15</v>
      </c>
      <c r="F743" t="b">
        <v>0</v>
      </c>
      <c r="G743">
        <v>5</v>
      </c>
      <c r="H743">
        <v>2</v>
      </c>
      <c r="I743">
        <v>0.2</v>
      </c>
      <c r="J743">
        <v>131</v>
      </c>
      <c r="K743">
        <v>0.2273</v>
      </c>
      <c r="L743">
        <v>0.51</v>
      </c>
      <c r="M743">
        <v>0.16420000000000001</v>
      </c>
      <c r="N743">
        <v>9</v>
      </c>
      <c r="O743">
        <v>163</v>
      </c>
      <c r="P743">
        <v>172</v>
      </c>
    </row>
    <row r="744" spans="1:16" x14ac:dyDescent="0.25">
      <c r="A744">
        <v>133</v>
      </c>
      <c r="B744" s="19">
        <v>40571</v>
      </c>
      <c r="C744">
        <v>1</v>
      </c>
      <c r="D744">
        <v>1</v>
      </c>
      <c r="E744">
        <v>15</v>
      </c>
      <c r="F744" t="b">
        <v>0</v>
      </c>
      <c r="G744">
        <v>5</v>
      </c>
      <c r="H744">
        <v>2</v>
      </c>
      <c r="I744">
        <v>0.2</v>
      </c>
      <c r="J744">
        <v>132</v>
      </c>
      <c r="K744">
        <v>0.2273</v>
      </c>
      <c r="L744">
        <v>0.51</v>
      </c>
      <c r="M744">
        <v>0.1343</v>
      </c>
      <c r="N744">
        <v>5</v>
      </c>
      <c r="O744">
        <v>158</v>
      </c>
      <c r="P744">
        <v>163</v>
      </c>
    </row>
    <row r="745" spans="1:16" x14ac:dyDescent="0.25">
      <c r="A745">
        <v>134</v>
      </c>
      <c r="B745" s="19">
        <v>40571</v>
      </c>
      <c r="C745">
        <v>1</v>
      </c>
      <c r="D745">
        <v>1</v>
      </c>
      <c r="E745">
        <v>15</v>
      </c>
      <c r="F745" t="b">
        <v>0</v>
      </c>
      <c r="G745">
        <v>5</v>
      </c>
      <c r="H745">
        <v>2</v>
      </c>
      <c r="I745">
        <v>0.2</v>
      </c>
      <c r="J745">
        <v>133</v>
      </c>
      <c r="K745">
        <v>0.2576</v>
      </c>
      <c r="L745">
        <v>0.55000000000000004</v>
      </c>
      <c r="M745">
        <v>8.9599999999999999E-2</v>
      </c>
      <c r="N745">
        <v>3</v>
      </c>
      <c r="O745">
        <v>109</v>
      </c>
      <c r="P745">
        <v>112</v>
      </c>
    </row>
    <row r="746" spans="1:16" x14ac:dyDescent="0.25">
      <c r="A746">
        <v>135</v>
      </c>
      <c r="B746" s="19">
        <v>40571</v>
      </c>
      <c r="C746">
        <v>1</v>
      </c>
      <c r="D746">
        <v>1</v>
      </c>
      <c r="E746">
        <v>15</v>
      </c>
      <c r="F746" t="b">
        <v>0</v>
      </c>
      <c r="G746">
        <v>5</v>
      </c>
      <c r="H746">
        <v>2</v>
      </c>
      <c r="I746">
        <v>0.2</v>
      </c>
      <c r="J746">
        <v>134</v>
      </c>
      <c r="K746">
        <v>0.21210000000000001</v>
      </c>
      <c r="L746">
        <v>0.51</v>
      </c>
      <c r="M746">
        <v>0.16420000000000001</v>
      </c>
      <c r="N746">
        <v>3</v>
      </c>
      <c r="O746">
        <v>66</v>
      </c>
      <c r="P746">
        <v>69</v>
      </c>
    </row>
    <row r="747" spans="1:16" x14ac:dyDescent="0.25">
      <c r="A747">
        <v>136</v>
      </c>
      <c r="B747" s="19">
        <v>40571</v>
      </c>
      <c r="C747">
        <v>1</v>
      </c>
      <c r="D747">
        <v>1</v>
      </c>
      <c r="E747">
        <v>15</v>
      </c>
      <c r="F747" t="b">
        <v>0</v>
      </c>
      <c r="G747">
        <v>5</v>
      </c>
      <c r="H747">
        <v>2</v>
      </c>
      <c r="I747">
        <v>0.2</v>
      </c>
      <c r="J747">
        <v>135</v>
      </c>
      <c r="K747">
        <v>0.21210000000000001</v>
      </c>
      <c r="L747">
        <v>0.55000000000000004</v>
      </c>
      <c r="M747">
        <v>0.22389999999999999</v>
      </c>
      <c r="N747">
        <v>0</v>
      </c>
      <c r="O747">
        <v>48</v>
      </c>
      <c r="P747">
        <v>48</v>
      </c>
    </row>
    <row r="748" spans="1:16" x14ac:dyDescent="0.25">
      <c r="A748">
        <v>137</v>
      </c>
      <c r="B748" s="19">
        <v>40571</v>
      </c>
      <c r="C748">
        <v>1</v>
      </c>
      <c r="D748">
        <v>1</v>
      </c>
      <c r="E748">
        <v>15</v>
      </c>
      <c r="F748" t="b">
        <v>0</v>
      </c>
      <c r="G748">
        <v>5</v>
      </c>
      <c r="H748">
        <v>2</v>
      </c>
      <c r="I748">
        <v>0.2</v>
      </c>
      <c r="J748">
        <v>136</v>
      </c>
      <c r="K748">
        <v>0.21210000000000001</v>
      </c>
      <c r="L748">
        <v>0.51</v>
      </c>
      <c r="M748">
        <v>0.28360000000000002</v>
      </c>
      <c r="N748">
        <v>1</v>
      </c>
      <c r="O748">
        <v>51</v>
      </c>
      <c r="P748">
        <v>52</v>
      </c>
    </row>
    <row r="749" spans="1:16" x14ac:dyDescent="0.25">
      <c r="A749">
        <v>138</v>
      </c>
      <c r="B749" s="19">
        <v>40571</v>
      </c>
      <c r="C749">
        <v>1</v>
      </c>
      <c r="D749">
        <v>1</v>
      </c>
      <c r="E749">
        <v>15</v>
      </c>
      <c r="F749" t="b">
        <v>0</v>
      </c>
      <c r="G749">
        <v>5</v>
      </c>
      <c r="H749">
        <v>2</v>
      </c>
      <c r="I749">
        <v>0.2</v>
      </c>
      <c r="J749">
        <v>137</v>
      </c>
      <c r="K749">
        <v>0.19700000000000001</v>
      </c>
      <c r="L749">
        <v>0.59</v>
      </c>
      <c r="M749">
        <v>0.19400000000000001</v>
      </c>
      <c r="N749">
        <v>4</v>
      </c>
      <c r="O749">
        <v>19</v>
      </c>
      <c r="P749">
        <v>23</v>
      </c>
    </row>
    <row r="750" spans="1:16" x14ac:dyDescent="0.25">
      <c r="A750">
        <v>139</v>
      </c>
      <c r="B750" s="19">
        <v>40571</v>
      </c>
      <c r="C750">
        <v>1</v>
      </c>
      <c r="D750">
        <v>1</v>
      </c>
      <c r="E750">
        <v>15</v>
      </c>
      <c r="F750" t="b">
        <v>0</v>
      </c>
      <c r="G750">
        <v>5</v>
      </c>
      <c r="H750">
        <v>2</v>
      </c>
      <c r="I750">
        <v>0.2</v>
      </c>
      <c r="J750">
        <v>138</v>
      </c>
      <c r="K750">
        <v>0.19700000000000001</v>
      </c>
      <c r="L750">
        <v>0.64</v>
      </c>
      <c r="M750">
        <v>0.19400000000000001</v>
      </c>
      <c r="N750">
        <v>4</v>
      </c>
      <c r="O750">
        <v>13</v>
      </c>
      <c r="P750">
        <v>17</v>
      </c>
    </row>
    <row r="751" spans="1:16" x14ac:dyDescent="0.25">
      <c r="A751">
        <v>140</v>
      </c>
      <c r="B751" s="19">
        <v>40571</v>
      </c>
      <c r="C751">
        <v>1</v>
      </c>
      <c r="D751">
        <v>1</v>
      </c>
      <c r="E751">
        <v>15</v>
      </c>
      <c r="F751" t="b">
        <v>0</v>
      </c>
      <c r="G751">
        <v>5</v>
      </c>
      <c r="H751">
        <v>2</v>
      </c>
      <c r="I751">
        <v>0.2</v>
      </c>
      <c r="J751">
        <v>139</v>
      </c>
      <c r="K751">
        <v>0.19700000000000001</v>
      </c>
      <c r="L751">
        <v>0.69</v>
      </c>
      <c r="M751">
        <v>0.22389999999999999</v>
      </c>
      <c r="N751">
        <v>2</v>
      </c>
      <c r="O751">
        <v>5</v>
      </c>
      <c r="P751">
        <v>7</v>
      </c>
    </row>
    <row r="752" spans="1:16" x14ac:dyDescent="0.25">
      <c r="A752">
        <v>141</v>
      </c>
      <c r="B752" s="19">
        <v>40571</v>
      </c>
      <c r="C752">
        <v>1</v>
      </c>
      <c r="D752">
        <v>1</v>
      </c>
      <c r="E752">
        <v>15</v>
      </c>
      <c r="F752" t="b">
        <v>0</v>
      </c>
      <c r="G752">
        <v>5</v>
      </c>
      <c r="H752">
        <v>2</v>
      </c>
      <c r="I752">
        <v>0.2</v>
      </c>
      <c r="J752">
        <v>140</v>
      </c>
      <c r="K752">
        <v>0.19700000000000001</v>
      </c>
      <c r="L752">
        <v>0.69</v>
      </c>
      <c r="M752">
        <v>0.22389999999999999</v>
      </c>
      <c r="N752">
        <v>0</v>
      </c>
      <c r="O752">
        <v>1</v>
      </c>
      <c r="P752">
        <v>1</v>
      </c>
    </row>
    <row r="753" spans="1:16" x14ac:dyDescent="0.25">
      <c r="A753">
        <v>142</v>
      </c>
      <c r="B753" s="19">
        <v>40571</v>
      </c>
      <c r="C753">
        <v>1</v>
      </c>
      <c r="D753">
        <v>1</v>
      </c>
      <c r="E753">
        <v>15</v>
      </c>
      <c r="F753" t="b">
        <v>0</v>
      </c>
      <c r="G753">
        <v>5</v>
      </c>
      <c r="H753">
        <v>2</v>
      </c>
      <c r="I753">
        <v>0.2</v>
      </c>
      <c r="J753">
        <v>141</v>
      </c>
      <c r="K753">
        <v>0.21210000000000001</v>
      </c>
      <c r="L753">
        <v>0.69</v>
      </c>
      <c r="M753">
        <v>0.1343</v>
      </c>
      <c r="N753">
        <v>0</v>
      </c>
      <c r="O753">
        <v>1</v>
      </c>
      <c r="P753">
        <v>1</v>
      </c>
    </row>
    <row r="754" spans="1:16" x14ac:dyDescent="0.25">
      <c r="A754">
        <v>143</v>
      </c>
      <c r="B754" s="19">
        <v>40571</v>
      </c>
      <c r="C754">
        <v>1</v>
      </c>
      <c r="D754">
        <v>1</v>
      </c>
      <c r="E754">
        <v>15</v>
      </c>
      <c r="F754" t="b">
        <v>0</v>
      </c>
      <c r="G754">
        <v>5</v>
      </c>
      <c r="H754">
        <v>2</v>
      </c>
      <c r="I754">
        <v>0.2</v>
      </c>
      <c r="J754">
        <v>142</v>
      </c>
      <c r="K754">
        <v>0.2727</v>
      </c>
      <c r="L754">
        <v>0.55000000000000004</v>
      </c>
      <c r="M754">
        <v>0</v>
      </c>
      <c r="N754">
        <v>0</v>
      </c>
      <c r="O754">
        <v>5</v>
      </c>
      <c r="P754">
        <v>5</v>
      </c>
    </row>
    <row r="755" spans="1:16" x14ac:dyDescent="0.25">
      <c r="A755">
        <v>144</v>
      </c>
      <c r="B755" s="19">
        <v>40571</v>
      </c>
      <c r="C755">
        <v>1</v>
      </c>
      <c r="D755">
        <v>1</v>
      </c>
      <c r="E755">
        <v>15</v>
      </c>
      <c r="F755" t="b">
        <v>0</v>
      </c>
      <c r="G755">
        <v>5</v>
      </c>
      <c r="H755">
        <v>2</v>
      </c>
      <c r="I755">
        <v>0.2</v>
      </c>
      <c r="J755">
        <v>143</v>
      </c>
      <c r="K755">
        <v>0.2576</v>
      </c>
      <c r="L755">
        <v>0.69</v>
      </c>
      <c r="M755">
        <v>0</v>
      </c>
      <c r="N755">
        <v>8</v>
      </c>
      <c r="O755">
        <v>26</v>
      </c>
      <c r="P755">
        <v>34</v>
      </c>
    </row>
    <row r="756" spans="1:16" x14ac:dyDescent="0.25">
      <c r="A756">
        <v>145</v>
      </c>
      <c r="B756" s="19">
        <v>40571</v>
      </c>
      <c r="C756">
        <v>1</v>
      </c>
      <c r="D756">
        <v>1</v>
      </c>
      <c r="E756">
        <v>15</v>
      </c>
      <c r="F756" t="b">
        <v>0</v>
      </c>
      <c r="G756">
        <v>5</v>
      </c>
      <c r="H756">
        <v>2</v>
      </c>
      <c r="I756">
        <v>0.2</v>
      </c>
      <c r="J756">
        <v>144</v>
      </c>
      <c r="K756">
        <v>0.21210000000000001</v>
      </c>
      <c r="L756">
        <v>0.69</v>
      </c>
      <c r="M756">
        <v>0.1343</v>
      </c>
      <c r="N756">
        <v>8</v>
      </c>
      <c r="O756">
        <v>76</v>
      </c>
      <c r="P756">
        <v>84</v>
      </c>
    </row>
    <row r="757" spans="1:16" x14ac:dyDescent="0.25">
      <c r="A757">
        <v>146</v>
      </c>
      <c r="B757" s="19">
        <v>40571</v>
      </c>
      <c r="C757">
        <v>1</v>
      </c>
      <c r="D757">
        <v>1</v>
      </c>
      <c r="E757">
        <v>15</v>
      </c>
      <c r="F757" t="b">
        <v>0</v>
      </c>
      <c r="G757">
        <v>5</v>
      </c>
      <c r="H757">
        <v>2</v>
      </c>
      <c r="I757">
        <v>0.2</v>
      </c>
      <c r="J757">
        <v>145</v>
      </c>
      <c r="K757">
        <v>0.19700000000000001</v>
      </c>
      <c r="L757">
        <v>0.51</v>
      </c>
      <c r="M757">
        <v>0.25369999999999998</v>
      </c>
      <c r="N757">
        <v>20</v>
      </c>
      <c r="O757">
        <v>190</v>
      </c>
      <c r="P757">
        <v>210</v>
      </c>
    </row>
    <row r="758" spans="1:16" x14ac:dyDescent="0.25">
      <c r="A758">
        <v>147</v>
      </c>
      <c r="B758" s="19">
        <v>40571</v>
      </c>
      <c r="C758">
        <v>1</v>
      </c>
      <c r="D758">
        <v>1</v>
      </c>
      <c r="E758">
        <v>15</v>
      </c>
      <c r="F758" t="b">
        <v>0</v>
      </c>
      <c r="G758">
        <v>5</v>
      </c>
      <c r="H758">
        <v>2</v>
      </c>
      <c r="I758">
        <v>0.2</v>
      </c>
      <c r="J758">
        <v>146</v>
      </c>
      <c r="K758">
        <v>0.18179999999999999</v>
      </c>
      <c r="L758">
        <v>0.47</v>
      </c>
      <c r="M758">
        <v>0.29849999999999999</v>
      </c>
      <c r="N758">
        <v>9</v>
      </c>
      <c r="O758">
        <v>125</v>
      </c>
      <c r="P758">
        <v>134</v>
      </c>
    </row>
    <row r="759" spans="1:16" x14ac:dyDescent="0.25">
      <c r="A759">
        <v>148</v>
      </c>
      <c r="B759" s="19">
        <v>40571</v>
      </c>
      <c r="C759">
        <v>1</v>
      </c>
      <c r="D759">
        <v>1</v>
      </c>
      <c r="E759">
        <v>15</v>
      </c>
      <c r="F759" t="b">
        <v>0</v>
      </c>
      <c r="G759">
        <v>5</v>
      </c>
      <c r="H759">
        <v>2</v>
      </c>
      <c r="I759">
        <v>0.2</v>
      </c>
      <c r="J759">
        <v>147</v>
      </c>
      <c r="K759">
        <v>0.19700000000000001</v>
      </c>
      <c r="L759">
        <v>0.37</v>
      </c>
      <c r="M759">
        <v>0.32840000000000003</v>
      </c>
      <c r="N759">
        <v>16</v>
      </c>
      <c r="O759">
        <v>47</v>
      </c>
      <c r="P759">
        <v>63</v>
      </c>
    </row>
    <row r="760" spans="1:16" x14ac:dyDescent="0.25">
      <c r="A760">
        <v>149</v>
      </c>
      <c r="B760" s="19">
        <v>40571</v>
      </c>
      <c r="C760">
        <v>1</v>
      </c>
      <c r="D760">
        <v>1</v>
      </c>
      <c r="E760">
        <v>15</v>
      </c>
      <c r="F760" t="b">
        <v>0</v>
      </c>
      <c r="G760">
        <v>5</v>
      </c>
      <c r="H760">
        <v>2</v>
      </c>
      <c r="I760">
        <v>0.2</v>
      </c>
      <c r="J760">
        <v>148</v>
      </c>
      <c r="K760">
        <v>0.19700000000000001</v>
      </c>
      <c r="L760">
        <v>0.4</v>
      </c>
      <c r="M760">
        <v>0.22389999999999999</v>
      </c>
      <c r="N760">
        <v>19</v>
      </c>
      <c r="O760">
        <v>48</v>
      </c>
      <c r="P760">
        <v>67</v>
      </c>
    </row>
    <row r="761" spans="1:16" x14ac:dyDescent="0.25">
      <c r="A761">
        <v>150</v>
      </c>
      <c r="B761" s="19">
        <v>40571</v>
      </c>
      <c r="C761">
        <v>1</v>
      </c>
      <c r="D761">
        <v>1</v>
      </c>
      <c r="E761">
        <v>15</v>
      </c>
      <c r="F761" t="b">
        <v>0</v>
      </c>
      <c r="G761">
        <v>5</v>
      </c>
      <c r="H761">
        <v>2</v>
      </c>
      <c r="I761">
        <v>0.2</v>
      </c>
      <c r="J761">
        <v>149</v>
      </c>
      <c r="K761">
        <v>0.19700000000000001</v>
      </c>
      <c r="L761">
        <v>0.37</v>
      </c>
      <c r="M761">
        <v>0.25369999999999998</v>
      </c>
      <c r="N761">
        <v>9</v>
      </c>
      <c r="O761">
        <v>50</v>
      </c>
      <c r="P761">
        <v>59</v>
      </c>
    </row>
    <row r="762" spans="1:16" x14ac:dyDescent="0.25">
      <c r="A762">
        <v>151</v>
      </c>
      <c r="B762" s="19">
        <v>40571</v>
      </c>
      <c r="C762">
        <v>1</v>
      </c>
      <c r="D762">
        <v>1</v>
      </c>
      <c r="E762">
        <v>15</v>
      </c>
      <c r="F762" t="b">
        <v>0</v>
      </c>
      <c r="G762">
        <v>5</v>
      </c>
      <c r="H762">
        <v>2</v>
      </c>
      <c r="I762">
        <v>0.2</v>
      </c>
      <c r="J762">
        <v>150</v>
      </c>
      <c r="K762">
        <v>0.18179999999999999</v>
      </c>
      <c r="L762">
        <v>0.37</v>
      </c>
      <c r="M762">
        <v>0.28360000000000002</v>
      </c>
      <c r="N762">
        <v>9</v>
      </c>
      <c r="O762">
        <v>64</v>
      </c>
      <c r="P762">
        <v>73</v>
      </c>
    </row>
    <row r="763" spans="1:16" x14ac:dyDescent="0.25">
      <c r="A763">
        <v>152</v>
      </c>
      <c r="B763" s="19">
        <v>40571</v>
      </c>
      <c r="C763">
        <v>1</v>
      </c>
      <c r="D763">
        <v>1</v>
      </c>
      <c r="E763">
        <v>15</v>
      </c>
      <c r="F763" t="b">
        <v>0</v>
      </c>
      <c r="G763">
        <v>5</v>
      </c>
      <c r="H763">
        <v>2</v>
      </c>
      <c r="I763">
        <v>0.2</v>
      </c>
      <c r="J763">
        <v>151</v>
      </c>
      <c r="K763">
        <v>0.19700000000000001</v>
      </c>
      <c r="L763">
        <v>0.4</v>
      </c>
      <c r="M763">
        <v>0.25369999999999998</v>
      </c>
      <c r="N763">
        <v>7</v>
      </c>
      <c r="O763">
        <v>43</v>
      </c>
      <c r="P763">
        <v>50</v>
      </c>
    </row>
    <row r="764" spans="1:16" x14ac:dyDescent="0.25">
      <c r="A764">
        <v>153</v>
      </c>
      <c r="B764" s="19">
        <v>40571</v>
      </c>
      <c r="C764">
        <v>1</v>
      </c>
      <c r="D764">
        <v>1</v>
      </c>
      <c r="E764">
        <v>15</v>
      </c>
      <c r="F764" t="b">
        <v>0</v>
      </c>
      <c r="G764">
        <v>5</v>
      </c>
      <c r="H764">
        <v>2</v>
      </c>
      <c r="I764">
        <v>0.2</v>
      </c>
      <c r="J764">
        <v>152</v>
      </c>
      <c r="K764">
        <v>0.21210000000000001</v>
      </c>
      <c r="L764">
        <v>0.37</v>
      </c>
      <c r="M764">
        <v>0.16420000000000001</v>
      </c>
      <c r="N764">
        <v>9</v>
      </c>
      <c r="O764">
        <v>63</v>
      </c>
      <c r="P764">
        <v>72</v>
      </c>
    </row>
    <row r="765" spans="1:16" x14ac:dyDescent="0.25">
      <c r="A765">
        <v>154</v>
      </c>
      <c r="B765" s="19">
        <v>40571</v>
      </c>
      <c r="C765">
        <v>1</v>
      </c>
      <c r="D765">
        <v>1</v>
      </c>
      <c r="E765">
        <v>15</v>
      </c>
      <c r="F765" t="b">
        <v>0</v>
      </c>
      <c r="G765">
        <v>5</v>
      </c>
      <c r="H765">
        <v>2</v>
      </c>
      <c r="I765">
        <v>0.2</v>
      </c>
      <c r="J765">
        <v>153</v>
      </c>
      <c r="K765">
        <v>0.21210000000000001</v>
      </c>
      <c r="L765">
        <v>0.37</v>
      </c>
      <c r="M765">
        <v>0.16420000000000001</v>
      </c>
      <c r="N765">
        <v>5</v>
      </c>
      <c r="O765">
        <v>82</v>
      </c>
      <c r="P765">
        <v>87</v>
      </c>
    </row>
    <row r="766" spans="1:16" x14ac:dyDescent="0.25">
      <c r="A766">
        <v>155</v>
      </c>
      <c r="B766" s="19">
        <v>40571</v>
      </c>
      <c r="C766">
        <v>1</v>
      </c>
      <c r="D766">
        <v>1</v>
      </c>
      <c r="E766">
        <v>15</v>
      </c>
      <c r="F766" t="b">
        <v>0</v>
      </c>
      <c r="G766">
        <v>5</v>
      </c>
      <c r="H766">
        <v>2</v>
      </c>
      <c r="I766">
        <v>0.2</v>
      </c>
      <c r="J766">
        <v>154</v>
      </c>
      <c r="K766">
        <v>0.2576</v>
      </c>
      <c r="L766">
        <v>0.37</v>
      </c>
      <c r="M766">
        <v>0</v>
      </c>
      <c r="N766">
        <v>9</v>
      </c>
      <c r="O766">
        <v>178</v>
      </c>
      <c r="P766">
        <v>187</v>
      </c>
    </row>
    <row r="767" spans="1:16" x14ac:dyDescent="0.25">
      <c r="A767">
        <v>156</v>
      </c>
      <c r="B767" s="19">
        <v>40571</v>
      </c>
      <c r="C767">
        <v>1</v>
      </c>
      <c r="D767">
        <v>1</v>
      </c>
      <c r="E767">
        <v>15</v>
      </c>
      <c r="F767" t="b">
        <v>0</v>
      </c>
      <c r="G767">
        <v>5</v>
      </c>
      <c r="H767">
        <v>2</v>
      </c>
      <c r="I767">
        <v>0.2</v>
      </c>
      <c r="J767">
        <v>155</v>
      </c>
      <c r="K767">
        <v>0.2273</v>
      </c>
      <c r="L767">
        <v>0.4</v>
      </c>
      <c r="M767">
        <v>8.9599999999999999E-2</v>
      </c>
      <c r="N767">
        <v>7</v>
      </c>
      <c r="O767">
        <v>116</v>
      </c>
      <c r="P767">
        <v>123</v>
      </c>
    </row>
    <row r="768" spans="1:16" x14ac:dyDescent="0.25">
      <c r="A768">
        <v>157</v>
      </c>
      <c r="B768" s="19">
        <v>40571</v>
      </c>
      <c r="C768">
        <v>1</v>
      </c>
      <c r="D768">
        <v>1</v>
      </c>
      <c r="E768">
        <v>15</v>
      </c>
      <c r="F768" t="b">
        <v>0</v>
      </c>
      <c r="G768">
        <v>5</v>
      </c>
      <c r="H768">
        <v>2</v>
      </c>
      <c r="I768">
        <v>0.2</v>
      </c>
      <c r="J768">
        <v>156</v>
      </c>
      <c r="K768">
        <v>0.19700000000000001</v>
      </c>
      <c r="L768">
        <v>0.55000000000000004</v>
      </c>
      <c r="M768">
        <v>8.9599999999999999E-2</v>
      </c>
      <c r="N768">
        <v>3</v>
      </c>
      <c r="O768">
        <v>92</v>
      </c>
      <c r="P768">
        <v>95</v>
      </c>
    </row>
    <row r="769" spans="1:16" x14ac:dyDescent="0.25">
      <c r="A769">
        <v>158</v>
      </c>
      <c r="B769" s="19">
        <v>40571</v>
      </c>
      <c r="C769">
        <v>1</v>
      </c>
      <c r="D769">
        <v>1</v>
      </c>
      <c r="E769">
        <v>15</v>
      </c>
      <c r="F769" t="b">
        <v>0</v>
      </c>
      <c r="G769">
        <v>5</v>
      </c>
      <c r="H769">
        <v>2</v>
      </c>
      <c r="I769">
        <v>0.2</v>
      </c>
      <c r="J769">
        <v>157</v>
      </c>
      <c r="K769">
        <v>0.21210000000000001</v>
      </c>
      <c r="L769">
        <v>0.47</v>
      </c>
      <c r="M769">
        <v>0.1045</v>
      </c>
      <c r="N769">
        <v>1</v>
      </c>
      <c r="O769">
        <v>50</v>
      </c>
      <c r="P769">
        <v>51</v>
      </c>
    </row>
    <row r="770" spans="1:16" x14ac:dyDescent="0.25">
      <c r="A770">
        <v>159</v>
      </c>
      <c r="B770" s="19">
        <v>40571</v>
      </c>
      <c r="C770">
        <v>1</v>
      </c>
      <c r="D770">
        <v>1</v>
      </c>
      <c r="E770">
        <v>15</v>
      </c>
      <c r="F770" t="b">
        <v>0</v>
      </c>
      <c r="G770">
        <v>5</v>
      </c>
      <c r="H770">
        <v>2</v>
      </c>
      <c r="I770">
        <v>0.2</v>
      </c>
      <c r="J770">
        <v>158</v>
      </c>
      <c r="K770">
        <v>0.19700000000000001</v>
      </c>
      <c r="L770">
        <v>0.47</v>
      </c>
      <c r="M770">
        <v>0.1343</v>
      </c>
      <c r="N770">
        <v>0</v>
      </c>
      <c r="O770">
        <v>39</v>
      </c>
      <c r="P770">
        <v>39</v>
      </c>
    </row>
    <row r="771" spans="1:16" x14ac:dyDescent="0.25">
      <c r="A771">
        <v>160</v>
      </c>
      <c r="B771" s="19">
        <v>40571</v>
      </c>
      <c r="C771">
        <v>1</v>
      </c>
      <c r="D771">
        <v>1</v>
      </c>
      <c r="E771">
        <v>15</v>
      </c>
      <c r="F771" t="b">
        <v>0</v>
      </c>
      <c r="G771">
        <v>5</v>
      </c>
      <c r="H771">
        <v>2</v>
      </c>
      <c r="I771">
        <v>0.2</v>
      </c>
      <c r="J771">
        <v>159</v>
      </c>
      <c r="K771">
        <v>0.19700000000000001</v>
      </c>
      <c r="L771">
        <v>0.43</v>
      </c>
      <c r="M771">
        <v>0.16420000000000001</v>
      </c>
      <c r="N771">
        <v>2</v>
      </c>
      <c r="O771">
        <v>34</v>
      </c>
      <c r="P771">
        <v>36</v>
      </c>
    </row>
    <row r="772" spans="1:16" x14ac:dyDescent="0.25">
      <c r="A772">
        <v>161</v>
      </c>
      <c r="B772" s="19">
        <v>40571</v>
      </c>
      <c r="C772">
        <v>1</v>
      </c>
      <c r="D772">
        <v>1</v>
      </c>
      <c r="E772">
        <v>15</v>
      </c>
      <c r="F772" t="b">
        <v>0</v>
      </c>
      <c r="G772">
        <v>5</v>
      </c>
      <c r="H772">
        <v>2</v>
      </c>
      <c r="I772">
        <v>0.2</v>
      </c>
      <c r="J772">
        <v>160</v>
      </c>
      <c r="K772">
        <v>0.19700000000000001</v>
      </c>
      <c r="L772">
        <v>0.51</v>
      </c>
      <c r="M772">
        <v>0.16420000000000001</v>
      </c>
      <c r="N772">
        <v>1</v>
      </c>
      <c r="O772">
        <v>14</v>
      </c>
      <c r="P772">
        <v>15</v>
      </c>
    </row>
    <row r="773" spans="1:16" x14ac:dyDescent="0.25">
      <c r="A773">
        <v>162</v>
      </c>
      <c r="B773" s="19">
        <v>40571</v>
      </c>
      <c r="C773">
        <v>1</v>
      </c>
      <c r="D773">
        <v>1</v>
      </c>
      <c r="E773">
        <v>15</v>
      </c>
      <c r="F773" t="b">
        <v>0</v>
      </c>
      <c r="G773">
        <v>5</v>
      </c>
      <c r="H773">
        <v>2</v>
      </c>
      <c r="I773">
        <v>0.2</v>
      </c>
      <c r="J773">
        <v>161</v>
      </c>
      <c r="K773">
        <v>0.19700000000000001</v>
      </c>
      <c r="L773">
        <v>0.51</v>
      </c>
      <c r="M773">
        <v>0.16420000000000001</v>
      </c>
      <c r="N773">
        <v>1</v>
      </c>
      <c r="O773">
        <v>24</v>
      </c>
      <c r="P773">
        <v>25</v>
      </c>
    </row>
    <row r="774" spans="1:16" x14ac:dyDescent="0.25">
      <c r="A774">
        <v>163</v>
      </c>
      <c r="B774" s="19">
        <v>40571</v>
      </c>
      <c r="C774">
        <v>1</v>
      </c>
      <c r="D774">
        <v>1</v>
      </c>
      <c r="E774">
        <v>15</v>
      </c>
      <c r="F774" t="b">
        <v>0</v>
      </c>
      <c r="G774">
        <v>5</v>
      </c>
      <c r="H774">
        <v>2</v>
      </c>
      <c r="I774">
        <v>0.2</v>
      </c>
      <c r="J774">
        <v>162</v>
      </c>
      <c r="K774">
        <v>0.21210000000000001</v>
      </c>
      <c r="L774">
        <v>0.55000000000000004</v>
      </c>
      <c r="M774">
        <v>8.9599999999999999E-2</v>
      </c>
      <c r="N774">
        <v>1</v>
      </c>
      <c r="O774">
        <v>15</v>
      </c>
      <c r="P774">
        <v>16</v>
      </c>
    </row>
    <row r="775" spans="1:16" x14ac:dyDescent="0.25">
      <c r="A775">
        <v>164</v>
      </c>
      <c r="B775" s="19">
        <v>40571</v>
      </c>
      <c r="C775">
        <v>1</v>
      </c>
      <c r="D775">
        <v>1</v>
      </c>
      <c r="E775">
        <v>15</v>
      </c>
      <c r="F775" t="b">
        <v>0</v>
      </c>
      <c r="G775">
        <v>5</v>
      </c>
      <c r="H775">
        <v>2</v>
      </c>
      <c r="I775">
        <v>0.2</v>
      </c>
      <c r="J775">
        <v>163</v>
      </c>
      <c r="K775">
        <v>0.2424</v>
      </c>
      <c r="L775">
        <v>0.55000000000000004</v>
      </c>
      <c r="M775">
        <v>0</v>
      </c>
      <c r="N775">
        <v>3</v>
      </c>
      <c r="O775">
        <v>13</v>
      </c>
      <c r="P775">
        <v>16</v>
      </c>
    </row>
    <row r="776" spans="1:16" x14ac:dyDescent="0.25">
      <c r="A776">
        <v>165</v>
      </c>
      <c r="B776" s="19">
        <v>40571</v>
      </c>
      <c r="C776">
        <v>1</v>
      </c>
      <c r="D776">
        <v>1</v>
      </c>
      <c r="E776">
        <v>15</v>
      </c>
      <c r="F776" t="b">
        <v>0</v>
      </c>
      <c r="G776">
        <v>5</v>
      </c>
      <c r="H776">
        <v>2</v>
      </c>
      <c r="I776">
        <v>0.2</v>
      </c>
      <c r="J776">
        <v>164</v>
      </c>
      <c r="K776">
        <v>0.19700000000000001</v>
      </c>
      <c r="L776">
        <v>0.55000000000000004</v>
      </c>
      <c r="M776">
        <v>0.16420000000000001</v>
      </c>
      <c r="N776">
        <v>0</v>
      </c>
      <c r="O776">
        <v>7</v>
      </c>
      <c r="P776">
        <v>7</v>
      </c>
    </row>
    <row r="777" spans="1:16" x14ac:dyDescent="0.25">
      <c r="A777">
        <v>166</v>
      </c>
      <c r="B777" s="19">
        <v>40571</v>
      </c>
      <c r="C777">
        <v>1</v>
      </c>
      <c r="D777">
        <v>1</v>
      </c>
      <c r="E777">
        <v>15</v>
      </c>
      <c r="F777" t="b">
        <v>0</v>
      </c>
      <c r="G777">
        <v>5</v>
      </c>
      <c r="H777">
        <v>2</v>
      </c>
      <c r="I777">
        <v>0.2</v>
      </c>
      <c r="J777">
        <v>165</v>
      </c>
      <c r="K777">
        <v>0.19700000000000001</v>
      </c>
      <c r="L777">
        <v>0.55000000000000004</v>
      </c>
      <c r="M777">
        <v>0.16420000000000001</v>
      </c>
      <c r="N777">
        <v>0</v>
      </c>
      <c r="O777">
        <v>1</v>
      </c>
      <c r="P777">
        <v>1</v>
      </c>
    </row>
    <row r="778" spans="1:16" x14ac:dyDescent="0.25">
      <c r="A778">
        <v>167</v>
      </c>
      <c r="B778" s="19">
        <v>40571</v>
      </c>
      <c r="C778">
        <v>1</v>
      </c>
      <c r="D778">
        <v>1</v>
      </c>
      <c r="E778">
        <v>15</v>
      </c>
      <c r="F778" t="b">
        <v>0</v>
      </c>
      <c r="G778">
        <v>5</v>
      </c>
      <c r="H778">
        <v>2</v>
      </c>
      <c r="I778">
        <v>0.2</v>
      </c>
      <c r="J778">
        <v>166</v>
      </c>
      <c r="K778">
        <v>0.16669999999999999</v>
      </c>
      <c r="L778">
        <v>0.74</v>
      </c>
      <c r="M778">
        <v>0.16420000000000001</v>
      </c>
      <c r="N778">
        <v>0</v>
      </c>
      <c r="O778">
        <v>5</v>
      </c>
      <c r="P778">
        <v>5</v>
      </c>
    </row>
    <row r="779" spans="1:16" x14ac:dyDescent="0.25">
      <c r="A779">
        <v>168</v>
      </c>
      <c r="B779" s="19">
        <v>40571</v>
      </c>
      <c r="C779">
        <v>1</v>
      </c>
      <c r="D779">
        <v>1</v>
      </c>
      <c r="E779">
        <v>15</v>
      </c>
      <c r="F779" t="b">
        <v>0</v>
      </c>
      <c r="G779">
        <v>5</v>
      </c>
      <c r="H779">
        <v>2</v>
      </c>
      <c r="I779">
        <v>0.2</v>
      </c>
      <c r="J779">
        <v>167</v>
      </c>
      <c r="K779">
        <v>0.16669999999999999</v>
      </c>
      <c r="L779">
        <v>0.74</v>
      </c>
      <c r="M779">
        <v>0.16420000000000001</v>
      </c>
      <c r="N779">
        <v>0</v>
      </c>
      <c r="O779">
        <v>2</v>
      </c>
      <c r="P779">
        <v>2</v>
      </c>
    </row>
    <row r="780" spans="1:16" x14ac:dyDescent="0.25">
      <c r="A780">
        <v>169</v>
      </c>
      <c r="B780" s="19">
        <v>40571</v>
      </c>
      <c r="C780">
        <v>1</v>
      </c>
      <c r="D780">
        <v>1</v>
      </c>
      <c r="E780">
        <v>15</v>
      </c>
      <c r="F780" t="b">
        <v>0</v>
      </c>
      <c r="G780">
        <v>5</v>
      </c>
      <c r="H780">
        <v>2</v>
      </c>
      <c r="I780">
        <v>0.2</v>
      </c>
      <c r="J780">
        <v>168</v>
      </c>
      <c r="K780">
        <v>0.18179999999999999</v>
      </c>
      <c r="L780">
        <v>0.74</v>
      </c>
      <c r="M780">
        <v>0.1045</v>
      </c>
      <c r="N780">
        <v>1</v>
      </c>
      <c r="O780">
        <v>8</v>
      </c>
      <c r="P780">
        <v>9</v>
      </c>
    </row>
    <row r="781" spans="1:16" x14ac:dyDescent="0.25">
      <c r="A781">
        <v>170</v>
      </c>
      <c r="B781" s="19">
        <v>40571</v>
      </c>
      <c r="C781">
        <v>1</v>
      </c>
      <c r="D781">
        <v>1</v>
      </c>
      <c r="E781">
        <v>15</v>
      </c>
      <c r="F781" t="b">
        <v>0</v>
      </c>
      <c r="G781">
        <v>5</v>
      </c>
      <c r="H781">
        <v>2</v>
      </c>
      <c r="I781">
        <v>0.2</v>
      </c>
      <c r="J781">
        <v>169</v>
      </c>
      <c r="K781">
        <v>0.18179999999999999</v>
      </c>
      <c r="L781">
        <v>0.93</v>
      </c>
      <c r="M781">
        <v>0.1045</v>
      </c>
      <c r="N781">
        <v>0</v>
      </c>
      <c r="O781">
        <v>15</v>
      </c>
      <c r="P781">
        <v>15</v>
      </c>
    </row>
    <row r="782" spans="1:16" x14ac:dyDescent="0.25">
      <c r="A782">
        <v>171</v>
      </c>
      <c r="B782" s="19">
        <v>40571</v>
      </c>
      <c r="C782">
        <v>1</v>
      </c>
      <c r="D782">
        <v>1</v>
      </c>
      <c r="E782">
        <v>15</v>
      </c>
      <c r="F782" t="b">
        <v>0</v>
      </c>
      <c r="G782">
        <v>5</v>
      </c>
      <c r="H782">
        <v>2</v>
      </c>
      <c r="I782">
        <v>0.2</v>
      </c>
      <c r="J782">
        <v>170</v>
      </c>
      <c r="K782">
        <v>0.18179999999999999</v>
      </c>
      <c r="L782">
        <v>0.93</v>
      </c>
      <c r="M782">
        <v>0.1045</v>
      </c>
      <c r="N782">
        <v>0</v>
      </c>
      <c r="O782">
        <v>20</v>
      </c>
      <c r="P782">
        <v>20</v>
      </c>
    </row>
    <row r="783" spans="1:16" x14ac:dyDescent="0.25">
      <c r="A783">
        <v>172</v>
      </c>
      <c r="B783" s="19">
        <v>40571</v>
      </c>
      <c r="C783">
        <v>1</v>
      </c>
      <c r="D783">
        <v>1</v>
      </c>
      <c r="E783">
        <v>15</v>
      </c>
      <c r="F783" t="b">
        <v>0</v>
      </c>
      <c r="G783">
        <v>5</v>
      </c>
      <c r="H783">
        <v>2</v>
      </c>
      <c r="I783">
        <v>0.2</v>
      </c>
      <c r="J783">
        <v>171</v>
      </c>
      <c r="K783">
        <v>0.19700000000000001</v>
      </c>
      <c r="L783">
        <v>0.8</v>
      </c>
      <c r="M783">
        <v>0.16420000000000001</v>
      </c>
      <c r="N783">
        <v>5</v>
      </c>
      <c r="O783">
        <v>56</v>
      </c>
      <c r="P783">
        <v>61</v>
      </c>
    </row>
    <row r="784" spans="1:16" x14ac:dyDescent="0.25">
      <c r="A784">
        <v>173</v>
      </c>
      <c r="B784" s="19">
        <v>40571</v>
      </c>
      <c r="C784">
        <v>1</v>
      </c>
      <c r="D784">
        <v>1</v>
      </c>
      <c r="E784">
        <v>15</v>
      </c>
      <c r="F784" t="b">
        <v>0</v>
      </c>
      <c r="G784">
        <v>5</v>
      </c>
      <c r="H784">
        <v>2</v>
      </c>
      <c r="I784">
        <v>0.2</v>
      </c>
      <c r="J784">
        <v>172</v>
      </c>
      <c r="K784">
        <v>0.18179999999999999</v>
      </c>
      <c r="L784">
        <v>0.69</v>
      </c>
      <c r="M784">
        <v>0.3881</v>
      </c>
      <c r="N784">
        <v>2</v>
      </c>
      <c r="O784">
        <v>60</v>
      </c>
      <c r="P784">
        <v>62</v>
      </c>
    </row>
    <row r="785" spans="1:16" x14ac:dyDescent="0.25">
      <c r="A785">
        <v>174</v>
      </c>
      <c r="B785" s="19">
        <v>40571</v>
      </c>
      <c r="C785">
        <v>1</v>
      </c>
      <c r="D785">
        <v>1</v>
      </c>
      <c r="E785">
        <v>15</v>
      </c>
      <c r="F785" t="b">
        <v>0</v>
      </c>
      <c r="G785">
        <v>5</v>
      </c>
      <c r="H785">
        <v>2</v>
      </c>
      <c r="I785">
        <v>0.2</v>
      </c>
      <c r="J785">
        <v>173</v>
      </c>
      <c r="K785">
        <v>0.18179999999999999</v>
      </c>
      <c r="L785">
        <v>0.59</v>
      </c>
      <c r="M785">
        <v>0.35820000000000002</v>
      </c>
      <c r="N785">
        <v>8</v>
      </c>
      <c r="O785">
        <v>90</v>
      </c>
      <c r="P785">
        <v>98</v>
      </c>
    </row>
    <row r="786" spans="1:16" x14ac:dyDescent="0.25">
      <c r="A786">
        <v>175</v>
      </c>
      <c r="B786" s="19">
        <v>40571</v>
      </c>
      <c r="C786">
        <v>1</v>
      </c>
      <c r="D786">
        <v>1</v>
      </c>
      <c r="E786">
        <v>15</v>
      </c>
      <c r="F786" t="b">
        <v>0</v>
      </c>
      <c r="G786">
        <v>5</v>
      </c>
      <c r="H786">
        <v>2</v>
      </c>
      <c r="I786">
        <v>0.2</v>
      </c>
      <c r="J786">
        <v>174</v>
      </c>
      <c r="K786">
        <v>0.18179999999999999</v>
      </c>
      <c r="L786">
        <v>0.44</v>
      </c>
      <c r="M786">
        <v>0.32840000000000003</v>
      </c>
      <c r="N786">
        <v>7</v>
      </c>
      <c r="O786">
        <v>95</v>
      </c>
      <c r="P786">
        <v>102</v>
      </c>
    </row>
    <row r="787" spans="1:16" x14ac:dyDescent="0.25">
      <c r="A787">
        <v>176</v>
      </c>
      <c r="B787" s="19">
        <v>40571</v>
      </c>
      <c r="C787">
        <v>1</v>
      </c>
      <c r="D787">
        <v>1</v>
      </c>
      <c r="E787">
        <v>15</v>
      </c>
      <c r="F787" t="b">
        <v>0</v>
      </c>
      <c r="G787">
        <v>5</v>
      </c>
      <c r="H787">
        <v>2</v>
      </c>
      <c r="I787">
        <v>0.2</v>
      </c>
      <c r="J787">
        <v>175</v>
      </c>
      <c r="K787">
        <v>0.16669999999999999</v>
      </c>
      <c r="L787">
        <v>0.32</v>
      </c>
      <c r="M787">
        <v>0.49249999999999999</v>
      </c>
      <c r="N787">
        <v>12</v>
      </c>
      <c r="O787">
        <v>83</v>
      </c>
      <c r="P787">
        <v>95</v>
      </c>
    </row>
    <row r="788" spans="1:16" x14ac:dyDescent="0.25">
      <c r="A788">
        <v>177</v>
      </c>
      <c r="B788" s="19">
        <v>40571</v>
      </c>
      <c r="C788">
        <v>1</v>
      </c>
      <c r="D788">
        <v>1</v>
      </c>
      <c r="E788">
        <v>15</v>
      </c>
      <c r="F788" t="b">
        <v>0</v>
      </c>
      <c r="G788">
        <v>5</v>
      </c>
      <c r="H788">
        <v>2</v>
      </c>
      <c r="I788">
        <v>0.2</v>
      </c>
      <c r="J788">
        <v>176</v>
      </c>
      <c r="K788">
        <v>0.16669999999999999</v>
      </c>
      <c r="L788">
        <v>0.32</v>
      </c>
      <c r="M788">
        <v>0.44779999999999998</v>
      </c>
      <c r="N788">
        <v>5</v>
      </c>
      <c r="O788">
        <v>69</v>
      </c>
      <c r="P788">
        <v>74</v>
      </c>
    </row>
    <row r="789" spans="1:16" x14ac:dyDescent="0.25">
      <c r="A789">
        <v>178</v>
      </c>
      <c r="B789" s="19">
        <v>40571</v>
      </c>
      <c r="C789">
        <v>1</v>
      </c>
      <c r="D789">
        <v>1</v>
      </c>
      <c r="E789">
        <v>15</v>
      </c>
      <c r="F789" t="b">
        <v>0</v>
      </c>
      <c r="G789">
        <v>5</v>
      </c>
      <c r="H789">
        <v>2</v>
      </c>
      <c r="I789">
        <v>0.2</v>
      </c>
      <c r="J789">
        <v>177</v>
      </c>
      <c r="K789">
        <v>0.13639999999999999</v>
      </c>
      <c r="L789">
        <v>0.28999999999999998</v>
      </c>
      <c r="M789">
        <v>0.44779999999999998</v>
      </c>
      <c r="N789">
        <v>8</v>
      </c>
      <c r="O789">
        <v>68</v>
      </c>
      <c r="P789">
        <v>76</v>
      </c>
    </row>
    <row r="790" spans="1:16" x14ac:dyDescent="0.25">
      <c r="A790">
        <v>179</v>
      </c>
      <c r="B790" s="19">
        <v>40571</v>
      </c>
      <c r="C790">
        <v>1</v>
      </c>
      <c r="D790">
        <v>1</v>
      </c>
      <c r="E790">
        <v>15</v>
      </c>
      <c r="F790" t="b">
        <v>0</v>
      </c>
      <c r="G790">
        <v>5</v>
      </c>
      <c r="H790">
        <v>2</v>
      </c>
      <c r="I790">
        <v>0.2</v>
      </c>
      <c r="J790">
        <v>178</v>
      </c>
      <c r="K790">
        <v>0.1212</v>
      </c>
      <c r="L790">
        <v>0.37</v>
      </c>
      <c r="M790">
        <v>0.55220000000000002</v>
      </c>
      <c r="N790">
        <v>5</v>
      </c>
      <c r="O790">
        <v>64</v>
      </c>
      <c r="P790">
        <v>69</v>
      </c>
    </row>
    <row r="791" spans="1:16" x14ac:dyDescent="0.25">
      <c r="A791">
        <v>180</v>
      </c>
      <c r="B791" s="19">
        <v>40571</v>
      </c>
      <c r="C791">
        <v>1</v>
      </c>
      <c r="D791">
        <v>1</v>
      </c>
      <c r="E791">
        <v>15</v>
      </c>
      <c r="F791" t="b">
        <v>0</v>
      </c>
      <c r="G791">
        <v>5</v>
      </c>
      <c r="H791">
        <v>2</v>
      </c>
      <c r="I791">
        <v>0.2</v>
      </c>
      <c r="J791">
        <v>179</v>
      </c>
      <c r="K791">
        <v>0.1212</v>
      </c>
      <c r="L791">
        <v>0.39</v>
      </c>
      <c r="M791">
        <v>0.29849999999999999</v>
      </c>
      <c r="N791">
        <v>3</v>
      </c>
      <c r="O791">
        <v>52</v>
      </c>
      <c r="P791">
        <v>55</v>
      </c>
    </row>
    <row r="792" spans="1:16" x14ac:dyDescent="0.25">
      <c r="A792">
        <v>181</v>
      </c>
      <c r="B792" s="19">
        <v>40571</v>
      </c>
      <c r="C792">
        <v>1</v>
      </c>
      <c r="D792">
        <v>1</v>
      </c>
      <c r="E792">
        <v>15</v>
      </c>
      <c r="F792" t="b">
        <v>0</v>
      </c>
      <c r="G792">
        <v>5</v>
      </c>
      <c r="H792">
        <v>2</v>
      </c>
      <c r="I792">
        <v>0.2</v>
      </c>
      <c r="J792">
        <v>180</v>
      </c>
      <c r="K792">
        <v>0.1212</v>
      </c>
      <c r="L792">
        <v>0.36</v>
      </c>
      <c r="M792">
        <v>0.25369999999999998</v>
      </c>
      <c r="N792">
        <v>4</v>
      </c>
      <c r="O792">
        <v>26</v>
      </c>
      <c r="P792">
        <v>30</v>
      </c>
    </row>
    <row r="793" spans="1:16" x14ac:dyDescent="0.25">
      <c r="A793">
        <v>182</v>
      </c>
      <c r="B793" s="19">
        <v>40571</v>
      </c>
      <c r="C793">
        <v>1</v>
      </c>
      <c r="D793">
        <v>1</v>
      </c>
      <c r="E793">
        <v>15</v>
      </c>
      <c r="F793" t="b">
        <v>0</v>
      </c>
      <c r="G793">
        <v>5</v>
      </c>
      <c r="H793">
        <v>2</v>
      </c>
      <c r="I793">
        <v>0.2</v>
      </c>
      <c r="J793">
        <v>181</v>
      </c>
      <c r="K793">
        <v>0.1212</v>
      </c>
      <c r="L793">
        <v>0.36</v>
      </c>
      <c r="M793">
        <v>0.25369999999999998</v>
      </c>
      <c r="N793">
        <v>0</v>
      </c>
      <c r="O793">
        <v>28</v>
      </c>
      <c r="P793">
        <v>28</v>
      </c>
    </row>
    <row r="794" spans="1:16" x14ac:dyDescent="0.25">
      <c r="A794">
        <v>183</v>
      </c>
      <c r="B794" s="19">
        <v>40571</v>
      </c>
      <c r="C794">
        <v>1</v>
      </c>
      <c r="D794">
        <v>1</v>
      </c>
      <c r="E794">
        <v>15</v>
      </c>
      <c r="F794" t="b">
        <v>0</v>
      </c>
      <c r="G794">
        <v>5</v>
      </c>
      <c r="H794">
        <v>2</v>
      </c>
      <c r="I794">
        <v>0.2</v>
      </c>
      <c r="J794">
        <v>182</v>
      </c>
      <c r="K794">
        <v>0.1061</v>
      </c>
      <c r="L794">
        <v>0.39</v>
      </c>
      <c r="M794">
        <v>0.35820000000000002</v>
      </c>
      <c r="N794">
        <v>2</v>
      </c>
      <c r="O794">
        <v>35</v>
      </c>
      <c r="P794">
        <v>37</v>
      </c>
    </row>
    <row r="795" spans="1:16" x14ac:dyDescent="0.25">
      <c r="A795">
        <v>184</v>
      </c>
      <c r="B795" s="19">
        <v>40571</v>
      </c>
      <c r="C795">
        <v>1</v>
      </c>
      <c r="D795">
        <v>1</v>
      </c>
      <c r="E795">
        <v>15</v>
      </c>
      <c r="F795" t="b">
        <v>0</v>
      </c>
      <c r="G795">
        <v>5</v>
      </c>
      <c r="H795">
        <v>2</v>
      </c>
      <c r="I795">
        <v>0.2</v>
      </c>
      <c r="J795">
        <v>183</v>
      </c>
      <c r="K795">
        <v>0.1061</v>
      </c>
      <c r="L795">
        <v>0.36</v>
      </c>
      <c r="M795">
        <v>0.3881</v>
      </c>
      <c r="N795">
        <v>1</v>
      </c>
      <c r="O795">
        <v>33</v>
      </c>
      <c r="P795">
        <v>34</v>
      </c>
    </row>
    <row r="796" spans="1:16" x14ac:dyDescent="0.25">
      <c r="A796">
        <v>185</v>
      </c>
      <c r="B796" s="19">
        <v>40571</v>
      </c>
      <c r="C796">
        <v>1</v>
      </c>
      <c r="D796">
        <v>1</v>
      </c>
      <c r="E796">
        <v>15</v>
      </c>
      <c r="F796" t="b">
        <v>0</v>
      </c>
      <c r="G796">
        <v>5</v>
      </c>
      <c r="H796">
        <v>2</v>
      </c>
      <c r="I796">
        <v>0.2</v>
      </c>
      <c r="J796">
        <v>184</v>
      </c>
      <c r="K796">
        <v>6.0600000000000001E-2</v>
      </c>
      <c r="L796">
        <v>0.39</v>
      </c>
      <c r="M796">
        <v>0.44779999999999998</v>
      </c>
      <c r="N796">
        <v>0</v>
      </c>
      <c r="O796">
        <v>22</v>
      </c>
      <c r="P796">
        <v>22</v>
      </c>
    </row>
    <row r="797" spans="1:16" x14ac:dyDescent="0.25">
      <c r="A797">
        <v>186</v>
      </c>
      <c r="B797" s="19">
        <v>40571</v>
      </c>
      <c r="C797">
        <v>1</v>
      </c>
      <c r="D797">
        <v>1</v>
      </c>
      <c r="E797">
        <v>15</v>
      </c>
      <c r="F797" t="b">
        <v>0</v>
      </c>
      <c r="G797">
        <v>5</v>
      </c>
      <c r="H797">
        <v>2</v>
      </c>
      <c r="I797">
        <v>0.2</v>
      </c>
      <c r="J797">
        <v>185</v>
      </c>
      <c r="K797">
        <v>7.5800000000000006E-2</v>
      </c>
      <c r="L797">
        <v>0.42</v>
      </c>
      <c r="M797">
        <v>0.3881</v>
      </c>
      <c r="N797">
        <v>1</v>
      </c>
      <c r="O797">
        <v>24</v>
      </c>
      <c r="P797">
        <v>25</v>
      </c>
    </row>
    <row r="798" spans="1:16" x14ac:dyDescent="0.25">
      <c r="A798">
        <v>187</v>
      </c>
      <c r="B798" s="19">
        <v>40571</v>
      </c>
      <c r="C798">
        <v>1</v>
      </c>
      <c r="D798">
        <v>1</v>
      </c>
      <c r="E798">
        <v>15</v>
      </c>
      <c r="F798" t="b">
        <v>0</v>
      </c>
      <c r="G798">
        <v>5</v>
      </c>
      <c r="H798">
        <v>2</v>
      </c>
      <c r="I798">
        <v>0.2</v>
      </c>
      <c r="J798">
        <v>186</v>
      </c>
      <c r="K798">
        <v>6.0600000000000001E-2</v>
      </c>
      <c r="L798">
        <v>0.42</v>
      </c>
      <c r="M798">
        <v>0.4627</v>
      </c>
      <c r="N798">
        <v>0</v>
      </c>
      <c r="O798">
        <v>12</v>
      </c>
      <c r="P798">
        <v>12</v>
      </c>
    </row>
    <row r="799" spans="1:16" x14ac:dyDescent="0.25">
      <c r="A799">
        <v>188</v>
      </c>
      <c r="B799" s="19">
        <v>40571</v>
      </c>
      <c r="C799">
        <v>1</v>
      </c>
      <c r="D799">
        <v>1</v>
      </c>
      <c r="E799">
        <v>15</v>
      </c>
      <c r="F799" t="b">
        <v>0</v>
      </c>
      <c r="G799">
        <v>5</v>
      </c>
      <c r="H799">
        <v>2</v>
      </c>
      <c r="I799">
        <v>0.2</v>
      </c>
      <c r="J799">
        <v>187</v>
      </c>
      <c r="K799">
        <v>6.0600000000000001E-2</v>
      </c>
      <c r="L799">
        <v>0.46</v>
      </c>
      <c r="M799">
        <v>0.4627</v>
      </c>
      <c r="N799">
        <v>0</v>
      </c>
      <c r="O799">
        <v>11</v>
      </c>
      <c r="P799">
        <v>11</v>
      </c>
    </row>
    <row r="800" spans="1:16" x14ac:dyDescent="0.25">
      <c r="A800">
        <v>189</v>
      </c>
      <c r="B800" s="19">
        <v>40571</v>
      </c>
      <c r="C800">
        <v>1</v>
      </c>
      <c r="D800">
        <v>1</v>
      </c>
      <c r="E800">
        <v>15</v>
      </c>
      <c r="F800" t="b">
        <v>0</v>
      </c>
      <c r="G800">
        <v>5</v>
      </c>
      <c r="H800">
        <v>2</v>
      </c>
      <c r="I800">
        <v>0.2</v>
      </c>
      <c r="J800">
        <v>188</v>
      </c>
      <c r="K800">
        <v>7.5800000000000006E-2</v>
      </c>
      <c r="L800">
        <v>0.46</v>
      </c>
      <c r="M800">
        <v>0.41789999999999999</v>
      </c>
      <c r="N800">
        <v>0</v>
      </c>
      <c r="O800">
        <v>4</v>
      </c>
      <c r="P800">
        <v>4</v>
      </c>
    </row>
    <row r="801" spans="1:16" x14ac:dyDescent="0.25">
      <c r="A801">
        <v>190</v>
      </c>
      <c r="B801" s="19">
        <v>40571</v>
      </c>
      <c r="C801">
        <v>1</v>
      </c>
      <c r="D801">
        <v>1</v>
      </c>
      <c r="E801">
        <v>15</v>
      </c>
      <c r="F801" t="b">
        <v>0</v>
      </c>
      <c r="G801">
        <v>5</v>
      </c>
      <c r="H801">
        <v>2</v>
      </c>
      <c r="I801">
        <v>0.2</v>
      </c>
      <c r="J801">
        <v>189</v>
      </c>
      <c r="K801">
        <v>9.0899999999999995E-2</v>
      </c>
      <c r="L801">
        <v>0.53</v>
      </c>
      <c r="M801">
        <v>0.19400000000000001</v>
      </c>
      <c r="N801">
        <v>0</v>
      </c>
      <c r="O801">
        <v>1</v>
      </c>
      <c r="P801">
        <v>1</v>
      </c>
    </row>
    <row r="802" spans="1:16" x14ac:dyDescent="0.25">
      <c r="A802">
        <v>191</v>
      </c>
      <c r="B802" s="19">
        <v>40571</v>
      </c>
      <c r="C802">
        <v>1</v>
      </c>
      <c r="D802">
        <v>1</v>
      </c>
      <c r="E802">
        <v>15</v>
      </c>
      <c r="F802" t="b">
        <v>0</v>
      </c>
      <c r="G802">
        <v>5</v>
      </c>
      <c r="H802">
        <v>2</v>
      </c>
      <c r="I802">
        <v>0.2</v>
      </c>
      <c r="J802">
        <v>190</v>
      </c>
      <c r="K802">
        <v>9.0899999999999995E-2</v>
      </c>
      <c r="L802">
        <v>0.53</v>
      </c>
      <c r="M802">
        <v>0.19400000000000001</v>
      </c>
      <c r="N802">
        <v>0</v>
      </c>
      <c r="O802">
        <v>1</v>
      </c>
      <c r="P802">
        <v>1</v>
      </c>
    </row>
    <row r="803" spans="1:16" x14ac:dyDescent="0.25">
      <c r="A803">
        <v>192</v>
      </c>
      <c r="B803" s="19">
        <v>40571</v>
      </c>
      <c r="C803">
        <v>1</v>
      </c>
      <c r="D803">
        <v>1</v>
      </c>
      <c r="E803">
        <v>15</v>
      </c>
      <c r="F803" t="b">
        <v>0</v>
      </c>
      <c r="G803">
        <v>5</v>
      </c>
      <c r="H803">
        <v>2</v>
      </c>
      <c r="I803">
        <v>0.2</v>
      </c>
      <c r="J803">
        <v>191</v>
      </c>
      <c r="K803">
        <v>9.0899999999999995E-2</v>
      </c>
      <c r="L803">
        <v>0.49</v>
      </c>
      <c r="M803">
        <v>0.28360000000000002</v>
      </c>
      <c r="N803">
        <v>0</v>
      </c>
      <c r="O803">
        <v>1</v>
      </c>
      <c r="P803">
        <v>1</v>
      </c>
    </row>
    <row r="804" spans="1:16" x14ac:dyDescent="0.25">
      <c r="A804">
        <v>193</v>
      </c>
      <c r="B804" s="19">
        <v>40571</v>
      </c>
      <c r="C804">
        <v>1</v>
      </c>
      <c r="D804">
        <v>1</v>
      </c>
      <c r="E804">
        <v>15</v>
      </c>
      <c r="F804" t="b">
        <v>0</v>
      </c>
      <c r="G804">
        <v>5</v>
      </c>
      <c r="H804">
        <v>2</v>
      </c>
      <c r="I804">
        <v>0.2</v>
      </c>
      <c r="J804">
        <v>192</v>
      </c>
      <c r="K804">
        <v>9.0899999999999995E-2</v>
      </c>
      <c r="L804">
        <v>0.53</v>
      </c>
      <c r="M804">
        <v>0.19400000000000001</v>
      </c>
      <c r="N804">
        <v>1</v>
      </c>
      <c r="O804">
        <v>5</v>
      </c>
      <c r="P804">
        <v>6</v>
      </c>
    </row>
    <row r="805" spans="1:16" x14ac:dyDescent="0.25">
      <c r="A805">
        <v>194</v>
      </c>
      <c r="B805" s="19">
        <v>40571</v>
      </c>
      <c r="C805">
        <v>1</v>
      </c>
      <c r="D805">
        <v>1</v>
      </c>
      <c r="E805">
        <v>15</v>
      </c>
      <c r="F805" t="b">
        <v>0</v>
      </c>
      <c r="G805">
        <v>5</v>
      </c>
      <c r="H805">
        <v>2</v>
      </c>
      <c r="I805">
        <v>0.2</v>
      </c>
      <c r="J805">
        <v>193</v>
      </c>
      <c r="K805">
        <v>9.0899999999999995E-2</v>
      </c>
      <c r="L805">
        <v>0.49</v>
      </c>
      <c r="M805">
        <v>0.28360000000000002</v>
      </c>
      <c r="N805">
        <v>0</v>
      </c>
      <c r="O805">
        <v>10</v>
      </c>
      <c r="P805">
        <v>10</v>
      </c>
    </row>
    <row r="806" spans="1:16" x14ac:dyDescent="0.25">
      <c r="A806">
        <v>195</v>
      </c>
      <c r="B806" s="19">
        <v>40571</v>
      </c>
      <c r="C806">
        <v>1</v>
      </c>
      <c r="D806">
        <v>1</v>
      </c>
      <c r="E806">
        <v>15</v>
      </c>
      <c r="F806" t="b">
        <v>0</v>
      </c>
      <c r="G806">
        <v>5</v>
      </c>
      <c r="H806">
        <v>2</v>
      </c>
      <c r="I806">
        <v>0.2</v>
      </c>
      <c r="J806">
        <v>194</v>
      </c>
      <c r="K806">
        <v>7.5800000000000006E-2</v>
      </c>
      <c r="L806">
        <v>0.46</v>
      </c>
      <c r="M806">
        <v>0.52239999999999998</v>
      </c>
      <c r="N806">
        <v>0</v>
      </c>
      <c r="O806">
        <v>19</v>
      </c>
      <c r="P806">
        <v>19</v>
      </c>
    </row>
    <row r="807" spans="1:16" x14ac:dyDescent="0.25">
      <c r="A807">
        <v>196</v>
      </c>
      <c r="B807" s="19">
        <v>40571</v>
      </c>
      <c r="C807">
        <v>1</v>
      </c>
      <c r="D807">
        <v>1</v>
      </c>
      <c r="E807">
        <v>15</v>
      </c>
      <c r="F807" t="b">
        <v>0</v>
      </c>
      <c r="G807">
        <v>5</v>
      </c>
      <c r="H807">
        <v>2</v>
      </c>
      <c r="I807">
        <v>0.2</v>
      </c>
      <c r="J807">
        <v>195</v>
      </c>
      <c r="K807">
        <v>0.1061</v>
      </c>
      <c r="L807">
        <v>0.43</v>
      </c>
      <c r="M807">
        <v>0.3881</v>
      </c>
      <c r="N807">
        <v>0</v>
      </c>
      <c r="O807">
        <v>49</v>
      </c>
      <c r="P807">
        <v>49</v>
      </c>
    </row>
    <row r="808" spans="1:16" x14ac:dyDescent="0.25">
      <c r="A808">
        <v>197</v>
      </c>
      <c r="B808" s="19">
        <v>40571</v>
      </c>
      <c r="C808">
        <v>1</v>
      </c>
      <c r="D808">
        <v>1</v>
      </c>
      <c r="E808">
        <v>15</v>
      </c>
      <c r="F808" t="b">
        <v>0</v>
      </c>
      <c r="G808">
        <v>5</v>
      </c>
      <c r="H808">
        <v>2</v>
      </c>
      <c r="I808">
        <v>0.2</v>
      </c>
      <c r="J808">
        <v>196</v>
      </c>
      <c r="K808">
        <v>0.1212</v>
      </c>
      <c r="L808">
        <v>0.4</v>
      </c>
      <c r="M808">
        <v>0.52239999999999998</v>
      </c>
      <c r="N808">
        <v>2</v>
      </c>
      <c r="O808">
        <v>47</v>
      </c>
      <c r="P808">
        <v>49</v>
      </c>
    </row>
    <row r="809" spans="1:16" x14ac:dyDescent="0.25">
      <c r="A809">
        <v>198</v>
      </c>
      <c r="B809" s="19">
        <v>40571</v>
      </c>
      <c r="C809">
        <v>1</v>
      </c>
      <c r="D809">
        <v>1</v>
      </c>
      <c r="E809">
        <v>15</v>
      </c>
      <c r="F809" t="b">
        <v>0</v>
      </c>
      <c r="G809">
        <v>5</v>
      </c>
      <c r="H809">
        <v>2</v>
      </c>
      <c r="I809">
        <v>0.2</v>
      </c>
      <c r="J809">
        <v>197</v>
      </c>
      <c r="K809">
        <v>0.13639999999999999</v>
      </c>
      <c r="L809">
        <v>0.37</v>
      </c>
      <c r="M809">
        <v>0.44779999999999998</v>
      </c>
      <c r="N809">
        <v>4</v>
      </c>
      <c r="O809">
        <v>79</v>
      </c>
      <c r="P809">
        <v>83</v>
      </c>
    </row>
    <row r="810" spans="1:16" x14ac:dyDescent="0.25">
      <c r="A810">
        <v>199</v>
      </c>
      <c r="B810" s="19">
        <v>40571</v>
      </c>
      <c r="C810">
        <v>1</v>
      </c>
      <c r="D810">
        <v>1</v>
      </c>
      <c r="E810">
        <v>15</v>
      </c>
      <c r="F810" t="b">
        <v>0</v>
      </c>
      <c r="G810">
        <v>5</v>
      </c>
      <c r="H810">
        <v>2</v>
      </c>
      <c r="I810">
        <v>0.2</v>
      </c>
      <c r="J810">
        <v>198</v>
      </c>
      <c r="K810">
        <v>0.16669999999999999</v>
      </c>
      <c r="L810">
        <v>0.34</v>
      </c>
      <c r="M810">
        <v>0.44779999999999998</v>
      </c>
      <c r="N810">
        <v>6</v>
      </c>
      <c r="O810">
        <v>69</v>
      </c>
      <c r="P810">
        <v>75</v>
      </c>
    </row>
    <row r="811" spans="1:16" x14ac:dyDescent="0.25">
      <c r="A811">
        <v>200</v>
      </c>
      <c r="B811" s="19">
        <v>40571</v>
      </c>
      <c r="C811">
        <v>1</v>
      </c>
      <c r="D811">
        <v>1</v>
      </c>
      <c r="E811">
        <v>15</v>
      </c>
      <c r="F811" t="b">
        <v>0</v>
      </c>
      <c r="G811">
        <v>5</v>
      </c>
      <c r="H811">
        <v>2</v>
      </c>
      <c r="I811">
        <v>0.2</v>
      </c>
      <c r="J811">
        <v>199</v>
      </c>
      <c r="K811">
        <v>0.18179999999999999</v>
      </c>
      <c r="L811">
        <v>0.32</v>
      </c>
      <c r="M811">
        <v>0.4627</v>
      </c>
      <c r="N811">
        <v>8</v>
      </c>
      <c r="O811">
        <v>64</v>
      </c>
      <c r="P811">
        <v>72</v>
      </c>
    </row>
    <row r="812" spans="1:16" x14ac:dyDescent="0.25">
      <c r="A812">
        <v>201</v>
      </c>
      <c r="B812" s="19">
        <v>40571</v>
      </c>
      <c r="C812">
        <v>1</v>
      </c>
      <c r="D812">
        <v>1</v>
      </c>
      <c r="E812">
        <v>15</v>
      </c>
      <c r="F812" t="b">
        <v>0</v>
      </c>
      <c r="G812">
        <v>5</v>
      </c>
      <c r="H812">
        <v>2</v>
      </c>
      <c r="I812">
        <v>0.2</v>
      </c>
      <c r="J812">
        <v>200</v>
      </c>
      <c r="K812">
        <v>0.19700000000000001</v>
      </c>
      <c r="L812">
        <v>0.35</v>
      </c>
      <c r="M812">
        <v>0.35820000000000002</v>
      </c>
      <c r="N812">
        <v>5</v>
      </c>
      <c r="O812">
        <v>77</v>
      </c>
      <c r="P812">
        <v>82</v>
      </c>
    </row>
    <row r="813" spans="1:16" x14ac:dyDescent="0.25">
      <c r="A813">
        <v>202</v>
      </c>
      <c r="B813" s="19">
        <v>40571</v>
      </c>
      <c r="C813">
        <v>1</v>
      </c>
      <c r="D813">
        <v>1</v>
      </c>
      <c r="E813">
        <v>15</v>
      </c>
      <c r="F813" t="b">
        <v>0</v>
      </c>
      <c r="G813">
        <v>5</v>
      </c>
      <c r="H813">
        <v>2</v>
      </c>
      <c r="I813">
        <v>0.2</v>
      </c>
      <c r="J813">
        <v>201</v>
      </c>
      <c r="K813">
        <v>0.16669999999999999</v>
      </c>
      <c r="L813">
        <v>0.34</v>
      </c>
      <c r="M813">
        <v>0.44779999999999998</v>
      </c>
      <c r="N813">
        <v>13</v>
      </c>
      <c r="O813">
        <v>79</v>
      </c>
      <c r="P813">
        <v>92</v>
      </c>
    </row>
    <row r="814" spans="1:16" x14ac:dyDescent="0.25">
      <c r="A814">
        <v>203</v>
      </c>
      <c r="B814" s="19">
        <v>40571</v>
      </c>
      <c r="C814">
        <v>1</v>
      </c>
      <c r="D814">
        <v>1</v>
      </c>
      <c r="E814">
        <v>15</v>
      </c>
      <c r="F814" t="b">
        <v>0</v>
      </c>
      <c r="G814">
        <v>5</v>
      </c>
      <c r="H814">
        <v>2</v>
      </c>
      <c r="I814">
        <v>0.2</v>
      </c>
      <c r="J814">
        <v>202</v>
      </c>
      <c r="K814">
        <v>0.1515</v>
      </c>
      <c r="L814">
        <v>0.37</v>
      </c>
      <c r="M814">
        <v>0.3881</v>
      </c>
      <c r="N814">
        <v>3</v>
      </c>
      <c r="O814">
        <v>59</v>
      </c>
      <c r="P814">
        <v>62</v>
      </c>
    </row>
    <row r="815" spans="1:16" x14ac:dyDescent="0.25">
      <c r="A815">
        <v>204</v>
      </c>
      <c r="B815" s="19">
        <v>40571</v>
      </c>
      <c r="C815">
        <v>1</v>
      </c>
      <c r="D815">
        <v>1</v>
      </c>
      <c r="E815">
        <v>15</v>
      </c>
      <c r="F815" t="b">
        <v>0</v>
      </c>
      <c r="G815">
        <v>5</v>
      </c>
      <c r="H815">
        <v>2</v>
      </c>
      <c r="I815">
        <v>0.2</v>
      </c>
      <c r="J815">
        <v>203</v>
      </c>
      <c r="K815">
        <v>0.13639999999999999</v>
      </c>
      <c r="L815">
        <v>0.4</v>
      </c>
      <c r="M815">
        <v>0.32840000000000003</v>
      </c>
      <c r="N815">
        <v>4</v>
      </c>
      <c r="O815">
        <v>44</v>
      </c>
      <c r="P815">
        <v>48</v>
      </c>
    </row>
    <row r="816" spans="1:16" x14ac:dyDescent="0.25">
      <c r="A816">
        <v>205</v>
      </c>
      <c r="B816" s="19">
        <v>40571</v>
      </c>
      <c r="C816">
        <v>1</v>
      </c>
      <c r="D816">
        <v>1</v>
      </c>
      <c r="E816">
        <v>15</v>
      </c>
      <c r="F816" t="b">
        <v>0</v>
      </c>
      <c r="G816">
        <v>5</v>
      </c>
      <c r="H816">
        <v>2</v>
      </c>
      <c r="I816">
        <v>0.2</v>
      </c>
      <c r="J816">
        <v>204</v>
      </c>
      <c r="K816">
        <v>0.13639999999999999</v>
      </c>
      <c r="L816">
        <v>0.43</v>
      </c>
      <c r="M816">
        <v>0.32840000000000003</v>
      </c>
      <c r="N816">
        <v>1</v>
      </c>
      <c r="O816">
        <v>40</v>
      </c>
      <c r="P816">
        <v>41</v>
      </c>
    </row>
    <row r="817" spans="1:16" x14ac:dyDescent="0.25">
      <c r="A817">
        <v>206</v>
      </c>
      <c r="B817" s="19">
        <v>40571</v>
      </c>
      <c r="C817">
        <v>1</v>
      </c>
      <c r="D817">
        <v>1</v>
      </c>
      <c r="E817">
        <v>15</v>
      </c>
      <c r="F817" t="b">
        <v>0</v>
      </c>
      <c r="G817">
        <v>5</v>
      </c>
      <c r="H817">
        <v>2</v>
      </c>
      <c r="I817">
        <v>0.2</v>
      </c>
      <c r="J817">
        <v>205</v>
      </c>
      <c r="K817">
        <v>0.1212</v>
      </c>
      <c r="L817">
        <v>0.46</v>
      </c>
      <c r="M817">
        <v>0.25369999999999998</v>
      </c>
      <c r="N817">
        <v>0</v>
      </c>
      <c r="O817">
        <v>38</v>
      </c>
      <c r="P817">
        <v>38</v>
      </c>
    </row>
    <row r="818" spans="1:16" x14ac:dyDescent="0.25">
      <c r="A818">
        <v>207</v>
      </c>
      <c r="B818" s="19">
        <v>40571</v>
      </c>
      <c r="C818">
        <v>1</v>
      </c>
      <c r="D818">
        <v>1</v>
      </c>
      <c r="E818">
        <v>15</v>
      </c>
      <c r="F818" t="b">
        <v>0</v>
      </c>
      <c r="G818">
        <v>5</v>
      </c>
      <c r="H818">
        <v>2</v>
      </c>
      <c r="I818">
        <v>0.2</v>
      </c>
      <c r="J818">
        <v>206</v>
      </c>
      <c r="K818">
        <v>0.1061</v>
      </c>
      <c r="L818">
        <v>0.46</v>
      </c>
      <c r="M818">
        <v>0.41789999999999999</v>
      </c>
      <c r="N818">
        <v>1</v>
      </c>
      <c r="O818">
        <v>19</v>
      </c>
      <c r="P818">
        <v>20</v>
      </c>
    </row>
    <row r="819" spans="1:16" x14ac:dyDescent="0.25">
      <c r="A819">
        <v>208</v>
      </c>
      <c r="B819" s="19">
        <v>40571</v>
      </c>
      <c r="C819">
        <v>1</v>
      </c>
      <c r="D819">
        <v>1</v>
      </c>
      <c r="E819">
        <v>15</v>
      </c>
      <c r="F819" t="b">
        <v>0</v>
      </c>
      <c r="G819">
        <v>5</v>
      </c>
      <c r="H819">
        <v>2</v>
      </c>
      <c r="I819">
        <v>0.2</v>
      </c>
      <c r="J819">
        <v>207</v>
      </c>
      <c r="K819">
        <v>0.1212</v>
      </c>
      <c r="L819">
        <v>0.46</v>
      </c>
      <c r="M819">
        <v>0.29849999999999999</v>
      </c>
      <c r="N819">
        <v>5</v>
      </c>
      <c r="O819">
        <v>10</v>
      </c>
      <c r="P819">
        <v>15</v>
      </c>
    </row>
    <row r="820" spans="1:16" x14ac:dyDescent="0.25">
      <c r="A820">
        <v>209</v>
      </c>
      <c r="B820" s="19">
        <v>40571</v>
      </c>
      <c r="C820">
        <v>1</v>
      </c>
      <c r="D820">
        <v>1</v>
      </c>
      <c r="E820">
        <v>15</v>
      </c>
      <c r="F820" t="b">
        <v>0</v>
      </c>
      <c r="G820">
        <v>5</v>
      </c>
      <c r="H820">
        <v>2</v>
      </c>
      <c r="I820">
        <v>0.2</v>
      </c>
      <c r="J820">
        <v>208</v>
      </c>
      <c r="K820">
        <v>0.13639999999999999</v>
      </c>
      <c r="L820">
        <v>0.5</v>
      </c>
      <c r="M820">
        <v>0.19400000000000001</v>
      </c>
      <c r="N820">
        <v>0</v>
      </c>
      <c r="O820">
        <v>6</v>
      </c>
      <c r="P820">
        <v>6</v>
      </c>
    </row>
    <row r="821" spans="1:16" x14ac:dyDescent="0.25">
      <c r="A821">
        <v>210</v>
      </c>
      <c r="B821" s="19">
        <v>40571</v>
      </c>
      <c r="C821">
        <v>1</v>
      </c>
      <c r="D821">
        <v>1</v>
      </c>
      <c r="E821">
        <v>15</v>
      </c>
      <c r="F821" t="b">
        <v>0</v>
      </c>
      <c r="G821">
        <v>5</v>
      </c>
      <c r="H821">
        <v>2</v>
      </c>
      <c r="I821">
        <v>0.2</v>
      </c>
      <c r="J821">
        <v>209</v>
      </c>
      <c r="K821">
        <v>0.1212</v>
      </c>
      <c r="L821">
        <v>0.5</v>
      </c>
      <c r="M821">
        <v>0.28360000000000002</v>
      </c>
      <c r="N821">
        <v>2</v>
      </c>
      <c r="O821">
        <v>3</v>
      </c>
      <c r="P821">
        <v>5</v>
      </c>
    </row>
    <row r="822" spans="1:16" x14ac:dyDescent="0.25">
      <c r="A822">
        <v>211</v>
      </c>
      <c r="B822" s="19">
        <v>40571</v>
      </c>
      <c r="C822">
        <v>1</v>
      </c>
      <c r="D822">
        <v>1</v>
      </c>
      <c r="E822">
        <v>15</v>
      </c>
      <c r="F822" t="b">
        <v>0</v>
      </c>
      <c r="G822">
        <v>5</v>
      </c>
      <c r="H822">
        <v>2</v>
      </c>
      <c r="I822">
        <v>0.2</v>
      </c>
      <c r="J822">
        <v>210</v>
      </c>
      <c r="K822">
        <v>0.1212</v>
      </c>
      <c r="L822">
        <v>0.5</v>
      </c>
      <c r="M822">
        <v>0.28360000000000002</v>
      </c>
      <c r="N822">
        <v>1</v>
      </c>
      <c r="O822">
        <v>0</v>
      </c>
      <c r="P822">
        <v>1</v>
      </c>
    </row>
    <row r="823" spans="1:16" x14ac:dyDescent="0.25">
      <c r="A823">
        <v>212</v>
      </c>
      <c r="B823" s="19">
        <v>40571</v>
      </c>
      <c r="C823">
        <v>1</v>
      </c>
      <c r="D823">
        <v>1</v>
      </c>
      <c r="E823">
        <v>15</v>
      </c>
      <c r="F823" t="b">
        <v>0</v>
      </c>
      <c r="G823">
        <v>5</v>
      </c>
      <c r="H823">
        <v>2</v>
      </c>
      <c r="I823">
        <v>0.2</v>
      </c>
      <c r="J823">
        <v>211</v>
      </c>
      <c r="K823">
        <v>0.1212</v>
      </c>
      <c r="L823">
        <v>0.5</v>
      </c>
      <c r="M823">
        <v>0.22389999999999999</v>
      </c>
      <c r="N823">
        <v>0</v>
      </c>
      <c r="O823">
        <v>3</v>
      </c>
      <c r="P823">
        <v>3</v>
      </c>
    </row>
    <row r="824" spans="1:16" x14ac:dyDescent="0.25">
      <c r="A824">
        <v>213</v>
      </c>
      <c r="B824" s="19">
        <v>40571</v>
      </c>
      <c r="C824">
        <v>1</v>
      </c>
      <c r="D824">
        <v>1</v>
      </c>
      <c r="E824">
        <v>15</v>
      </c>
      <c r="F824" t="b">
        <v>0</v>
      </c>
      <c r="G824">
        <v>5</v>
      </c>
      <c r="H824">
        <v>2</v>
      </c>
      <c r="I824">
        <v>0.2</v>
      </c>
      <c r="J824">
        <v>212</v>
      </c>
      <c r="K824">
        <v>0.1212</v>
      </c>
      <c r="L824">
        <v>0.5</v>
      </c>
      <c r="M824">
        <v>0.22389999999999999</v>
      </c>
      <c r="N824">
        <v>0</v>
      </c>
      <c r="O824">
        <v>1</v>
      </c>
      <c r="P824">
        <v>1</v>
      </c>
    </row>
    <row r="825" spans="1:16" x14ac:dyDescent="0.25">
      <c r="A825">
        <v>214</v>
      </c>
      <c r="B825" s="19">
        <v>40571</v>
      </c>
      <c r="C825">
        <v>1</v>
      </c>
      <c r="D825">
        <v>1</v>
      </c>
      <c r="E825">
        <v>15</v>
      </c>
      <c r="F825" t="b">
        <v>0</v>
      </c>
      <c r="G825">
        <v>5</v>
      </c>
      <c r="H825">
        <v>2</v>
      </c>
      <c r="I825">
        <v>0.2</v>
      </c>
      <c r="J825">
        <v>213</v>
      </c>
      <c r="K825">
        <v>0.1212</v>
      </c>
      <c r="L825">
        <v>0.54</v>
      </c>
      <c r="M825">
        <v>0.1343</v>
      </c>
      <c r="N825">
        <v>1</v>
      </c>
      <c r="O825">
        <v>2</v>
      </c>
      <c r="P825">
        <v>3</v>
      </c>
    </row>
    <row r="826" spans="1:16" x14ac:dyDescent="0.25">
      <c r="A826">
        <v>215</v>
      </c>
      <c r="B826" s="19">
        <v>40571</v>
      </c>
      <c r="C826">
        <v>1</v>
      </c>
      <c r="D826">
        <v>1</v>
      </c>
      <c r="E826">
        <v>15</v>
      </c>
      <c r="F826" t="b">
        <v>0</v>
      </c>
      <c r="G826">
        <v>5</v>
      </c>
      <c r="H826">
        <v>2</v>
      </c>
      <c r="I826">
        <v>0.2</v>
      </c>
      <c r="J826">
        <v>214</v>
      </c>
      <c r="K826">
        <v>0.1061</v>
      </c>
      <c r="L826">
        <v>0.54</v>
      </c>
      <c r="M826">
        <v>0.25369999999999998</v>
      </c>
      <c r="N826">
        <v>0</v>
      </c>
      <c r="O826">
        <v>3</v>
      </c>
      <c r="P826">
        <v>3</v>
      </c>
    </row>
    <row r="827" spans="1:16" x14ac:dyDescent="0.25">
      <c r="A827">
        <v>216</v>
      </c>
      <c r="B827" s="19">
        <v>40571</v>
      </c>
      <c r="C827">
        <v>1</v>
      </c>
      <c r="D827">
        <v>1</v>
      </c>
      <c r="E827">
        <v>15</v>
      </c>
      <c r="F827" t="b">
        <v>0</v>
      </c>
      <c r="G827">
        <v>5</v>
      </c>
      <c r="H827">
        <v>2</v>
      </c>
      <c r="I827">
        <v>0.2</v>
      </c>
      <c r="J827">
        <v>215</v>
      </c>
      <c r="K827">
        <v>0.1212</v>
      </c>
      <c r="L827">
        <v>0.5</v>
      </c>
      <c r="M827">
        <v>0.28360000000000002</v>
      </c>
      <c r="N827">
        <v>0</v>
      </c>
      <c r="O827">
        <v>31</v>
      </c>
      <c r="P827">
        <v>31</v>
      </c>
    </row>
    <row r="828" spans="1:16" x14ac:dyDescent="0.25">
      <c r="A828">
        <v>217</v>
      </c>
      <c r="B828" s="19">
        <v>40571</v>
      </c>
      <c r="C828">
        <v>1</v>
      </c>
      <c r="D828">
        <v>1</v>
      </c>
      <c r="E828">
        <v>15</v>
      </c>
      <c r="F828" t="b">
        <v>0</v>
      </c>
      <c r="G828">
        <v>5</v>
      </c>
      <c r="H828">
        <v>2</v>
      </c>
      <c r="I828">
        <v>0.2</v>
      </c>
      <c r="J828">
        <v>216</v>
      </c>
      <c r="K828">
        <v>0.1212</v>
      </c>
      <c r="L828">
        <v>0.5</v>
      </c>
      <c r="M828">
        <v>0.22389999999999999</v>
      </c>
      <c r="N828">
        <v>2</v>
      </c>
      <c r="O828">
        <v>75</v>
      </c>
      <c r="P828">
        <v>77</v>
      </c>
    </row>
    <row r="829" spans="1:16" x14ac:dyDescent="0.25">
      <c r="A829">
        <v>218</v>
      </c>
      <c r="B829" s="19">
        <v>40571</v>
      </c>
      <c r="C829">
        <v>1</v>
      </c>
      <c r="D829">
        <v>1</v>
      </c>
      <c r="E829">
        <v>15</v>
      </c>
      <c r="F829" t="b">
        <v>0</v>
      </c>
      <c r="G829">
        <v>5</v>
      </c>
      <c r="H829">
        <v>2</v>
      </c>
      <c r="I829">
        <v>0.2</v>
      </c>
      <c r="J829">
        <v>217</v>
      </c>
      <c r="K829">
        <v>0.1212</v>
      </c>
      <c r="L829">
        <v>0.5</v>
      </c>
      <c r="M829">
        <v>0.28360000000000002</v>
      </c>
      <c r="N829">
        <v>4</v>
      </c>
      <c r="O829">
        <v>184</v>
      </c>
      <c r="P829">
        <v>188</v>
      </c>
    </row>
    <row r="830" spans="1:16" x14ac:dyDescent="0.25">
      <c r="A830">
        <v>219</v>
      </c>
      <c r="B830" s="19">
        <v>40571</v>
      </c>
      <c r="C830">
        <v>1</v>
      </c>
      <c r="D830">
        <v>1</v>
      </c>
      <c r="E830">
        <v>15</v>
      </c>
      <c r="F830" t="b">
        <v>0</v>
      </c>
      <c r="G830">
        <v>5</v>
      </c>
      <c r="H830">
        <v>2</v>
      </c>
      <c r="I830">
        <v>0.2</v>
      </c>
      <c r="J830">
        <v>218</v>
      </c>
      <c r="K830">
        <v>0.1212</v>
      </c>
      <c r="L830">
        <v>0.5</v>
      </c>
      <c r="M830">
        <v>0.25369999999999998</v>
      </c>
      <c r="N830">
        <v>2</v>
      </c>
      <c r="O830">
        <v>92</v>
      </c>
      <c r="P830">
        <v>94</v>
      </c>
    </row>
    <row r="831" spans="1:16" x14ac:dyDescent="0.25">
      <c r="A831">
        <v>220</v>
      </c>
      <c r="B831" s="19">
        <v>40571</v>
      </c>
      <c r="C831">
        <v>1</v>
      </c>
      <c r="D831">
        <v>1</v>
      </c>
      <c r="E831">
        <v>15</v>
      </c>
      <c r="F831" t="b">
        <v>0</v>
      </c>
      <c r="G831">
        <v>5</v>
      </c>
      <c r="H831">
        <v>2</v>
      </c>
      <c r="I831">
        <v>0.2</v>
      </c>
      <c r="J831">
        <v>219</v>
      </c>
      <c r="K831">
        <v>0.1212</v>
      </c>
      <c r="L831">
        <v>0.5</v>
      </c>
      <c r="M831">
        <v>0.29849999999999999</v>
      </c>
      <c r="N831">
        <v>0</v>
      </c>
      <c r="O831">
        <v>31</v>
      </c>
      <c r="P831">
        <v>31</v>
      </c>
    </row>
    <row r="832" spans="1:16" x14ac:dyDescent="0.25">
      <c r="A832">
        <v>221</v>
      </c>
      <c r="B832" s="19">
        <v>40571</v>
      </c>
      <c r="C832">
        <v>1</v>
      </c>
      <c r="D832">
        <v>1</v>
      </c>
      <c r="E832">
        <v>15</v>
      </c>
      <c r="F832" t="b">
        <v>0</v>
      </c>
      <c r="G832">
        <v>5</v>
      </c>
      <c r="H832">
        <v>2</v>
      </c>
      <c r="I832">
        <v>0.2</v>
      </c>
      <c r="J832">
        <v>220</v>
      </c>
      <c r="K832">
        <v>0.13639999999999999</v>
      </c>
      <c r="L832">
        <v>0.47</v>
      </c>
      <c r="M832">
        <v>0.28360000000000002</v>
      </c>
      <c r="N832">
        <v>2</v>
      </c>
      <c r="O832">
        <v>28</v>
      </c>
      <c r="P832">
        <v>30</v>
      </c>
    </row>
    <row r="833" spans="1:16" x14ac:dyDescent="0.25">
      <c r="A833">
        <v>222</v>
      </c>
      <c r="B833" s="19">
        <v>40571</v>
      </c>
      <c r="C833">
        <v>1</v>
      </c>
      <c r="D833">
        <v>1</v>
      </c>
      <c r="E833">
        <v>15</v>
      </c>
      <c r="F833" t="b">
        <v>0</v>
      </c>
      <c r="G833">
        <v>5</v>
      </c>
      <c r="H833">
        <v>2</v>
      </c>
      <c r="I833">
        <v>0.2</v>
      </c>
      <c r="J833">
        <v>221</v>
      </c>
      <c r="K833">
        <v>0.18179999999999999</v>
      </c>
      <c r="L833">
        <v>0.4</v>
      </c>
      <c r="M833">
        <v>0.28360000000000002</v>
      </c>
      <c r="N833">
        <v>5</v>
      </c>
      <c r="O833">
        <v>47</v>
      </c>
      <c r="P833">
        <v>52</v>
      </c>
    </row>
    <row r="834" spans="1:16" x14ac:dyDescent="0.25">
      <c r="A834">
        <v>223</v>
      </c>
      <c r="B834" s="19">
        <v>40571</v>
      </c>
      <c r="C834">
        <v>1</v>
      </c>
      <c r="D834">
        <v>1</v>
      </c>
      <c r="E834">
        <v>15</v>
      </c>
      <c r="F834" t="b">
        <v>0</v>
      </c>
      <c r="G834">
        <v>5</v>
      </c>
      <c r="H834">
        <v>2</v>
      </c>
      <c r="I834">
        <v>0.2</v>
      </c>
      <c r="J834">
        <v>222</v>
      </c>
      <c r="K834">
        <v>0.18179999999999999</v>
      </c>
      <c r="L834">
        <v>0.4</v>
      </c>
      <c r="M834">
        <v>0.28360000000000002</v>
      </c>
      <c r="N834">
        <v>4</v>
      </c>
      <c r="O834">
        <v>50</v>
      </c>
      <c r="P834">
        <v>54</v>
      </c>
    </row>
    <row r="835" spans="1:16" x14ac:dyDescent="0.25">
      <c r="A835">
        <v>224</v>
      </c>
      <c r="B835" s="19">
        <v>40571</v>
      </c>
      <c r="C835">
        <v>1</v>
      </c>
      <c r="D835">
        <v>1</v>
      </c>
      <c r="E835">
        <v>15</v>
      </c>
      <c r="F835" t="b">
        <v>0</v>
      </c>
      <c r="G835">
        <v>5</v>
      </c>
      <c r="H835">
        <v>2</v>
      </c>
      <c r="I835">
        <v>0.2</v>
      </c>
      <c r="J835">
        <v>223</v>
      </c>
      <c r="K835">
        <v>0.19700000000000001</v>
      </c>
      <c r="L835">
        <v>0.4</v>
      </c>
      <c r="M835">
        <v>0.22389999999999999</v>
      </c>
      <c r="N835">
        <v>0</v>
      </c>
      <c r="O835">
        <v>47</v>
      </c>
      <c r="P835">
        <v>47</v>
      </c>
    </row>
    <row r="836" spans="1:16" x14ac:dyDescent="0.25">
      <c r="A836">
        <v>225</v>
      </c>
      <c r="B836" s="19">
        <v>40571</v>
      </c>
      <c r="C836">
        <v>1</v>
      </c>
      <c r="D836">
        <v>1</v>
      </c>
      <c r="E836">
        <v>15</v>
      </c>
      <c r="F836" t="b">
        <v>0</v>
      </c>
      <c r="G836">
        <v>5</v>
      </c>
      <c r="H836">
        <v>2</v>
      </c>
      <c r="I836">
        <v>0.2</v>
      </c>
      <c r="J836">
        <v>224</v>
      </c>
      <c r="K836">
        <v>0.19700000000000001</v>
      </c>
      <c r="L836">
        <v>0.4</v>
      </c>
      <c r="M836">
        <v>0.22389999999999999</v>
      </c>
      <c r="N836">
        <v>2</v>
      </c>
      <c r="O836">
        <v>43</v>
      </c>
      <c r="P836">
        <v>45</v>
      </c>
    </row>
    <row r="837" spans="1:16" x14ac:dyDescent="0.25">
      <c r="A837">
        <v>226</v>
      </c>
      <c r="B837" s="19">
        <v>40571</v>
      </c>
      <c r="C837">
        <v>1</v>
      </c>
      <c r="D837">
        <v>1</v>
      </c>
      <c r="E837">
        <v>15</v>
      </c>
      <c r="F837" t="b">
        <v>0</v>
      </c>
      <c r="G837">
        <v>5</v>
      </c>
      <c r="H837">
        <v>2</v>
      </c>
      <c r="I837">
        <v>0.2</v>
      </c>
      <c r="J837">
        <v>225</v>
      </c>
      <c r="K837">
        <v>0.21210000000000001</v>
      </c>
      <c r="L837">
        <v>0.4</v>
      </c>
      <c r="M837">
        <v>0.1343</v>
      </c>
      <c r="N837">
        <v>4</v>
      </c>
      <c r="O837">
        <v>70</v>
      </c>
      <c r="P837">
        <v>74</v>
      </c>
    </row>
    <row r="838" spans="1:16" x14ac:dyDescent="0.25">
      <c r="A838">
        <v>227</v>
      </c>
      <c r="B838" s="19">
        <v>40571</v>
      </c>
      <c r="C838">
        <v>1</v>
      </c>
      <c r="D838">
        <v>1</v>
      </c>
      <c r="E838">
        <v>15</v>
      </c>
      <c r="F838" t="b">
        <v>0</v>
      </c>
      <c r="G838">
        <v>5</v>
      </c>
      <c r="H838">
        <v>2</v>
      </c>
      <c r="I838">
        <v>0.2</v>
      </c>
      <c r="J838">
        <v>226</v>
      </c>
      <c r="K838">
        <v>0.2273</v>
      </c>
      <c r="L838">
        <v>0.4</v>
      </c>
      <c r="M838">
        <v>0.1045</v>
      </c>
      <c r="N838">
        <v>4</v>
      </c>
      <c r="O838">
        <v>174</v>
      </c>
      <c r="P838">
        <v>178</v>
      </c>
    </row>
    <row r="839" spans="1:16" x14ac:dyDescent="0.25">
      <c r="A839">
        <v>228</v>
      </c>
      <c r="B839" s="19">
        <v>40571</v>
      </c>
      <c r="C839">
        <v>1</v>
      </c>
      <c r="D839">
        <v>1</v>
      </c>
      <c r="E839">
        <v>15</v>
      </c>
      <c r="F839" t="b">
        <v>0</v>
      </c>
      <c r="G839">
        <v>5</v>
      </c>
      <c r="H839">
        <v>2</v>
      </c>
      <c r="I839">
        <v>0.2</v>
      </c>
      <c r="J839">
        <v>227</v>
      </c>
      <c r="K839">
        <v>0.19700000000000001</v>
      </c>
      <c r="L839">
        <v>0.4</v>
      </c>
      <c r="M839">
        <v>0.22389999999999999</v>
      </c>
      <c r="N839">
        <v>1</v>
      </c>
      <c r="O839">
        <v>154</v>
      </c>
      <c r="P839">
        <v>155</v>
      </c>
    </row>
    <row r="840" spans="1:16" x14ac:dyDescent="0.25">
      <c r="A840">
        <v>229</v>
      </c>
      <c r="B840" s="19">
        <v>40571</v>
      </c>
      <c r="C840">
        <v>1</v>
      </c>
      <c r="D840">
        <v>1</v>
      </c>
      <c r="E840">
        <v>15</v>
      </c>
      <c r="F840" t="b">
        <v>0</v>
      </c>
      <c r="G840">
        <v>5</v>
      </c>
      <c r="H840">
        <v>2</v>
      </c>
      <c r="I840">
        <v>0.2</v>
      </c>
      <c r="J840">
        <v>228</v>
      </c>
      <c r="K840">
        <v>0.16669999999999999</v>
      </c>
      <c r="L840">
        <v>0.47</v>
      </c>
      <c r="M840">
        <v>0.16420000000000001</v>
      </c>
      <c r="N840">
        <v>3</v>
      </c>
      <c r="O840">
        <v>92</v>
      </c>
      <c r="P840">
        <v>95</v>
      </c>
    </row>
    <row r="841" spans="1:16" x14ac:dyDescent="0.25">
      <c r="A841">
        <v>230</v>
      </c>
      <c r="B841" s="19">
        <v>40571</v>
      </c>
      <c r="C841">
        <v>1</v>
      </c>
      <c r="D841">
        <v>1</v>
      </c>
      <c r="E841">
        <v>15</v>
      </c>
      <c r="F841" t="b">
        <v>0</v>
      </c>
      <c r="G841">
        <v>5</v>
      </c>
      <c r="H841">
        <v>2</v>
      </c>
      <c r="I841">
        <v>0.2</v>
      </c>
      <c r="J841">
        <v>229</v>
      </c>
      <c r="K841">
        <v>0.16669999999999999</v>
      </c>
      <c r="L841">
        <v>0.5</v>
      </c>
      <c r="M841">
        <v>0.16420000000000001</v>
      </c>
      <c r="N841">
        <v>1</v>
      </c>
      <c r="O841">
        <v>73</v>
      </c>
      <c r="P841">
        <v>74</v>
      </c>
    </row>
    <row r="842" spans="1:16" x14ac:dyDescent="0.25">
      <c r="A842">
        <v>231</v>
      </c>
      <c r="B842" s="19">
        <v>40571</v>
      </c>
      <c r="C842">
        <v>1</v>
      </c>
      <c r="D842">
        <v>1</v>
      </c>
      <c r="E842">
        <v>15</v>
      </c>
      <c r="F842" t="b">
        <v>0</v>
      </c>
      <c r="G842">
        <v>5</v>
      </c>
      <c r="H842">
        <v>2</v>
      </c>
      <c r="I842">
        <v>0.2</v>
      </c>
      <c r="J842">
        <v>230</v>
      </c>
      <c r="K842">
        <v>0.13639999999999999</v>
      </c>
      <c r="L842">
        <v>0.59</v>
      </c>
      <c r="M842">
        <v>0.19400000000000001</v>
      </c>
      <c r="N842">
        <v>1</v>
      </c>
      <c r="O842">
        <v>37</v>
      </c>
      <c r="P842">
        <v>38</v>
      </c>
    </row>
    <row r="843" spans="1:16" x14ac:dyDescent="0.25">
      <c r="A843">
        <v>232</v>
      </c>
      <c r="B843" s="19">
        <v>40571</v>
      </c>
      <c r="C843">
        <v>1</v>
      </c>
      <c r="D843">
        <v>1</v>
      </c>
      <c r="E843">
        <v>15</v>
      </c>
      <c r="F843" t="b">
        <v>0</v>
      </c>
      <c r="G843">
        <v>5</v>
      </c>
      <c r="H843">
        <v>2</v>
      </c>
      <c r="I843">
        <v>0.2</v>
      </c>
      <c r="J843">
        <v>231</v>
      </c>
      <c r="K843">
        <v>0.1515</v>
      </c>
      <c r="L843">
        <v>0.59</v>
      </c>
      <c r="M843">
        <v>0.16420000000000001</v>
      </c>
      <c r="N843">
        <v>2</v>
      </c>
      <c r="O843">
        <v>22</v>
      </c>
      <c r="P843">
        <v>24</v>
      </c>
    </row>
    <row r="844" spans="1:16" x14ac:dyDescent="0.25">
      <c r="A844">
        <v>233</v>
      </c>
      <c r="B844" s="19">
        <v>40571</v>
      </c>
      <c r="C844">
        <v>1</v>
      </c>
      <c r="D844">
        <v>1</v>
      </c>
      <c r="E844">
        <v>15</v>
      </c>
      <c r="F844" t="b">
        <v>0</v>
      </c>
      <c r="G844">
        <v>5</v>
      </c>
      <c r="H844">
        <v>2</v>
      </c>
      <c r="I844">
        <v>0.2</v>
      </c>
      <c r="J844">
        <v>232</v>
      </c>
      <c r="K844">
        <v>0.1515</v>
      </c>
      <c r="L844">
        <v>0.59</v>
      </c>
      <c r="M844">
        <v>0.16420000000000001</v>
      </c>
      <c r="N844">
        <v>0</v>
      </c>
      <c r="O844">
        <v>18</v>
      </c>
      <c r="P844">
        <v>18</v>
      </c>
    </row>
    <row r="845" spans="1:16" x14ac:dyDescent="0.25">
      <c r="A845">
        <v>234</v>
      </c>
      <c r="B845" s="19">
        <v>40571</v>
      </c>
      <c r="C845">
        <v>1</v>
      </c>
      <c r="D845">
        <v>1</v>
      </c>
      <c r="E845">
        <v>15</v>
      </c>
      <c r="F845" t="b">
        <v>0</v>
      </c>
      <c r="G845">
        <v>5</v>
      </c>
      <c r="H845">
        <v>2</v>
      </c>
      <c r="I845">
        <v>0.2</v>
      </c>
      <c r="J845">
        <v>233</v>
      </c>
      <c r="K845">
        <v>0.16669999999999999</v>
      </c>
      <c r="L845">
        <v>0.59</v>
      </c>
      <c r="M845">
        <v>0.1045</v>
      </c>
      <c r="N845">
        <v>2</v>
      </c>
      <c r="O845">
        <v>10</v>
      </c>
      <c r="P845">
        <v>12</v>
      </c>
    </row>
    <row r="846" spans="1:16" x14ac:dyDescent="0.25">
      <c r="A846">
        <v>235</v>
      </c>
      <c r="B846" s="19">
        <v>40571</v>
      </c>
      <c r="C846">
        <v>1</v>
      </c>
      <c r="D846">
        <v>1</v>
      </c>
      <c r="E846">
        <v>15</v>
      </c>
      <c r="F846" t="b">
        <v>0</v>
      </c>
      <c r="G846">
        <v>5</v>
      </c>
      <c r="H846">
        <v>2</v>
      </c>
      <c r="I846">
        <v>0.2</v>
      </c>
      <c r="J846">
        <v>234</v>
      </c>
      <c r="K846">
        <v>0.1515</v>
      </c>
      <c r="L846">
        <v>0.59</v>
      </c>
      <c r="M846">
        <v>0.16420000000000001</v>
      </c>
      <c r="N846">
        <v>0</v>
      </c>
      <c r="O846">
        <v>3</v>
      </c>
      <c r="P846">
        <v>3</v>
      </c>
    </row>
    <row r="847" spans="1:16" x14ac:dyDescent="0.25">
      <c r="A847">
        <v>236</v>
      </c>
      <c r="B847" s="19">
        <v>40571</v>
      </c>
      <c r="C847">
        <v>1</v>
      </c>
      <c r="D847">
        <v>1</v>
      </c>
      <c r="E847">
        <v>15</v>
      </c>
      <c r="F847" t="b">
        <v>0</v>
      </c>
      <c r="G847">
        <v>5</v>
      </c>
      <c r="H847">
        <v>2</v>
      </c>
      <c r="I847">
        <v>0.2</v>
      </c>
      <c r="J847">
        <v>235</v>
      </c>
      <c r="K847">
        <v>0.1515</v>
      </c>
      <c r="L847">
        <v>0.55000000000000004</v>
      </c>
      <c r="M847">
        <v>0.19400000000000001</v>
      </c>
      <c r="N847">
        <v>0</v>
      </c>
      <c r="O847">
        <v>3</v>
      </c>
      <c r="P847">
        <v>3</v>
      </c>
    </row>
    <row r="848" spans="1:16" x14ac:dyDescent="0.25">
      <c r="A848">
        <v>237</v>
      </c>
      <c r="B848" s="19">
        <v>40571</v>
      </c>
      <c r="C848">
        <v>1</v>
      </c>
      <c r="D848">
        <v>1</v>
      </c>
      <c r="E848">
        <v>15</v>
      </c>
      <c r="F848" t="b">
        <v>0</v>
      </c>
      <c r="G848">
        <v>5</v>
      </c>
      <c r="H848">
        <v>2</v>
      </c>
      <c r="I848">
        <v>0.2</v>
      </c>
      <c r="J848">
        <v>236</v>
      </c>
      <c r="K848">
        <v>0.18179999999999999</v>
      </c>
      <c r="L848">
        <v>0.55000000000000004</v>
      </c>
      <c r="M848">
        <v>0.1343</v>
      </c>
      <c r="N848">
        <v>0</v>
      </c>
      <c r="O848">
        <v>6</v>
      </c>
      <c r="P848">
        <v>6</v>
      </c>
    </row>
    <row r="849" spans="1:16" x14ac:dyDescent="0.25">
      <c r="A849">
        <v>238</v>
      </c>
      <c r="B849" s="19">
        <v>40571</v>
      </c>
      <c r="C849">
        <v>1</v>
      </c>
      <c r="D849">
        <v>1</v>
      </c>
      <c r="E849">
        <v>15</v>
      </c>
      <c r="F849" t="b">
        <v>0</v>
      </c>
      <c r="G849">
        <v>5</v>
      </c>
      <c r="H849">
        <v>2</v>
      </c>
      <c r="I849">
        <v>0.2</v>
      </c>
      <c r="J849">
        <v>237</v>
      </c>
      <c r="K849">
        <v>0.18179999999999999</v>
      </c>
      <c r="L849">
        <v>0.55000000000000004</v>
      </c>
      <c r="M849">
        <v>0.1343</v>
      </c>
      <c r="N849">
        <v>0</v>
      </c>
      <c r="O849">
        <v>27</v>
      </c>
      <c r="P849">
        <v>27</v>
      </c>
    </row>
    <row r="850" spans="1:16" x14ac:dyDescent="0.25">
      <c r="A850">
        <v>239</v>
      </c>
      <c r="B850" s="19">
        <v>40571</v>
      </c>
      <c r="C850">
        <v>1</v>
      </c>
      <c r="D850">
        <v>1</v>
      </c>
      <c r="E850">
        <v>15</v>
      </c>
      <c r="F850" t="b">
        <v>0</v>
      </c>
      <c r="G850">
        <v>5</v>
      </c>
      <c r="H850">
        <v>2</v>
      </c>
      <c r="I850">
        <v>0.2</v>
      </c>
      <c r="J850">
        <v>238</v>
      </c>
      <c r="K850">
        <v>0.2273</v>
      </c>
      <c r="L850">
        <v>0.55000000000000004</v>
      </c>
      <c r="M850">
        <v>0</v>
      </c>
      <c r="N850">
        <v>2</v>
      </c>
      <c r="O850">
        <v>97</v>
      </c>
      <c r="P850">
        <v>99</v>
      </c>
    </row>
    <row r="851" spans="1:16" x14ac:dyDescent="0.25">
      <c r="A851">
        <v>240</v>
      </c>
      <c r="B851" s="19">
        <v>40571</v>
      </c>
      <c r="C851">
        <v>1</v>
      </c>
      <c r="D851">
        <v>1</v>
      </c>
      <c r="E851">
        <v>15</v>
      </c>
      <c r="F851" t="b">
        <v>0</v>
      </c>
      <c r="G851">
        <v>5</v>
      </c>
      <c r="H851">
        <v>2</v>
      </c>
      <c r="I851">
        <v>0.2</v>
      </c>
      <c r="J851">
        <v>239</v>
      </c>
      <c r="K851">
        <v>0.21210000000000001</v>
      </c>
      <c r="L851">
        <v>0.51</v>
      </c>
      <c r="M851">
        <v>8.9599999999999999E-2</v>
      </c>
      <c r="N851">
        <v>3</v>
      </c>
      <c r="O851">
        <v>214</v>
      </c>
      <c r="P851">
        <v>217</v>
      </c>
    </row>
    <row r="852" spans="1:16" x14ac:dyDescent="0.25">
      <c r="A852">
        <v>241</v>
      </c>
      <c r="B852" s="19">
        <v>40571</v>
      </c>
      <c r="C852">
        <v>1</v>
      </c>
      <c r="D852">
        <v>1</v>
      </c>
      <c r="E852">
        <v>15</v>
      </c>
      <c r="F852" t="b">
        <v>0</v>
      </c>
      <c r="G852">
        <v>5</v>
      </c>
      <c r="H852">
        <v>2</v>
      </c>
      <c r="I852">
        <v>0.2</v>
      </c>
      <c r="J852">
        <v>240</v>
      </c>
      <c r="K852">
        <v>0.19700000000000001</v>
      </c>
      <c r="L852">
        <v>0.51</v>
      </c>
      <c r="M852">
        <v>0.16420000000000001</v>
      </c>
      <c r="N852">
        <v>3</v>
      </c>
      <c r="O852">
        <v>127</v>
      </c>
      <c r="P852">
        <v>130</v>
      </c>
    </row>
    <row r="853" spans="1:16" x14ac:dyDescent="0.25">
      <c r="A853">
        <v>242</v>
      </c>
      <c r="B853" s="19">
        <v>40571</v>
      </c>
      <c r="C853">
        <v>1</v>
      </c>
      <c r="D853">
        <v>1</v>
      </c>
      <c r="E853">
        <v>15</v>
      </c>
      <c r="F853" t="b">
        <v>0</v>
      </c>
      <c r="G853">
        <v>5</v>
      </c>
      <c r="H853">
        <v>2</v>
      </c>
      <c r="I853">
        <v>0.2</v>
      </c>
      <c r="J853">
        <v>241</v>
      </c>
      <c r="K853">
        <v>0.21210000000000001</v>
      </c>
      <c r="L853">
        <v>0.51</v>
      </c>
      <c r="M853">
        <v>0.16420000000000001</v>
      </c>
      <c r="N853">
        <v>3</v>
      </c>
      <c r="O853">
        <v>51</v>
      </c>
      <c r="P853">
        <v>54</v>
      </c>
    </row>
    <row r="854" spans="1:16" x14ac:dyDescent="0.25">
      <c r="A854">
        <v>243</v>
      </c>
      <c r="B854" s="19">
        <v>40571</v>
      </c>
      <c r="C854">
        <v>1</v>
      </c>
      <c r="D854">
        <v>1</v>
      </c>
      <c r="E854">
        <v>15</v>
      </c>
      <c r="F854" t="b">
        <v>0</v>
      </c>
      <c r="G854">
        <v>5</v>
      </c>
      <c r="H854">
        <v>2</v>
      </c>
      <c r="I854">
        <v>0.2</v>
      </c>
      <c r="J854">
        <v>242</v>
      </c>
      <c r="K854">
        <v>0.21210000000000001</v>
      </c>
      <c r="L854">
        <v>0.47</v>
      </c>
      <c r="M854">
        <v>0.1343</v>
      </c>
      <c r="N854">
        <v>4</v>
      </c>
      <c r="O854">
        <v>31</v>
      </c>
      <c r="P854">
        <v>35</v>
      </c>
    </row>
    <row r="855" spans="1:16" x14ac:dyDescent="0.25">
      <c r="A855">
        <v>244</v>
      </c>
      <c r="B855" s="19">
        <v>40571</v>
      </c>
      <c r="C855">
        <v>1</v>
      </c>
      <c r="D855">
        <v>1</v>
      </c>
      <c r="E855">
        <v>15</v>
      </c>
      <c r="F855" t="b">
        <v>0</v>
      </c>
      <c r="G855">
        <v>5</v>
      </c>
      <c r="H855">
        <v>2</v>
      </c>
      <c r="I855">
        <v>0.2</v>
      </c>
      <c r="J855">
        <v>243</v>
      </c>
      <c r="K855">
        <v>0.2273</v>
      </c>
      <c r="L855">
        <v>0.51</v>
      </c>
      <c r="M855">
        <v>0.1045</v>
      </c>
      <c r="N855">
        <v>2</v>
      </c>
      <c r="O855">
        <v>55</v>
      </c>
      <c r="P855">
        <v>57</v>
      </c>
    </row>
    <row r="856" spans="1:16" x14ac:dyDescent="0.25">
      <c r="A856">
        <v>245</v>
      </c>
      <c r="B856" s="19">
        <v>40571</v>
      </c>
      <c r="C856">
        <v>1</v>
      </c>
      <c r="D856">
        <v>1</v>
      </c>
      <c r="E856">
        <v>15</v>
      </c>
      <c r="F856" t="b">
        <v>0</v>
      </c>
      <c r="G856">
        <v>5</v>
      </c>
      <c r="H856">
        <v>2</v>
      </c>
      <c r="I856">
        <v>0.2</v>
      </c>
      <c r="J856">
        <v>244</v>
      </c>
      <c r="K856">
        <v>0.2273</v>
      </c>
      <c r="L856">
        <v>0.59</v>
      </c>
      <c r="M856">
        <v>8.9599999999999999E-2</v>
      </c>
      <c r="N856">
        <v>6</v>
      </c>
      <c r="O856">
        <v>46</v>
      </c>
      <c r="P856">
        <v>52</v>
      </c>
    </row>
    <row r="857" spans="1:16" x14ac:dyDescent="0.25">
      <c r="A857">
        <v>246</v>
      </c>
      <c r="B857" s="19">
        <v>40571</v>
      </c>
      <c r="C857">
        <v>1</v>
      </c>
      <c r="D857">
        <v>1</v>
      </c>
      <c r="E857">
        <v>15</v>
      </c>
      <c r="F857" t="b">
        <v>0</v>
      </c>
      <c r="G857">
        <v>5</v>
      </c>
      <c r="H857">
        <v>2</v>
      </c>
      <c r="I857">
        <v>0.2</v>
      </c>
      <c r="J857">
        <v>245</v>
      </c>
      <c r="K857">
        <v>0.2273</v>
      </c>
      <c r="L857">
        <v>0.59</v>
      </c>
      <c r="M857">
        <v>8.9599999999999999E-2</v>
      </c>
      <c r="N857">
        <v>3</v>
      </c>
      <c r="O857">
        <v>60</v>
      </c>
      <c r="P857">
        <v>63</v>
      </c>
    </row>
    <row r="858" spans="1:16" x14ac:dyDescent="0.25">
      <c r="A858">
        <v>247</v>
      </c>
      <c r="B858" s="19">
        <v>40571</v>
      </c>
      <c r="C858">
        <v>1</v>
      </c>
      <c r="D858">
        <v>1</v>
      </c>
      <c r="E858">
        <v>15</v>
      </c>
      <c r="F858" t="b">
        <v>0</v>
      </c>
      <c r="G858">
        <v>5</v>
      </c>
      <c r="H858">
        <v>2</v>
      </c>
      <c r="I858">
        <v>0.2</v>
      </c>
      <c r="J858">
        <v>246</v>
      </c>
      <c r="K858">
        <v>0.19700000000000001</v>
      </c>
      <c r="L858">
        <v>0.8</v>
      </c>
      <c r="M858">
        <v>8.9599999999999999E-2</v>
      </c>
      <c r="N858">
        <v>2</v>
      </c>
      <c r="O858">
        <v>45</v>
      </c>
      <c r="P858">
        <v>47</v>
      </c>
    </row>
    <row r="859" spans="1:16" x14ac:dyDescent="0.25">
      <c r="A859">
        <v>248</v>
      </c>
      <c r="B859" s="19">
        <v>40571</v>
      </c>
      <c r="C859">
        <v>1</v>
      </c>
      <c r="D859">
        <v>1</v>
      </c>
      <c r="E859">
        <v>15</v>
      </c>
      <c r="F859" t="b">
        <v>0</v>
      </c>
      <c r="G859">
        <v>5</v>
      </c>
      <c r="H859">
        <v>2</v>
      </c>
      <c r="I859">
        <v>0.2</v>
      </c>
      <c r="J859">
        <v>247</v>
      </c>
      <c r="K859">
        <v>0.1515</v>
      </c>
      <c r="L859">
        <v>0.86</v>
      </c>
      <c r="M859">
        <v>0.22389999999999999</v>
      </c>
      <c r="N859">
        <v>4</v>
      </c>
      <c r="O859">
        <v>72</v>
      </c>
      <c r="P859">
        <v>76</v>
      </c>
    </row>
    <row r="860" spans="1:16" x14ac:dyDescent="0.25">
      <c r="A860">
        <v>249</v>
      </c>
      <c r="B860" s="19">
        <v>40571</v>
      </c>
      <c r="C860">
        <v>1</v>
      </c>
      <c r="D860">
        <v>1</v>
      </c>
      <c r="E860">
        <v>15</v>
      </c>
      <c r="F860" t="b">
        <v>0</v>
      </c>
      <c r="G860">
        <v>5</v>
      </c>
      <c r="H860">
        <v>2</v>
      </c>
      <c r="I860">
        <v>0.2</v>
      </c>
      <c r="J860">
        <v>248</v>
      </c>
      <c r="K860">
        <v>0.1515</v>
      </c>
      <c r="L860">
        <v>0.86</v>
      </c>
      <c r="M860">
        <v>0.22389999999999999</v>
      </c>
      <c r="N860">
        <v>6</v>
      </c>
      <c r="O860">
        <v>130</v>
      </c>
      <c r="P860">
        <v>136</v>
      </c>
    </row>
    <row r="861" spans="1:16" x14ac:dyDescent="0.25">
      <c r="A861">
        <v>250</v>
      </c>
      <c r="B861" s="19">
        <v>40571</v>
      </c>
      <c r="C861">
        <v>1</v>
      </c>
      <c r="D861">
        <v>1</v>
      </c>
      <c r="E861">
        <v>15</v>
      </c>
      <c r="F861" t="b">
        <v>0</v>
      </c>
      <c r="G861">
        <v>5</v>
      </c>
      <c r="H861">
        <v>2</v>
      </c>
      <c r="I861">
        <v>0.2</v>
      </c>
      <c r="J861">
        <v>249</v>
      </c>
      <c r="K861">
        <v>0.18179999999999999</v>
      </c>
      <c r="L861">
        <v>0.93</v>
      </c>
      <c r="M861">
        <v>0.1045</v>
      </c>
      <c r="N861">
        <v>1</v>
      </c>
      <c r="O861">
        <v>94</v>
      </c>
      <c r="P861">
        <v>95</v>
      </c>
    </row>
    <row r="862" spans="1:16" x14ac:dyDescent="0.25">
      <c r="A862">
        <v>251</v>
      </c>
      <c r="B862" s="19">
        <v>40571</v>
      </c>
      <c r="C862">
        <v>1</v>
      </c>
      <c r="D862">
        <v>1</v>
      </c>
      <c r="E862">
        <v>15</v>
      </c>
      <c r="F862" t="b">
        <v>0</v>
      </c>
      <c r="G862">
        <v>5</v>
      </c>
      <c r="H862">
        <v>2</v>
      </c>
      <c r="I862">
        <v>0.2</v>
      </c>
      <c r="J862">
        <v>250</v>
      </c>
      <c r="K862">
        <v>0.2273</v>
      </c>
      <c r="L862">
        <v>0.93</v>
      </c>
      <c r="M862">
        <v>0</v>
      </c>
      <c r="N862">
        <v>0</v>
      </c>
      <c r="O862">
        <v>51</v>
      </c>
      <c r="P862">
        <v>51</v>
      </c>
    </row>
    <row r="863" spans="1:16" x14ac:dyDescent="0.25">
      <c r="A863">
        <v>252</v>
      </c>
      <c r="B863" s="19">
        <v>40571</v>
      </c>
      <c r="C863">
        <v>1</v>
      </c>
      <c r="D863">
        <v>1</v>
      </c>
      <c r="E863">
        <v>15</v>
      </c>
      <c r="F863" t="b">
        <v>0</v>
      </c>
      <c r="G863">
        <v>5</v>
      </c>
      <c r="H863">
        <v>2</v>
      </c>
      <c r="I863">
        <v>0.2</v>
      </c>
      <c r="J863">
        <v>251</v>
      </c>
      <c r="K863">
        <v>0.1515</v>
      </c>
      <c r="L863">
        <v>0.93</v>
      </c>
      <c r="M863">
        <v>0.19400000000000001</v>
      </c>
      <c r="N863">
        <v>0</v>
      </c>
      <c r="O863">
        <v>32</v>
      </c>
      <c r="P863">
        <v>32</v>
      </c>
    </row>
    <row r="864" spans="1:16" x14ac:dyDescent="0.25">
      <c r="A864">
        <v>253</v>
      </c>
      <c r="B864" s="19">
        <v>40571</v>
      </c>
      <c r="C864">
        <v>1</v>
      </c>
      <c r="D864">
        <v>1</v>
      </c>
      <c r="E864">
        <v>15</v>
      </c>
      <c r="F864" t="b">
        <v>0</v>
      </c>
      <c r="G864">
        <v>5</v>
      </c>
      <c r="H864">
        <v>2</v>
      </c>
      <c r="I864">
        <v>0.2</v>
      </c>
      <c r="J864">
        <v>252</v>
      </c>
      <c r="K864">
        <v>0.19700000000000001</v>
      </c>
      <c r="L864">
        <v>0.86</v>
      </c>
      <c r="M864">
        <v>8.9599999999999999E-2</v>
      </c>
      <c r="N864">
        <v>0</v>
      </c>
      <c r="O864">
        <v>20</v>
      </c>
      <c r="P864">
        <v>20</v>
      </c>
    </row>
    <row r="865" spans="1:16" x14ac:dyDescent="0.25">
      <c r="A865">
        <v>254</v>
      </c>
      <c r="B865" s="19">
        <v>40571</v>
      </c>
      <c r="C865">
        <v>1</v>
      </c>
      <c r="D865">
        <v>1</v>
      </c>
      <c r="E865">
        <v>15</v>
      </c>
      <c r="F865" t="b">
        <v>0</v>
      </c>
      <c r="G865">
        <v>5</v>
      </c>
      <c r="H865">
        <v>2</v>
      </c>
      <c r="I865">
        <v>0.2</v>
      </c>
      <c r="J865">
        <v>253</v>
      </c>
      <c r="K865">
        <v>0.18179999999999999</v>
      </c>
      <c r="L865">
        <v>0.93</v>
      </c>
      <c r="M865">
        <v>0.1045</v>
      </c>
      <c r="N865">
        <v>1</v>
      </c>
      <c r="O865">
        <v>28</v>
      </c>
      <c r="P865">
        <v>29</v>
      </c>
    </row>
    <row r="866" spans="1:16" x14ac:dyDescent="0.25">
      <c r="A866">
        <v>255</v>
      </c>
      <c r="B866" s="19">
        <v>40571</v>
      </c>
      <c r="C866">
        <v>1</v>
      </c>
      <c r="D866">
        <v>1</v>
      </c>
      <c r="E866">
        <v>15</v>
      </c>
      <c r="F866" t="b">
        <v>0</v>
      </c>
      <c r="G866">
        <v>5</v>
      </c>
      <c r="H866">
        <v>2</v>
      </c>
      <c r="I866">
        <v>0.2</v>
      </c>
      <c r="J866">
        <v>254</v>
      </c>
      <c r="K866">
        <v>0.19700000000000001</v>
      </c>
      <c r="L866">
        <v>0.93</v>
      </c>
      <c r="M866">
        <v>8.9599999999999999E-2</v>
      </c>
      <c r="N866">
        <v>1</v>
      </c>
      <c r="O866">
        <v>18</v>
      </c>
      <c r="P866">
        <v>19</v>
      </c>
    </row>
    <row r="867" spans="1:16" x14ac:dyDescent="0.25">
      <c r="A867">
        <v>256</v>
      </c>
      <c r="B867" s="19">
        <v>40571</v>
      </c>
      <c r="C867">
        <v>1</v>
      </c>
      <c r="D867">
        <v>1</v>
      </c>
      <c r="E867">
        <v>15</v>
      </c>
      <c r="F867" t="b">
        <v>0</v>
      </c>
      <c r="G867">
        <v>5</v>
      </c>
      <c r="H867">
        <v>2</v>
      </c>
      <c r="I867">
        <v>0.2</v>
      </c>
      <c r="J867">
        <v>255</v>
      </c>
      <c r="K867">
        <v>0.19700000000000001</v>
      </c>
      <c r="L867">
        <v>0.86</v>
      </c>
      <c r="M867">
        <v>8.9599999999999999E-2</v>
      </c>
      <c r="N867">
        <v>0</v>
      </c>
      <c r="O867">
        <v>7</v>
      </c>
      <c r="P867">
        <v>7</v>
      </c>
    </row>
    <row r="868" spans="1:16" x14ac:dyDescent="0.25">
      <c r="A868">
        <v>257</v>
      </c>
      <c r="B868" s="19">
        <v>40571</v>
      </c>
      <c r="C868">
        <v>1</v>
      </c>
      <c r="D868">
        <v>1</v>
      </c>
      <c r="E868">
        <v>15</v>
      </c>
      <c r="F868" t="b">
        <v>0</v>
      </c>
      <c r="G868">
        <v>5</v>
      </c>
      <c r="H868">
        <v>2</v>
      </c>
      <c r="I868">
        <v>0.2</v>
      </c>
      <c r="J868">
        <v>256</v>
      </c>
      <c r="K868">
        <v>0.18179999999999999</v>
      </c>
      <c r="L868">
        <v>0.86</v>
      </c>
      <c r="M868">
        <v>0.1045</v>
      </c>
      <c r="N868">
        <v>0</v>
      </c>
      <c r="O868">
        <v>6</v>
      </c>
      <c r="P868">
        <v>6</v>
      </c>
    </row>
    <row r="869" spans="1:16" x14ac:dyDescent="0.25">
      <c r="A869">
        <v>258</v>
      </c>
      <c r="B869" s="19">
        <v>40571</v>
      </c>
      <c r="C869">
        <v>1</v>
      </c>
      <c r="D869">
        <v>1</v>
      </c>
      <c r="E869">
        <v>15</v>
      </c>
      <c r="F869" t="b">
        <v>0</v>
      </c>
      <c r="G869">
        <v>5</v>
      </c>
      <c r="H869">
        <v>2</v>
      </c>
      <c r="I869">
        <v>0.2</v>
      </c>
      <c r="J869">
        <v>257</v>
      </c>
      <c r="K869">
        <v>0.1515</v>
      </c>
      <c r="L869">
        <v>0.86</v>
      </c>
      <c r="M869">
        <v>0.1343</v>
      </c>
      <c r="N869">
        <v>0</v>
      </c>
      <c r="O869">
        <v>1</v>
      </c>
      <c r="P869">
        <v>1</v>
      </c>
    </row>
    <row r="870" spans="1:16" x14ac:dyDescent="0.25">
      <c r="A870">
        <v>259</v>
      </c>
      <c r="B870" s="19">
        <v>40571</v>
      </c>
      <c r="C870">
        <v>1</v>
      </c>
      <c r="D870">
        <v>1</v>
      </c>
      <c r="E870">
        <v>15</v>
      </c>
      <c r="F870" t="b">
        <v>0</v>
      </c>
      <c r="G870">
        <v>5</v>
      </c>
      <c r="H870">
        <v>2</v>
      </c>
      <c r="I870">
        <v>0.2</v>
      </c>
      <c r="J870">
        <v>258</v>
      </c>
      <c r="K870">
        <v>0.1515</v>
      </c>
      <c r="L870">
        <v>0.86</v>
      </c>
      <c r="M870">
        <v>0.16420000000000001</v>
      </c>
      <c r="N870">
        <v>0</v>
      </c>
      <c r="O870">
        <v>5</v>
      </c>
      <c r="P870">
        <v>5</v>
      </c>
    </row>
    <row r="871" spans="1:16" x14ac:dyDescent="0.25">
      <c r="A871">
        <v>260</v>
      </c>
      <c r="B871" s="19">
        <v>40571</v>
      </c>
      <c r="C871">
        <v>1</v>
      </c>
      <c r="D871">
        <v>1</v>
      </c>
      <c r="E871">
        <v>15</v>
      </c>
      <c r="F871" t="b">
        <v>0</v>
      </c>
      <c r="G871">
        <v>5</v>
      </c>
      <c r="H871">
        <v>2</v>
      </c>
      <c r="I871">
        <v>0.2</v>
      </c>
      <c r="J871">
        <v>259</v>
      </c>
      <c r="K871">
        <v>0.1515</v>
      </c>
      <c r="L871">
        <v>0.93</v>
      </c>
      <c r="M871">
        <v>0.1343</v>
      </c>
      <c r="N871">
        <v>0</v>
      </c>
      <c r="O871">
        <v>16</v>
      </c>
      <c r="P871">
        <v>16</v>
      </c>
    </row>
    <row r="872" spans="1:16" x14ac:dyDescent="0.25">
      <c r="A872">
        <v>261</v>
      </c>
      <c r="B872" s="19">
        <v>40571</v>
      </c>
      <c r="C872">
        <v>1</v>
      </c>
      <c r="D872">
        <v>1</v>
      </c>
      <c r="E872">
        <v>15</v>
      </c>
      <c r="F872" t="b">
        <v>0</v>
      </c>
      <c r="G872">
        <v>5</v>
      </c>
      <c r="H872">
        <v>2</v>
      </c>
      <c r="I872">
        <v>0.2</v>
      </c>
      <c r="J872">
        <v>260</v>
      </c>
      <c r="K872">
        <v>0.1515</v>
      </c>
      <c r="L872">
        <v>0.69</v>
      </c>
      <c r="M872">
        <v>0.1343</v>
      </c>
      <c r="N872">
        <v>0</v>
      </c>
      <c r="O872">
        <v>54</v>
      </c>
      <c r="P872">
        <v>54</v>
      </c>
    </row>
    <row r="873" spans="1:16" x14ac:dyDescent="0.25">
      <c r="A873">
        <v>262</v>
      </c>
      <c r="B873" s="19">
        <v>40571</v>
      </c>
      <c r="C873">
        <v>1</v>
      </c>
      <c r="D873">
        <v>1</v>
      </c>
      <c r="E873">
        <v>15</v>
      </c>
      <c r="F873" t="b">
        <v>0</v>
      </c>
      <c r="G873">
        <v>5</v>
      </c>
      <c r="H873">
        <v>2</v>
      </c>
      <c r="I873">
        <v>0.2</v>
      </c>
      <c r="J873">
        <v>261</v>
      </c>
      <c r="K873">
        <v>0.16669999999999999</v>
      </c>
      <c r="L873">
        <v>0.59</v>
      </c>
      <c r="M873">
        <v>0.16420000000000001</v>
      </c>
      <c r="N873">
        <v>3</v>
      </c>
      <c r="O873">
        <v>125</v>
      </c>
      <c r="P873">
        <v>128</v>
      </c>
    </row>
    <row r="874" spans="1:16" x14ac:dyDescent="0.25">
      <c r="A874">
        <v>263</v>
      </c>
      <c r="B874" s="19">
        <v>40571</v>
      </c>
      <c r="C874">
        <v>1</v>
      </c>
      <c r="D874">
        <v>1</v>
      </c>
      <c r="E874">
        <v>15</v>
      </c>
      <c r="F874" t="b">
        <v>0</v>
      </c>
      <c r="G874">
        <v>5</v>
      </c>
      <c r="H874">
        <v>2</v>
      </c>
      <c r="I874">
        <v>0.2</v>
      </c>
      <c r="J874">
        <v>262</v>
      </c>
      <c r="K874">
        <v>0.13639999999999999</v>
      </c>
      <c r="L874">
        <v>0.59</v>
      </c>
      <c r="M874">
        <v>0.32840000000000003</v>
      </c>
      <c r="N874">
        <v>3</v>
      </c>
      <c r="O874">
        <v>78</v>
      </c>
      <c r="P874">
        <v>81</v>
      </c>
    </row>
    <row r="875" spans="1:16" x14ac:dyDescent="0.25">
      <c r="A875">
        <v>264</v>
      </c>
      <c r="B875" s="19">
        <v>40571</v>
      </c>
      <c r="C875">
        <v>1</v>
      </c>
      <c r="D875">
        <v>1</v>
      </c>
      <c r="E875">
        <v>15</v>
      </c>
      <c r="F875" t="b">
        <v>0</v>
      </c>
      <c r="G875">
        <v>5</v>
      </c>
      <c r="H875">
        <v>2</v>
      </c>
      <c r="I875">
        <v>0.2</v>
      </c>
      <c r="J875">
        <v>263</v>
      </c>
      <c r="K875">
        <v>0.18179999999999999</v>
      </c>
      <c r="L875">
        <v>0.55000000000000004</v>
      </c>
      <c r="M875">
        <v>0.22389999999999999</v>
      </c>
      <c r="N875">
        <v>0</v>
      </c>
      <c r="O875">
        <v>39</v>
      </c>
      <c r="P875">
        <v>39</v>
      </c>
    </row>
    <row r="876" spans="1:16" x14ac:dyDescent="0.25">
      <c r="A876">
        <v>265</v>
      </c>
      <c r="B876" s="19">
        <v>40571</v>
      </c>
      <c r="C876">
        <v>1</v>
      </c>
      <c r="D876">
        <v>1</v>
      </c>
      <c r="E876">
        <v>15</v>
      </c>
      <c r="F876" t="b">
        <v>0</v>
      </c>
      <c r="G876">
        <v>5</v>
      </c>
      <c r="H876">
        <v>2</v>
      </c>
      <c r="I876">
        <v>0.2</v>
      </c>
      <c r="J876">
        <v>264</v>
      </c>
      <c r="K876">
        <v>0.18179999999999999</v>
      </c>
      <c r="L876">
        <v>0.51</v>
      </c>
      <c r="M876">
        <v>0.3881</v>
      </c>
      <c r="N876">
        <v>3</v>
      </c>
      <c r="O876">
        <v>32</v>
      </c>
      <c r="P876">
        <v>35</v>
      </c>
    </row>
    <row r="877" spans="1:16" x14ac:dyDescent="0.25">
      <c r="A877">
        <v>266</v>
      </c>
      <c r="B877" s="19">
        <v>40571</v>
      </c>
      <c r="C877">
        <v>1</v>
      </c>
      <c r="D877">
        <v>1</v>
      </c>
      <c r="E877">
        <v>15</v>
      </c>
      <c r="F877" t="b">
        <v>0</v>
      </c>
      <c r="G877">
        <v>5</v>
      </c>
      <c r="H877">
        <v>2</v>
      </c>
      <c r="I877">
        <v>0.2</v>
      </c>
      <c r="J877">
        <v>265</v>
      </c>
      <c r="K877">
        <v>0.1515</v>
      </c>
      <c r="L877">
        <v>0.47</v>
      </c>
      <c r="M877">
        <v>0.58209999999999995</v>
      </c>
      <c r="N877">
        <v>3</v>
      </c>
      <c r="O877">
        <v>52</v>
      </c>
      <c r="P877">
        <v>55</v>
      </c>
    </row>
    <row r="878" spans="1:16" x14ac:dyDescent="0.25">
      <c r="A878">
        <v>267</v>
      </c>
      <c r="B878" s="19">
        <v>40571</v>
      </c>
      <c r="C878">
        <v>1</v>
      </c>
      <c r="D878">
        <v>1</v>
      </c>
      <c r="E878">
        <v>15</v>
      </c>
      <c r="F878" t="b">
        <v>0</v>
      </c>
      <c r="G878">
        <v>5</v>
      </c>
      <c r="H878">
        <v>2</v>
      </c>
      <c r="I878">
        <v>0.2</v>
      </c>
      <c r="J878">
        <v>266</v>
      </c>
      <c r="K878">
        <v>0.19700000000000001</v>
      </c>
      <c r="L878">
        <v>0.44</v>
      </c>
      <c r="M878">
        <v>0.35820000000000002</v>
      </c>
      <c r="N878">
        <v>0</v>
      </c>
      <c r="O878">
        <v>49</v>
      </c>
      <c r="P878">
        <v>49</v>
      </c>
    </row>
    <row r="879" spans="1:16" x14ac:dyDescent="0.25">
      <c r="A879">
        <v>268</v>
      </c>
      <c r="B879" s="19">
        <v>40571</v>
      </c>
      <c r="C879">
        <v>1</v>
      </c>
      <c r="D879">
        <v>1</v>
      </c>
      <c r="E879">
        <v>15</v>
      </c>
      <c r="F879" t="b">
        <v>0</v>
      </c>
      <c r="G879">
        <v>5</v>
      </c>
      <c r="H879">
        <v>2</v>
      </c>
      <c r="I879">
        <v>0.2</v>
      </c>
      <c r="J879">
        <v>267</v>
      </c>
      <c r="K879">
        <v>0.18179999999999999</v>
      </c>
      <c r="L879">
        <v>0.47</v>
      </c>
      <c r="M879">
        <v>0.32840000000000003</v>
      </c>
      <c r="N879">
        <v>0</v>
      </c>
      <c r="O879">
        <v>44</v>
      </c>
      <c r="P879">
        <v>44</v>
      </c>
    </row>
    <row r="880" spans="1:16" x14ac:dyDescent="0.25">
      <c r="A880">
        <v>269</v>
      </c>
      <c r="B880" s="19">
        <v>40571</v>
      </c>
      <c r="C880">
        <v>1</v>
      </c>
      <c r="D880">
        <v>1</v>
      </c>
      <c r="E880">
        <v>15</v>
      </c>
      <c r="F880" t="b">
        <v>0</v>
      </c>
      <c r="G880">
        <v>5</v>
      </c>
      <c r="H880">
        <v>2</v>
      </c>
      <c r="I880">
        <v>0.2</v>
      </c>
      <c r="J880">
        <v>268</v>
      </c>
      <c r="K880">
        <v>0.16669999999999999</v>
      </c>
      <c r="L880">
        <v>0.47</v>
      </c>
      <c r="M880">
        <v>0.41789999999999999</v>
      </c>
      <c r="N880">
        <v>1</v>
      </c>
      <c r="O880">
        <v>48</v>
      </c>
      <c r="P880">
        <v>49</v>
      </c>
    </row>
    <row r="881" spans="1:16" x14ac:dyDescent="0.25">
      <c r="A881">
        <v>270</v>
      </c>
      <c r="B881" s="19">
        <v>40571</v>
      </c>
      <c r="C881">
        <v>1</v>
      </c>
      <c r="D881">
        <v>1</v>
      </c>
      <c r="E881">
        <v>15</v>
      </c>
      <c r="F881" t="b">
        <v>0</v>
      </c>
      <c r="G881">
        <v>5</v>
      </c>
      <c r="H881">
        <v>2</v>
      </c>
      <c r="I881">
        <v>0.2</v>
      </c>
      <c r="J881">
        <v>269</v>
      </c>
      <c r="K881">
        <v>0.19700000000000001</v>
      </c>
      <c r="L881">
        <v>0.44</v>
      </c>
      <c r="M881">
        <v>0.32840000000000003</v>
      </c>
      <c r="N881">
        <v>5</v>
      </c>
      <c r="O881">
        <v>63</v>
      </c>
      <c r="P881">
        <v>68</v>
      </c>
    </row>
    <row r="882" spans="1:16" x14ac:dyDescent="0.25">
      <c r="A882">
        <v>271</v>
      </c>
      <c r="B882" s="19">
        <v>40571</v>
      </c>
      <c r="C882">
        <v>1</v>
      </c>
      <c r="D882">
        <v>1</v>
      </c>
      <c r="E882">
        <v>15</v>
      </c>
      <c r="F882" t="b">
        <v>0</v>
      </c>
      <c r="G882">
        <v>5</v>
      </c>
      <c r="H882">
        <v>2</v>
      </c>
      <c r="I882">
        <v>0.2</v>
      </c>
      <c r="J882">
        <v>270</v>
      </c>
      <c r="K882">
        <v>0.18179999999999999</v>
      </c>
      <c r="L882">
        <v>0.47</v>
      </c>
      <c r="M882">
        <v>0.35820000000000002</v>
      </c>
      <c r="N882">
        <v>0</v>
      </c>
      <c r="O882">
        <v>139</v>
      </c>
      <c r="P882">
        <v>139</v>
      </c>
    </row>
    <row r="883" spans="1:16" x14ac:dyDescent="0.25">
      <c r="A883">
        <v>272</v>
      </c>
      <c r="B883" s="19">
        <v>40571</v>
      </c>
      <c r="C883">
        <v>1</v>
      </c>
      <c r="D883">
        <v>1</v>
      </c>
      <c r="E883">
        <v>15</v>
      </c>
      <c r="F883" t="b">
        <v>0</v>
      </c>
      <c r="G883">
        <v>5</v>
      </c>
      <c r="H883">
        <v>2</v>
      </c>
      <c r="I883">
        <v>0.2</v>
      </c>
      <c r="J883">
        <v>271</v>
      </c>
      <c r="K883">
        <v>0.1515</v>
      </c>
      <c r="L883">
        <v>0.47</v>
      </c>
      <c r="M883">
        <v>0.52239999999999998</v>
      </c>
      <c r="N883">
        <v>2</v>
      </c>
      <c r="O883">
        <v>135</v>
      </c>
      <c r="P883">
        <v>137</v>
      </c>
    </row>
    <row r="884" spans="1:16" x14ac:dyDescent="0.25">
      <c r="A884">
        <v>273</v>
      </c>
      <c r="B884" s="19">
        <v>40571</v>
      </c>
      <c r="C884">
        <v>1</v>
      </c>
      <c r="D884">
        <v>1</v>
      </c>
      <c r="E884">
        <v>15</v>
      </c>
      <c r="F884" t="b">
        <v>0</v>
      </c>
      <c r="G884">
        <v>5</v>
      </c>
      <c r="H884">
        <v>2</v>
      </c>
      <c r="I884">
        <v>0.2</v>
      </c>
      <c r="J884">
        <v>272</v>
      </c>
      <c r="K884">
        <v>0.1515</v>
      </c>
      <c r="L884">
        <v>0.47</v>
      </c>
      <c r="M884">
        <v>0.41789999999999999</v>
      </c>
      <c r="N884">
        <v>1</v>
      </c>
      <c r="O884">
        <v>82</v>
      </c>
      <c r="P884">
        <v>83</v>
      </c>
    </row>
    <row r="885" spans="1:16" x14ac:dyDescent="0.25">
      <c r="A885">
        <v>274</v>
      </c>
      <c r="B885" s="19">
        <v>40571</v>
      </c>
      <c r="C885">
        <v>1</v>
      </c>
      <c r="D885">
        <v>1</v>
      </c>
      <c r="E885">
        <v>15</v>
      </c>
      <c r="F885" t="b">
        <v>0</v>
      </c>
      <c r="G885">
        <v>5</v>
      </c>
      <c r="H885">
        <v>2</v>
      </c>
      <c r="I885">
        <v>0.2</v>
      </c>
      <c r="J885">
        <v>273</v>
      </c>
      <c r="K885">
        <v>0.13639999999999999</v>
      </c>
      <c r="L885">
        <v>0.5</v>
      </c>
      <c r="M885">
        <v>0.32840000000000003</v>
      </c>
      <c r="N885">
        <v>2</v>
      </c>
      <c r="O885">
        <v>54</v>
      </c>
      <c r="P885">
        <v>56</v>
      </c>
    </row>
    <row r="886" spans="1:16" x14ac:dyDescent="0.25">
      <c r="A886">
        <v>275</v>
      </c>
      <c r="B886" s="19">
        <v>40571</v>
      </c>
      <c r="C886">
        <v>1</v>
      </c>
      <c r="D886">
        <v>1</v>
      </c>
      <c r="E886">
        <v>15</v>
      </c>
      <c r="F886" t="b">
        <v>0</v>
      </c>
      <c r="G886">
        <v>5</v>
      </c>
      <c r="H886">
        <v>2</v>
      </c>
      <c r="I886">
        <v>0.2</v>
      </c>
      <c r="J886">
        <v>274</v>
      </c>
      <c r="K886">
        <v>0.13639999999999999</v>
      </c>
      <c r="L886">
        <v>0.55000000000000004</v>
      </c>
      <c r="M886">
        <v>0.32840000000000003</v>
      </c>
      <c r="N886">
        <v>0</v>
      </c>
      <c r="O886">
        <v>57</v>
      </c>
      <c r="P886">
        <v>57</v>
      </c>
    </row>
    <row r="887" spans="1:16" x14ac:dyDescent="0.25">
      <c r="A887">
        <v>276</v>
      </c>
      <c r="B887" s="19">
        <v>40571</v>
      </c>
      <c r="C887">
        <v>1</v>
      </c>
      <c r="D887">
        <v>1</v>
      </c>
      <c r="E887">
        <v>15</v>
      </c>
      <c r="F887" t="b">
        <v>0</v>
      </c>
      <c r="G887">
        <v>5</v>
      </c>
      <c r="H887">
        <v>2</v>
      </c>
      <c r="I887">
        <v>0.2</v>
      </c>
      <c r="J887">
        <v>275</v>
      </c>
      <c r="K887">
        <v>0.1212</v>
      </c>
      <c r="L887">
        <v>0.55000000000000004</v>
      </c>
      <c r="M887">
        <v>0.44779999999999998</v>
      </c>
      <c r="N887">
        <v>1</v>
      </c>
      <c r="O887">
        <v>32</v>
      </c>
      <c r="P887">
        <v>33</v>
      </c>
    </row>
    <row r="888" spans="1:16" x14ac:dyDescent="0.25">
      <c r="A888">
        <v>277</v>
      </c>
      <c r="B888" s="19">
        <v>40571</v>
      </c>
      <c r="C888">
        <v>1</v>
      </c>
      <c r="D888">
        <v>1</v>
      </c>
      <c r="E888">
        <v>15</v>
      </c>
      <c r="F888" t="b">
        <v>0</v>
      </c>
      <c r="G888">
        <v>5</v>
      </c>
      <c r="H888">
        <v>2</v>
      </c>
      <c r="I888">
        <v>0.2</v>
      </c>
      <c r="J888">
        <v>276</v>
      </c>
      <c r="K888">
        <v>0.1061</v>
      </c>
      <c r="L888">
        <v>0.59</v>
      </c>
      <c r="M888">
        <v>0.41789999999999999</v>
      </c>
      <c r="N888">
        <v>1</v>
      </c>
      <c r="O888">
        <v>19</v>
      </c>
      <c r="P888">
        <v>20</v>
      </c>
    </row>
    <row r="889" spans="1:16" x14ac:dyDescent="0.25">
      <c r="A889">
        <v>278</v>
      </c>
      <c r="B889" s="19">
        <v>40571</v>
      </c>
      <c r="C889">
        <v>1</v>
      </c>
      <c r="D889">
        <v>1</v>
      </c>
      <c r="E889">
        <v>15</v>
      </c>
      <c r="F889" t="b">
        <v>0</v>
      </c>
      <c r="G889">
        <v>5</v>
      </c>
      <c r="H889">
        <v>2</v>
      </c>
      <c r="I889">
        <v>0.2</v>
      </c>
      <c r="J889">
        <v>277</v>
      </c>
      <c r="K889">
        <v>0.1212</v>
      </c>
      <c r="L889">
        <v>0.59</v>
      </c>
      <c r="M889">
        <v>0.28360000000000002</v>
      </c>
      <c r="N889">
        <v>1</v>
      </c>
      <c r="O889">
        <v>6</v>
      </c>
      <c r="P889">
        <v>7</v>
      </c>
    </row>
    <row r="890" spans="1:16" x14ac:dyDescent="0.25">
      <c r="A890">
        <v>279</v>
      </c>
      <c r="B890" s="19">
        <v>40571</v>
      </c>
      <c r="C890">
        <v>1</v>
      </c>
      <c r="D890">
        <v>1</v>
      </c>
      <c r="E890">
        <v>15</v>
      </c>
      <c r="F890" t="b">
        <v>0</v>
      </c>
      <c r="G890">
        <v>5</v>
      </c>
      <c r="H890">
        <v>2</v>
      </c>
      <c r="I890">
        <v>0.2</v>
      </c>
      <c r="J890">
        <v>278</v>
      </c>
      <c r="K890">
        <v>0.1212</v>
      </c>
      <c r="L890">
        <v>0.5</v>
      </c>
      <c r="M890">
        <v>0.28360000000000002</v>
      </c>
      <c r="N890">
        <v>0</v>
      </c>
      <c r="O890">
        <v>2</v>
      </c>
      <c r="P890">
        <v>2</v>
      </c>
    </row>
    <row r="891" spans="1:16" x14ac:dyDescent="0.25">
      <c r="A891">
        <v>280</v>
      </c>
      <c r="B891" s="19">
        <v>40571</v>
      </c>
      <c r="C891">
        <v>1</v>
      </c>
      <c r="D891">
        <v>1</v>
      </c>
      <c r="E891">
        <v>15</v>
      </c>
      <c r="F891" t="b">
        <v>0</v>
      </c>
      <c r="G891">
        <v>5</v>
      </c>
      <c r="H891">
        <v>2</v>
      </c>
      <c r="I891">
        <v>0.2</v>
      </c>
      <c r="J891">
        <v>279</v>
      </c>
      <c r="K891">
        <v>0.1212</v>
      </c>
      <c r="L891">
        <v>0.5</v>
      </c>
      <c r="M891">
        <v>0.35820000000000002</v>
      </c>
      <c r="N891">
        <v>0</v>
      </c>
      <c r="O891">
        <v>2</v>
      </c>
      <c r="P891">
        <v>2</v>
      </c>
    </row>
    <row r="892" spans="1:16" x14ac:dyDescent="0.25">
      <c r="A892">
        <v>281</v>
      </c>
      <c r="B892" s="19">
        <v>40571</v>
      </c>
      <c r="C892">
        <v>1</v>
      </c>
      <c r="D892">
        <v>1</v>
      </c>
      <c r="E892">
        <v>15</v>
      </c>
      <c r="F892" t="b">
        <v>0</v>
      </c>
      <c r="G892">
        <v>5</v>
      </c>
      <c r="H892">
        <v>2</v>
      </c>
      <c r="I892">
        <v>0.2</v>
      </c>
      <c r="J892">
        <v>280</v>
      </c>
      <c r="K892">
        <v>0.1212</v>
      </c>
      <c r="L892">
        <v>0.5</v>
      </c>
      <c r="M892">
        <v>0.32840000000000003</v>
      </c>
      <c r="N892">
        <v>0</v>
      </c>
      <c r="O892">
        <v>3</v>
      </c>
      <c r="P892">
        <v>3</v>
      </c>
    </row>
    <row r="893" spans="1:16" x14ac:dyDescent="0.25">
      <c r="A893">
        <v>282</v>
      </c>
      <c r="B893" s="19">
        <v>40571</v>
      </c>
      <c r="C893">
        <v>1</v>
      </c>
      <c r="D893">
        <v>1</v>
      </c>
      <c r="E893">
        <v>15</v>
      </c>
      <c r="F893" t="b">
        <v>0</v>
      </c>
      <c r="G893">
        <v>5</v>
      </c>
      <c r="H893">
        <v>2</v>
      </c>
      <c r="I893">
        <v>0.2</v>
      </c>
      <c r="J893">
        <v>281</v>
      </c>
      <c r="K893">
        <v>0.1212</v>
      </c>
      <c r="L893">
        <v>0.5</v>
      </c>
      <c r="M893">
        <v>0.25369999999999998</v>
      </c>
      <c r="N893">
        <v>0</v>
      </c>
      <c r="O893">
        <v>4</v>
      </c>
      <c r="P893">
        <v>4</v>
      </c>
    </row>
    <row r="894" spans="1:16" x14ac:dyDescent="0.25">
      <c r="A894">
        <v>283</v>
      </c>
      <c r="B894" s="19">
        <v>40571</v>
      </c>
      <c r="C894">
        <v>1</v>
      </c>
      <c r="D894">
        <v>1</v>
      </c>
      <c r="E894">
        <v>15</v>
      </c>
      <c r="F894" t="b">
        <v>0</v>
      </c>
      <c r="G894">
        <v>5</v>
      </c>
      <c r="H894">
        <v>2</v>
      </c>
      <c r="I894">
        <v>0.2</v>
      </c>
      <c r="J894">
        <v>282</v>
      </c>
      <c r="K894">
        <v>0.1212</v>
      </c>
      <c r="L894">
        <v>0.5</v>
      </c>
      <c r="M894">
        <v>0.29849999999999999</v>
      </c>
      <c r="N894">
        <v>0</v>
      </c>
      <c r="O894">
        <v>3</v>
      </c>
      <c r="P894">
        <v>3</v>
      </c>
    </row>
    <row r="895" spans="1:16" x14ac:dyDescent="0.25">
      <c r="A895">
        <v>284</v>
      </c>
      <c r="B895" s="19">
        <v>40571</v>
      </c>
      <c r="C895">
        <v>1</v>
      </c>
      <c r="D895">
        <v>1</v>
      </c>
      <c r="E895">
        <v>15</v>
      </c>
      <c r="F895" t="b">
        <v>0</v>
      </c>
      <c r="G895">
        <v>5</v>
      </c>
      <c r="H895">
        <v>2</v>
      </c>
      <c r="I895">
        <v>0.2</v>
      </c>
      <c r="J895">
        <v>283</v>
      </c>
      <c r="K895">
        <v>0.1515</v>
      </c>
      <c r="L895">
        <v>0.54</v>
      </c>
      <c r="M895">
        <v>0.1343</v>
      </c>
      <c r="N895">
        <v>0</v>
      </c>
      <c r="O895">
        <v>28</v>
      </c>
      <c r="P895">
        <v>28</v>
      </c>
    </row>
    <row r="896" spans="1:16" x14ac:dyDescent="0.25">
      <c r="A896">
        <v>285</v>
      </c>
      <c r="B896" s="19">
        <v>40571</v>
      </c>
      <c r="C896">
        <v>1</v>
      </c>
      <c r="D896">
        <v>1</v>
      </c>
      <c r="E896">
        <v>15</v>
      </c>
      <c r="F896" t="b">
        <v>0</v>
      </c>
      <c r="G896">
        <v>5</v>
      </c>
      <c r="H896">
        <v>2</v>
      </c>
      <c r="I896">
        <v>0.2</v>
      </c>
      <c r="J896">
        <v>284</v>
      </c>
      <c r="K896">
        <v>0.1515</v>
      </c>
      <c r="L896">
        <v>0.54</v>
      </c>
      <c r="M896">
        <v>0.1343</v>
      </c>
      <c r="N896">
        <v>0</v>
      </c>
      <c r="O896">
        <v>72</v>
      </c>
      <c r="P896">
        <v>72</v>
      </c>
    </row>
    <row r="897" spans="1:16" x14ac:dyDescent="0.25">
      <c r="A897">
        <v>286</v>
      </c>
      <c r="B897" s="19">
        <v>40571</v>
      </c>
      <c r="C897">
        <v>1</v>
      </c>
      <c r="D897">
        <v>1</v>
      </c>
      <c r="E897">
        <v>15</v>
      </c>
      <c r="F897" t="b">
        <v>0</v>
      </c>
      <c r="G897">
        <v>5</v>
      </c>
      <c r="H897">
        <v>2</v>
      </c>
      <c r="I897">
        <v>0.2</v>
      </c>
      <c r="J897">
        <v>285</v>
      </c>
      <c r="K897">
        <v>0.13639999999999999</v>
      </c>
      <c r="L897">
        <v>0.5</v>
      </c>
      <c r="M897">
        <v>0.19400000000000001</v>
      </c>
      <c r="N897">
        <v>5</v>
      </c>
      <c r="O897">
        <v>197</v>
      </c>
      <c r="P897">
        <v>202</v>
      </c>
    </row>
    <row r="898" spans="1:16" x14ac:dyDescent="0.25">
      <c r="A898">
        <v>287</v>
      </c>
      <c r="B898" s="19">
        <v>40571</v>
      </c>
      <c r="C898">
        <v>1</v>
      </c>
      <c r="D898">
        <v>1</v>
      </c>
      <c r="E898">
        <v>15</v>
      </c>
      <c r="F898" t="b">
        <v>0</v>
      </c>
      <c r="G898">
        <v>5</v>
      </c>
      <c r="H898">
        <v>2</v>
      </c>
      <c r="I898">
        <v>0.2</v>
      </c>
      <c r="J898">
        <v>286</v>
      </c>
      <c r="K898">
        <v>0.1212</v>
      </c>
      <c r="L898">
        <v>0.5</v>
      </c>
      <c r="M898">
        <v>0.32840000000000003</v>
      </c>
      <c r="N898">
        <v>2</v>
      </c>
      <c r="O898">
        <v>137</v>
      </c>
      <c r="P898">
        <v>139</v>
      </c>
    </row>
    <row r="899" spans="1:16" x14ac:dyDescent="0.25">
      <c r="A899">
        <v>288</v>
      </c>
      <c r="B899" s="19">
        <v>40571</v>
      </c>
      <c r="C899">
        <v>1</v>
      </c>
      <c r="D899">
        <v>1</v>
      </c>
      <c r="E899">
        <v>15</v>
      </c>
      <c r="F899" t="b">
        <v>0</v>
      </c>
      <c r="G899">
        <v>5</v>
      </c>
      <c r="H899">
        <v>2</v>
      </c>
      <c r="I899">
        <v>0.2</v>
      </c>
      <c r="J899">
        <v>287</v>
      </c>
      <c r="K899">
        <v>0.13639999999999999</v>
      </c>
      <c r="L899">
        <v>0.5</v>
      </c>
      <c r="M899">
        <v>0.35820000000000002</v>
      </c>
      <c r="N899">
        <v>2</v>
      </c>
      <c r="O899">
        <v>36</v>
      </c>
      <c r="P899">
        <v>38</v>
      </c>
    </row>
    <row r="900" spans="1:16" x14ac:dyDescent="0.25">
      <c r="A900">
        <v>289</v>
      </c>
      <c r="B900" s="19">
        <v>40571</v>
      </c>
      <c r="C900">
        <v>1</v>
      </c>
      <c r="D900">
        <v>1</v>
      </c>
      <c r="E900">
        <v>15</v>
      </c>
      <c r="F900" t="b">
        <v>0</v>
      </c>
      <c r="G900">
        <v>5</v>
      </c>
      <c r="H900">
        <v>2</v>
      </c>
      <c r="I900">
        <v>0.2</v>
      </c>
      <c r="J900">
        <v>288</v>
      </c>
      <c r="K900">
        <v>0.16669999999999999</v>
      </c>
      <c r="L900">
        <v>0.44</v>
      </c>
      <c r="M900">
        <v>0.44779999999999998</v>
      </c>
      <c r="N900">
        <v>4</v>
      </c>
      <c r="O900">
        <v>33</v>
      </c>
      <c r="P900">
        <v>37</v>
      </c>
    </row>
    <row r="901" spans="1:16" x14ac:dyDescent="0.25">
      <c r="A901">
        <v>290</v>
      </c>
      <c r="B901" s="19">
        <v>40571</v>
      </c>
      <c r="C901">
        <v>1</v>
      </c>
      <c r="D901">
        <v>1</v>
      </c>
      <c r="E901">
        <v>15</v>
      </c>
      <c r="F901" t="b">
        <v>0</v>
      </c>
      <c r="G901">
        <v>5</v>
      </c>
      <c r="H901">
        <v>2</v>
      </c>
      <c r="I901">
        <v>0.2</v>
      </c>
      <c r="J901">
        <v>289</v>
      </c>
      <c r="K901">
        <v>0.16669999999999999</v>
      </c>
      <c r="L901">
        <v>0.44</v>
      </c>
      <c r="M901">
        <v>0.41789999999999999</v>
      </c>
      <c r="N901">
        <v>3</v>
      </c>
      <c r="O901">
        <v>49</v>
      </c>
      <c r="P901">
        <v>52</v>
      </c>
    </row>
    <row r="902" spans="1:16" x14ac:dyDescent="0.25">
      <c r="A902">
        <v>291</v>
      </c>
      <c r="B902" s="19">
        <v>40571</v>
      </c>
      <c r="C902">
        <v>1</v>
      </c>
      <c r="D902">
        <v>1</v>
      </c>
      <c r="E902">
        <v>15</v>
      </c>
      <c r="F902" t="b">
        <v>0</v>
      </c>
      <c r="G902">
        <v>5</v>
      </c>
      <c r="H902">
        <v>2</v>
      </c>
      <c r="I902">
        <v>0.2</v>
      </c>
      <c r="J902">
        <v>290</v>
      </c>
      <c r="K902">
        <v>0.19700000000000001</v>
      </c>
      <c r="L902">
        <v>0.41</v>
      </c>
      <c r="M902">
        <v>0.44779999999999998</v>
      </c>
      <c r="N902">
        <v>2</v>
      </c>
      <c r="O902">
        <v>81</v>
      </c>
      <c r="P902">
        <v>83</v>
      </c>
    </row>
    <row r="903" spans="1:16" x14ac:dyDescent="0.25">
      <c r="A903">
        <v>292</v>
      </c>
      <c r="B903" s="19">
        <v>40571</v>
      </c>
      <c r="C903">
        <v>1</v>
      </c>
      <c r="D903">
        <v>1</v>
      </c>
      <c r="E903">
        <v>15</v>
      </c>
      <c r="F903" t="b">
        <v>0</v>
      </c>
      <c r="G903">
        <v>5</v>
      </c>
      <c r="H903">
        <v>2</v>
      </c>
      <c r="I903">
        <v>0.2</v>
      </c>
      <c r="J903">
        <v>291</v>
      </c>
      <c r="K903">
        <v>0.19700000000000001</v>
      </c>
      <c r="L903">
        <v>0.41</v>
      </c>
      <c r="M903">
        <v>0.3881</v>
      </c>
      <c r="N903">
        <v>3</v>
      </c>
      <c r="O903">
        <v>39</v>
      </c>
      <c r="P903">
        <v>42</v>
      </c>
    </row>
    <row r="904" spans="1:16" x14ac:dyDescent="0.25">
      <c r="A904">
        <v>293</v>
      </c>
      <c r="B904" s="19">
        <v>40571</v>
      </c>
      <c r="C904">
        <v>1</v>
      </c>
      <c r="D904">
        <v>1</v>
      </c>
      <c r="E904">
        <v>15</v>
      </c>
      <c r="F904" t="b">
        <v>0</v>
      </c>
      <c r="G904">
        <v>5</v>
      </c>
      <c r="H904">
        <v>2</v>
      </c>
      <c r="I904">
        <v>0.2</v>
      </c>
      <c r="J904">
        <v>292</v>
      </c>
      <c r="K904">
        <v>0.21210000000000001</v>
      </c>
      <c r="L904">
        <v>0.38</v>
      </c>
      <c r="M904">
        <v>0.29849999999999999</v>
      </c>
      <c r="N904">
        <v>5</v>
      </c>
      <c r="O904">
        <v>55</v>
      </c>
      <c r="P904">
        <v>60</v>
      </c>
    </row>
    <row r="905" spans="1:16" x14ac:dyDescent="0.25">
      <c r="A905">
        <v>294</v>
      </c>
      <c r="B905" s="19">
        <v>40571</v>
      </c>
      <c r="C905">
        <v>1</v>
      </c>
      <c r="D905">
        <v>1</v>
      </c>
      <c r="E905">
        <v>15</v>
      </c>
      <c r="F905" t="b">
        <v>0</v>
      </c>
      <c r="G905">
        <v>5</v>
      </c>
      <c r="H905">
        <v>2</v>
      </c>
      <c r="I905">
        <v>0.2</v>
      </c>
      <c r="J905">
        <v>293</v>
      </c>
      <c r="K905">
        <v>0.21210000000000001</v>
      </c>
      <c r="L905">
        <v>0.38</v>
      </c>
      <c r="M905">
        <v>0.35820000000000002</v>
      </c>
      <c r="N905">
        <v>2</v>
      </c>
      <c r="O905">
        <v>76</v>
      </c>
      <c r="P905">
        <v>78</v>
      </c>
    </row>
    <row r="906" spans="1:16" x14ac:dyDescent="0.25">
      <c r="A906">
        <v>295</v>
      </c>
      <c r="B906" s="19">
        <v>40571</v>
      </c>
      <c r="C906">
        <v>1</v>
      </c>
      <c r="D906">
        <v>1</v>
      </c>
      <c r="E906">
        <v>15</v>
      </c>
      <c r="F906" t="b">
        <v>0</v>
      </c>
      <c r="G906">
        <v>5</v>
      </c>
      <c r="H906">
        <v>2</v>
      </c>
      <c r="I906">
        <v>0.2</v>
      </c>
      <c r="J906">
        <v>294</v>
      </c>
      <c r="K906">
        <v>0.18179999999999999</v>
      </c>
      <c r="L906">
        <v>0.4</v>
      </c>
      <c r="M906">
        <v>0.28360000000000002</v>
      </c>
      <c r="N906">
        <v>4</v>
      </c>
      <c r="O906">
        <v>158</v>
      </c>
      <c r="P906">
        <v>162</v>
      </c>
    </row>
    <row r="907" spans="1:16" x14ac:dyDescent="0.25">
      <c r="A907">
        <v>296</v>
      </c>
      <c r="B907" s="19">
        <v>40571</v>
      </c>
      <c r="C907">
        <v>1</v>
      </c>
      <c r="D907">
        <v>1</v>
      </c>
      <c r="E907">
        <v>15</v>
      </c>
      <c r="F907" t="b">
        <v>0</v>
      </c>
      <c r="G907">
        <v>5</v>
      </c>
      <c r="H907">
        <v>2</v>
      </c>
      <c r="I907">
        <v>0.2</v>
      </c>
      <c r="J907">
        <v>295</v>
      </c>
      <c r="K907">
        <v>0.18179999999999999</v>
      </c>
      <c r="L907">
        <v>0.4</v>
      </c>
      <c r="M907">
        <v>0.32840000000000003</v>
      </c>
      <c r="N907">
        <v>3</v>
      </c>
      <c r="O907">
        <v>141</v>
      </c>
      <c r="P907">
        <v>144</v>
      </c>
    </row>
    <row r="908" spans="1:16" x14ac:dyDescent="0.25">
      <c r="A908">
        <v>297</v>
      </c>
      <c r="B908" s="19">
        <v>40571</v>
      </c>
      <c r="C908">
        <v>1</v>
      </c>
      <c r="D908">
        <v>1</v>
      </c>
      <c r="E908">
        <v>15</v>
      </c>
      <c r="F908" t="b">
        <v>0</v>
      </c>
      <c r="G908">
        <v>5</v>
      </c>
      <c r="H908">
        <v>2</v>
      </c>
      <c r="I908">
        <v>0.2</v>
      </c>
      <c r="J908">
        <v>296</v>
      </c>
      <c r="K908">
        <v>0.1515</v>
      </c>
      <c r="L908">
        <v>0.47</v>
      </c>
      <c r="M908">
        <v>0.25369999999999998</v>
      </c>
      <c r="N908">
        <v>1</v>
      </c>
      <c r="O908">
        <v>98</v>
      </c>
      <c r="P908">
        <v>99</v>
      </c>
    </row>
    <row r="909" spans="1:16" x14ac:dyDescent="0.25">
      <c r="A909">
        <v>298</v>
      </c>
      <c r="B909" s="19">
        <v>40571</v>
      </c>
      <c r="C909">
        <v>1</v>
      </c>
      <c r="D909">
        <v>1</v>
      </c>
      <c r="E909">
        <v>15</v>
      </c>
      <c r="F909" t="b">
        <v>0</v>
      </c>
      <c r="G909">
        <v>5</v>
      </c>
      <c r="H909">
        <v>2</v>
      </c>
      <c r="I909">
        <v>0.2</v>
      </c>
      <c r="J909">
        <v>297</v>
      </c>
      <c r="K909">
        <v>0.1515</v>
      </c>
      <c r="L909">
        <v>0.47</v>
      </c>
      <c r="M909">
        <v>0.22389999999999999</v>
      </c>
      <c r="N909">
        <v>0</v>
      </c>
      <c r="O909">
        <v>64</v>
      </c>
      <c r="P909">
        <v>64</v>
      </c>
    </row>
    <row r="910" spans="1:16" x14ac:dyDescent="0.25">
      <c r="A910">
        <v>299</v>
      </c>
      <c r="B910" s="19">
        <v>40571</v>
      </c>
      <c r="C910">
        <v>1</v>
      </c>
      <c r="D910">
        <v>1</v>
      </c>
      <c r="E910">
        <v>15</v>
      </c>
      <c r="F910" t="b">
        <v>0</v>
      </c>
      <c r="G910">
        <v>5</v>
      </c>
      <c r="H910">
        <v>2</v>
      </c>
      <c r="I910">
        <v>0.2</v>
      </c>
      <c r="J910">
        <v>298</v>
      </c>
      <c r="K910">
        <v>0.1212</v>
      </c>
      <c r="L910">
        <v>0.46</v>
      </c>
      <c r="M910">
        <v>0.29849999999999999</v>
      </c>
      <c r="N910">
        <v>0</v>
      </c>
      <c r="O910">
        <v>40</v>
      </c>
      <c r="P910">
        <v>40</v>
      </c>
    </row>
    <row r="911" spans="1:16" x14ac:dyDescent="0.25">
      <c r="A911">
        <v>300</v>
      </c>
      <c r="B911" s="19">
        <v>40571</v>
      </c>
      <c r="C911">
        <v>1</v>
      </c>
      <c r="D911">
        <v>1</v>
      </c>
      <c r="E911">
        <v>15</v>
      </c>
      <c r="F911" t="b">
        <v>0</v>
      </c>
      <c r="G911">
        <v>5</v>
      </c>
      <c r="H911">
        <v>2</v>
      </c>
      <c r="I911">
        <v>0.2</v>
      </c>
      <c r="J911">
        <v>299</v>
      </c>
      <c r="K911">
        <v>0.1212</v>
      </c>
      <c r="L911">
        <v>0.46</v>
      </c>
      <c r="M911">
        <v>0.32840000000000003</v>
      </c>
      <c r="N911">
        <v>0</v>
      </c>
      <c r="O911">
        <v>30</v>
      </c>
      <c r="P911">
        <v>30</v>
      </c>
    </row>
    <row r="912" spans="1:16" x14ac:dyDescent="0.25">
      <c r="A912">
        <v>301</v>
      </c>
      <c r="B912" s="19">
        <v>40571</v>
      </c>
      <c r="C912">
        <v>1</v>
      </c>
      <c r="D912">
        <v>1</v>
      </c>
      <c r="E912">
        <v>15</v>
      </c>
      <c r="F912" t="b">
        <v>0</v>
      </c>
      <c r="G912">
        <v>5</v>
      </c>
      <c r="H912">
        <v>2</v>
      </c>
      <c r="I912">
        <v>0.2</v>
      </c>
      <c r="J912">
        <v>300</v>
      </c>
      <c r="K912">
        <v>0.13639999999999999</v>
      </c>
      <c r="L912">
        <v>0.5</v>
      </c>
      <c r="M912">
        <v>0.19400000000000001</v>
      </c>
      <c r="N912">
        <v>1</v>
      </c>
      <c r="O912">
        <v>14</v>
      </c>
      <c r="P912">
        <v>15</v>
      </c>
    </row>
    <row r="913" spans="1:16" x14ac:dyDescent="0.25">
      <c r="A913">
        <v>302</v>
      </c>
      <c r="B913" s="19">
        <v>40571</v>
      </c>
      <c r="C913">
        <v>1</v>
      </c>
      <c r="D913">
        <v>1</v>
      </c>
      <c r="E913">
        <v>15</v>
      </c>
      <c r="F913" t="b">
        <v>0</v>
      </c>
      <c r="G913">
        <v>5</v>
      </c>
      <c r="H913">
        <v>2</v>
      </c>
      <c r="I913">
        <v>0.2</v>
      </c>
      <c r="J913">
        <v>301</v>
      </c>
      <c r="K913">
        <v>0.13639999999999999</v>
      </c>
      <c r="L913">
        <v>0.5</v>
      </c>
      <c r="M913">
        <v>0.19400000000000001</v>
      </c>
      <c r="N913">
        <v>0</v>
      </c>
      <c r="O913">
        <v>14</v>
      </c>
      <c r="P913">
        <v>14</v>
      </c>
    </row>
    <row r="914" spans="1:16" x14ac:dyDescent="0.25">
      <c r="A914">
        <v>303</v>
      </c>
      <c r="B914" s="19">
        <v>40571</v>
      </c>
      <c r="C914">
        <v>1</v>
      </c>
      <c r="D914">
        <v>1</v>
      </c>
      <c r="E914">
        <v>15</v>
      </c>
      <c r="F914" t="b">
        <v>0</v>
      </c>
      <c r="G914">
        <v>5</v>
      </c>
      <c r="H914">
        <v>2</v>
      </c>
      <c r="I914">
        <v>0.2</v>
      </c>
      <c r="J914">
        <v>302</v>
      </c>
      <c r="K914">
        <v>0.1212</v>
      </c>
      <c r="L914">
        <v>0.54</v>
      </c>
      <c r="M914">
        <v>0.16420000000000001</v>
      </c>
      <c r="N914">
        <v>0</v>
      </c>
      <c r="O914">
        <v>5</v>
      </c>
      <c r="P914">
        <v>5</v>
      </c>
    </row>
    <row r="915" spans="1:16" x14ac:dyDescent="0.25">
      <c r="A915">
        <v>304</v>
      </c>
      <c r="B915" s="19">
        <v>40571</v>
      </c>
      <c r="C915">
        <v>1</v>
      </c>
      <c r="D915">
        <v>1</v>
      </c>
      <c r="E915">
        <v>15</v>
      </c>
      <c r="F915" t="b">
        <v>0</v>
      </c>
      <c r="G915">
        <v>5</v>
      </c>
      <c r="H915">
        <v>2</v>
      </c>
      <c r="I915">
        <v>0.2</v>
      </c>
      <c r="J915">
        <v>303</v>
      </c>
      <c r="K915">
        <v>0.1212</v>
      </c>
      <c r="L915">
        <v>0.54</v>
      </c>
      <c r="M915">
        <v>0.1343</v>
      </c>
      <c r="N915">
        <v>0</v>
      </c>
      <c r="O915">
        <v>1</v>
      </c>
      <c r="P915">
        <v>1</v>
      </c>
    </row>
    <row r="916" spans="1:16" x14ac:dyDescent="0.25">
      <c r="A916">
        <v>305</v>
      </c>
      <c r="B916" s="19">
        <v>40571</v>
      </c>
      <c r="C916">
        <v>1</v>
      </c>
      <c r="D916">
        <v>1</v>
      </c>
      <c r="E916">
        <v>15</v>
      </c>
      <c r="F916" t="b">
        <v>0</v>
      </c>
      <c r="G916">
        <v>5</v>
      </c>
      <c r="H916">
        <v>2</v>
      </c>
      <c r="I916">
        <v>0.2</v>
      </c>
      <c r="J916">
        <v>304</v>
      </c>
      <c r="K916">
        <v>0.13639999999999999</v>
      </c>
      <c r="L916">
        <v>0.54</v>
      </c>
      <c r="M916">
        <v>0.1045</v>
      </c>
      <c r="N916">
        <v>0</v>
      </c>
      <c r="O916">
        <v>1</v>
      </c>
      <c r="P916">
        <v>1</v>
      </c>
    </row>
    <row r="917" spans="1:16" x14ac:dyDescent="0.25">
      <c r="A917">
        <v>306</v>
      </c>
      <c r="B917" s="19">
        <v>40571</v>
      </c>
      <c r="C917">
        <v>1</v>
      </c>
      <c r="D917">
        <v>1</v>
      </c>
      <c r="E917">
        <v>15</v>
      </c>
      <c r="F917" t="b">
        <v>0</v>
      </c>
      <c r="G917">
        <v>5</v>
      </c>
      <c r="H917">
        <v>2</v>
      </c>
      <c r="I917">
        <v>0.2</v>
      </c>
      <c r="J917">
        <v>305</v>
      </c>
      <c r="K917">
        <v>0.13639999999999999</v>
      </c>
      <c r="L917">
        <v>0.54</v>
      </c>
      <c r="M917">
        <v>8.9599999999999999E-2</v>
      </c>
      <c r="N917">
        <v>0</v>
      </c>
      <c r="O917">
        <v>8</v>
      </c>
      <c r="P917">
        <v>8</v>
      </c>
    </row>
    <row r="918" spans="1:16" x14ac:dyDescent="0.25">
      <c r="A918">
        <v>307</v>
      </c>
      <c r="B918" s="19">
        <v>40571</v>
      </c>
      <c r="C918">
        <v>1</v>
      </c>
      <c r="D918">
        <v>1</v>
      </c>
      <c r="E918">
        <v>15</v>
      </c>
      <c r="F918" t="b">
        <v>0</v>
      </c>
      <c r="G918">
        <v>5</v>
      </c>
      <c r="H918">
        <v>2</v>
      </c>
      <c r="I918">
        <v>0.2</v>
      </c>
      <c r="J918">
        <v>306</v>
      </c>
      <c r="K918">
        <v>0.18179999999999999</v>
      </c>
      <c r="L918">
        <v>0.54</v>
      </c>
      <c r="M918">
        <v>0</v>
      </c>
      <c r="N918">
        <v>0</v>
      </c>
      <c r="O918">
        <v>17</v>
      </c>
      <c r="P918">
        <v>17</v>
      </c>
    </row>
    <row r="919" spans="1:16" x14ac:dyDescent="0.25">
      <c r="A919">
        <v>308</v>
      </c>
      <c r="B919" s="19">
        <v>40571</v>
      </c>
      <c r="C919">
        <v>1</v>
      </c>
      <c r="D919">
        <v>1</v>
      </c>
      <c r="E919">
        <v>15</v>
      </c>
      <c r="F919" t="b">
        <v>0</v>
      </c>
      <c r="G919">
        <v>5</v>
      </c>
      <c r="H919">
        <v>2</v>
      </c>
      <c r="I919">
        <v>0.2</v>
      </c>
      <c r="J919">
        <v>307</v>
      </c>
      <c r="K919">
        <v>0.1212</v>
      </c>
      <c r="L919">
        <v>0.74</v>
      </c>
      <c r="M919">
        <v>0.16420000000000001</v>
      </c>
      <c r="N919">
        <v>0</v>
      </c>
      <c r="O919">
        <v>70</v>
      </c>
      <c r="P919">
        <v>70</v>
      </c>
    </row>
    <row r="920" spans="1:16" x14ac:dyDescent="0.25">
      <c r="A920">
        <v>309</v>
      </c>
      <c r="B920" s="19">
        <v>40571</v>
      </c>
      <c r="C920">
        <v>1</v>
      </c>
      <c r="D920">
        <v>1</v>
      </c>
      <c r="E920">
        <v>15</v>
      </c>
      <c r="F920" t="b">
        <v>0</v>
      </c>
      <c r="G920">
        <v>5</v>
      </c>
      <c r="H920">
        <v>2</v>
      </c>
      <c r="I920">
        <v>0.2</v>
      </c>
      <c r="J920">
        <v>308</v>
      </c>
      <c r="K920">
        <v>0.16669999999999999</v>
      </c>
      <c r="L920">
        <v>0.68</v>
      </c>
      <c r="M920">
        <v>0</v>
      </c>
      <c r="N920">
        <v>2</v>
      </c>
      <c r="O920">
        <v>156</v>
      </c>
      <c r="P920">
        <v>158</v>
      </c>
    </row>
    <row r="921" spans="1:16" x14ac:dyDescent="0.25">
      <c r="A921">
        <v>310</v>
      </c>
      <c r="B921" s="19">
        <v>40571</v>
      </c>
      <c r="C921">
        <v>1</v>
      </c>
      <c r="D921">
        <v>1</v>
      </c>
      <c r="E921">
        <v>15</v>
      </c>
      <c r="F921" t="b">
        <v>0</v>
      </c>
      <c r="G921">
        <v>5</v>
      </c>
      <c r="H921">
        <v>2</v>
      </c>
      <c r="I921">
        <v>0.2</v>
      </c>
      <c r="J921">
        <v>309</v>
      </c>
      <c r="K921">
        <v>0.1515</v>
      </c>
      <c r="L921">
        <v>0.69</v>
      </c>
      <c r="M921">
        <v>0.1343</v>
      </c>
      <c r="N921">
        <v>0</v>
      </c>
      <c r="O921">
        <v>117</v>
      </c>
      <c r="P921">
        <v>117</v>
      </c>
    </row>
    <row r="922" spans="1:16" x14ac:dyDescent="0.25">
      <c r="A922">
        <v>311</v>
      </c>
      <c r="B922" s="19">
        <v>40571</v>
      </c>
      <c r="C922">
        <v>1</v>
      </c>
      <c r="D922">
        <v>1</v>
      </c>
      <c r="E922">
        <v>15</v>
      </c>
      <c r="F922" t="b">
        <v>0</v>
      </c>
      <c r="G922">
        <v>5</v>
      </c>
      <c r="H922">
        <v>2</v>
      </c>
      <c r="I922">
        <v>0.2</v>
      </c>
      <c r="J922">
        <v>310</v>
      </c>
      <c r="K922">
        <v>0.18179999999999999</v>
      </c>
      <c r="L922">
        <v>0.55000000000000004</v>
      </c>
      <c r="M922">
        <v>0.19400000000000001</v>
      </c>
      <c r="N922">
        <v>4</v>
      </c>
      <c r="O922">
        <v>40</v>
      </c>
      <c r="P922">
        <v>44</v>
      </c>
    </row>
    <row r="923" spans="1:16" x14ac:dyDescent="0.25">
      <c r="A923">
        <v>312</v>
      </c>
      <c r="B923" s="19">
        <v>40571</v>
      </c>
      <c r="C923">
        <v>1</v>
      </c>
      <c r="D923">
        <v>1</v>
      </c>
      <c r="E923">
        <v>15</v>
      </c>
      <c r="F923" t="b">
        <v>0</v>
      </c>
      <c r="G923">
        <v>5</v>
      </c>
      <c r="H923">
        <v>2</v>
      </c>
      <c r="I923">
        <v>0.2</v>
      </c>
      <c r="J923">
        <v>311</v>
      </c>
      <c r="K923">
        <v>0.16669999999999999</v>
      </c>
      <c r="L923">
        <v>0.51</v>
      </c>
      <c r="M923">
        <v>0.28360000000000002</v>
      </c>
      <c r="N923">
        <v>6</v>
      </c>
      <c r="O923">
        <v>47</v>
      </c>
      <c r="P923">
        <v>53</v>
      </c>
    </row>
    <row r="924" spans="1:16" x14ac:dyDescent="0.25">
      <c r="A924">
        <v>313</v>
      </c>
      <c r="B924" s="19">
        <v>40571</v>
      </c>
      <c r="C924">
        <v>1</v>
      </c>
      <c r="D924">
        <v>1</v>
      </c>
      <c r="E924">
        <v>15</v>
      </c>
      <c r="F924" t="b">
        <v>0</v>
      </c>
      <c r="G924">
        <v>5</v>
      </c>
      <c r="H924">
        <v>2</v>
      </c>
      <c r="I924">
        <v>0.2</v>
      </c>
      <c r="J924">
        <v>312</v>
      </c>
      <c r="K924">
        <v>0.19700000000000001</v>
      </c>
      <c r="L924">
        <v>0.44</v>
      </c>
      <c r="M924">
        <v>0.25369999999999998</v>
      </c>
      <c r="N924">
        <v>2</v>
      </c>
      <c r="O924">
        <v>59</v>
      </c>
      <c r="P924">
        <v>61</v>
      </c>
    </row>
    <row r="925" spans="1:16" x14ac:dyDescent="0.25">
      <c r="A925">
        <v>314</v>
      </c>
      <c r="B925" s="19">
        <v>40571</v>
      </c>
      <c r="C925">
        <v>1</v>
      </c>
      <c r="D925">
        <v>1</v>
      </c>
      <c r="E925">
        <v>15</v>
      </c>
      <c r="F925" t="b">
        <v>0</v>
      </c>
      <c r="G925">
        <v>5</v>
      </c>
      <c r="H925">
        <v>2</v>
      </c>
      <c r="I925">
        <v>0.2</v>
      </c>
      <c r="J925">
        <v>313</v>
      </c>
      <c r="K925">
        <v>0.19700000000000001</v>
      </c>
      <c r="L925">
        <v>0.37</v>
      </c>
      <c r="M925">
        <v>0.3881</v>
      </c>
      <c r="N925">
        <v>4</v>
      </c>
      <c r="O925">
        <v>73</v>
      </c>
      <c r="P925">
        <v>77</v>
      </c>
    </row>
    <row r="926" spans="1:16" x14ac:dyDescent="0.25">
      <c r="A926">
        <v>315</v>
      </c>
      <c r="B926" s="19">
        <v>40571</v>
      </c>
      <c r="C926">
        <v>1</v>
      </c>
      <c r="D926">
        <v>1</v>
      </c>
      <c r="E926">
        <v>15</v>
      </c>
      <c r="F926" t="b">
        <v>0</v>
      </c>
      <c r="G926">
        <v>5</v>
      </c>
      <c r="H926">
        <v>2</v>
      </c>
      <c r="I926">
        <v>0.2</v>
      </c>
      <c r="J926">
        <v>314</v>
      </c>
      <c r="K926">
        <v>0.21210000000000001</v>
      </c>
      <c r="L926">
        <v>0.41</v>
      </c>
      <c r="M926">
        <v>0.28360000000000002</v>
      </c>
      <c r="N926">
        <v>5</v>
      </c>
      <c r="O926">
        <v>59</v>
      </c>
      <c r="P926">
        <v>64</v>
      </c>
    </row>
    <row r="927" spans="1:16" x14ac:dyDescent="0.25">
      <c r="A927">
        <v>316</v>
      </c>
      <c r="B927" s="19">
        <v>40571</v>
      </c>
      <c r="C927">
        <v>1</v>
      </c>
      <c r="D927">
        <v>1</v>
      </c>
      <c r="E927">
        <v>15</v>
      </c>
      <c r="F927" t="b">
        <v>0</v>
      </c>
      <c r="G927">
        <v>5</v>
      </c>
      <c r="H927">
        <v>2</v>
      </c>
      <c r="I927">
        <v>0.2</v>
      </c>
      <c r="J927">
        <v>315</v>
      </c>
      <c r="K927">
        <v>0.2424</v>
      </c>
      <c r="L927">
        <v>0.38</v>
      </c>
      <c r="M927">
        <v>0.16420000000000001</v>
      </c>
      <c r="N927">
        <v>9</v>
      </c>
      <c r="O927">
        <v>59</v>
      </c>
      <c r="P927">
        <v>68</v>
      </c>
    </row>
    <row r="928" spans="1:16" x14ac:dyDescent="0.25">
      <c r="A928">
        <v>317</v>
      </c>
      <c r="B928" s="19">
        <v>40571</v>
      </c>
      <c r="C928">
        <v>1</v>
      </c>
      <c r="D928">
        <v>1</v>
      </c>
      <c r="E928">
        <v>15</v>
      </c>
      <c r="F928" t="b">
        <v>0</v>
      </c>
      <c r="G928">
        <v>5</v>
      </c>
      <c r="H928">
        <v>2</v>
      </c>
      <c r="I928">
        <v>0.2</v>
      </c>
      <c r="J928">
        <v>316</v>
      </c>
      <c r="K928">
        <v>0.2424</v>
      </c>
      <c r="L928">
        <v>0.41</v>
      </c>
      <c r="M928">
        <v>0.1045</v>
      </c>
      <c r="N928">
        <v>3</v>
      </c>
      <c r="O928">
        <v>87</v>
      </c>
      <c r="P928">
        <v>90</v>
      </c>
    </row>
    <row r="929" spans="1:16" x14ac:dyDescent="0.25">
      <c r="A929">
        <v>318</v>
      </c>
      <c r="B929" s="19">
        <v>40571</v>
      </c>
      <c r="C929">
        <v>1</v>
      </c>
      <c r="D929">
        <v>1</v>
      </c>
      <c r="E929">
        <v>15</v>
      </c>
      <c r="F929" t="b">
        <v>0</v>
      </c>
      <c r="G929">
        <v>5</v>
      </c>
      <c r="H929">
        <v>2</v>
      </c>
      <c r="I929">
        <v>0.2</v>
      </c>
      <c r="J929">
        <v>317</v>
      </c>
      <c r="K929">
        <v>0.2273</v>
      </c>
      <c r="L929">
        <v>0.41</v>
      </c>
      <c r="M929">
        <v>0.16420000000000001</v>
      </c>
      <c r="N929">
        <v>4</v>
      </c>
      <c r="O929">
        <v>155</v>
      </c>
      <c r="P929">
        <v>159</v>
      </c>
    </row>
    <row r="930" spans="1:16" x14ac:dyDescent="0.25">
      <c r="A930">
        <v>319</v>
      </c>
      <c r="B930" s="19">
        <v>40571</v>
      </c>
      <c r="C930">
        <v>1</v>
      </c>
      <c r="D930">
        <v>1</v>
      </c>
      <c r="E930">
        <v>15</v>
      </c>
      <c r="F930" t="b">
        <v>0</v>
      </c>
      <c r="G930">
        <v>5</v>
      </c>
      <c r="H930">
        <v>2</v>
      </c>
      <c r="I930">
        <v>0.2</v>
      </c>
      <c r="J930">
        <v>318</v>
      </c>
      <c r="K930">
        <v>0.2576</v>
      </c>
      <c r="L930">
        <v>0.47</v>
      </c>
      <c r="M930">
        <v>0</v>
      </c>
      <c r="N930">
        <v>5</v>
      </c>
      <c r="O930">
        <v>134</v>
      </c>
      <c r="P930">
        <v>139</v>
      </c>
    </row>
    <row r="931" spans="1:16" x14ac:dyDescent="0.25">
      <c r="A931">
        <v>320</v>
      </c>
      <c r="B931" s="19">
        <v>40571</v>
      </c>
      <c r="C931">
        <v>1</v>
      </c>
      <c r="D931">
        <v>1</v>
      </c>
      <c r="E931">
        <v>15</v>
      </c>
      <c r="F931" t="b">
        <v>0</v>
      </c>
      <c r="G931">
        <v>5</v>
      </c>
      <c r="H931">
        <v>2</v>
      </c>
      <c r="I931">
        <v>0.2</v>
      </c>
      <c r="J931">
        <v>319</v>
      </c>
      <c r="K931">
        <v>0.19700000000000001</v>
      </c>
      <c r="L931">
        <v>0.59</v>
      </c>
      <c r="M931">
        <v>8.9599999999999999E-2</v>
      </c>
      <c r="N931">
        <v>3</v>
      </c>
      <c r="O931">
        <v>89</v>
      </c>
      <c r="P931">
        <v>92</v>
      </c>
    </row>
    <row r="932" spans="1:16" x14ac:dyDescent="0.25">
      <c r="A932">
        <v>321</v>
      </c>
      <c r="B932" s="19">
        <v>40571</v>
      </c>
      <c r="C932">
        <v>1</v>
      </c>
      <c r="D932">
        <v>1</v>
      </c>
      <c r="E932">
        <v>15</v>
      </c>
      <c r="F932" t="b">
        <v>0</v>
      </c>
      <c r="G932">
        <v>5</v>
      </c>
      <c r="H932">
        <v>2</v>
      </c>
      <c r="I932">
        <v>0.2</v>
      </c>
      <c r="J932">
        <v>320</v>
      </c>
      <c r="K932">
        <v>0.2424</v>
      </c>
      <c r="L932">
        <v>0.59</v>
      </c>
      <c r="M932">
        <v>0</v>
      </c>
      <c r="N932">
        <v>0</v>
      </c>
      <c r="O932">
        <v>68</v>
      </c>
      <c r="P932">
        <v>68</v>
      </c>
    </row>
    <row r="933" spans="1:16" x14ac:dyDescent="0.25">
      <c r="A933">
        <v>322</v>
      </c>
      <c r="B933" s="19">
        <v>40571</v>
      </c>
      <c r="C933">
        <v>1</v>
      </c>
      <c r="D933">
        <v>1</v>
      </c>
      <c r="E933">
        <v>15</v>
      </c>
      <c r="F933" t="b">
        <v>0</v>
      </c>
      <c r="G933">
        <v>5</v>
      </c>
      <c r="H933">
        <v>2</v>
      </c>
      <c r="I933">
        <v>0.2</v>
      </c>
      <c r="J933">
        <v>321</v>
      </c>
      <c r="K933">
        <v>0.2273</v>
      </c>
      <c r="L933">
        <v>0.69</v>
      </c>
      <c r="M933">
        <v>0</v>
      </c>
      <c r="N933">
        <v>4</v>
      </c>
      <c r="O933">
        <v>48</v>
      </c>
      <c r="P933">
        <v>52</v>
      </c>
    </row>
    <row r="934" spans="1:16" x14ac:dyDescent="0.25">
      <c r="A934">
        <v>323</v>
      </c>
      <c r="B934" s="19">
        <v>40571</v>
      </c>
      <c r="C934">
        <v>1</v>
      </c>
      <c r="D934">
        <v>1</v>
      </c>
      <c r="E934">
        <v>15</v>
      </c>
      <c r="F934" t="b">
        <v>0</v>
      </c>
      <c r="G934">
        <v>5</v>
      </c>
      <c r="H934">
        <v>2</v>
      </c>
      <c r="I934">
        <v>0.2</v>
      </c>
      <c r="J934">
        <v>322</v>
      </c>
      <c r="K934">
        <v>0.2273</v>
      </c>
      <c r="L934">
        <v>0.69</v>
      </c>
      <c r="M934">
        <v>0</v>
      </c>
      <c r="N934">
        <v>2</v>
      </c>
      <c r="O934">
        <v>34</v>
      </c>
      <c r="P934">
        <v>36</v>
      </c>
    </row>
    <row r="935" spans="1:16" x14ac:dyDescent="0.25">
      <c r="A935">
        <v>324</v>
      </c>
      <c r="B935" s="19">
        <v>40571</v>
      </c>
      <c r="C935">
        <v>1</v>
      </c>
      <c r="D935">
        <v>1</v>
      </c>
      <c r="E935">
        <v>15</v>
      </c>
      <c r="F935" t="b">
        <v>0</v>
      </c>
      <c r="G935">
        <v>5</v>
      </c>
      <c r="H935">
        <v>2</v>
      </c>
      <c r="I935">
        <v>0.2</v>
      </c>
      <c r="J935">
        <v>323</v>
      </c>
      <c r="K935">
        <v>0.2424</v>
      </c>
      <c r="L935">
        <v>0.55000000000000004</v>
      </c>
      <c r="M935">
        <v>0</v>
      </c>
      <c r="N935">
        <v>1</v>
      </c>
      <c r="O935">
        <v>26</v>
      </c>
      <c r="P935">
        <v>27</v>
      </c>
    </row>
    <row r="936" spans="1:16" x14ac:dyDescent="0.25">
      <c r="A936">
        <v>325</v>
      </c>
      <c r="B936" s="19">
        <v>40571</v>
      </c>
      <c r="C936">
        <v>1</v>
      </c>
      <c r="D936">
        <v>1</v>
      </c>
      <c r="E936">
        <v>15</v>
      </c>
      <c r="F936" t="b">
        <v>0</v>
      </c>
      <c r="G936">
        <v>5</v>
      </c>
      <c r="H936">
        <v>2</v>
      </c>
      <c r="I936">
        <v>0.2</v>
      </c>
      <c r="J936">
        <v>324</v>
      </c>
      <c r="K936">
        <v>0.2424</v>
      </c>
      <c r="L936">
        <v>0.55000000000000004</v>
      </c>
      <c r="M936">
        <v>0</v>
      </c>
      <c r="N936">
        <v>3</v>
      </c>
      <c r="O936">
        <v>25</v>
      </c>
      <c r="P936">
        <v>28</v>
      </c>
    </row>
    <row r="937" spans="1:16" x14ac:dyDescent="0.25">
      <c r="A937">
        <v>326</v>
      </c>
      <c r="B937" s="19">
        <v>40571</v>
      </c>
      <c r="C937">
        <v>1</v>
      </c>
      <c r="D937">
        <v>1</v>
      </c>
      <c r="E937">
        <v>15</v>
      </c>
      <c r="F937" t="b">
        <v>0</v>
      </c>
      <c r="G937">
        <v>5</v>
      </c>
      <c r="H937">
        <v>2</v>
      </c>
      <c r="I937">
        <v>0.2</v>
      </c>
      <c r="J937">
        <v>325</v>
      </c>
      <c r="K937">
        <v>0.19700000000000001</v>
      </c>
      <c r="L937">
        <v>0.59</v>
      </c>
      <c r="M937">
        <v>8.9599999999999999E-2</v>
      </c>
      <c r="N937">
        <v>2</v>
      </c>
      <c r="O937">
        <v>18</v>
      </c>
      <c r="P937">
        <v>20</v>
      </c>
    </row>
    <row r="938" spans="1:16" x14ac:dyDescent="0.25">
      <c r="A938">
        <v>327</v>
      </c>
      <c r="B938" s="19">
        <v>40571</v>
      </c>
      <c r="C938">
        <v>1</v>
      </c>
      <c r="D938">
        <v>1</v>
      </c>
      <c r="E938">
        <v>15</v>
      </c>
      <c r="F938" t="b">
        <v>0</v>
      </c>
      <c r="G938">
        <v>5</v>
      </c>
      <c r="H938">
        <v>2</v>
      </c>
      <c r="I938">
        <v>0.2</v>
      </c>
      <c r="J938">
        <v>326</v>
      </c>
      <c r="K938">
        <v>0.19700000000000001</v>
      </c>
      <c r="L938">
        <v>0.59</v>
      </c>
      <c r="M938">
        <v>8.9599999999999999E-2</v>
      </c>
      <c r="N938">
        <v>0</v>
      </c>
      <c r="O938">
        <v>12</v>
      </c>
      <c r="P938">
        <v>12</v>
      </c>
    </row>
    <row r="939" spans="1:16" x14ac:dyDescent="0.25">
      <c r="A939">
        <v>328</v>
      </c>
      <c r="B939" s="19">
        <v>40571</v>
      </c>
      <c r="C939">
        <v>1</v>
      </c>
      <c r="D939">
        <v>1</v>
      </c>
      <c r="E939">
        <v>15</v>
      </c>
      <c r="F939" t="b">
        <v>0</v>
      </c>
      <c r="G939">
        <v>5</v>
      </c>
      <c r="H939">
        <v>2</v>
      </c>
      <c r="I939">
        <v>0.2</v>
      </c>
      <c r="J939">
        <v>327</v>
      </c>
      <c r="K939">
        <v>0.2273</v>
      </c>
      <c r="L939">
        <v>0.59</v>
      </c>
      <c r="M939">
        <v>0</v>
      </c>
      <c r="N939">
        <v>1</v>
      </c>
      <c r="O939">
        <v>7</v>
      </c>
      <c r="P939">
        <v>8</v>
      </c>
    </row>
    <row r="940" spans="1:16" x14ac:dyDescent="0.25">
      <c r="A940">
        <v>329</v>
      </c>
      <c r="B940" s="19">
        <v>40571</v>
      </c>
      <c r="C940">
        <v>1</v>
      </c>
      <c r="D940">
        <v>1</v>
      </c>
      <c r="E940">
        <v>15</v>
      </c>
      <c r="F940" t="b">
        <v>0</v>
      </c>
      <c r="G940">
        <v>5</v>
      </c>
      <c r="H940">
        <v>2</v>
      </c>
      <c r="I940">
        <v>0.2</v>
      </c>
      <c r="J940">
        <v>328</v>
      </c>
      <c r="K940">
        <v>0.2273</v>
      </c>
      <c r="L940">
        <v>0.59</v>
      </c>
      <c r="M940">
        <v>0</v>
      </c>
      <c r="N940">
        <v>0</v>
      </c>
      <c r="O940">
        <v>5</v>
      </c>
      <c r="P940">
        <v>5</v>
      </c>
    </row>
    <row r="941" spans="1:16" x14ac:dyDescent="0.25">
      <c r="A941">
        <v>330</v>
      </c>
      <c r="B941" s="19">
        <v>40571</v>
      </c>
      <c r="C941">
        <v>1</v>
      </c>
      <c r="D941">
        <v>1</v>
      </c>
      <c r="E941">
        <v>15</v>
      </c>
      <c r="F941" t="b">
        <v>0</v>
      </c>
      <c r="G941">
        <v>5</v>
      </c>
      <c r="H941">
        <v>2</v>
      </c>
      <c r="I941">
        <v>0.2</v>
      </c>
      <c r="J941">
        <v>329</v>
      </c>
      <c r="K941">
        <v>0.2273</v>
      </c>
      <c r="L941">
        <v>0.59</v>
      </c>
      <c r="M941">
        <v>0</v>
      </c>
      <c r="N941">
        <v>0</v>
      </c>
      <c r="O941">
        <v>1</v>
      </c>
      <c r="P941">
        <v>1</v>
      </c>
    </row>
    <row r="942" spans="1:16" x14ac:dyDescent="0.25">
      <c r="A942">
        <v>331</v>
      </c>
      <c r="B942" s="19">
        <v>40571</v>
      </c>
      <c r="C942">
        <v>1</v>
      </c>
      <c r="D942">
        <v>1</v>
      </c>
      <c r="E942">
        <v>15</v>
      </c>
      <c r="F942" t="b">
        <v>0</v>
      </c>
      <c r="G942">
        <v>5</v>
      </c>
      <c r="H942">
        <v>2</v>
      </c>
      <c r="I942">
        <v>0.2</v>
      </c>
      <c r="J942">
        <v>330</v>
      </c>
      <c r="K942">
        <v>0.16669999999999999</v>
      </c>
      <c r="L942">
        <v>0.63</v>
      </c>
      <c r="M942">
        <v>0.1045</v>
      </c>
      <c r="N942">
        <v>1</v>
      </c>
      <c r="O942">
        <v>2</v>
      </c>
      <c r="P942">
        <v>3</v>
      </c>
    </row>
    <row r="943" spans="1:16" x14ac:dyDescent="0.25">
      <c r="A943">
        <v>332</v>
      </c>
      <c r="B943" s="19">
        <v>40571</v>
      </c>
      <c r="C943">
        <v>1</v>
      </c>
      <c r="D943">
        <v>1</v>
      </c>
      <c r="E943">
        <v>15</v>
      </c>
      <c r="F943" t="b">
        <v>0</v>
      </c>
      <c r="G943">
        <v>5</v>
      </c>
      <c r="H943">
        <v>2</v>
      </c>
      <c r="I943">
        <v>0.2</v>
      </c>
      <c r="J943">
        <v>331</v>
      </c>
      <c r="K943">
        <v>0.21210000000000001</v>
      </c>
      <c r="L943">
        <v>0.63</v>
      </c>
      <c r="M943">
        <v>0</v>
      </c>
      <c r="N943">
        <v>1</v>
      </c>
      <c r="O943">
        <v>9</v>
      </c>
      <c r="P943">
        <v>10</v>
      </c>
    </row>
    <row r="944" spans="1:16" x14ac:dyDescent="0.25">
      <c r="A944">
        <v>333</v>
      </c>
      <c r="B944" s="19">
        <v>40571</v>
      </c>
      <c r="C944">
        <v>1</v>
      </c>
      <c r="D944">
        <v>1</v>
      </c>
      <c r="E944">
        <v>15</v>
      </c>
      <c r="F944" t="b">
        <v>0</v>
      </c>
      <c r="G944">
        <v>5</v>
      </c>
      <c r="H944">
        <v>2</v>
      </c>
      <c r="I944">
        <v>0.2</v>
      </c>
      <c r="J944">
        <v>332</v>
      </c>
      <c r="K944">
        <v>0.1515</v>
      </c>
      <c r="L944">
        <v>0.63</v>
      </c>
      <c r="M944">
        <v>0.1343</v>
      </c>
      <c r="N944">
        <v>1</v>
      </c>
      <c r="O944">
        <v>22</v>
      </c>
      <c r="P944">
        <v>23</v>
      </c>
    </row>
    <row r="945" spans="1:16" x14ac:dyDescent="0.25">
      <c r="A945">
        <v>334</v>
      </c>
      <c r="B945" s="19">
        <v>40571</v>
      </c>
      <c r="C945">
        <v>1</v>
      </c>
      <c r="D945">
        <v>1</v>
      </c>
      <c r="E945">
        <v>15</v>
      </c>
      <c r="F945" t="b">
        <v>0</v>
      </c>
      <c r="G945">
        <v>5</v>
      </c>
      <c r="H945">
        <v>2</v>
      </c>
      <c r="I945">
        <v>0.2</v>
      </c>
      <c r="J945">
        <v>333</v>
      </c>
      <c r="K945">
        <v>0.18179999999999999</v>
      </c>
      <c r="L945">
        <v>0.64</v>
      </c>
      <c r="M945">
        <v>0.1343</v>
      </c>
      <c r="N945">
        <v>2</v>
      </c>
      <c r="O945">
        <v>31</v>
      </c>
      <c r="P945">
        <v>33</v>
      </c>
    </row>
    <row r="946" spans="1:16" x14ac:dyDescent="0.25">
      <c r="A946">
        <v>335</v>
      </c>
      <c r="B946" s="19">
        <v>40571</v>
      </c>
      <c r="C946">
        <v>1</v>
      </c>
      <c r="D946">
        <v>1</v>
      </c>
      <c r="E946">
        <v>15</v>
      </c>
      <c r="F946" t="b">
        <v>0</v>
      </c>
      <c r="G946">
        <v>5</v>
      </c>
      <c r="H946">
        <v>2</v>
      </c>
      <c r="I946">
        <v>0.2</v>
      </c>
      <c r="J946">
        <v>334</v>
      </c>
      <c r="K946">
        <v>0.19700000000000001</v>
      </c>
      <c r="L946">
        <v>0.59</v>
      </c>
      <c r="M946">
        <v>0.16420000000000001</v>
      </c>
      <c r="N946">
        <v>2</v>
      </c>
      <c r="O946">
        <v>57</v>
      </c>
      <c r="P946">
        <v>59</v>
      </c>
    </row>
    <row r="947" spans="1:16" x14ac:dyDescent="0.25">
      <c r="A947">
        <v>336</v>
      </c>
      <c r="B947" s="19">
        <v>40571</v>
      </c>
      <c r="C947">
        <v>1</v>
      </c>
      <c r="D947">
        <v>1</v>
      </c>
      <c r="E947">
        <v>15</v>
      </c>
      <c r="F947" t="b">
        <v>0</v>
      </c>
      <c r="G947">
        <v>5</v>
      </c>
      <c r="H947">
        <v>2</v>
      </c>
      <c r="I947">
        <v>0.2</v>
      </c>
      <c r="J947">
        <v>335</v>
      </c>
      <c r="K947">
        <v>0.19700000000000001</v>
      </c>
      <c r="L947">
        <v>0.55000000000000004</v>
      </c>
      <c r="M947">
        <v>0.22389999999999999</v>
      </c>
      <c r="N947">
        <v>18</v>
      </c>
      <c r="O947">
        <v>54</v>
      </c>
      <c r="P947">
        <v>72</v>
      </c>
    </row>
    <row r="948" spans="1:16" x14ac:dyDescent="0.25">
      <c r="A948">
        <v>337</v>
      </c>
      <c r="B948" s="19">
        <v>40571</v>
      </c>
      <c r="C948">
        <v>1</v>
      </c>
      <c r="D948">
        <v>1</v>
      </c>
      <c r="E948">
        <v>15</v>
      </c>
      <c r="F948" t="b">
        <v>0</v>
      </c>
      <c r="G948">
        <v>5</v>
      </c>
      <c r="H948">
        <v>2</v>
      </c>
      <c r="I948">
        <v>0.2</v>
      </c>
      <c r="J948">
        <v>336</v>
      </c>
      <c r="K948">
        <v>0.2273</v>
      </c>
      <c r="L948">
        <v>0.48</v>
      </c>
      <c r="M948">
        <v>0.22389999999999999</v>
      </c>
      <c r="N948">
        <v>15</v>
      </c>
      <c r="O948">
        <v>74</v>
      </c>
      <c r="P948">
        <v>89</v>
      </c>
    </row>
    <row r="949" spans="1:16" x14ac:dyDescent="0.25">
      <c r="A949">
        <v>338</v>
      </c>
      <c r="B949" s="19">
        <v>40571</v>
      </c>
      <c r="C949">
        <v>1</v>
      </c>
      <c r="D949">
        <v>1</v>
      </c>
      <c r="E949">
        <v>15</v>
      </c>
      <c r="F949" t="b">
        <v>0</v>
      </c>
      <c r="G949">
        <v>5</v>
      </c>
      <c r="H949">
        <v>2</v>
      </c>
      <c r="I949">
        <v>0.2</v>
      </c>
      <c r="J949">
        <v>337</v>
      </c>
      <c r="K949">
        <v>0.2576</v>
      </c>
      <c r="L949">
        <v>0.38</v>
      </c>
      <c r="M949">
        <v>0.29849999999999999</v>
      </c>
      <c r="N949">
        <v>21</v>
      </c>
      <c r="O949">
        <v>80</v>
      </c>
      <c r="P949">
        <v>101</v>
      </c>
    </row>
    <row r="950" spans="1:16" x14ac:dyDescent="0.25">
      <c r="A950">
        <v>339</v>
      </c>
      <c r="B950" s="19">
        <v>40571</v>
      </c>
      <c r="C950">
        <v>1</v>
      </c>
      <c r="D950">
        <v>1</v>
      </c>
      <c r="E950">
        <v>15</v>
      </c>
      <c r="F950" t="b">
        <v>0</v>
      </c>
      <c r="G950">
        <v>5</v>
      </c>
      <c r="H950">
        <v>2</v>
      </c>
      <c r="I950">
        <v>0.2</v>
      </c>
      <c r="J950">
        <v>338</v>
      </c>
      <c r="K950">
        <v>0.28789999999999999</v>
      </c>
      <c r="L950">
        <v>0.39</v>
      </c>
      <c r="M950">
        <v>0.28360000000000002</v>
      </c>
      <c r="N950">
        <v>26</v>
      </c>
      <c r="O950">
        <v>92</v>
      </c>
      <c r="P950">
        <v>118</v>
      </c>
    </row>
    <row r="951" spans="1:16" x14ac:dyDescent="0.25">
      <c r="A951">
        <v>340</v>
      </c>
      <c r="B951" s="19">
        <v>40571</v>
      </c>
      <c r="C951">
        <v>1</v>
      </c>
      <c r="D951">
        <v>1</v>
      </c>
      <c r="E951">
        <v>15</v>
      </c>
      <c r="F951" t="b">
        <v>0</v>
      </c>
      <c r="G951">
        <v>5</v>
      </c>
      <c r="H951">
        <v>2</v>
      </c>
      <c r="I951">
        <v>0.2</v>
      </c>
      <c r="J951">
        <v>339</v>
      </c>
      <c r="K951">
        <v>0.31819999999999998</v>
      </c>
      <c r="L951">
        <v>0.36</v>
      </c>
      <c r="M951">
        <v>0.19400000000000001</v>
      </c>
      <c r="N951">
        <v>21</v>
      </c>
      <c r="O951">
        <v>108</v>
      </c>
      <c r="P951">
        <v>129</v>
      </c>
    </row>
    <row r="952" spans="1:16" x14ac:dyDescent="0.25">
      <c r="A952">
        <v>341</v>
      </c>
      <c r="B952" s="19">
        <v>40571</v>
      </c>
      <c r="C952">
        <v>1</v>
      </c>
      <c r="D952">
        <v>1</v>
      </c>
      <c r="E952">
        <v>15</v>
      </c>
      <c r="F952" t="b">
        <v>0</v>
      </c>
      <c r="G952">
        <v>5</v>
      </c>
      <c r="H952">
        <v>2</v>
      </c>
      <c r="I952">
        <v>0.2</v>
      </c>
      <c r="J952">
        <v>340</v>
      </c>
      <c r="K952">
        <v>0.33329999999999999</v>
      </c>
      <c r="L952">
        <v>0.34</v>
      </c>
      <c r="M952">
        <v>0.19400000000000001</v>
      </c>
      <c r="N952">
        <v>33</v>
      </c>
      <c r="O952">
        <v>95</v>
      </c>
      <c r="P952">
        <v>128</v>
      </c>
    </row>
    <row r="953" spans="1:16" x14ac:dyDescent="0.25">
      <c r="A953">
        <v>342</v>
      </c>
      <c r="B953" s="19">
        <v>40571</v>
      </c>
      <c r="C953">
        <v>1</v>
      </c>
      <c r="D953">
        <v>1</v>
      </c>
      <c r="E953">
        <v>15</v>
      </c>
      <c r="F953" t="b">
        <v>0</v>
      </c>
      <c r="G953">
        <v>5</v>
      </c>
      <c r="H953">
        <v>2</v>
      </c>
      <c r="I953">
        <v>0.2</v>
      </c>
      <c r="J953">
        <v>341</v>
      </c>
      <c r="K953">
        <v>0.30299999999999999</v>
      </c>
      <c r="L953">
        <v>0.36</v>
      </c>
      <c r="M953">
        <v>0.28360000000000002</v>
      </c>
      <c r="N953">
        <v>29</v>
      </c>
      <c r="O953">
        <v>54</v>
      </c>
      <c r="P953">
        <v>83</v>
      </c>
    </row>
    <row r="954" spans="1:16" x14ac:dyDescent="0.25">
      <c r="A954">
        <v>343</v>
      </c>
      <c r="B954" s="19">
        <v>40571</v>
      </c>
      <c r="C954">
        <v>1</v>
      </c>
      <c r="D954">
        <v>1</v>
      </c>
      <c r="E954">
        <v>15</v>
      </c>
      <c r="F954" t="b">
        <v>0</v>
      </c>
      <c r="G954">
        <v>5</v>
      </c>
      <c r="H954">
        <v>2</v>
      </c>
      <c r="I954">
        <v>0.2</v>
      </c>
      <c r="J954">
        <v>342</v>
      </c>
      <c r="K954">
        <v>0.28789999999999999</v>
      </c>
      <c r="L954">
        <v>0.45</v>
      </c>
      <c r="M954">
        <v>0.25369999999999998</v>
      </c>
      <c r="N954">
        <v>15</v>
      </c>
      <c r="O954">
        <v>69</v>
      </c>
      <c r="P954">
        <v>84</v>
      </c>
    </row>
    <row r="955" spans="1:16" x14ac:dyDescent="0.25">
      <c r="A955">
        <v>344</v>
      </c>
      <c r="B955" s="19">
        <v>40571</v>
      </c>
      <c r="C955">
        <v>1</v>
      </c>
      <c r="D955">
        <v>1</v>
      </c>
      <c r="E955">
        <v>15</v>
      </c>
      <c r="F955" t="b">
        <v>0</v>
      </c>
      <c r="G955">
        <v>5</v>
      </c>
      <c r="H955">
        <v>2</v>
      </c>
      <c r="I955">
        <v>0.2</v>
      </c>
      <c r="J955">
        <v>343</v>
      </c>
      <c r="K955">
        <v>0.30299999999999999</v>
      </c>
      <c r="L955">
        <v>0.39</v>
      </c>
      <c r="M955">
        <v>0.25369999999999998</v>
      </c>
      <c r="N955">
        <v>14</v>
      </c>
      <c r="O955">
        <v>60</v>
      </c>
      <c r="P955">
        <v>74</v>
      </c>
    </row>
    <row r="956" spans="1:16" x14ac:dyDescent="0.25">
      <c r="A956">
        <v>345</v>
      </c>
      <c r="B956" s="19">
        <v>40571</v>
      </c>
      <c r="C956">
        <v>1</v>
      </c>
      <c r="D956">
        <v>1</v>
      </c>
      <c r="E956">
        <v>15</v>
      </c>
      <c r="F956" t="b">
        <v>0</v>
      </c>
      <c r="G956">
        <v>5</v>
      </c>
      <c r="H956">
        <v>2</v>
      </c>
      <c r="I956">
        <v>0.2</v>
      </c>
      <c r="J956">
        <v>344</v>
      </c>
      <c r="K956">
        <v>0.30299999999999999</v>
      </c>
      <c r="L956">
        <v>0.39</v>
      </c>
      <c r="M956">
        <v>0.25369999999999998</v>
      </c>
      <c r="N956">
        <v>6</v>
      </c>
      <c r="O956">
        <v>35</v>
      </c>
      <c r="P956">
        <v>41</v>
      </c>
    </row>
    <row r="957" spans="1:16" x14ac:dyDescent="0.25">
      <c r="A957">
        <v>346</v>
      </c>
      <c r="B957" s="19">
        <v>40571</v>
      </c>
      <c r="C957">
        <v>1</v>
      </c>
      <c r="D957">
        <v>1</v>
      </c>
      <c r="E957">
        <v>15</v>
      </c>
      <c r="F957" t="b">
        <v>0</v>
      </c>
      <c r="G957">
        <v>5</v>
      </c>
      <c r="H957">
        <v>2</v>
      </c>
      <c r="I957">
        <v>0.2</v>
      </c>
      <c r="J957">
        <v>345</v>
      </c>
      <c r="K957">
        <v>0.30299999999999999</v>
      </c>
      <c r="L957">
        <v>0.39</v>
      </c>
      <c r="M957">
        <v>0.22389999999999999</v>
      </c>
      <c r="N957">
        <v>6</v>
      </c>
      <c r="O957">
        <v>51</v>
      </c>
      <c r="P957">
        <v>57</v>
      </c>
    </row>
    <row r="958" spans="1:16" x14ac:dyDescent="0.25">
      <c r="A958">
        <v>347</v>
      </c>
      <c r="B958" s="19">
        <v>40571</v>
      </c>
      <c r="C958">
        <v>1</v>
      </c>
      <c r="D958">
        <v>1</v>
      </c>
      <c r="E958">
        <v>15</v>
      </c>
      <c r="F958" t="b">
        <v>0</v>
      </c>
      <c r="G958">
        <v>5</v>
      </c>
      <c r="H958">
        <v>2</v>
      </c>
      <c r="I958">
        <v>0.2</v>
      </c>
      <c r="J958">
        <v>346</v>
      </c>
      <c r="K958">
        <v>0.31819999999999998</v>
      </c>
      <c r="L958">
        <v>0.42</v>
      </c>
      <c r="M958">
        <v>0.1045</v>
      </c>
      <c r="N958">
        <v>0</v>
      </c>
      <c r="O958">
        <v>26</v>
      </c>
      <c r="P958">
        <v>26</v>
      </c>
    </row>
    <row r="959" spans="1:16" x14ac:dyDescent="0.25">
      <c r="A959">
        <v>348</v>
      </c>
      <c r="B959" s="19">
        <v>40571</v>
      </c>
      <c r="C959">
        <v>1</v>
      </c>
      <c r="D959">
        <v>1</v>
      </c>
      <c r="E959">
        <v>15</v>
      </c>
      <c r="F959" t="b">
        <v>0</v>
      </c>
      <c r="G959">
        <v>5</v>
      </c>
      <c r="H959">
        <v>2</v>
      </c>
      <c r="I959">
        <v>0.2</v>
      </c>
      <c r="J959">
        <v>347</v>
      </c>
      <c r="K959">
        <v>0.28789999999999999</v>
      </c>
      <c r="L959">
        <v>0.45</v>
      </c>
      <c r="M959">
        <v>0.28360000000000002</v>
      </c>
      <c r="N959">
        <v>5</v>
      </c>
      <c r="O959">
        <v>39</v>
      </c>
      <c r="P959">
        <v>44</v>
      </c>
    </row>
    <row r="960" spans="1:16" x14ac:dyDescent="0.25">
      <c r="A960">
        <v>349</v>
      </c>
      <c r="B960" s="19">
        <v>40571</v>
      </c>
      <c r="C960">
        <v>1</v>
      </c>
      <c r="D960">
        <v>1</v>
      </c>
      <c r="E960">
        <v>15</v>
      </c>
      <c r="F960" t="b">
        <v>0</v>
      </c>
      <c r="G960">
        <v>5</v>
      </c>
      <c r="H960">
        <v>2</v>
      </c>
      <c r="I960">
        <v>0.2</v>
      </c>
      <c r="J960">
        <v>348</v>
      </c>
      <c r="K960">
        <v>0.30299999999999999</v>
      </c>
      <c r="L960">
        <v>0.56000000000000005</v>
      </c>
      <c r="M960">
        <v>0</v>
      </c>
      <c r="N960">
        <v>6</v>
      </c>
      <c r="O960">
        <v>33</v>
      </c>
      <c r="P960">
        <v>39</v>
      </c>
    </row>
    <row r="961" spans="1:16" x14ac:dyDescent="0.25">
      <c r="A961">
        <v>350</v>
      </c>
      <c r="B961" s="19">
        <v>40571</v>
      </c>
      <c r="C961">
        <v>1</v>
      </c>
      <c r="D961">
        <v>1</v>
      </c>
      <c r="E961">
        <v>15</v>
      </c>
      <c r="F961" t="b">
        <v>0</v>
      </c>
      <c r="G961">
        <v>5</v>
      </c>
      <c r="H961">
        <v>2</v>
      </c>
      <c r="I961">
        <v>0.2</v>
      </c>
      <c r="J961">
        <v>349</v>
      </c>
      <c r="K961">
        <v>0.2727</v>
      </c>
      <c r="L961">
        <v>0.56000000000000005</v>
      </c>
      <c r="M961">
        <v>0.1343</v>
      </c>
      <c r="N961">
        <v>4</v>
      </c>
      <c r="O961">
        <v>19</v>
      </c>
      <c r="P961">
        <v>23</v>
      </c>
    </row>
    <row r="962" spans="1:16" x14ac:dyDescent="0.25">
      <c r="A962">
        <v>351</v>
      </c>
      <c r="B962" s="19">
        <v>40571</v>
      </c>
      <c r="C962">
        <v>1</v>
      </c>
      <c r="D962">
        <v>1</v>
      </c>
      <c r="E962">
        <v>15</v>
      </c>
      <c r="F962" t="b">
        <v>0</v>
      </c>
      <c r="G962">
        <v>5</v>
      </c>
      <c r="H962">
        <v>2</v>
      </c>
      <c r="I962">
        <v>0.2</v>
      </c>
      <c r="J962">
        <v>350</v>
      </c>
      <c r="K962">
        <v>0.28789999999999999</v>
      </c>
      <c r="L962">
        <v>0.56000000000000005</v>
      </c>
      <c r="M962">
        <v>8.9599999999999999E-2</v>
      </c>
      <c r="N962">
        <v>3</v>
      </c>
      <c r="O962">
        <v>13</v>
      </c>
      <c r="P962">
        <v>16</v>
      </c>
    </row>
    <row r="963" spans="1:16" x14ac:dyDescent="0.25">
      <c r="A963">
        <v>352</v>
      </c>
      <c r="B963" s="19">
        <v>40571</v>
      </c>
      <c r="C963">
        <v>1</v>
      </c>
      <c r="D963">
        <v>1</v>
      </c>
      <c r="E963">
        <v>15</v>
      </c>
      <c r="F963" t="b">
        <v>0</v>
      </c>
      <c r="G963">
        <v>5</v>
      </c>
      <c r="H963">
        <v>2</v>
      </c>
      <c r="I963">
        <v>0.2</v>
      </c>
      <c r="J963">
        <v>351</v>
      </c>
      <c r="K963">
        <v>0.2727</v>
      </c>
      <c r="L963">
        <v>0.69</v>
      </c>
      <c r="M963">
        <v>0</v>
      </c>
      <c r="N963">
        <v>9</v>
      </c>
      <c r="O963">
        <v>6</v>
      </c>
      <c r="P963">
        <v>15</v>
      </c>
    </row>
    <row r="964" spans="1:16" x14ac:dyDescent="0.25">
      <c r="A964">
        <v>353</v>
      </c>
      <c r="B964" s="19">
        <v>40571</v>
      </c>
      <c r="C964">
        <v>1</v>
      </c>
      <c r="D964">
        <v>1</v>
      </c>
      <c r="E964">
        <v>15</v>
      </c>
      <c r="F964" t="b">
        <v>0</v>
      </c>
      <c r="G964">
        <v>5</v>
      </c>
      <c r="H964">
        <v>2</v>
      </c>
      <c r="I964">
        <v>0.2</v>
      </c>
      <c r="J964">
        <v>352</v>
      </c>
      <c r="K964">
        <v>0.2576</v>
      </c>
      <c r="L964">
        <v>0.56000000000000005</v>
      </c>
      <c r="M964">
        <v>0.16420000000000001</v>
      </c>
      <c r="N964">
        <v>0</v>
      </c>
      <c r="O964">
        <v>1</v>
      </c>
      <c r="P964">
        <v>1</v>
      </c>
    </row>
    <row r="965" spans="1:16" x14ac:dyDescent="0.25">
      <c r="A965">
        <v>354</v>
      </c>
      <c r="B965" s="19">
        <v>40571</v>
      </c>
      <c r="C965">
        <v>1</v>
      </c>
      <c r="D965">
        <v>1</v>
      </c>
      <c r="E965">
        <v>15</v>
      </c>
      <c r="F965" t="b">
        <v>0</v>
      </c>
      <c r="G965">
        <v>5</v>
      </c>
      <c r="H965">
        <v>2</v>
      </c>
      <c r="I965">
        <v>0.2</v>
      </c>
      <c r="J965">
        <v>353</v>
      </c>
      <c r="K965">
        <v>0.2576</v>
      </c>
      <c r="L965">
        <v>0.56000000000000005</v>
      </c>
      <c r="M965">
        <v>0.16420000000000001</v>
      </c>
      <c r="N965">
        <v>1</v>
      </c>
      <c r="O965">
        <v>1</v>
      </c>
      <c r="P965">
        <v>2</v>
      </c>
    </row>
    <row r="966" spans="1:16" x14ac:dyDescent="0.25">
      <c r="A966">
        <v>355</v>
      </c>
      <c r="B966" s="19">
        <v>40571</v>
      </c>
      <c r="C966">
        <v>1</v>
      </c>
      <c r="D966">
        <v>1</v>
      </c>
      <c r="E966">
        <v>15</v>
      </c>
      <c r="F966" t="b">
        <v>0</v>
      </c>
      <c r="G966">
        <v>5</v>
      </c>
      <c r="H966">
        <v>2</v>
      </c>
      <c r="I966">
        <v>0.2</v>
      </c>
      <c r="J966">
        <v>354</v>
      </c>
      <c r="K966">
        <v>0.2576</v>
      </c>
      <c r="L966">
        <v>0.56000000000000005</v>
      </c>
      <c r="M966">
        <v>0.16420000000000001</v>
      </c>
      <c r="N966">
        <v>0</v>
      </c>
      <c r="O966">
        <v>1</v>
      </c>
      <c r="P966">
        <v>1</v>
      </c>
    </row>
    <row r="967" spans="1:16" x14ac:dyDescent="0.25">
      <c r="A967">
        <v>356</v>
      </c>
      <c r="B967" s="19">
        <v>40571</v>
      </c>
      <c r="C967">
        <v>1</v>
      </c>
      <c r="D967">
        <v>1</v>
      </c>
      <c r="E967">
        <v>15</v>
      </c>
      <c r="F967" t="b">
        <v>0</v>
      </c>
      <c r="G967">
        <v>5</v>
      </c>
      <c r="H967">
        <v>2</v>
      </c>
      <c r="I967">
        <v>0.2</v>
      </c>
      <c r="J967">
        <v>355</v>
      </c>
      <c r="K967">
        <v>0.21210000000000001</v>
      </c>
      <c r="L967">
        <v>0.56000000000000005</v>
      </c>
      <c r="M967">
        <v>0.29849999999999999</v>
      </c>
      <c r="N967">
        <v>0</v>
      </c>
      <c r="O967">
        <v>3</v>
      </c>
      <c r="P967">
        <v>3</v>
      </c>
    </row>
    <row r="968" spans="1:16" x14ac:dyDescent="0.25">
      <c r="A968">
        <v>357</v>
      </c>
      <c r="B968" s="19">
        <v>40571</v>
      </c>
      <c r="C968">
        <v>1</v>
      </c>
      <c r="D968">
        <v>1</v>
      </c>
      <c r="E968">
        <v>15</v>
      </c>
      <c r="F968" t="b">
        <v>0</v>
      </c>
      <c r="G968">
        <v>5</v>
      </c>
      <c r="H968">
        <v>2</v>
      </c>
      <c r="I968">
        <v>0.2</v>
      </c>
      <c r="J968">
        <v>356</v>
      </c>
      <c r="K968">
        <v>0.21210000000000001</v>
      </c>
      <c r="L968">
        <v>0.55000000000000004</v>
      </c>
      <c r="M968">
        <v>0.28360000000000002</v>
      </c>
      <c r="N968">
        <v>0</v>
      </c>
      <c r="O968">
        <v>18</v>
      </c>
      <c r="P968">
        <v>18</v>
      </c>
    </row>
    <row r="969" spans="1:16" x14ac:dyDescent="0.25">
      <c r="A969">
        <v>358</v>
      </c>
      <c r="B969" s="19">
        <v>40571</v>
      </c>
      <c r="C969">
        <v>1</v>
      </c>
      <c r="D969">
        <v>1</v>
      </c>
      <c r="E969">
        <v>15</v>
      </c>
      <c r="F969" t="b">
        <v>0</v>
      </c>
      <c r="G969">
        <v>5</v>
      </c>
      <c r="H969">
        <v>2</v>
      </c>
      <c r="I969">
        <v>0.2</v>
      </c>
      <c r="J969">
        <v>357</v>
      </c>
      <c r="K969">
        <v>0.21210000000000001</v>
      </c>
      <c r="L969">
        <v>0.51</v>
      </c>
      <c r="M969">
        <v>0.25369999999999998</v>
      </c>
      <c r="N969">
        <v>3</v>
      </c>
      <c r="O969">
        <v>29</v>
      </c>
      <c r="P969">
        <v>32</v>
      </c>
    </row>
    <row r="970" spans="1:16" x14ac:dyDescent="0.25">
      <c r="A970">
        <v>359</v>
      </c>
      <c r="B970" s="19">
        <v>40571</v>
      </c>
      <c r="C970">
        <v>1</v>
      </c>
      <c r="D970">
        <v>1</v>
      </c>
      <c r="E970">
        <v>15</v>
      </c>
      <c r="F970" t="b">
        <v>0</v>
      </c>
      <c r="G970">
        <v>5</v>
      </c>
      <c r="H970">
        <v>2</v>
      </c>
      <c r="I970">
        <v>0.2</v>
      </c>
      <c r="J970">
        <v>358</v>
      </c>
      <c r="K970">
        <v>0.21210000000000001</v>
      </c>
      <c r="L970">
        <v>0.51</v>
      </c>
      <c r="M970">
        <v>0.28360000000000002</v>
      </c>
      <c r="N970">
        <v>8</v>
      </c>
      <c r="O970">
        <v>71</v>
      </c>
      <c r="P970">
        <v>79</v>
      </c>
    </row>
    <row r="971" spans="1:16" x14ac:dyDescent="0.25">
      <c r="A971">
        <v>360</v>
      </c>
      <c r="B971" s="19">
        <v>40571</v>
      </c>
      <c r="C971">
        <v>1</v>
      </c>
      <c r="D971">
        <v>1</v>
      </c>
      <c r="E971">
        <v>15</v>
      </c>
      <c r="F971" t="b">
        <v>0</v>
      </c>
      <c r="G971">
        <v>5</v>
      </c>
      <c r="H971">
        <v>2</v>
      </c>
      <c r="I971">
        <v>0.2</v>
      </c>
      <c r="J971">
        <v>359</v>
      </c>
      <c r="K971">
        <v>0.2273</v>
      </c>
      <c r="L971">
        <v>0.44</v>
      </c>
      <c r="M971">
        <v>0.25369999999999998</v>
      </c>
      <c r="N971">
        <v>23</v>
      </c>
      <c r="O971">
        <v>70</v>
      </c>
      <c r="P971">
        <v>93</v>
      </c>
    </row>
    <row r="972" spans="1:16" x14ac:dyDescent="0.25">
      <c r="A972">
        <v>361</v>
      </c>
      <c r="B972" s="19">
        <v>40571</v>
      </c>
      <c r="C972">
        <v>1</v>
      </c>
      <c r="D972">
        <v>1</v>
      </c>
      <c r="E972">
        <v>15</v>
      </c>
      <c r="F972" t="b">
        <v>0</v>
      </c>
      <c r="G972">
        <v>5</v>
      </c>
      <c r="H972">
        <v>2</v>
      </c>
      <c r="I972">
        <v>0.2</v>
      </c>
      <c r="J972">
        <v>360</v>
      </c>
      <c r="K972">
        <v>0.21210000000000001</v>
      </c>
      <c r="L972">
        <v>0.41</v>
      </c>
      <c r="M972">
        <v>0.28360000000000002</v>
      </c>
      <c r="N972">
        <v>29</v>
      </c>
      <c r="O972">
        <v>75</v>
      </c>
      <c r="P972">
        <v>104</v>
      </c>
    </row>
    <row r="973" spans="1:16" x14ac:dyDescent="0.25">
      <c r="A973">
        <v>362</v>
      </c>
      <c r="B973" s="19">
        <v>40571</v>
      </c>
      <c r="C973">
        <v>1</v>
      </c>
      <c r="D973">
        <v>1</v>
      </c>
      <c r="E973">
        <v>15</v>
      </c>
      <c r="F973" t="b">
        <v>0</v>
      </c>
      <c r="G973">
        <v>5</v>
      </c>
      <c r="H973">
        <v>2</v>
      </c>
      <c r="I973">
        <v>0.2</v>
      </c>
      <c r="J973">
        <v>361</v>
      </c>
      <c r="K973">
        <v>0.2273</v>
      </c>
      <c r="L973">
        <v>0.35</v>
      </c>
      <c r="M973">
        <v>0.29849999999999999</v>
      </c>
      <c r="N973">
        <v>23</v>
      </c>
      <c r="O973">
        <v>95</v>
      </c>
      <c r="P973">
        <v>118</v>
      </c>
    </row>
    <row r="974" spans="1:16" x14ac:dyDescent="0.25">
      <c r="A974">
        <v>363</v>
      </c>
      <c r="B974" s="19">
        <v>40571</v>
      </c>
      <c r="C974">
        <v>1</v>
      </c>
      <c r="D974">
        <v>1</v>
      </c>
      <c r="E974">
        <v>15</v>
      </c>
      <c r="F974" t="b">
        <v>0</v>
      </c>
      <c r="G974">
        <v>5</v>
      </c>
      <c r="H974">
        <v>2</v>
      </c>
      <c r="I974">
        <v>0.2</v>
      </c>
      <c r="J974">
        <v>362</v>
      </c>
      <c r="K974">
        <v>0.2727</v>
      </c>
      <c r="L974">
        <v>0.36</v>
      </c>
      <c r="M974">
        <v>0.25369999999999998</v>
      </c>
      <c r="N974">
        <v>22</v>
      </c>
      <c r="O974">
        <v>69</v>
      </c>
      <c r="P974">
        <v>91</v>
      </c>
    </row>
    <row r="975" spans="1:16" x14ac:dyDescent="0.25">
      <c r="A975">
        <v>364</v>
      </c>
      <c r="B975" s="19">
        <v>40571</v>
      </c>
      <c r="C975">
        <v>1</v>
      </c>
      <c r="D975">
        <v>1</v>
      </c>
      <c r="E975">
        <v>15</v>
      </c>
      <c r="F975" t="b">
        <v>0</v>
      </c>
      <c r="G975">
        <v>5</v>
      </c>
      <c r="H975">
        <v>2</v>
      </c>
      <c r="I975">
        <v>0.2</v>
      </c>
      <c r="J975">
        <v>363</v>
      </c>
      <c r="K975">
        <v>0.2424</v>
      </c>
      <c r="L975">
        <v>0.38</v>
      </c>
      <c r="M975">
        <v>0.25369999999999998</v>
      </c>
      <c r="N975">
        <v>35</v>
      </c>
      <c r="O975">
        <v>78</v>
      </c>
      <c r="P975">
        <v>113</v>
      </c>
    </row>
    <row r="976" spans="1:16" x14ac:dyDescent="0.25">
      <c r="A976">
        <v>365</v>
      </c>
      <c r="B976" s="19">
        <v>40571</v>
      </c>
      <c r="C976">
        <v>1</v>
      </c>
      <c r="D976">
        <v>1</v>
      </c>
      <c r="E976">
        <v>15</v>
      </c>
      <c r="F976" t="b">
        <v>0</v>
      </c>
      <c r="G976">
        <v>5</v>
      </c>
      <c r="H976">
        <v>2</v>
      </c>
      <c r="I976">
        <v>0.2</v>
      </c>
      <c r="J976">
        <v>364</v>
      </c>
      <c r="K976">
        <v>0.2273</v>
      </c>
      <c r="L976">
        <v>0.38</v>
      </c>
      <c r="M976">
        <v>0.22389999999999999</v>
      </c>
      <c r="N976">
        <v>22</v>
      </c>
      <c r="O976">
        <v>77</v>
      </c>
      <c r="P976">
        <v>99</v>
      </c>
    </row>
    <row r="977" spans="1:16" x14ac:dyDescent="0.25">
      <c r="A977">
        <v>366</v>
      </c>
      <c r="B977" s="19">
        <v>40571</v>
      </c>
      <c r="C977">
        <v>1</v>
      </c>
      <c r="D977">
        <v>1</v>
      </c>
      <c r="E977">
        <v>15</v>
      </c>
      <c r="F977" t="b">
        <v>0</v>
      </c>
      <c r="G977">
        <v>5</v>
      </c>
      <c r="H977">
        <v>2</v>
      </c>
      <c r="I977">
        <v>0.2</v>
      </c>
      <c r="J977">
        <v>365</v>
      </c>
      <c r="K977">
        <v>0.21210000000000001</v>
      </c>
      <c r="L977">
        <v>0.37</v>
      </c>
      <c r="M977">
        <v>0.25369999999999998</v>
      </c>
      <c r="N977">
        <v>23</v>
      </c>
      <c r="O977">
        <v>82</v>
      </c>
      <c r="P977">
        <v>105</v>
      </c>
    </row>
    <row r="978" spans="1:16" x14ac:dyDescent="0.25">
      <c r="A978">
        <v>367</v>
      </c>
      <c r="B978" s="19">
        <v>40571</v>
      </c>
      <c r="C978">
        <v>1</v>
      </c>
      <c r="D978">
        <v>1</v>
      </c>
      <c r="E978">
        <v>15</v>
      </c>
      <c r="F978" t="b">
        <v>0</v>
      </c>
      <c r="G978">
        <v>5</v>
      </c>
      <c r="H978">
        <v>2</v>
      </c>
      <c r="I978">
        <v>0.2</v>
      </c>
      <c r="J978">
        <v>366</v>
      </c>
      <c r="K978">
        <v>0.21210000000000001</v>
      </c>
      <c r="L978">
        <v>0.4</v>
      </c>
      <c r="M978">
        <v>0.16420000000000001</v>
      </c>
      <c r="N978">
        <v>11</v>
      </c>
      <c r="O978">
        <v>56</v>
      </c>
      <c r="P978">
        <v>67</v>
      </c>
    </row>
    <row r="979" spans="1:16" x14ac:dyDescent="0.25">
      <c r="A979">
        <v>368</v>
      </c>
      <c r="B979" s="19">
        <v>40571</v>
      </c>
      <c r="C979">
        <v>1</v>
      </c>
      <c r="D979">
        <v>1</v>
      </c>
      <c r="E979">
        <v>15</v>
      </c>
      <c r="F979" t="b">
        <v>0</v>
      </c>
      <c r="G979">
        <v>5</v>
      </c>
      <c r="H979">
        <v>2</v>
      </c>
      <c r="I979">
        <v>0.2</v>
      </c>
      <c r="J979">
        <v>367</v>
      </c>
      <c r="K979">
        <v>0.19700000000000001</v>
      </c>
      <c r="L979">
        <v>0.47</v>
      </c>
      <c r="M979">
        <v>0.1343</v>
      </c>
      <c r="N979">
        <v>14</v>
      </c>
      <c r="O979">
        <v>47</v>
      </c>
      <c r="P979">
        <v>61</v>
      </c>
    </row>
    <row r="980" spans="1:16" x14ac:dyDescent="0.25">
      <c r="A980">
        <v>369</v>
      </c>
      <c r="B980" s="19">
        <v>40571</v>
      </c>
      <c r="C980">
        <v>1</v>
      </c>
      <c r="D980">
        <v>1</v>
      </c>
      <c r="E980">
        <v>15</v>
      </c>
      <c r="F980" t="b">
        <v>0</v>
      </c>
      <c r="G980">
        <v>5</v>
      </c>
      <c r="H980">
        <v>2</v>
      </c>
      <c r="I980">
        <v>0.2</v>
      </c>
      <c r="J980">
        <v>368</v>
      </c>
      <c r="K980">
        <v>0.19700000000000001</v>
      </c>
      <c r="L980">
        <v>0.47</v>
      </c>
      <c r="M980">
        <v>0.16420000000000001</v>
      </c>
      <c r="N980">
        <v>7</v>
      </c>
      <c r="O980">
        <v>50</v>
      </c>
      <c r="P980">
        <v>57</v>
      </c>
    </row>
    <row r="981" spans="1:16" x14ac:dyDescent="0.25">
      <c r="A981">
        <v>370</v>
      </c>
      <c r="B981" s="19">
        <v>40571</v>
      </c>
      <c r="C981">
        <v>1</v>
      </c>
      <c r="D981">
        <v>1</v>
      </c>
      <c r="E981">
        <v>15</v>
      </c>
      <c r="F981" t="b">
        <v>0</v>
      </c>
      <c r="G981">
        <v>5</v>
      </c>
      <c r="H981">
        <v>2</v>
      </c>
      <c r="I981">
        <v>0.2</v>
      </c>
      <c r="J981">
        <v>369</v>
      </c>
      <c r="K981">
        <v>0.19700000000000001</v>
      </c>
      <c r="L981">
        <v>0.51</v>
      </c>
      <c r="M981">
        <v>0.16420000000000001</v>
      </c>
      <c r="N981">
        <v>6</v>
      </c>
      <c r="O981">
        <v>22</v>
      </c>
      <c r="P981">
        <v>28</v>
      </c>
    </row>
    <row r="982" spans="1:16" x14ac:dyDescent="0.25">
      <c r="A982">
        <v>371</v>
      </c>
      <c r="B982" s="19">
        <v>40571</v>
      </c>
      <c r="C982">
        <v>1</v>
      </c>
      <c r="D982">
        <v>1</v>
      </c>
      <c r="E982">
        <v>15</v>
      </c>
      <c r="F982" t="b">
        <v>0</v>
      </c>
      <c r="G982">
        <v>5</v>
      </c>
      <c r="H982">
        <v>2</v>
      </c>
      <c r="I982">
        <v>0.2</v>
      </c>
      <c r="J982">
        <v>370</v>
      </c>
      <c r="K982">
        <v>0.21210000000000001</v>
      </c>
      <c r="L982">
        <v>0.49</v>
      </c>
      <c r="M982">
        <v>0.1343</v>
      </c>
      <c r="N982">
        <v>2</v>
      </c>
      <c r="O982">
        <v>19</v>
      </c>
      <c r="P982">
        <v>21</v>
      </c>
    </row>
    <row r="983" spans="1:16" x14ac:dyDescent="0.25">
      <c r="A983">
        <v>372</v>
      </c>
      <c r="B983" s="19">
        <v>40571</v>
      </c>
      <c r="C983">
        <v>1</v>
      </c>
      <c r="D983">
        <v>1</v>
      </c>
      <c r="E983">
        <v>15</v>
      </c>
      <c r="F983" t="b">
        <v>0</v>
      </c>
      <c r="G983">
        <v>5</v>
      </c>
      <c r="H983">
        <v>2</v>
      </c>
      <c r="I983">
        <v>0.2</v>
      </c>
      <c r="J983">
        <v>371</v>
      </c>
      <c r="K983">
        <v>0.2273</v>
      </c>
      <c r="L983">
        <v>0.4</v>
      </c>
      <c r="M983">
        <v>0.1045</v>
      </c>
      <c r="N983">
        <v>0</v>
      </c>
      <c r="O983">
        <v>18</v>
      </c>
      <c r="P983">
        <v>18</v>
      </c>
    </row>
    <row r="984" spans="1:16" x14ac:dyDescent="0.25">
      <c r="A984">
        <v>373</v>
      </c>
      <c r="B984" s="19">
        <v>40571</v>
      </c>
      <c r="C984">
        <v>1</v>
      </c>
      <c r="D984">
        <v>1</v>
      </c>
      <c r="E984">
        <v>15</v>
      </c>
      <c r="F984" t="b">
        <v>0</v>
      </c>
      <c r="G984">
        <v>5</v>
      </c>
      <c r="H984">
        <v>2</v>
      </c>
      <c r="I984">
        <v>0.2</v>
      </c>
      <c r="J984">
        <v>372</v>
      </c>
      <c r="K984">
        <v>0.19700000000000001</v>
      </c>
      <c r="L984">
        <v>0.47</v>
      </c>
      <c r="M984">
        <v>0.22389999999999999</v>
      </c>
      <c r="N984">
        <v>1</v>
      </c>
      <c r="O984">
        <v>16</v>
      </c>
      <c r="P984">
        <v>17</v>
      </c>
    </row>
    <row r="985" spans="1:16" x14ac:dyDescent="0.25">
      <c r="A985">
        <v>374</v>
      </c>
      <c r="B985" s="19">
        <v>40571</v>
      </c>
      <c r="C985">
        <v>1</v>
      </c>
      <c r="D985">
        <v>1</v>
      </c>
      <c r="E985">
        <v>15</v>
      </c>
      <c r="F985" t="b">
        <v>0</v>
      </c>
      <c r="G985">
        <v>5</v>
      </c>
      <c r="H985">
        <v>2</v>
      </c>
      <c r="I985">
        <v>0.2</v>
      </c>
      <c r="J985">
        <v>373</v>
      </c>
      <c r="K985">
        <v>0.19700000000000001</v>
      </c>
      <c r="L985">
        <v>0.44</v>
      </c>
      <c r="M985">
        <v>0.19400000000000001</v>
      </c>
      <c r="N985">
        <v>1</v>
      </c>
      <c r="O985">
        <v>15</v>
      </c>
      <c r="P985">
        <v>16</v>
      </c>
    </row>
    <row r="986" spans="1:16" x14ac:dyDescent="0.25">
      <c r="A986">
        <v>375</v>
      </c>
      <c r="B986" s="19">
        <v>40571</v>
      </c>
      <c r="C986">
        <v>1</v>
      </c>
      <c r="D986">
        <v>1</v>
      </c>
      <c r="E986">
        <v>15</v>
      </c>
      <c r="F986" t="b">
        <v>0</v>
      </c>
      <c r="G986">
        <v>5</v>
      </c>
      <c r="H986">
        <v>2</v>
      </c>
      <c r="I986">
        <v>0.2</v>
      </c>
      <c r="J986">
        <v>374</v>
      </c>
      <c r="K986">
        <v>0.16669999999999999</v>
      </c>
      <c r="L986">
        <v>0.43</v>
      </c>
      <c r="M986">
        <v>0.25369999999999998</v>
      </c>
      <c r="N986">
        <v>0</v>
      </c>
      <c r="O986">
        <v>8</v>
      </c>
      <c r="P986">
        <v>8</v>
      </c>
    </row>
    <row r="987" spans="1:16" x14ac:dyDescent="0.25">
      <c r="A987">
        <v>376</v>
      </c>
      <c r="B987" s="19">
        <v>40571</v>
      </c>
      <c r="C987">
        <v>1</v>
      </c>
      <c r="D987">
        <v>1</v>
      </c>
      <c r="E987">
        <v>15</v>
      </c>
      <c r="F987" t="b">
        <v>0</v>
      </c>
      <c r="G987">
        <v>5</v>
      </c>
      <c r="H987">
        <v>2</v>
      </c>
      <c r="I987">
        <v>0.2</v>
      </c>
      <c r="J987">
        <v>375</v>
      </c>
      <c r="K987">
        <v>0.18179999999999999</v>
      </c>
      <c r="L987">
        <v>0.43</v>
      </c>
      <c r="M987">
        <v>0.19400000000000001</v>
      </c>
      <c r="N987">
        <v>0</v>
      </c>
      <c r="O987">
        <v>2</v>
      </c>
      <c r="P987">
        <v>2</v>
      </c>
    </row>
    <row r="988" spans="1:16" x14ac:dyDescent="0.25">
      <c r="A988">
        <v>377</v>
      </c>
      <c r="B988" s="19">
        <v>40571</v>
      </c>
      <c r="C988">
        <v>1</v>
      </c>
      <c r="D988">
        <v>1</v>
      </c>
      <c r="E988">
        <v>15</v>
      </c>
      <c r="F988" t="b">
        <v>0</v>
      </c>
      <c r="G988">
        <v>5</v>
      </c>
      <c r="H988">
        <v>2</v>
      </c>
      <c r="I988">
        <v>0.2</v>
      </c>
      <c r="J988">
        <v>376</v>
      </c>
      <c r="K988">
        <v>0.19700000000000001</v>
      </c>
      <c r="L988">
        <v>0.43</v>
      </c>
      <c r="M988">
        <v>0.1343</v>
      </c>
      <c r="N988">
        <v>1</v>
      </c>
      <c r="O988">
        <v>2</v>
      </c>
      <c r="P988">
        <v>3</v>
      </c>
    </row>
    <row r="989" spans="1:16" x14ac:dyDescent="0.25">
      <c r="A989">
        <v>378</v>
      </c>
      <c r="B989" s="19">
        <v>40571</v>
      </c>
      <c r="C989">
        <v>1</v>
      </c>
      <c r="D989">
        <v>1</v>
      </c>
      <c r="E989">
        <v>15</v>
      </c>
      <c r="F989" t="b">
        <v>0</v>
      </c>
      <c r="G989">
        <v>5</v>
      </c>
      <c r="H989">
        <v>2</v>
      </c>
      <c r="I989">
        <v>0.2</v>
      </c>
      <c r="J989">
        <v>377</v>
      </c>
      <c r="K989">
        <v>0.19700000000000001</v>
      </c>
      <c r="L989">
        <v>0.43</v>
      </c>
      <c r="M989">
        <v>0.16420000000000001</v>
      </c>
      <c r="N989">
        <v>0</v>
      </c>
      <c r="O989">
        <v>1</v>
      </c>
      <c r="P989">
        <v>1</v>
      </c>
    </row>
    <row r="990" spans="1:16" x14ac:dyDescent="0.25">
      <c r="A990">
        <v>379</v>
      </c>
      <c r="B990" s="19">
        <v>40571</v>
      </c>
      <c r="C990">
        <v>1</v>
      </c>
      <c r="D990">
        <v>1</v>
      </c>
      <c r="E990">
        <v>15</v>
      </c>
      <c r="F990" t="b">
        <v>0</v>
      </c>
      <c r="G990">
        <v>5</v>
      </c>
      <c r="H990">
        <v>2</v>
      </c>
      <c r="I990">
        <v>0.2</v>
      </c>
      <c r="J990">
        <v>378</v>
      </c>
      <c r="K990">
        <v>0.18179999999999999</v>
      </c>
      <c r="L990">
        <v>0.43</v>
      </c>
      <c r="M990">
        <v>0.19400000000000001</v>
      </c>
      <c r="N990">
        <v>0</v>
      </c>
      <c r="O990">
        <v>5</v>
      </c>
      <c r="P990">
        <v>5</v>
      </c>
    </row>
    <row r="991" spans="1:16" x14ac:dyDescent="0.25">
      <c r="A991">
        <v>380</v>
      </c>
      <c r="B991" s="19">
        <v>40571</v>
      </c>
      <c r="C991">
        <v>1</v>
      </c>
      <c r="D991">
        <v>1</v>
      </c>
      <c r="E991">
        <v>15</v>
      </c>
      <c r="F991" t="b">
        <v>0</v>
      </c>
      <c r="G991">
        <v>5</v>
      </c>
      <c r="H991">
        <v>2</v>
      </c>
      <c r="I991">
        <v>0.2</v>
      </c>
      <c r="J991">
        <v>379</v>
      </c>
      <c r="K991">
        <v>0.18179999999999999</v>
      </c>
      <c r="L991">
        <v>0.5</v>
      </c>
      <c r="M991">
        <v>0.1343</v>
      </c>
      <c r="N991">
        <v>4</v>
      </c>
      <c r="O991">
        <v>9</v>
      </c>
      <c r="P991">
        <v>13</v>
      </c>
    </row>
    <row r="992" spans="1:16" x14ac:dyDescent="0.25">
      <c r="A992">
        <v>381</v>
      </c>
      <c r="B992" s="19">
        <v>40571</v>
      </c>
      <c r="C992">
        <v>1</v>
      </c>
      <c r="D992">
        <v>1</v>
      </c>
      <c r="E992">
        <v>15</v>
      </c>
      <c r="F992" t="b">
        <v>0</v>
      </c>
      <c r="G992">
        <v>5</v>
      </c>
      <c r="H992">
        <v>2</v>
      </c>
      <c r="I992">
        <v>0.2</v>
      </c>
      <c r="J992">
        <v>380</v>
      </c>
      <c r="K992">
        <v>0.1515</v>
      </c>
      <c r="L992">
        <v>0.47</v>
      </c>
      <c r="M992">
        <v>0.22389999999999999</v>
      </c>
      <c r="N992">
        <v>3</v>
      </c>
      <c r="O992">
        <v>30</v>
      </c>
      <c r="P992">
        <v>33</v>
      </c>
    </row>
    <row r="993" spans="1:16" x14ac:dyDescent="0.25">
      <c r="A993">
        <v>382</v>
      </c>
      <c r="B993" s="19">
        <v>40571</v>
      </c>
      <c r="C993">
        <v>1</v>
      </c>
      <c r="D993">
        <v>1</v>
      </c>
      <c r="E993">
        <v>15</v>
      </c>
      <c r="F993" t="b">
        <v>0</v>
      </c>
      <c r="G993">
        <v>5</v>
      </c>
      <c r="H993">
        <v>2</v>
      </c>
      <c r="I993">
        <v>0.2</v>
      </c>
      <c r="J993">
        <v>381</v>
      </c>
      <c r="K993">
        <v>0.1515</v>
      </c>
      <c r="L993">
        <v>0.47</v>
      </c>
      <c r="M993">
        <v>0.22389999999999999</v>
      </c>
      <c r="N993">
        <v>8</v>
      </c>
      <c r="O993">
        <v>39</v>
      </c>
      <c r="P993">
        <v>47</v>
      </c>
    </row>
    <row r="994" spans="1:16" x14ac:dyDescent="0.25">
      <c r="A994">
        <v>383</v>
      </c>
      <c r="B994" s="19">
        <v>40571</v>
      </c>
      <c r="C994">
        <v>1</v>
      </c>
      <c r="D994">
        <v>1</v>
      </c>
      <c r="E994">
        <v>15</v>
      </c>
      <c r="F994" t="b">
        <v>0</v>
      </c>
      <c r="G994">
        <v>5</v>
      </c>
      <c r="H994">
        <v>2</v>
      </c>
      <c r="I994">
        <v>0.2</v>
      </c>
      <c r="J994">
        <v>382</v>
      </c>
      <c r="K994">
        <v>0.1515</v>
      </c>
      <c r="L994">
        <v>0.5</v>
      </c>
      <c r="M994">
        <v>0.25369999999999998</v>
      </c>
      <c r="N994">
        <v>7</v>
      </c>
      <c r="O994">
        <v>50</v>
      </c>
      <c r="P994">
        <v>57</v>
      </c>
    </row>
    <row r="995" spans="1:16" x14ac:dyDescent="0.25">
      <c r="A995">
        <v>384</v>
      </c>
      <c r="B995" s="19">
        <v>40571</v>
      </c>
      <c r="C995">
        <v>1</v>
      </c>
      <c r="D995">
        <v>1</v>
      </c>
      <c r="E995">
        <v>15</v>
      </c>
      <c r="F995" t="b">
        <v>0</v>
      </c>
      <c r="G995">
        <v>5</v>
      </c>
      <c r="H995">
        <v>2</v>
      </c>
      <c r="I995">
        <v>0.2</v>
      </c>
      <c r="J995">
        <v>383</v>
      </c>
      <c r="K995">
        <v>0.1515</v>
      </c>
      <c r="L995">
        <v>0.55000000000000004</v>
      </c>
      <c r="M995">
        <v>0.19400000000000001</v>
      </c>
      <c r="N995">
        <v>9</v>
      </c>
      <c r="O995">
        <v>55</v>
      </c>
      <c r="P995">
        <v>64</v>
      </c>
    </row>
    <row r="996" spans="1:16" x14ac:dyDescent="0.25">
      <c r="A996">
        <v>385</v>
      </c>
      <c r="B996" s="19">
        <v>40571</v>
      </c>
      <c r="C996">
        <v>1</v>
      </c>
      <c r="D996">
        <v>1</v>
      </c>
      <c r="E996">
        <v>15</v>
      </c>
      <c r="F996" t="b">
        <v>0</v>
      </c>
      <c r="G996">
        <v>5</v>
      </c>
      <c r="H996">
        <v>2</v>
      </c>
      <c r="I996">
        <v>0.2</v>
      </c>
      <c r="J996">
        <v>384</v>
      </c>
      <c r="K996">
        <v>0.19700000000000001</v>
      </c>
      <c r="L996">
        <v>0.47</v>
      </c>
      <c r="M996">
        <v>0.1343</v>
      </c>
      <c r="N996">
        <v>10</v>
      </c>
      <c r="O996">
        <v>70</v>
      </c>
      <c r="P996">
        <v>80</v>
      </c>
    </row>
    <row r="997" spans="1:16" x14ac:dyDescent="0.25">
      <c r="A997">
        <v>386</v>
      </c>
      <c r="B997" s="19">
        <v>40571</v>
      </c>
      <c r="C997">
        <v>1</v>
      </c>
      <c r="D997">
        <v>1</v>
      </c>
      <c r="E997">
        <v>15</v>
      </c>
      <c r="F997" t="b">
        <v>0</v>
      </c>
      <c r="G997">
        <v>5</v>
      </c>
      <c r="H997">
        <v>2</v>
      </c>
      <c r="I997">
        <v>0.2</v>
      </c>
      <c r="J997">
        <v>385</v>
      </c>
      <c r="K997">
        <v>0.19700000000000001</v>
      </c>
      <c r="L997">
        <v>0.47</v>
      </c>
      <c r="M997">
        <v>0.1343</v>
      </c>
      <c r="N997">
        <v>13</v>
      </c>
      <c r="O997">
        <v>80</v>
      </c>
      <c r="P997">
        <v>93</v>
      </c>
    </row>
    <row r="998" spans="1:16" x14ac:dyDescent="0.25">
      <c r="A998">
        <v>387</v>
      </c>
      <c r="B998" s="19">
        <v>40571</v>
      </c>
      <c r="C998">
        <v>1</v>
      </c>
      <c r="D998">
        <v>1</v>
      </c>
      <c r="E998">
        <v>15</v>
      </c>
      <c r="F998" t="b">
        <v>0</v>
      </c>
      <c r="G998">
        <v>5</v>
      </c>
      <c r="H998">
        <v>2</v>
      </c>
      <c r="I998">
        <v>0.2</v>
      </c>
      <c r="J998">
        <v>386</v>
      </c>
      <c r="K998">
        <v>0.21210000000000001</v>
      </c>
      <c r="L998">
        <v>0.43</v>
      </c>
      <c r="M998">
        <v>0.1045</v>
      </c>
      <c r="N998">
        <v>12</v>
      </c>
      <c r="O998">
        <v>74</v>
      </c>
      <c r="P998">
        <v>86</v>
      </c>
    </row>
    <row r="999" spans="1:16" x14ac:dyDescent="0.25">
      <c r="A999">
        <v>388</v>
      </c>
      <c r="B999" s="19">
        <v>40571</v>
      </c>
      <c r="C999">
        <v>1</v>
      </c>
      <c r="D999">
        <v>1</v>
      </c>
      <c r="E999">
        <v>15</v>
      </c>
      <c r="F999" t="b">
        <v>0</v>
      </c>
      <c r="G999">
        <v>5</v>
      </c>
      <c r="H999">
        <v>2</v>
      </c>
      <c r="I999">
        <v>0.2</v>
      </c>
      <c r="J999">
        <v>387</v>
      </c>
      <c r="K999">
        <v>0.21210000000000001</v>
      </c>
      <c r="L999">
        <v>0.47</v>
      </c>
      <c r="M999">
        <v>0.16420000000000001</v>
      </c>
      <c r="N999">
        <v>21</v>
      </c>
      <c r="O999">
        <v>72</v>
      </c>
      <c r="P999">
        <v>93</v>
      </c>
    </row>
    <row r="1000" spans="1:16" x14ac:dyDescent="0.25">
      <c r="A1000">
        <v>389</v>
      </c>
      <c r="B1000" s="19">
        <v>40571</v>
      </c>
      <c r="C1000">
        <v>1</v>
      </c>
      <c r="D1000">
        <v>1</v>
      </c>
      <c r="E1000">
        <v>15</v>
      </c>
      <c r="F1000" t="b">
        <v>0</v>
      </c>
      <c r="G1000">
        <v>5</v>
      </c>
      <c r="H1000">
        <v>2</v>
      </c>
      <c r="I1000">
        <v>0.2</v>
      </c>
      <c r="J1000">
        <v>388</v>
      </c>
      <c r="K1000">
        <v>0.21210000000000001</v>
      </c>
      <c r="L1000">
        <v>0.47</v>
      </c>
      <c r="M1000">
        <v>0.16420000000000001</v>
      </c>
      <c r="N1000">
        <v>6</v>
      </c>
      <c r="O1000">
        <v>76</v>
      </c>
      <c r="P1000">
        <v>82</v>
      </c>
    </row>
    <row r="1001" spans="1:16" x14ac:dyDescent="0.25">
      <c r="A1001">
        <v>390</v>
      </c>
      <c r="B1001" s="19">
        <v>40571</v>
      </c>
      <c r="C1001">
        <v>1</v>
      </c>
      <c r="D1001">
        <v>1</v>
      </c>
      <c r="E1001">
        <v>15</v>
      </c>
      <c r="F1001" t="b">
        <v>0</v>
      </c>
      <c r="G1001">
        <v>5</v>
      </c>
      <c r="H1001">
        <v>2</v>
      </c>
      <c r="I1001">
        <v>0.2</v>
      </c>
      <c r="J1001">
        <v>389</v>
      </c>
      <c r="K1001">
        <v>0.19700000000000001</v>
      </c>
      <c r="L1001">
        <v>0.51</v>
      </c>
      <c r="M1001">
        <v>0.19400000000000001</v>
      </c>
      <c r="N1001">
        <v>4</v>
      </c>
      <c r="O1001">
        <v>67</v>
      </c>
      <c r="P1001">
        <v>71</v>
      </c>
    </row>
    <row r="1002" spans="1:16" x14ac:dyDescent="0.25">
      <c r="A1002">
        <v>391</v>
      </c>
      <c r="B1002" s="19">
        <v>40571</v>
      </c>
      <c r="C1002">
        <v>1</v>
      </c>
      <c r="D1002">
        <v>1</v>
      </c>
      <c r="E1002">
        <v>15</v>
      </c>
      <c r="F1002" t="b">
        <v>0</v>
      </c>
      <c r="G1002">
        <v>5</v>
      </c>
      <c r="H1002">
        <v>2</v>
      </c>
      <c r="I1002">
        <v>0.2</v>
      </c>
      <c r="J1002">
        <v>390</v>
      </c>
      <c r="K1002">
        <v>0.16669999999999999</v>
      </c>
      <c r="L1002">
        <v>0.55000000000000004</v>
      </c>
      <c r="M1002">
        <v>0.25369999999999998</v>
      </c>
      <c r="N1002">
        <v>7</v>
      </c>
      <c r="O1002">
        <v>85</v>
      </c>
      <c r="P1002">
        <v>92</v>
      </c>
    </row>
    <row r="1003" spans="1:16" x14ac:dyDescent="0.25">
      <c r="A1003">
        <v>392</v>
      </c>
      <c r="B1003" s="19">
        <v>40571</v>
      </c>
      <c r="C1003">
        <v>1</v>
      </c>
      <c r="D1003">
        <v>1</v>
      </c>
      <c r="E1003">
        <v>15</v>
      </c>
      <c r="F1003" t="b">
        <v>0</v>
      </c>
      <c r="G1003">
        <v>5</v>
      </c>
      <c r="H1003">
        <v>2</v>
      </c>
      <c r="I1003">
        <v>0.2</v>
      </c>
      <c r="J1003">
        <v>391</v>
      </c>
      <c r="K1003">
        <v>0.18179999999999999</v>
      </c>
      <c r="L1003">
        <v>0.59</v>
      </c>
      <c r="M1003">
        <v>0.19400000000000001</v>
      </c>
      <c r="N1003">
        <v>2</v>
      </c>
      <c r="O1003">
        <v>58</v>
      </c>
      <c r="P1003">
        <v>60</v>
      </c>
    </row>
    <row r="1004" spans="1:16" x14ac:dyDescent="0.25">
      <c r="A1004">
        <v>393</v>
      </c>
      <c r="B1004" s="19">
        <v>40571</v>
      </c>
      <c r="C1004">
        <v>1</v>
      </c>
      <c r="D1004">
        <v>1</v>
      </c>
      <c r="E1004">
        <v>15</v>
      </c>
      <c r="F1004" t="b">
        <v>0</v>
      </c>
      <c r="G1004">
        <v>5</v>
      </c>
      <c r="H1004">
        <v>2</v>
      </c>
      <c r="I1004">
        <v>0.2</v>
      </c>
      <c r="J1004">
        <v>392</v>
      </c>
      <c r="K1004">
        <v>0.1515</v>
      </c>
      <c r="L1004">
        <v>0.8</v>
      </c>
      <c r="M1004">
        <v>0.19400000000000001</v>
      </c>
      <c r="N1004">
        <v>4</v>
      </c>
      <c r="O1004">
        <v>29</v>
      </c>
      <c r="P1004">
        <v>33</v>
      </c>
    </row>
    <row r="1005" spans="1:16" x14ac:dyDescent="0.25">
      <c r="A1005">
        <v>394</v>
      </c>
      <c r="B1005" s="19">
        <v>40571</v>
      </c>
      <c r="C1005">
        <v>1</v>
      </c>
      <c r="D1005">
        <v>1</v>
      </c>
      <c r="E1005">
        <v>15</v>
      </c>
      <c r="F1005" t="b">
        <v>0</v>
      </c>
      <c r="G1005">
        <v>5</v>
      </c>
      <c r="H1005">
        <v>2</v>
      </c>
      <c r="I1005">
        <v>0.2</v>
      </c>
      <c r="J1005">
        <v>393</v>
      </c>
      <c r="K1005">
        <v>0.1515</v>
      </c>
      <c r="L1005">
        <v>0.8</v>
      </c>
      <c r="M1005">
        <v>0.19400000000000001</v>
      </c>
      <c r="N1005">
        <v>3</v>
      </c>
      <c r="O1005">
        <v>24</v>
      </c>
      <c r="P1005">
        <v>27</v>
      </c>
    </row>
    <row r="1006" spans="1:16" x14ac:dyDescent="0.25">
      <c r="A1006">
        <v>395</v>
      </c>
      <c r="B1006" s="19">
        <v>40571</v>
      </c>
      <c r="C1006">
        <v>1</v>
      </c>
      <c r="D1006">
        <v>1</v>
      </c>
      <c r="E1006">
        <v>15</v>
      </c>
      <c r="F1006" t="b">
        <v>0</v>
      </c>
      <c r="G1006">
        <v>5</v>
      </c>
      <c r="H1006">
        <v>2</v>
      </c>
      <c r="I1006">
        <v>0.2</v>
      </c>
      <c r="J1006">
        <v>394</v>
      </c>
      <c r="K1006">
        <v>0.1212</v>
      </c>
      <c r="L1006">
        <v>0.93</v>
      </c>
      <c r="M1006">
        <v>0.25369999999999998</v>
      </c>
      <c r="N1006">
        <v>0</v>
      </c>
      <c r="O1006">
        <v>13</v>
      </c>
      <c r="P1006">
        <v>13</v>
      </c>
    </row>
    <row r="1007" spans="1:16" x14ac:dyDescent="0.25">
      <c r="A1007">
        <v>396</v>
      </c>
      <c r="B1007" s="19">
        <v>40571</v>
      </c>
      <c r="C1007">
        <v>1</v>
      </c>
      <c r="D1007">
        <v>1</v>
      </c>
      <c r="E1007">
        <v>15</v>
      </c>
      <c r="F1007" t="b">
        <v>0</v>
      </c>
      <c r="G1007">
        <v>5</v>
      </c>
      <c r="H1007">
        <v>2</v>
      </c>
      <c r="I1007">
        <v>0.2</v>
      </c>
      <c r="J1007">
        <v>395</v>
      </c>
      <c r="K1007">
        <v>0.13639999999999999</v>
      </c>
      <c r="L1007">
        <v>0.86</v>
      </c>
      <c r="M1007">
        <v>0.28360000000000002</v>
      </c>
      <c r="N1007">
        <v>1</v>
      </c>
      <c r="O1007">
        <v>3</v>
      </c>
      <c r="P1007">
        <v>4</v>
      </c>
    </row>
    <row r="1008" spans="1:16" x14ac:dyDescent="0.25">
      <c r="A1008">
        <v>397</v>
      </c>
      <c r="B1008" s="19">
        <v>40571</v>
      </c>
      <c r="C1008">
        <v>1</v>
      </c>
      <c r="D1008">
        <v>1</v>
      </c>
      <c r="E1008">
        <v>15</v>
      </c>
      <c r="F1008" t="b">
        <v>0</v>
      </c>
      <c r="G1008">
        <v>5</v>
      </c>
      <c r="H1008">
        <v>2</v>
      </c>
      <c r="I1008">
        <v>0.2</v>
      </c>
      <c r="J1008">
        <v>396</v>
      </c>
      <c r="K1008">
        <v>0.18179999999999999</v>
      </c>
      <c r="L1008">
        <v>0.86</v>
      </c>
      <c r="M1008">
        <v>0.32840000000000003</v>
      </c>
      <c r="N1008">
        <v>0</v>
      </c>
      <c r="O1008">
        <v>3</v>
      </c>
      <c r="P1008">
        <v>3</v>
      </c>
    </row>
    <row r="1009" spans="1:16" x14ac:dyDescent="0.25">
      <c r="A1009">
        <v>398</v>
      </c>
      <c r="B1009" s="19">
        <v>40571</v>
      </c>
      <c r="C1009">
        <v>1</v>
      </c>
      <c r="D1009">
        <v>1</v>
      </c>
      <c r="E1009">
        <v>15</v>
      </c>
      <c r="F1009" t="b">
        <v>0</v>
      </c>
      <c r="G1009">
        <v>5</v>
      </c>
      <c r="H1009">
        <v>2</v>
      </c>
      <c r="I1009">
        <v>0.2</v>
      </c>
      <c r="J1009">
        <v>397</v>
      </c>
      <c r="K1009">
        <v>0.19700000000000001</v>
      </c>
      <c r="L1009">
        <v>0.86</v>
      </c>
      <c r="M1009">
        <v>0.22389999999999999</v>
      </c>
      <c r="N1009">
        <v>0</v>
      </c>
      <c r="O1009">
        <v>22</v>
      </c>
      <c r="P1009">
        <v>22</v>
      </c>
    </row>
    <row r="1010" spans="1:16" x14ac:dyDescent="0.25">
      <c r="A1010">
        <v>399</v>
      </c>
      <c r="B1010" s="19">
        <v>40571</v>
      </c>
      <c r="C1010">
        <v>1</v>
      </c>
      <c r="D1010">
        <v>1</v>
      </c>
      <c r="E1010">
        <v>15</v>
      </c>
      <c r="F1010" t="b">
        <v>0</v>
      </c>
      <c r="G1010">
        <v>5</v>
      </c>
      <c r="H1010">
        <v>2</v>
      </c>
      <c r="I1010">
        <v>0.2</v>
      </c>
      <c r="J1010">
        <v>398</v>
      </c>
      <c r="K1010">
        <v>0.2273</v>
      </c>
      <c r="L1010">
        <v>0.8</v>
      </c>
      <c r="M1010">
        <v>0.16420000000000001</v>
      </c>
      <c r="N1010">
        <v>2</v>
      </c>
      <c r="O1010">
        <v>26</v>
      </c>
      <c r="P1010">
        <v>28</v>
      </c>
    </row>
    <row r="1011" spans="1:16" x14ac:dyDescent="0.25">
      <c r="A1011">
        <v>400</v>
      </c>
      <c r="B1011" s="19">
        <v>40571</v>
      </c>
      <c r="C1011">
        <v>1</v>
      </c>
      <c r="D1011">
        <v>1</v>
      </c>
      <c r="E1011">
        <v>15</v>
      </c>
      <c r="F1011" t="b">
        <v>0</v>
      </c>
      <c r="G1011">
        <v>5</v>
      </c>
      <c r="H1011">
        <v>2</v>
      </c>
      <c r="I1011">
        <v>0.2</v>
      </c>
      <c r="J1011">
        <v>399</v>
      </c>
      <c r="K1011">
        <v>0.2273</v>
      </c>
      <c r="L1011">
        <v>0.87</v>
      </c>
      <c r="M1011">
        <v>0.16420000000000001</v>
      </c>
      <c r="N1011">
        <v>3</v>
      </c>
      <c r="O1011">
        <v>32</v>
      </c>
      <c r="P1011">
        <v>35</v>
      </c>
    </row>
    <row r="1012" spans="1:16" x14ac:dyDescent="0.25">
      <c r="A1012">
        <v>401</v>
      </c>
      <c r="B1012" s="19">
        <v>40571</v>
      </c>
      <c r="C1012">
        <v>1</v>
      </c>
      <c r="D1012">
        <v>1</v>
      </c>
      <c r="E1012">
        <v>15</v>
      </c>
      <c r="F1012" t="b">
        <v>0</v>
      </c>
      <c r="G1012">
        <v>5</v>
      </c>
      <c r="H1012">
        <v>2</v>
      </c>
      <c r="I1012">
        <v>0.2</v>
      </c>
      <c r="J1012">
        <v>400</v>
      </c>
      <c r="K1012">
        <v>0.2273</v>
      </c>
      <c r="L1012">
        <v>0.87</v>
      </c>
      <c r="M1012">
        <v>0.19400000000000001</v>
      </c>
      <c r="N1012">
        <v>0</v>
      </c>
      <c r="O1012">
        <v>61</v>
      </c>
      <c r="P1012">
        <v>61</v>
      </c>
    </row>
    <row r="1013" spans="1:16" x14ac:dyDescent="0.25">
      <c r="A1013">
        <v>402</v>
      </c>
      <c r="B1013" s="19">
        <v>40571</v>
      </c>
      <c r="C1013">
        <v>1</v>
      </c>
      <c r="D1013">
        <v>1</v>
      </c>
      <c r="E1013">
        <v>15</v>
      </c>
      <c r="F1013" t="b">
        <v>0</v>
      </c>
      <c r="G1013">
        <v>5</v>
      </c>
      <c r="H1013">
        <v>2</v>
      </c>
      <c r="I1013">
        <v>0.2</v>
      </c>
      <c r="J1013">
        <v>401</v>
      </c>
      <c r="K1013">
        <v>0.2273</v>
      </c>
      <c r="L1013">
        <v>0.82</v>
      </c>
      <c r="M1013">
        <v>0.19400000000000001</v>
      </c>
      <c r="N1013">
        <v>1</v>
      </c>
      <c r="O1013">
        <v>124</v>
      </c>
      <c r="P1013">
        <v>125</v>
      </c>
    </row>
    <row r="1014" spans="1:16" x14ac:dyDescent="0.25">
      <c r="A1014">
        <v>403</v>
      </c>
      <c r="B1014" s="19">
        <v>40571</v>
      </c>
      <c r="C1014">
        <v>1</v>
      </c>
      <c r="D1014">
        <v>1</v>
      </c>
      <c r="E1014">
        <v>15</v>
      </c>
      <c r="F1014" t="b">
        <v>0</v>
      </c>
      <c r="G1014">
        <v>5</v>
      </c>
      <c r="H1014">
        <v>2</v>
      </c>
      <c r="I1014">
        <v>0.2</v>
      </c>
      <c r="J1014">
        <v>402</v>
      </c>
      <c r="K1014">
        <v>0.2273</v>
      </c>
      <c r="L1014">
        <v>0.8</v>
      </c>
      <c r="M1014">
        <v>0.16420000000000001</v>
      </c>
      <c r="N1014">
        <v>1</v>
      </c>
      <c r="O1014">
        <v>132</v>
      </c>
      <c r="P1014">
        <v>133</v>
      </c>
    </row>
    <row r="1015" spans="1:16" x14ac:dyDescent="0.25">
      <c r="A1015">
        <v>404</v>
      </c>
      <c r="B1015" s="19">
        <v>40571</v>
      </c>
      <c r="C1015">
        <v>1</v>
      </c>
      <c r="D1015">
        <v>1</v>
      </c>
      <c r="E1015">
        <v>15</v>
      </c>
      <c r="F1015" t="b">
        <v>0</v>
      </c>
      <c r="G1015">
        <v>5</v>
      </c>
      <c r="H1015">
        <v>2</v>
      </c>
      <c r="I1015">
        <v>0.2</v>
      </c>
      <c r="J1015">
        <v>403</v>
      </c>
      <c r="K1015">
        <v>0.2273</v>
      </c>
      <c r="L1015">
        <v>0.8</v>
      </c>
      <c r="M1015">
        <v>0.1343</v>
      </c>
      <c r="N1015">
        <v>1</v>
      </c>
      <c r="O1015">
        <v>98</v>
      </c>
      <c r="P1015">
        <v>99</v>
      </c>
    </row>
    <row r="1016" spans="1:16" x14ac:dyDescent="0.25">
      <c r="A1016">
        <v>405</v>
      </c>
      <c r="B1016" s="19">
        <v>40571</v>
      </c>
      <c r="C1016">
        <v>1</v>
      </c>
      <c r="D1016">
        <v>1</v>
      </c>
      <c r="E1016">
        <v>15</v>
      </c>
      <c r="F1016" t="b">
        <v>0</v>
      </c>
      <c r="G1016">
        <v>5</v>
      </c>
      <c r="H1016">
        <v>2</v>
      </c>
      <c r="I1016">
        <v>0.2</v>
      </c>
      <c r="J1016">
        <v>404</v>
      </c>
      <c r="K1016">
        <v>0.2727</v>
      </c>
      <c r="L1016">
        <v>0.87</v>
      </c>
      <c r="M1016">
        <v>0</v>
      </c>
      <c r="N1016">
        <v>0</v>
      </c>
      <c r="O1016">
        <v>83</v>
      </c>
      <c r="P1016">
        <v>83</v>
      </c>
    </row>
    <row r="1017" spans="1:16" x14ac:dyDescent="0.25">
      <c r="A1017">
        <v>406</v>
      </c>
      <c r="B1017" s="19">
        <v>40571</v>
      </c>
      <c r="C1017">
        <v>1</v>
      </c>
      <c r="D1017">
        <v>1</v>
      </c>
      <c r="E1017">
        <v>15</v>
      </c>
      <c r="F1017" t="b">
        <v>0</v>
      </c>
      <c r="G1017">
        <v>5</v>
      </c>
      <c r="H1017">
        <v>2</v>
      </c>
      <c r="I1017">
        <v>0.2</v>
      </c>
      <c r="J1017">
        <v>405</v>
      </c>
      <c r="K1017">
        <v>0.2424</v>
      </c>
      <c r="L1017">
        <v>0.93</v>
      </c>
      <c r="M1017">
        <v>0.1045</v>
      </c>
      <c r="N1017">
        <v>0</v>
      </c>
      <c r="O1017">
        <v>41</v>
      </c>
      <c r="P1017">
        <v>41</v>
      </c>
    </row>
    <row r="1018" spans="1:16" x14ac:dyDescent="0.25">
      <c r="A1018">
        <v>407</v>
      </c>
      <c r="B1018" s="19">
        <v>40571</v>
      </c>
      <c r="C1018">
        <v>1</v>
      </c>
      <c r="D1018">
        <v>1</v>
      </c>
      <c r="E1018">
        <v>15</v>
      </c>
      <c r="F1018" t="b">
        <v>0</v>
      </c>
      <c r="G1018">
        <v>5</v>
      </c>
      <c r="H1018">
        <v>2</v>
      </c>
      <c r="I1018">
        <v>0.2</v>
      </c>
      <c r="J1018">
        <v>406</v>
      </c>
      <c r="K1018">
        <v>0.2576</v>
      </c>
      <c r="L1018">
        <v>0.93</v>
      </c>
      <c r="M1018">
        <v>8.9599999999999999E-2</v>
      </c>
      <c r="N1018">
        <v>0</v>
      </c>
      <c r="O1018">
        <v>33</v>
      </c>
      <c r="P1018">
        <v>33</v>
      </c>
    </row>
    <row r="1019" spans="1:16" x14ac:dyDescent="0.25">
      <c r="A1019">
        <v>408</v>
      </c>
      <c r="B1019" s="19">
        <v>40571</v>
      </c>
      <c r="C1019">
        <v>1</v>
      </c>
      <c r="D1019">
        <v>1</v>
      </c>
      <c r="E1019">
        <v>15</v>
      </c>
      <c r="F1019" t="b">
        <v>0</v>
      </c>
      <c r="G1019">
        <v>5</v>
      </c>
      <c r="H1019">
        <v>2</v>
      </c>
      <c r="I1019">
        <v>0.2</v>
      </c>
      <c r="J1019">
        <v>407</v>
      </c>
      <c r="K1019">
        <v>0.2727</v>
      </c>
      <c r="L1019">
        <v>0.93</v>
      </c>
      <c r="M1019">
        <v>0</v>
      </c>
      <c r="N1019">
        <v>1</v>
      </c>
      <c r="O1019">
        <v>19</v>
      </c>
      <c r="P1019">
        <v>20</v>
      </c>
    </row>
    <row r="1020" spans="1:16" x14ac:dyDescent="0.25">
      <c r="A1020">
        <v>409</v>
      </c>
      <c r="B1020" s="19">
        <v>40571</v>
      </c>
      <c r="C1020">
        <v>1</v>
      </c>
      <c r="D1020">
        <v>1</v>
      </c>
      <c r="E1020">
        <v>15</v>
      </c>
      <c r="F1020" t="b">
        <v>0</v>
      </c>
      <c r="G1020">
        <v>5</v>
      </c>
      <c r="H1020">
        <v>2</v>
      </c>
      <c r="I1020">
        <v>0.2</v>
      </c>
      <c r="J1020">
        <v>408</v>
      </c>
      <c r="K1020">
        <v>0.2727</v>
      </c>
      <c r="L1020">
        <v>0.93</v>
      </c>
      <c r="M1020">
        <v>0</v>
      </c>
      <c r="N1020">
        <v>0</v>
      </c>
      <c r="O1020">
        <v>3</v>
      </c>
      <c r="P1020">
        <v>3</v>
      </c>
    </row>
    <row r="1021" spans="1:16" x14ac:dyDescent="0.25">
      <c r="A1021">
        <v>410</v>
      </c>
      <c r="B1021" s="19">
        <v>40571</v>
      </c>
      <c r="C1021">
        <v>1</v>
      </c>
      <c r="D1021">
        <v>1</v>
      </c>
      <c r="E1021">
        <v>15</v>
      </c>
      <c r="F1021" t="b">
        <v>0</v>
      </c>
      <c r="G1021">
        <v>5</v>
      </c>
      <c r="H1021">
        <v>2</v>
      </c>
      <c r="I1021">
        <v>0.2</v>
      </c>
      <c r="J1021">
        <v>409</v>
      </c>
      <c r="K1021">
        <v>0.2273</v>
      </c>
      <c r="L1021">
        <v>0.93</v>
      </c>
      <c r="M1021">
        <v>0.1343</v>
      </c>
      <c r="N1021">
        <v>1</v>
      </c>
      <c r="O1021">
        <v>6</v>
      </c>
      <c r="P1021">
        <v>7</v>
      </c>
    </row>
    <row r="1022" spans="1:16" x14ac:dyDescent="0.25">
      <c r="A1022">
        <v>411</v>
      </c>
      <c r="B1022" s="19">
        <v>40571</v>
      </c>
      <c r="C1022">
        <v>1</v>
      </c>
      <c r="D1022">
        <v>1</v>
      </c>
      <c r="E1022">
        <v>15</v>
      </c>
      <c r="F1022" t="b">
        <v>0</v>
      </c>
      <c r="G1022">
        <v>5</v>
      </c>
      <c r="H1022">
        <v>2</v>
      </c>
      <c r="I1022">
        <v>0.2</v>
      </c>
      <c r="J1022">
        <v>410</v>
      </c>
      <c r="K1022">
        <v>0.2273</v>
      </c>
      <c r="L1022">
        <v>0.93</v>
      </c>
      <c r="M1022">
        <v>0.1343</v>
      </c>
      <c r="N1022">
        <v>0</v>
      </c>
      <c r="O1022">
        <v>3</v>
      </c>
      <c r="P1022">
        <v>3</v>
      </c>
    </row>
    <row r="1023" spans="1:16" x14ac:dyDescent="0.25">
      <c r="A1023">
        <v>412</v>
      </c>
      <c r="B1023" s="19">
        <v>40571</v>
      </c>
      <c r="C1023">
        <v>1</v>
      </c>
      <c r="D1023">
        <v>1</v>
      </c>
      <c r="E1023">
        <v>15</v>
      </c>
      <c r="F1023" t="b">
        <v>0</v>
      </c>
      <c r="G1023">
        <v>5</v>
      </c>
      <c r="H1023">
        <v>2</v>
      </c>
      <c r="I1023">
        <v>0.2</v>
      </c>
      <c r="J1023">
        <v>411</v>
      </c>
      <c r="K1023">
        <v>0.2273</v>
      </c>
      <c r="L1023">
        <v>0.93</v>
      </c>
      <c r="M1023">
        <v>0.1343</v>
      </c>
      <c r="N1023">
        <v>1</v>
      </c>
      <c r="O1023">
        <v>1</v>
      </c>
      <c r="P1023">
        <v>2</v>
      </c>
    </row>
    <row r="1024" spans="1:16" x14ac:dyDescent="0.25">
      <c r="A1024">
        <v>413</v>
      </c>
      <c r="B1024" s="19">
        <v>40571</v>
      </c>
      <c r="C1024">
        <v>1</v>
      </c>
      <c r="D1024">
        <v>1</v>
      </c>
      <c r="E1024">
        <v>15</v>
      </c>
      <c r="F1024" t="b">
        <v>0</v>
      </c>
      <c r="G1024">
        <v>5</v>
      </c>
      <c r="H1024">
        <v>2</v>
      </c>
      <c r="I1024">
        <v>0.2</v>
      </c>
      <c r="J1024">
        <v>412</v>
      </c>
      <c r="K1024">
        <v>0.2576</v>
      </c>
      <c r="L1024">
        <v>0.93</v>
      </c>
      <c r="M1024">
        <v>8.9599999999999999E-2</v>
      </c>
      <c r="N1024">
        <v>0</v>
      </c>
      <c r="O1024">
        <v>7</v>
      </c>
      <c r="P1024">
        <v>7</v>
      </c>
    </row>
    <row r="1025" spans="1:16" x14ac:dyDescent="0.25">
      <c r="A1025">
        <v>414</v>
      </c>
      <c r="B1025" s="19">
        <v>40571</v>
      </c>
      <c r="C1025">
        <v>1</v>
      </c>
      <c r="D1025">
        <v>1</v>
      </c>
      <c r="E1025">
        <v>15</v>
      </c>
      <c r="F1025" t="b">
        <v>0</v>
      </c>
      <c r="G1025">
        <v>5</v>
      </c>
      <c r="H1025">
        <v>2</v>
      </c>
      <c r="I1025">
        <v>0.2</v>
      </c>
      <c r="J1025">
        <v>413</v>
      </c>
      <c r="K1025">
        <v>0.2576</v>
      </c>
      <c r="L1025">
        <v>0.93</v>
      </c>
      <c r="M1025">
        <v>8.9599999999999999E-2</v>
      </c>
      <c r="N1025">
        <v>0</v>
      </c>
      <c r="O1025">
        <v>32</v>
      </c>
      <c r="P1025">
        <v>32</v>
      </c>
    </row>
    <row r="1026" spans="1:16" x14ac:dyDescent="0.25">
      <c r="A1026">
        <v>415</v>
      </c>
      <c r="B1026" s="19">
        <v>40571</v>
      </c>
      <c r="C1026">
        <v>1</v>
      </c>
      <c r="D1026">
        <v>1</v>
      </c>
      <c r="E1026">
        <v>15</v>
      </c>
      <c r="F1026" t="b">
        <v>0</v>
      </c>
      <c r="G1026">
        <v>5</v>
      </c>
      <c r="H1026">
        <v>2</v>
      </c>
      <c r="I1026">
        <v>0.2</v>
      </c>
      <c r="J1026">
        <v>414</v>
      </c>
      <c r="K1026">
        <v>0.2576</v>
      </c>
      <c r="L1026">
        <v>0.92</v>
      </c>
      <c r="M1026">
        <v>0.1045</v>
      </c>
      <c r="N1026">
        <v>1</v>
      </c>
      <c r="O1026">
        <v>89</v>
      </c>
      <c r="P1026">
        <v>90</v>
      </c>
    </row>
    <row r="1027" spans="1:16" x14ac:dyDescent="0.25">
      <c r="A1027">
        <v>416</v>
      </c>
      <c r="B1027" s="19">
        <v>40571</v>
      </c>
      <c r="C1027">
        <v>1</v>
      </c>
      <c r="D1027">
        <v>1</v>
      </c>
      <c r="E1027">
        <v>15</v>
      </c>
      <c r="F1027" t="b">
        <v>0</v>
      </c>
      <c r="G1027">
        <v>5</v>
      </c>
      <c r="H1027">
        <v>2</v>
      </c>
      <c r="I1027">
        <v>0.2</v>
      </c>
      <c r="J1027">
        <v>415</v>
      </c>
      <c r="K1027">
        <v>0.2576</v>
      </c>
      <c r="L1027">
        <v>0.93</v>
      </c>
      <c r="M1027">
        <v>0.1045</v>
      </c>
      <c r="N1027">
        <v>1</v>
      </c>
      <c r="O1027">
        <v>196</v>
      </c>
      <c r="P1027">
        <v>197</v>
      </c>
    </row>
    <row r="1028" spans="1:16" x14ac:dyDescent="0.25">
      <c r="A1028">
        <v>417</v>
      </c>
      <c r="B1028" s="19">
        <v>40571</v>
      </c>
      <c r="C1028">
        <v>1</v>
      </c>
      <c r="D1028">
        <v>1</v>
      </c>
      <c r="E1028">
        <v>15</v>
      </c>
      <c r="F1028" t="b">
        <v>0</v>
      </c>
      <c r="G1028">
        <v>5</v>
      </c>
      <c r="H1028">
        <v>2</v>
      </c>
      <c r="I1028">
        <v>0.2</v>
      </c>
      <c r="J1028">
        <v>416</v>
      </c>
      <c r="K1028">
        <v>0.2576</v>
      </c>
      <c r="L1028">
        <v>0.93</v>
      </c>
      <c r="M1028">
        <v>0.1045</v>
      </c>
      <c r="N1028">
        <v>2</v>
      </c>
      <c r="O1028">
        <v>107</v>
      </c>
      <c r="P1028">
        <v>109</v>
      </c>
    </row>
    <row r="1029" spans="1:16" x14ac:dyDescent="0.25">
      <c r="A1029">
        <v>418</v>
      </c>
      <c r="B1029" s="19">
        <v>40571</v>
      </c>
      <c r="C1029">
        <v>1</v>
      </c>
      <c r="D1029">
        <v>1</v>
      </c>
      <c r="E1029">
        <v>15</v>
      </c>
      <c r="F1029" t="b">
        <v>0</v>
      </c>
      <c r="G1029">
        <v>5</v>
      </c>
      <c r="H1029">
        <v>2</v>
      </c>
      <c r="I1029">
        <v>0.2</v>
      </c>
      <c r="J1029">
        <v>417</v>
      </c>
      <c r="K1029">
        <v>0.2727</v>
      </c>
      <c r="L1029">
        <v>0.93</v>
      </c>
      <c r="M1029">
        <v>0.1343</v>
      </c>
      <c r="N1029">
        <v>1</v>
      </c>
      <c r="O1029">
        <v>46</v>
      </c>
      <c r="P1029">
        <v>47</v>
      </c>
    </row>
    <row r="1030" spans="1:16" x14ac:dyDescent="0.25">
      <c r="A1030">
        <v>419</v>
      </c>
      <c r="B1030" s="19">
        <v>40571</v>
      </c>
      <c r="C1030">
        <v>1</v>
      </c>
      <c r="D1030">
        <v>1</v>
      </c>
      <c r="E1030">
        <v>15</v>
      </c>
      <c r="F1030" t="b">
        <v>0</v>
      </c>
      <c r="G1030">
        <v>5</v>
      </c>
      <c r="H1030">
        <v>2</v>
      </c>
      <c r="I1030">
        <v>0.2</v>
      </c>
      <c r="J1030">
        <v>418</v>
      </c>
      <c r="K1030">
        <v>0.30299999999999999</v>
      </c>
      <c r="L1030">
        <v>0.87</v>
      </c>
      <c r="M1030">
        <v>8.9599999999999999E-2</v>
      </c>
      <c r="N1030">
        <v>5</v>
      </c>
      <c r="O1030">
        <v>47</v>
      </c>
      <c r="P1030">
        <v>52</v>
      </c>
    </row>
    <row r="1031" spans="1:16" x14ac:dyDescent="0.25">
      <c r="A1031">
        <v>420</v>
      </c>
      <c r="B1031" s="19">
        <v>40571</v>
      </c>
      <c r="C1031">
        <v>1</v>
      </c>
      <c r="D1031">
        <v>1</v>
      </c>
      <c r="E1031">
        <v>15</v>
      </c>
      <c r="F1031" t="b">
        <v>0</v>
      </c>
      <c r="G1031">
        <v>5</v>
      </c>
      <c r="H1031">
        <v>2</v>
      </c>
      <c r="I1031">
        <v>0.2</v>
      </c>
      <c r="J1031">
        <v>419</v>
      </c>
      <c r="K1031">
        <v>0.31819999999999998</v>
      </c>
      <c r="L1031">
        <v>0.81</v>
      </c>
      <c r="M1031">
        <v>8.9599999999999999E-2</v>
      </c>
      <c r="N1031">
        <v>5</v>
      </c>
      <c r="O1031">
        <v>65</v>
      </c>
      <c r="P1031">
        <v>70</v>
      </c>
    </row>
    <row r="1032" spans="1:16" x14ac:dyDescent="0.25">
      <c r="A1032">
        <v>421</v>
      </c>
      <c r="B1032" s="19">
        <v>40571</v>
      </c>
      <c r="C1032">
        <v>1</v>
      </c>
      <c r="D1032">
        <v>1</v>
      </c>
      <c r="E1032">
        <v>15</v>
      </c>
      <c r="F1032" t="b">
        <v>0</v>
      </c>
      <c r="G1032">
        <v>5</v>
      </c>
      <c r="H1032">
        <v>2</v>
      </c>
      <c r="I1032">
        <v>0.2</v>
      </c>
      <c r="J1032">
        <v>420</v>
      </c>
      <c r="K1032">
        <v>0.40910000000000002</v>
      </c>
      <c r="L1032">
        <v>0.62</v>
      </c>
      <c r="M1032">
        <v>0.28360000000000002</v>
      </c>
      <c r="N1032">
        <v>11</v>
      </c>
      <c r="O1032">
        <v>67</v>
      </c>
      <c r="P1032">
        <v>78</v>
      </c>
    </row>
    <row r="1033" spans="1:16" x14ac:dyDescent="0.25">
      <c r="A1033">
        <v>422</v>
      </c>
      <c r="B1033" s="19">
        <v>40571</v>
      </c>
      <c r="C1033">
        <v>1</v>
      </c>
      <c r="D1033">
        <v>1</v>
      </c>
      <c r="E1033">
        <v>15</v>
      </c>
      <c r="F1033" t="b">
        <v>0</v>
      </c>
      <c r="G1033">
        <v>5</v>
      </c>
      <c r="H1033">
        <v>2</v>
      </c>
      <c r="I1033">
        <v>0.2</v>
      </c>
      <c r="J1033">
        <v>421</v>
      </c>
      <c r="K1033">
        <v>0.40910000000000002</v>
      </c>
      <c r="L1033">
        <v>0.57999999999999996</v>
      </c>
      <c r="M1033">
        <v>0.25369999999999998</v>
      </c>
      <c r="N1033">
        <v>7</v>
      </c>
      <c r="O1033">
        <v>68</v>
      </c>
      <c r="P1033">
        <v>75</v>
      </c>
    </row>
    <row r="1034" spans="1:16" x14ac:dyDescent="0.25">
      <c r="A1034">
        <v>423</v>
      </c>
      <c r="B1034" s="19">
        <v>40571</v>
      </c>
      <c r="C1034">
        <v>1</v>
      </c>
      <c r="D1034">
        <v>1</v>
      </c>
      <c r="E1034">
        <v>15</v>
      </c>
      <c r="F1034" t="b">
        <v>0</v>
      </c>
      <c r="G1034">
        <v>5</v>
      </c>
      <c r="H1034">
        <v>2</v>
      </c>
      <c r="I1034">
        <v>0.2</v>
      </c>
      <c r="J1034">
        <v>422</v>
      </c>
      <c r="K1034">
        <v>0.40910000000000002</v>
      </c>
      <c r="L1034">
        <v>0.54</v>
      </c>
      <c r="M1034">
        <v>0.28360000000000002</v>
      </c>
      <c r="N1034">
        <v>4</v>
      </c>
      <c r="O1034">
        <v>78</v>
      </c>
      <c r="P1034">
        <v>82</v>
      </c>
    </row>
    <row r="1035" spans="1:16" x14ac:dyDescent="0.25">
      <c r="A1035">
        <v>424</v>
      </c>
      <c r="B1035" s="19">
        <v>40571</v>
      </c>
      <c r="C1035">
        <v>1</v>
      </c>
      <c r="D1035">
        <v>1</v>
      </c>
      <c r="E1035">
        <v>15</v>
      </c>
      <c r="F1035" t="b">
        <v>0</v>
      </c>
      <c r="G1035">
        <v>5</v>
      </c>
      <c r="H1035">
        <v>2</v>
      </c>
      <c r="I1035">
        <v>0.2</v>
      </c>
      <c r="J1035">
        <v>423</v>
      </c>
      <c r="K1035">
        <v>0.39389999999999997</v>
      </c>
      <c r="L1035">
        <v>0.57999999999999996</v>
      </c>
      <c r="M1035">
        <v>0.3881</v>
      </c>
      <c r="N1035">
        <v>10</v>
      </c>
      <c r="O1035">
        <v>94</v>
      </c>
      <c r="P1035">
        <v>104</v>
      </c>
    </row>
    <row r="1036" spans="1:16" x14ac:dyDescent="0.25">
      <c r="A1036">
        <v>425</v>
      </c>
      <c r="B1036" s="19">
        <v>40571</v>
      </c>
      <c r="C1036">
        <v>1</v>
      </c>
      <c r="D1036">
        <v>1</v>
      </c>
      <c r="E1036">
        <v>15</v>
      </c>
      <c r="F1036" t="b">
        <v>0</v>
      </c>
      <c r="G1036">
        <v>5</v>
      </c>
      <c r="H1036">
        <v>2</v>
      </c>
      <c r="I1036">
        <v>0.2</v>
      </c>
      <c r="J1036">
        <v>424</v>
      </c>
      <c r="K1036">
        <v>0.33329999999999999</v>
      </c>
      <c r="L1036">
        <v>0.56999999999999995</v>
      </c>
      <c r="M1036">
        <v>0.32840000000000003</v>
      </c>
      <c r="N1036">
        <v>7</v>
      </c>
      <c r="O1036">
        <v>190</v>
      </c>
      <c r="P1036">
        <v>197</v>
      </c>
    </row>
    <row r="1037" spans="1:16" x14ac:dyDescent="0.25">
      <c r="A1037">
        <v>426</v>
      </c>
      <c r="B1037" s="19">
        <v>40571</v>
      </c>
      <c r="C1037">
        <v>1</v>
      </c>
      <c r="D1037">
        <v>1</v>
      </c>
      <c r="E1037">
        <v>15</v>
      </c>
      <c r="F1037" t="b">
        <v>0</v>
      </c>
      <c r="G1037">
        <v>5</v>
      </c>
      <c r="H1037">
        <v>2</v>
      </c>
      <c r="I1037">
        <v>0.2</v>
      </c>
      <c r="J1037">
        <v>425</v>
      </c>
      <c r="K1037">
        <v>0.31819999999999998</v>
      </c>
      <c r="L1037">
        <v>0.61</v>
      </c>
      <c r="M1037">
        <v>0.28360000000000002</v>
      </c>
      <c r="N1037">
        <v>5</v>
      </c>
      <c r="O1037">
        <v>156</v>
      </c>
      <c r="P1037">
        <v>161</v>
      </c>
    </row>
    <row r="1038" spans="1:16" x14ac:dyDescent="0.25">
      <c r="A1038">
        <v>427</v>
      </c>
      <c r="B1038" s="19">
        <v>40571</v>
      </c>
      <c r="C1038">
        <v>1</v>
      </c>
      <c r="D1038">
        <v>1</v>
      </c>
      <c r="E1038">
        <v>15</v>
      </c>
      <c r="F1038" t="b">
        <v>0</v>
      </c>
      <c r="G1038">
        <v>5</v>
      </c>
      <c r="H1038">
        <v>2</v>
      </c>
      <c r="I1038">
        <v>0.2</v>
      </c>
      <c r="J1038">
        <v>426</v>
      </c>
      <c r="K1038">
        <v>0.28789999999999999</v>
      </c>
      <c r="L1038">
        <v>0.56999999999999995</v>
      </c>
      <c r="M1038">
        <v>0.41789999999999999</v>
      </c>
      <c r="N1038">
        <v>4</v>
      </c>
      <c r="O1038">
        <v>108</v>
      </c>
      <c r="P1038">
        <v>112</v>
      </c>
    </row>
    <row r="1039" spans="1:16" x14ac:dyDescent="0.25">
      <c r="A1039">
        <v>428</v>
      </c>
      <c r="B1039" s="19">
        <v>40571</v>
      </c>
      <c r="C1039">
        <v>1</v>
      </c>
      <c r="D1039">
        <v>1</v>
      </c>
      <c r="E1039">
        <v>15</v>
      </c>
      <c r="F1039" t="b">
        <v>0</v>
      </c>
      <c r="G1039">
        <v>5</v>
      </c>
      <c r="H1039">
        <v>2</v>
      </c>
      <c r="I1039">
        <v>0.2</v>
      </c>
      <c r="J1039">
        <v>427</v>
      </c>
      <c r="K1039">
        <v>0.30299999999999999</v>
      </c>
      <c r="L1039">
        <v>0.49</v>
      </c>
      <c r="M1039">
        <v>0.29849999999999999</v>
      </c>
      <c r="N1039">
        <v>2</v>
      </c>
      <c r="O1039">
        <v>74</v>
      </c>
      <c r="P1039">
        <v>76</v>
      </c>
    </row>
    <row r="1040" spans="1:16" x14ac:dyDescent="0.25">
      <c r="A1040">
        <v>429</v>
      </c>
      <c r="B1040" s="19">
        <v>40571</v>
      </c>
      <c r="C1040">
        <v>1</v>
      </c>
      <c r="D1040">
        <v>1</v>
      </c>
      <c r="E1040">
        <v>15</v>
      </c>
      <c r="F1040" t="b">
        <v>0</v>
      </c>
      <c r="G1040">
        <v>5</v>
      </c>
      <c r="H1040">
        <v>2</v>
      </c>
      <c r="I1040">
        <v>0.2</v>
      </c>
      <c r="J1040">
        <v>428</v>
      </c>
      <c r="K1040">
        <v>0.28789999999999999</v>
      </c>
      <c r="L1040">
        <v>0.49</v>
      </c>
      <c r="M1040">
        <v>0.41789999999999999</v>
      </c>
      <c r="N1040">
        <v>4</v>
      </c>
      <c r="O1040">
        <v>55</v>
      </c>
      <c r="P1040">
        <v>59</v>
      </c>
    </row>
    <row r="1041" spans="1:16" x14ac:dyDescent="0.25">
      <c r="A1041">
        <v>430</v>
      </c>
      <c r="B1041" s="19">
        <v>40571</v>
      </c>
      <c r="C1041">
        <v>1</v>
      </c>
      <c r="D1041">
        <v>1</v>
      </c>
      <c r="E1041">
        <v>15</v>
      </c>
      <c r="F1041" t="b">
        <v>0</v>
      </c>
      <c r="G1041">
        <v>5</v>
      </c>
      <c r="H1041">
        <v>2</v>
      </c>
      <c r="I1041">
        <v>0.2</v>
      </c>
      <c r="J1041">
        <v>429</v>
      </c>
      <c r="K1041">
        <v>0.30299999999999999</v>
      </c>
      <c r="L1041">
        <v>0.52</v>
      </c>
      <c r="M1041">
        <v>0.16420000000000001</v>
      </c>
      <c r="N1041">
        <v>6</v>
      </c>
      <c r="O1041">
        <v>53</v>
      </c>
      <c r="P1041">
        <v>59</v>
      </c>
    </row>
    <row r="1042" spans="1:16" x14ac:dyDescent="0.25">
      <c r="A1042">
        <v>431</v>
      </c>
      <c r="B1042" s="19">
        <v>40571</v>
      </c>
      <c r="C1042">
        <v>1</v>
      </c>
      <c r="D1042">
        <v>1</v>
      </c>
      <c r="E1042">
        <v>15</v>
      </c>
      <c r="F1042" t="b">
        <v>0</v>
      </c>
      <c r="G1042">
        <v>5</v>
      </c>
      <c r="H1042">
        <v>2</v>
      </c>
      <c r="I1042">
        <v>0.2</v>
      </c>
      <c r="J1042">
        <v>430</v>
      </c>
      <c r="K1042">
        <v>0.2727</v>
      </c>
      <c r="L1042">
        <v>0.52</v>
      </c>
      <c r="M1042">
        <v>0.4627</v>
      </c>
      <c r="N1042">
        <v>1</v>
      </c>
      <c r="O1042">
        <v>27</v>
      </c>
      <c r="P1042">
        <v>28</v>
      </c>
    </row>
    <row r="1043" spans="1:16" x14ac:dyDescent="0.25">
      <c r="A1043">
        <v>432</v>
      </c>
      <c r="B1043" s="19">
        <v>40571</v>
      </c>
      <c r="C1043">
        <v>1</v>
      </c>
      <c r="D1043">
        <v>1</v>
      </c>
      <c r="E1043">
        <v>15</v>
      </c>
      <c r="F1043" t="b">
        <v>0</v>
      </c>
      <c r="G1043">
        <v>5</v>
      </c>
      <c r="H1043">
        <v>2</v>
      </c>
      <c r="I1043">
        <v>0.2</v>
      </c>
      <c r="J1043">
        <v>431</v>
      </c>
      <c r="K1043">
        <v>0.2273</v>
      </c>
      <c r="L1043">
        <v>0.56000000000000005</v>
      </c>
      <c r="M1043">
        <v>0.3881</v>
      </c>
      <c r="N1043">
        <v>5</v>
      </c>
      <c r="O1043">
        <v>8</v>
      </c>
      <c r="P1043">
        <v>13</v>
      </c>
    </row>
    <row r="1044" spans="1:16" x14ac:dyDescent="0.25">
      <c r="A1044">
        <v>433</v>
      </c>
      <c r="B1044" s="19">
        <v>40571</v>
      </c>
      <c r="C1044">
        <v>1</v>
      </c>
      <c r="D1044">
        <v>1</v>
      </c>
      <c r="E1044">
        <v>15</v>
      </c>
      <c r="F1044" t="b">
        <v>0</v>
      </c>
      <c r="G1044">
        <v>5</v>
      </c>
      <c r="H1044">
        <v>2</v>
      </c>
      <c r="I1044">
        <v>0.2</v>
      </c>
      <c r="J1044">
        <v>432</v>
      </c>
      <c r="K1044">
        <v>0.2727</v>
      </c>
      <c r="L1044">
        <v>0.56000000000000005</v>
      </c>
      <c r="M1044">
        <v>0</v>
      </c>
      <c r="N1044">
        <v>2</v>
      </c>
      <c r="O1044">
        <v>3</v>
      </c>
      <c r="P1044">
        <v>5</v>
      </c>
    </row>
    <row r="1045" spans="1:16" x14ac:dyDescent="0.25">
      <c r="A1045">
        <v>434</v>
      </c>
      <c r="B1045" s="19">
        <v>40571</v>
      </c>
      <c r="C1045">
        <v>1</v>
      </c>
      <c r="D1045">
        <v>1</v>
      </c>
      <c r="E1045">
        <v>15</v>
      </c>
      <c r="F1045" t="b">
        <v>0</v>
      </c>
      <c r="G1045">
        <v>5</v>
      </c>
      <c r="H1045">
        <v>2</v>
      </c>
      <c r="I1045">
        <v>0.2</v>
      </c>
      <c r="J1045">
        <v>433</v>
      </c>
      <c r="K1045">
        <v>0.2727</v>
      </c>
      <c r="L1045">
        <v>0.56000000000000005</v>
      </c>
      <c r="M1045">
        <v>0</v>
      </c>
      <c r="N1045">
        <v>0</v>
      </c>
      <c r="O1045">
        <v>2</v>
      </c>
      <c r="P1045">
        <v>2</v>
      </c>
    </row>
    <row r="1046" spans="1:16" x14ac:dyDescent="0.25">
      <c r="A1046">
        <v>435</v>
      </c>
      <c r="B1046" s="19">
        <v>40571</v>
      </c>
      <c r="C1046">
        <v>1</v>
      </c>
      <c r="D1046">
        <v>1</v>
      </c>
      <c r="E1046">
        <v>15</v>
      </c>
      <c r="F1046" t="b">
        <v>0</v>
      </c>
      <c r="G1046">
        <v>5</v>
      </c>
      <c r="H1046">
        <v>2</v>
      </c>
      <c r="I1046">
        <v>0.2</v>
      </c>
      <c r="J1046">
        <v>434</v>
      </c>
      <c r="K1046">
        <v>0.2576</v>
      </c>
      <c r="L1046">
        <v>0.56000000000000005</v>
      </c>
      <c r="M1046">
        <v>0.16420000000000001</v>
      </c>
      <c r="N1046">
        <v>0</v>
      </c>
      <c r="O1046">
        <v>1</v>
      </c>
      <c r="P1046">
        <v>1</v>
      </c>
    </row>
    <row r="1047" spans="1:16" x14ac:dyDescent="0.25">
      <c r="A1047">
        <v>436</v>
      </c>
      <c r="B1047" s="19">
        <v>40571</v>
      </c>
      <c r="C1047">
        <v>1</v>
      </c>
      <c r="D1047">
        <v>1</v>
      </c>
      <c r="E1047">
        <v>15</v>
      </c>
      <c r="F1047" t="b">
        <v>0</v>
      </c>
      <c r="G1047">
        <v>5</v>
      </c>
      <c r="H1047">
        <v>2</v>
      </c>
      <c r="I1047">
        <v>0.2</v>
      </c>
      <c r="J1047">
        <v>435</v>
      </c>
      <c r="K1047">
        <v>0.2576</v>
      </c>
      <c r="L1047">
        <v>0.56000000000000005</v>
      </c>
      <c r="M1047">
        <v>0.16420000000000001</v>
      </c>
      <c r="N1047">
        <v>0</v>
      </c>
      <c r="O1047">
        <v>1</v>
      </c>
      <c r="P1047">
        <v>1</v>
      </c>
    </row>
    <row r="1048" spans="1:16" x14ac:dyDescent="0.25">
      <c r="A1048">
        <v>437</v>
      </c>
      <c r="B1048" s="19">
        <v>40571</v>
      </c>
      <c r="C1048">
        <v>1</v>
      </c>
      <c r="D1048">
        <v>1</v>
      </c>
      <c r="E1048">
        <v>15</v>
      </c>
      <c r="F1048" t="b">
        <v>0</v>
      </c>
      <c r="G1048">
        <v>5</v>
      </c>
      <c r="H1048">
        <v>2</v>
      </c>
      <c r="I1048">
        <v>0.2</v>
      </c>
      <c r="J1048">
        <v>436</v>
      </c>
      <c r="K1048">
        <v>0.2273</v>
      </c>
      <c r="L1048">
        <v>0.6</v>
      </c>
      <c r="M1048">
        <v>0.22389999999999999</v>
      </c>
      <c r="N1048">
        <v>0</v>
      </c>
      <c r="O1048">
        <v>6</v>
      </c>
      <c r="P1048">
        <v>6</v>
      </c>
    </row>
    <row r="1049" spans="1:16" x14ac:dyDescent="0.25">
      <c r="A1049">
        <v>438</v>
      </c>
      <c r="B1049" s="19">
        <v>40571</v>
      </c>
      <c r="C1049">
        <v>1</v>
      </c>
      <c r="D1049">
        <v>1</v>
      </c>
      <c r="E1049">
        <v>15</v>
      </c>
      <c r="F1049" t="b">
        <v>0</v>
      </c>
      <c r="G1049">
        <v>5</v>
      </c>
      <c r="H1049">
        <v>2</v>
      </c>
      <c r="I1049">
        <v>0.2</v>
      </c>
      <c r="J1049">
        <v>437</v>
      </c>
      <c r="K1049">
        <v>0.21210000000000001</v>
      </c>
      <c r="L1049">
        <v>0.6</v>
      </c>
      <c r="M1049">
        <v>0.22389999999999999</v>
      </c>
      <c r="N1049">
        <v>0</v>
      </c>
      <c r="O1049">
        <v>35</v>
      </c>
      <c r="P1049">
        <v>35</v>
      </c>
    </row>
    <row r="1050" spans="1:16" x14ac:dyDescent="0.25">
      <c r="A1050">
        <v>439</v>
      </c>
      <c r="B1050" s="19">
        <v>40571</v>
      </c>
      <c r="C1050">
        <v>1</v>
      </c>
      <c r="D1050">
        <v>1</v>
      </c>
      <c r="E1050">
        <v>15</v>
      </c>
      <c r="F1050" t="b">
        <v>0</v>
      </c>
      <c r="G1050">
        <v>5</v>
      </c>
      <c r="H1050">
        <v>2</v>
      </c>
      <c r="I1050">
        <v>0.2</v>
      </c>
      <c r="J1050">
        <v>438</v>
      </c>
      <c r="K1050">
        <v>0.21210000000000001</v>
      </c>
      <c r="L1050">
        <v>0.55000000000000004</v>
      </c>
      <c r="M1050">
        <v>0.22389999999999999</v>
      </c>
      <c r="N1050">
        <v>1</v>
      </c>
      <c r="O1050">
        <v>100</v>
      </c>
      <c r="P1050">
        <v>101</v>
      </c>
    </row>
    <row r="1051" spans="1:16" x14ac:dyDescent="0.25">
      <c r="A1051">
        <v>440</v>
      </c>
      <c r="B1051" s="19">
        <v>40571</v>
      </c>
      <c r="C1051">
        <v>1</v>
      </c>
      <c r="D1051">
        <v>1</v>
      </c>
      <c r="E1051">
        <v>15</v>
      </c>
      <c r="F1051" t="b">
        <v>0</v>
      </c>
      <c r="G1051">
        <v>5</v>
      </c>
      <c r="H1051">
        <v>2</v>
      </c>
      <c r="I1051">
        <v>0.2</v>
      </c>
      <c r="J1051">
        <v>439</v>
      </c>
      <c r="K1051">
        <v>0.21210000000000001</v>
      </c>
      <c r="L1051">
        <v>0.55000000000000004</v>
      </c>
      <c r="M1051">
        <v>0.28360000000000002</v>
      </c>
      <c r="N1051">
        <v>2</v>
      </c>
      <c r="O1051">
        <v>247</v>
      </c>
      <c r="P1051">
        <v>249</v>
      </c>
    </row>
    <row r="1052" spans="1:16" x14ac:dyDescent="0.25">
      <c r="A1052">
        <v>441</v>
      </c>
      <c r="B1052" s="19">
        <v>40571</v>
      </c>
      <c r="C1052">
        <v>1</v>
      </c>
      <c r="D1052">
        <v>1</v>
      </c>
      <c r="E1052">
        <v>15</v>
      </c>
      <c r="F1052" t="b">
        <v>0</v>
      </c>
      <c r="G1052">
        <v>5</v>
      </c>
      <c r="H1052">
        <v>2</v>
      </c>
      <c r="I1052">
        <v>0.2</v>
      </c>
      <c r="J1052">
        <v>440</v>
      </c>
      <c r="K1052">
        <v>0.2273</v>
      </c>
      <c r="L1052">
        <v>0.52</v>
      </c>
      <c r="M1052">
        <v>0.22389999999999999</v>
      </c>
      <c r="N1052">
        <v>3</v>
      </c>
      <c r="O1052">
        <v>140</v>
      </c>
      <c r="P1052">
        <v>143</v>
      </c>
    </row>
    <row r="1053" spans="1:16" x14ac:dyDescent="0.25">
      <c r="A1053">
        <v>442</v>
      </c>
      <c r="B1053" s="19">
        <v>40571</v>
      </c>
      <c r="C1053">
        <v>1</v>
      </c>
      <c r="D1053">
        <v>1</v>
      </c>
      <c r="E1053">
        <v>15</v>
      </c>
      <c r="F1053" t="b">
        <v>0</v>
      </c>
      <c r="G1053">
        <v>5</v>
      </c>
      <c r="H1053">
        <v>2</v>
      </c>
      <c r="I1053">
        <v>0.2</v>
      </c>
      <c r="J1053">
        <v>441</v>
      </c>
      <c r="K1053">
        <v>0.2273</v>
      </c>
      <c r="L1053">
        <v>0.48</v>
      </c>
      <c r="M1053">
        <v>0.29849999999999999</v>
      </c>
      <c r="N1053">
        <v>1</v>
      </c>
      <c r="O1053">
        <v>56</v>
      </c>
      <c r="P1053">
        <v>57</v>
      </c>
    </row>
    <row r="1054" spans="1:16" x14ac:dyDescent="0.25">
      <c r="A1054">
        <v>443</v>
      </c>
      <c r="B1054" s="19">
        <v>40571</v>
      </c>
      <c r="C1054">
        <v>1</v>
      </c>
      <c r="D1054">
        <v>1</v>
      </c>
      <c r="E1054">
        <v>15</v>
      </c>
      <c r="F1054" t="b">
        <v>0</v>
      </c>
      <c r="G1054">
        <v>5</v>
      </c>
      <c r="H1054">
        <v>2</v>
      </c>
      <c r="I1054">
        <v>0.2</v>
      </c>
      <c r="J1054">
        <v>442</v>
      </c>
      <c r="K1054">
        <v>0.2727</v>
      </c>
      <c r="L1054">
        <v>0.45</v>
      </c>
      <c r="M1054">
        <v>0.16420000000000001</v>
      </c>
      <c r="N1054">
        <v>5</v>
      </c>
      <c r="O1054">
        <v>63</v>
      </c>
      <c r="P1054">
        <v>68</v>
      </c>
    </row>
    <row r="1055" spans="1:16" x14ac:dyDescent="0.25">
      <c r="A1055">
        <v>444</v>
      </c>
      <c r="B1055" s="19">
        <v>40571</v>
      </c>
      <c r="C1055">
        <v>1</v>
      </c>
      <c r="D1055">
        <v>1</v>
      </c>
      <c r="E1055">
        <v>15</v>
      </c>
      <c r="F1055" t="b">
        <v>0</v>
      </c>
      <c r="G1055">
        <v>5</v>
      </c>
      <c r="H1055">
        <v>2</v>
      </c>
      <c r="I1055">
        <v>0.2</v>
      </c>
      <c r="J1055">
        <v>443</v>
      </c>
      <c r="K1055">
        <v>0.33329999999999999</v>
      </c>
      <c r="L1055">
        <v>0.42</v>
      </c>
      <c r="M1055">
        <v>0</v>
      </c>
      <c r="N1055">
        <v>7</v>
      </c>
      <c r="O1055">
        <v>77</v>
      </c>
      <c r="P1055">
        <v>84</v>
      </c>
    </row>
    <row r="1056" spans="1:16" x14ac:dyDescent="0.25">
      <c r="A1056">
        <v>445</v>
      </c>
      <c r="B1056" s="19">
        <v>40571</v>
      </c>
      <c r="C1056">
        <v>1</v>
      </c>
      <c r="D1056">
        <v>1</v>
      </c>
      <c r="E1056">
        <v>15</v>
      </c>
      <c r="F1056" t="b">
        <v>0</v>
      </c>
      <c r="G1056">
        <v>5</v>
      </c>
      <c r="H1056">
        <v>2</v>
      </c>
      <c r="I1056">
        <v>0.2</v>
      </c>
      <c r="J1056">
        <v>444</v>
      </c>
      <c r="K1056">
        <v>0.28789999999999999</v>
      </c>
      <c r="L1056">
        <v>0.45</v>
      </c>
      <c r="M1056">
        <v>0.1045</v>
      </c>
      <c r="N1056">
        <v>12</v>
      </c>
      <c r="O1056">
        <v>86</v>
      </c>
      <c r="P1056">
        <v>98</v>
      </c>
    </row>
    <row r="1057" spans="1:16" x14ac:dyDescent="0.25">
      <c r="A1057">
        <v>446</v>
      </c>
      <c r="B1057" s="19">
        <v>40571</v>
      </c>
      <c r="C1057">
        <v>1</v>
      </c>
      <c r="D1057">
        <v>1</v>
      </c>
      <c r="E1057">
        <v>15</v>
      </c>
      <c r="F1057" t="b">
        <v>0</v>
      </c>
      <c r="G1057">
        <v>5</v>
      </c>
      <c r="H1057">
        <v>2</v>
      </c>
      <c r="I1057">
        <v>0.2</v>
      </c>
      <c r="J1057">
        <v>445</v>
      </c>
      <c r="K1057">
        <v>0.30299999999999999</v>
      </c>
      <c r="L1057">
        <v>0.45</v>
      </c>
      <c r="M1057">
        <v>0.1343</v>
      </c>
      <c r="N1057">
        <v>6</v>
      </c>
      <c r="O1057">
        <v>75</v>
      </c>
      <c r="P1057">
        <v>81</v>
      </c>
    </row>
    <row r="1058" spans="1:16" x14ac:dyDescent="0.25">
      <c r="A1058">
        <v>447</v>
      </c>
      <c r="B1058" s="19">
        <v>40571</v>
      </c>
      <c r="C1058">
        <v>1</v>
      </c>
      <c r="D1058">
        <v>1</v>
      </c>
      <c r="E1058">
        <v>15</v>
      </c>
      <c r="F1058" t="b">
        <v>0</v>
      </c>
      <c r="G1058">
        <v>5</v>
      </c>
      <c r="H1058">
        <v>2</v>
      </c>
      <c r="I1058">
        <v>0.2</v>
      </c>
      <c r="J1058">
        <v>446</v>
      </c>
      <c r="K1058">
        <v>0.31819999999999998</v>
      </c>
      <c r="L1058">
        <v>0.45</v>
      </c>
      <c r="M1058">
        <v>0.19400000000000001</v>
      </c>
      <c r="N1058">
        <v>8</v>
      </c>
      <c r="O1058">
        <v>62</v>
      </c>
      <c r="P1058">
        <v>70</v>
      </c>
    </row>
    <row r="1059" spans="1:16" x14ac:dyDescent="0.25">
      <c r="A1059">
        <v>448</v>
      </c>
      <c r="B1059" s="19">
        <v>40571</v>
      </c>
      <c r="C1059">
        <v>1</v>
      </c>
      <c r="D1059">
        <v>1</v>
      </c>
      <c r="E1059">
        <v>15</v>
      </c>
      <c r="F1059" t="b">
        <v>0</v>
      </c>
      <c r="G1059">
        <v>5</v>
      </c>
      <c r="H1059">
        <v>2</v>
      </c>
      <c r="I1059">
        <v>0.2</v>
      </c>
      <c r="J1059">
        <v>447</v>
      </c>
      <c r="K1059">
        <v>0.30299999999999999</v>
      </c>
      <c r="L1059">
        <v>0.49</v>
      </c>
      <c r="M1059">
        <v>0.1343</v>
      </c>
      <c r="N1059">
        <v>8</v>
      </c>
      <c r="O1059">
        <v>83</v>
      </c>
      <c r="P1059">
        <v>91</v>
      </c>
    </row>
    <row r="1060" spans="1:16" x14ac:dyDescent="0.25">
      <c r="A1060">
        <v>449</v>
      </c>
      <c r="B1060" s="19">
        <v>40571</v>
      </c>
      <c r="C1060">
        <v>1</v>
      </c>
      <c r="D1060">
        <v>1</v>
      </c>
      <c r="E1060">
        <v>15</v>
      </c>
      <c r="F1060" t="b">
        <v>0</v>
      </c>
      <c r="G1060">
        <v>5</v>
      </c>
      <c r="H1060">
        <v>2</v>
      </c>
      <c r="I1060">
        <v>0.2</v>
      </c>
      <c r="J1060">
        <v>448</v>
      </c>
      <c r="K1060">
        <v>0.31819999999999998</v>
      </c>
      <c r="L1060">
        <v>0.49</v>
      </c>
      <c r="M1060">
        <v>0.1045</v>
      </c>
      <c r="N1060">
        <v>8</v>
      </c>
      <c r="O1060">
        <v>207</v>
      </c>
      <c r="P1060">
        <v>215</v>
      </c>
    </row>
    <row r="1061" spans="1:16" x14ac:dyDescent="0.25">
      <c r="A1061">
        <v>450</v>
      </c>
      <c r="B1061" s="19">
        <v>40571</v>
      </c>
      <c r="C1061">
        <v>1</v>
      </c>
      <c r="D1061">
        <v>1</v>
      </c>
      <c r="E1061">
        <v>15</v>
      </c>
      <c r="F1061" t="b">
        <v>0</v>
      </c>
      <c r="G1061">
        <v>5</v>
      </c>
      <c r="H1061">
        <v>2</v>
      </c>
      <c r="I1061">
        <v>0.2</v>
      </c>
      <c r="J1061">
        <v>449</v>
      </c>
      <c r="K1061">
        <v>0.2576</v>
      </c>
      <c r="L1061">
        <v>0.56000000000000005</v>
      </c>
      <c r="M1061">
        <v>0.19400000000000001</v>
      </c>
      <c r="N1061">
        <v>1</v>
      </c>
      <c r="O1061">
        <v>184</v>
      </c>
      <c r="P1061">
        <v>185</v>
      </c>
    </row>
    <row r="1062" spans="1:16" x14ac:dyDescent="0.25">
      <c r="A1062">
        <v>451</v>
      </c>
      <c r="B1062" s="19">
        <v>40571</v>
      </c>
      <c r="C1062">
        <v>1</v>
      </c>
      <c r="D1062">
        <v>1</v>
      </c>
      <c r="E1062">
        <v>15</v>
      </c>
      <c r="F1062" t="b">
        <v>0</v>
      </c>
      <c r="G1062">
        <v>5</v>
      </c>
      <c r="H1062">
        <v>2</v>
      </c>
      <c r="I1062">
        <v>0.2</v>
      </c>
      <c r="J1062">
        <v>450</v>
      </c>
      <c r="K1062">
        <v>0.2273</v>
      </c>
      <c r="L1062">
        <v>0.56000000000000005</v>
      </c>
      <c r="M1062">
        <v>0.32840000000000003</v>
      </c>
      <c r="N1062">
        <v>6</v>
      </c>
      <c r="O1062">
        <v>146</v>
      </c>
      <c r="P1062">
        <v>152</v>
      </c>
    </row>
    <row r="1063" spans="1:16" x14ac:dyDescent="0.25">
      <c r="A1063">
        <v>452</v>
      </c>
      <c r="B1063" s="19">
        <v>40571</v>
      </c>
      <c r="C1063">
        <v>1</v>
      </c>
      <c r="D1063">
        <v>1</v>
      </c>
      <c r="E1063">
        <v>15</v>
      </c>
      <c r="F1063" t="b">
        <v>0</v>
      </c>
      <c r="G1063">
        <v>5</v>
      </c>
      <c r="H1063">
        <v>2</v>
      </c>
      <c r="I1063">
        <v>0.2</v>
      </c>
      <c r="J1063">
        <v>451</v>
      </c>
      <c r="K1063">
        <v>0.2424</v>
      </c>
      <c r="L1063">
        <v>0.6</v>
      </c>
      <c r="M1063">
        <v>0.28360000000000002</v>
      </c>
      <c r="N1063">
        <v>2</v>
      </c>
      <c r="O1063">
        <v>124</v>
      </c>
      <c r="P1063">
        <v>126</v>
      </c>
    </row>
    <row r="1064" spans="1:16" x14ac:dyDescent="0.25">
      <c r="A1064">
        <v>453</v>
      </c>
      <c r="B1064" s="19">
        <v>40571</v>
      </c>
      <c r="C1064">
        <v>1</v>
      </c>
      <c r="D1064">
        <v>1</v>
      </c>
      <c r="E1064">
        <v>15</v>
      </c>
      <c r="F1064" t="b">
        <v>0</v>
      </c>
      <c r="G1064">
        <v>5</v>
      </c>
      <c r="H1064">
        <v>2</v>
      </c>
      <c r="I1064">
        <v>0.2</v>
      </c>
      <c r="J1064">
        <v>452</v>
      </c>
      <c r="K1064">
        <v>0.2273</v>
      </c>
      <c r="L1064">
        <v>0.6</v>
      </c>
      <c r="M1064">
        <v>0.25369999999999998</v>
      </c>
      <c r="N1064">
        <v>3</v>
      </c>
      <c r="O1064">
        <v>54</v>
      </c>
      <c r="P1064">
        <v>57</v>
      </c>
    </row>
    <row r="1065" spans="1:16" x14ac:dyDescent="0.25">
      <c r="A1065">
        <v>454</v>
      </c>
      <c r="B1065" s="19">
        <v>40571</v>
      </c>
      <c r="C1065">
        <v>1</v>
      </c>
      <c r="D1065">
        <v>1</v>
      </c>
      <c r="E1065">
        <v>15</v>
      </c>
      <c r="F1065" t="b">
        <v>0</v>
      </c>
      <c r="G1065">
        <v>5</v>
      </c>
      <c r="H1065">
        <v>2</v>
      </c>
      <c r="I1065">
        <v>0.2</v>
      </c>
      <c r="J1065">
        <v>453</v>
      </c>
      <c r="K1065">
        <v>0.21210000000000001</v>
      </c>
      <c r="L1065">
        <v>0.65</v>
      </c>
      <c r="M1065">
        <v>0.28360000000000002</v>
      </c>
      <c r="N1065">
        <v>0</v>
      </c>
      <c r="O1065">
        <v>56</v>
      </c>
      <c r="P1065">
        <v>56</v>
      </c>
    </row>
    <row r="1066" spans="1:16" x14ac:dyDescent="0.25">
      <c r="A1066">
        <v>455</v>
      </c>
      <c r="B1066" s="19">
        <v>40571</v>
      </c>
      <c r="C1066">
        <v>1</v>
      </c>
      <c r="D1066">
        <v>1</v>
      </c>
      <c r="E1066">
        <v>15</v>
      </c>
      <c r="F1066" t="b">
        <v>0</v>
      </c>
      <c r="G1066">
        <v>5</v>
      </c>
      <c r="H1066">
        <v>2</v>
      </c>
      <c r="I1066">
        <v>0.2</v>
      </c>
      <c r="J1066">
        <v>454</v>
      </c>
      <c r="K1066">
        <v>0.21210000000000001</v>
      </c>
      <c r="L1066">
        <v>0.65</v>
      </c>
      <c r="M1066">
        <v>0.32840000000000003</v>
      </c>
      <c r="N1066">
        <v>3</v>
      </c>
      <c r="O1066">
        <v>28</v>
      </c>
      <c r="P1066">
        <v>31</v>
      </c>
    </row>
    <row r="1067" spans="1:16" x14ac:dyDescent="0.25">
      <c r="A1067">
        <v>456</v>
      </c>
      <c r="B1067" s="19">
        <v>40571</v>
      </c>
      <c r="C1067">
        <v>1</v>
      </c>
      <c r="D1067">
        <v>1</v>
      </c>
      <c r="E1067">
        <v>15</v>
      </c>
      <c r="F1067" t="b">
        <v>0</v>
      </c>
      <c r="G1067">
        <v>5</v>
      </c>
      <c r="H1067">
        <v>2</v>
      </c>
      <c r="I1067">
        <v>0.2</v>
      </c>
      <c r="J1067">
        <v>455</v>
      </c>
      <c r="K1067">
        <v>0.2273</v>
      </c>
      <c r="L1067">
        <v>0.7</v>
      </c>
      <c r="M1067">
        <v>0.25369999999999998</v>
      </c>
      <c r="N1067">
        <v>1</v>
      </c>
      <c r="O1067">
        <v>20</v>
      </c>
      <c r="P1067">
        <v>21</v>
      </c>
    </row>
    <row r="1068" spans="1:16" x14ac:dyDescent="0.25">
      <c r="A1068">
        <v>457</v>
      </c>
      <c r="B1068" s="19">
        <v>40571</v>
      </c>
      <c r="C1068">
        <v>1</v>
      </c>
      <c r="D1068">
        <v>1</v>
      </c>
      <c r="E1068">
        <v>15</v>
      </c>
      <c r="F1068" t="b">
        <v>0</v>
      </c>
      <c r="G1068">
        <v>5</v>
      </c>
      <c r="H1068">
        <v>2</v>
      </c>
      <c r="I1068">
        <v>0.2</v>
      </c>
      <c r="J1068">
        <v>456</v>
      </c>
      <c r="K1068">
        <v>0.2273</v>
      </c>
      <c r="L1068">
        <v>0.7</v>
      </c>
      <c r="M1068">
        <v>0.25369999999999998</v>
      </c>
      <c r="N1068">
        <v>0</v>
      </c>
      <c r="O1068">
        <v>6</v>
      </c>
      <c r="P1068">
        <v>6</v>
      </c>
    </row>
    <row r="1069" spans="1:16" x14ac:dyDescent="0.25">
      <c r="A1069">
        <v>458</v>
      </c>
      <c r="B1069" s="19">
        <v>40571</v>
      </c>
      <c r="C1069">
        <v>1</v>
      </c>
      <c r="D1069">
        <v>1</v>
      </c>
      <c r="E1069">
        <v>15</v>
      </c>
      <c r="F1069" t="b">
        <v>0</v>
      </c>
      <c r="G1069">
        <v>5</v>
      </c>
      <c r="H1069">
        <v>2</v>
      </c>
      <c r="I1069">
        <v>0.2</v>
      </c>
      <c r="J1069">
        <v>457</v>
      </c>
      <c r="K1069">
        <v>0.2424</v>
      </c>
      <c r="L1069">
        <v>0.75</v>
      </c>
      <c r="M1069">
        <v>0.16420000000000001</v>
      </c>
      <c r="N1069">
        <v>0</v>
      </c>
      <c r="O1069">
        <v>2</v>
      </c>
      <c r="P1069">
        <v>2</v>
      </c>
    </row>
    <row r="1070" spans="1:16" x14ac:dyDescent="0.25">
      <c r="A1070">
        <v>459</v>
      </c>
      <c r="B1070" s="19">
        <v>40571</v>
      </c>
      <c r="C1070">
        <v>1</v>
      </c>
      <c r="D1070">
        <v>1</v>
      </c>
      <c r="E1070">
        <v>15</v>
      </c>
      <c r="F1070" t="b">
        <v>0</v>
      </c>
      <c r="G1070">
        <v>5</v>
      </c>
      <c r="H1070">
        <v>2</v>
      </c>
      <c r="I1070">
        <v>0.2</v>
      </c>
      <c r="J1070">
        <v>458</v>
      </c>
      <c r="K1070">
        <v>0.21210000000000001</v>
      </c>
      <c r="L1070">
        <v>0.8</v>
      </c>
      <c r="M1070">
        <v>0.29849999999999999</v>
      </c>
      <c r="N1070">
        <v>0</v>
      </c>
      <c r="O1070">
        <v>1</v>
      </c>
      <c r="P1070">
        <v>1</v>
      </c>
    </row>
    <row r="1071" spans="1:16" x14ac:dyDescent="0.25">
      <c r="A1071">
        <v>460</v>
      </c>
      <c r="B1071" s="19">
        <v>40571</v>
      </c>
      <c r="C1071">
        <v>1</v>
      </c>
      <c r="D1071">
        <v>1</v>
      </c>
      <c r="E1071">
        <v>15</v>
      </c>
      <c r="F1071" t="b">
        <v>0</v>
      </c>
      <c r="G1071">
        <v>5</v>
      </c>
      <c r="H1071">
        <v>2</v>
      </c>
      <c r="I1071">
        <v>0.2</v>
      </c>
      <c r="J1071">
        <v>459</v>
      </c>
      <c r="K1071">
        <v>0.2576</v>
      </c>
      <c r="L1071">
        <v>0.87</v>
      </c>
      <c r="M1071">
        <v>8.9599999999999999E-2</v>
      </c>
      <c r="N1071">
        <v>0</v>
      </c>
      <c r="O1071">
        <v>1</v>
      </c>
      <c r="P1071">
        <v>1</v>
      </c>
    </row>
    <row r="1072" spans="1:16" x14ac:dyDescent="0.25">
      <c r="A1072">
        <v>461</v>
      </c>
      <c r="B1072" s="19">
        <v>40571</v>
      </c>
      <c r="C1072">
        <v>1</v>
      </c>
      <c r="D1072">
        <v>1</v>
      </c>
      <c r="E1072">
        <v>15</v>
      </c>
      <c r="F1072" t="b">
        <v>0</v>
      </c>
      <c r="G1072">
        <v>5</v>
      </c>
      <c r="H1072">
        <v>2</v>
      </c>
      <c r="I1072">
        <v>0.2</v>
      </c>
      <c r="J1072">
        <v>460</v>
      </c>
      <c r="K1072">
        <v>0.19700000000000001</v>
      </c>
      <c r="L1072">
        <v>0.6</v>
      </c>
      <c r="M1072">
        <v>0.41789999999999999</v>
      </c>
      <c r="N1072">
        <v>1</v>
      </c>
      <c r="O1072">
        <v>4</v>
      </c>
      <c r="P1072">
        <v>5</v>
      </c>
    </row>
    <row r="1073" spans="1:16" x14ac:dyDescent="0.25">
      <c r="A1073">
        <v>462</v>
      </c>
      <c r="B1073" s="19">
        <v>40571</v>
      </c>
      <c r="C1073">
        <v>1</v>
      </c>
      <c r="D1073">
        <v>1</v>
      </c>
      <c r="E1073">
        <v>15</v>
      </c>
      <c r="F1073" t="b">
        <v>0</v>
      </c>
      <c r="G1073">
        <v>5</v>
      </c>
      <c r="H1073">
        <v>2</v>
      </c>
      <c r="I1073">
        <v>0.2</v>
      </c>
      <c r="J1073">
        <v>461</v>
      </c>
      <c r="K1073">
        <v>0.21210000000000001</v>
      </c>
      <c r="L1073">
        <v>0.55000000000000004</v>
      </c>
      <c r="M1073">
        <v>0.25369999999999998</v>
      </c>
      <c r="N1073">
        <v>0</v>
      </c>
      <c r="O1073">
        <v>27</v>
      </c>
      <c r="P1073">
        <v>27</v>
      </c>
    </row>
    <row r="1074" spans="1:16" x14ac:dyDescent="0.25">
      <c r="A1074">
        <v>463</v>
      </c>
      <c r="B1074" s="19">
        <v>40571</v>
      </c>
      <c r="C1074">
        <v>1</v>
      </c>
      <c r="D1074">
        <v>1</v>
      </c>
      <c r="E1074">
        <v>15</v>
      </c>
      <c r="F1074" t="b">
        <v>0</v>
      </c>
      <c r="G1074">
        <v>5</v>
      </c>
      <c r="H1074">
        <v>2</v>
      </c>
      <c r="I1074">
        <v>0.2</v>
      </c>
      <c r="J1074">
        <v>462</v>
      </c>
      <c r="K1074">
        <v>0.18179999999999999</v>
      </c>
      <c r="L1074">
        <v>0.51</v>
      </c>
      <c r="M1074">
        <v>0.28360000000000002</v>
      </c>
      <c r="N1074">
        <v>2</v>
      </c>
      <c r="O1074">
        <v>66</v>
      </c>
      <c r="P1074">
        <v>68</v>
      </c>
    </row>
    <row r="1075" spans="1:16" x14ac:dyDescent="0.25">
      <c r="A1075">
        <v>464</v>
      </c>
      <c r="B1075" s="19">
        <v>40571</v>
      </c>
      <c r="C1075">
        <v>1</v>
      </c>
      <c r="D1075">
        <v>1</v>
      </c>
      <c r="E1075">
        <v>15</v>
      </c>
      <c r="F1075" t="b">
        <v>0</v>
      </c>
      <c r="G1075">
        <v>5</v>
      </c>
      <c r="H1075">
        <v>2</v>
      </c>
      <c r="I1075">
        <v>0.2</v>
      </c>
      <c r="J1075">
        <v>463</v>
      </c>
      <c r="K1075">
        <v>0.18179999999999999</v>
      </c>
      <c r="L1075">
        <v>0.47</v>
      </c>
      <c r="M1075">
        <v>0.32840000000000003</v>
      </c>
      <c r="N1075">
        <v>7</v>
      </c>
      <c r="O1075">
        <v>210</v>
      </c>
      <c r="P1075">
        <v>217</v>
      </c>
    </row>
    <row r="1076" spans="1:16" x14ac:dyDescent="0.25">
      <c r="A1076">
        <v>465</v>
      </c>
      <c r="B1076" s="19">
        <v>40571</v>
      </c>
      <c r="C1076">
        <v>1</v>
      </c>
      <c r="D1076">
        <v>1</v>
      </c>
      <c r="E1076">
        <v>15</v>
      </c>
      <c r="F1076" t="b">
        <v>0</v>
      </c>
      <c r="G1076">
        <v>5</v>
      </c>
      <c r="H1076">
        <v>2</v>
      </c>
      <c r="I1076">
        <v>0.2</v>
      </c>
      <c r="J1076">
        <v>464</v>
      </c>
      <c r="K1076">
        <v>0.18179999999999999</v>
      </c>
      <c r="L1076">
        <v>0.51</v>
      </c>
      <c r="M1076">
        <v>0.35820000000000002</v>
      </c>
      <c r="N1076">
        <v>7</v>
      </c>
      <c r="O1076">
        <v>159</v>
      </c>
      <c r="P1076">
        <v>166</v>
      </c>
    </row>
    <row r="1077" spans="1:16" x14ac:dyDescent="0.25">
      <c r="A1077">
        <v>466</v>
      </c>
      <c r="B1077" s="19">
        <v>40571</v>
      </c>
      <c r="C1077">
        <v>1</v>
      </c>
      <c r="D1077">
        <v>1</v>
      </c>
      <c r="E1077">
        <v>15</v>
      </c>
      <c r="F1077" t="b">
        <v>0</v>
      </c>
      <c r="G1077">
        <v>5</v>
      </c>
      <c r="H1077">
        <v>2</v>
      </c>
      <c r="I1077">
        <v>0.2</v>
      </c>
      <c r="J1077">
        <v>465</v>
      </c>
      <c r="K1077">
        <v>0.16669999999999999</v>
      </c>
      <c r="L1077">
        <v>0.47</v>
      </c>
      <c r="M1077">
        <v>0.4627</v>
      </c>
      <c r="N1077">
        <v>6</v>
      </c>
      <c r="O1077">
        <v>57</v>
      </c>
      <c r="P1077">
        <v>63</v>
      </c>
    </row>
    <row r="1078" spans="1:16" x14ac:dyDescent="0.25">
      <c r="A1078">
        <v>467</v>
      </c>
      <c r="B1078" s="19">
        <v>40571</v>
      </c>
      <c r="C1078">
        <v>1</v>
      </c>
      <c r="D1078">
        <v>1</v>
      </c>
      <c r="E1078">
        <v>15</v>
      </c>
      <c r="F1078" t="b">
        <v>0</v>
      </c>
      <c r="G1078">
        <v>5</v>
      </c>
      <c r="H1078">
        <v>2</v>
      </c>
      <c r="I1078">
        <v>0.2</v>
      </c>
      <c r="J1078">
        <v>466</v>
      </c>
      <c r="K1078">
        <v>0.18179999999999999</v>
      </c>
      <c r="L1078">
        <v>0.41</v>
      </c>
      <c r="M1078">
        <v>0.4627</v>
      </c>
      <c r="N1078">
        <v>6</v>
      </c>
      <c r="O1078">
        <v>53</v>
      </c>
      <c r="P1078">
        <v>59</v>
      </c>
    </row>
    <row r="1079" spans="1:16" x14ac:dyDescent="0.25">
      <c r="A1079">
        <v>468</v>
      </c>
      <c r="B1079" s="19">
        <v>40571</v>
      </c>
      <c r="C1079">
        <v>1</v>
      </c>
      <c r="D1079">
        <v>1</v>
      </c>
      <c r="E1079">
        <v>15</v>
      </c>
      <c r="F1079" t="b">
        <v>0</v>
      </c>
      <c r="G1079">
        <v>5</v>
      </c>
      <c r="H1079">
        <v>2</v>
      </c>
      <c r="I1079">
        <v>0.2</v>
      </c>
      <c r="J1079">
        <v>467</v>
      </c>
      <c r="K1079">
        <v>0.18179999999999999</v>
      </c>
      <c r="L1079">
        <v>0.27</v>
      </c>
      <c r="M1079">
        <v>0.58209999999999995</v>
      </c>
      <c r="N1079">
        <v>11</v>
      </c>
      <c r="O1079">
        <v>67</v>
      </c>
      <c r="P1079">
        <v>78</v>
      </c>
    </row>
    <row r="1080" spans="1:16" x14ac:dyDescent="0.25">
      <c r="A1080">
        <v>469</v>
      </c>
      <c r="B1080" s="19">
        <v>40571</v>
      </c>
      <c r="C1080">
        <v>1</v>
      </c>
      <c r="D1080">
        <v>1</v>
      </c>
      <c r="E1080">
        <v>15</v>
      </c>
      <c r="F1080" t="b">
        <v>0</v>
      </c>
      <c r="G1080">
        <v>5</v>
      </c>
      <c r="H1080">
        <v>2</v>
      </c>
      <c r="I1080">
        <v>0.2</v>
      </c>
      <c r="J1080">
        <v>468</v>
      </c>
      <c r="K1080">
        <v>0.1515</v>
      </c>
      <c r="L1080">
        <v>0.21</v>
      </c>
      <c r="M1080">
        <v>0.58209999999999995</v>
      </c>
      <c r="N1080">
        <v>8</v>
      </c>
      <c r="O1080">
        <v>65</v>
      </c>
      <c r="P1080">
        <v>73</v>
      </c>
    </row>
    <row r="1081" spans="1:16" x14ac:dyDescent="0.25">
      <c r="A1081">
        <v>470</v>
      </c>
      <c r="B1081" s="19">
        <v>40571</v>
      </c>
      <c r="C1081">
        <v>1</v>
      </c>
      <c r="D1081">
        <v>1</v>
      </c>
      <c r="E1081">
        <v>15</v>
      </c>
      <c r="F1081" t="b">
        <v>0</v>
      </c>
      <c r="G1081">
        <v>5</v>
      </c>
      <c r="H1081">
        <v>2</v>
      </c>
      <c r="I1081">
        <v>0.2</v>
      </c>
      <c r="J1081">
        <v>469</v>
      </c>
      <c r="K1081">
        <v>0.1515</v>
      </c>
      <c r="L1081">
        <v>0.25</v>
      </c>
      <c r="M1081">
        <v>0.52239999999999998</v>
      </c>
      <c r="N1081">
        <v>6</v>
      </c>
      <c r="O1081">
        <v>56</v>
      </c>
      <c r="P1081">
        <v>62</v>
      </c>
    </row>
    <row r="1082" spans="1:16" x14ac:dyDescent="0.25">
      <c r="A1082">
        <v>471</v>
      </c>
      <c r="B1082" s="19">
        <v>40571</v>
      </c>
      <c r="C1082">
        <v>1</v>
      </c>
      <c r="D1082">
        <v>1</v>
      </c>
      <c r="E1082">
        <v>15</v>
      </c>
      <c r="F1082" t="b">
        <v>0</v>
      </c>
      <c r="G1082">
        <v>5</v>
      </c>
      <c r="H1082">
        <v>2</v>
      </c>
      <c r="I1082">
        <v>0.2</v>
      </c>
      <c r="J1082">
        <v>470</v>
      </c>
      <c r="K1082">
        <v>0.1212</v>
      </c>
      <c r="L1082">
        <v>0.26</v>
      </c>
      <c r="M1082">
        <v>0.44779999999999998</v>
      </c>
      <c r="N1082">
        <v>4</v>
      </c>
      <c r="O1082">
        <v>61</v>
      </c>
      <c r="P1082">
        <v>65</v>
      </c>
    </row>
    <row r="1083" spans="1:16" x14ac:dyDescent="0.25">
      <c r="A1083">
        <v>472</v>
      </c>
      <c r="B1083" s="19">
        <v>40571</v>
      </c>
      <c r="C1083">
        <v>1</v>
      </c>
      <c r="D1083">
        <v>1</v>
      </c>
      <c r="E1083">
        <v>15</v>
      </c>
      <c r="F1083" t="b">
        <v>0</v>
      </c>
      <c r="G1083">
        <v>5</v>
      </c>
      <c r="H1083">
        <v>2</v>
      </c>
      <c r="I1083">
        <v>0.2</v>
      </c>
      <c r="J1083">
        <v>471</v>
      </c>
      <c r="K1083">
        <v>0.13639999999999999</v>
      </c>
      <c r="L1083">
        <v>0.26</v>
      </c>
      <c r="M1083">
        <v>0.35820000000000002</v>
      </c>
      <c r="N1083">
        <v>0</v>
      </c>
      <c r="O1083">
        <v>97</v>
      </c>
      <c r="P1083">
        <v>97</v>
      </c>
    </row>
    <row r="1084" spans="1:16" x14ac:dyDescent="0.25">
      <c r="A1084">
        <v>473</v>
      </c>
      <c r="B1084" s="19">
        <v>40571</v>
      </c>
      <c r="C1084">
        <v>1</v>
      </c>
      <c r="D1084">
        <v>1</v>
      </c>
      <c r="E1084">
        <v>15</v>
      </c>
      <c r="F1084" t="b">
        <v>0</v>
      </c>
      <c r="G1084">
        <v>5</v>
      </c>
      <c r="H1084">
        <v>2</v>
      </c>
      <c r="I1084">
        <v>0.2</v>
      </c>
      <c r="J1084">
        <v>472</v>
      </c>
      <c r="K1084">
        <v>0.1212</v>
      </c>
      <c r="L1084">
        <v>0.28000000000000003</v>
      </c>
      <c r="M1084">
        <v>0.35820000000000002</v>
      </c>
      <c r="N1084">
        <v>10</v>
      </c>
      <c r="O1084">
        <v>151</v>
      </c>
      <c r="P1084">
        <v>161</v>
      </c>
    </row>
    <row r="1085" spans="1:16" x14ac:dyDescent="0.25">
      <c r="A1085">
        <v>474</v>
      </c>
      <c r="B1085" s="19">
        <v>40571</v>
      </c>
      <c r="C1085">
        <v>1</v>
      </c>
      <c r="D1085">
        <v>1</v>
      </c>
      <c r="E1085">
        <v>15</v>
      </c>
      <c r="F1085" t="b">
        <v>0</v>
      </c>
      <c r="G1085">
        <v>5</v>
      </c>
      <c r="H1085">
        <v>2</v>
      </c>
      <c r="I1085">
        <v>0.2</v>
      </c>
      <c r="J1085">
        <v>473</v>
      </c>
      <c r="K1085">
        <v>0.1212</v>
      </c>
      <c r="L1085">
        <v>0.3</v>
      </c>
      <c r="M1085">
        <v>0.25369999999999998</v>
      </c>
      <c r="N1085">
        <v>1</v>
      </c>
      <c r="O1085">
        <v>119</v>
      </c>
      <c r="P1085">
        <v>120</v>
      </c>
    </row>
    <row r="1086" spans="1:16" x14ac:dyDescent="0.25">
      <c r="A1086">
        <v>475</v>
      </c>
      <c r="B1086" s="19">
        <v>40571</v>
      </c>
      <c r="C1086">
        <v>1</v>
      </c>
      <c r="D1086">
        <v>1</v>
      </c>
      <c r="E1086">
        <v>15</v>
      </c>
      <c r="F1086" t="b">
        <v>0</v>
      </c>
      <c r="G1086">
        <v>5</v>
      </c>
      <c r="H1086">
        <v>2</v>
      </c>
      <c r="I1086">
        <v>0.2</v>
      </c>
      <c r="J1086">
        <v>474</v>
      </c>
      <c r="K1086">
        <v>0.1061</v>
      </c>
      <c r="L1086">
        <v>0.3</v>
      </c>
      <c r="M1086">
        <v>0.32840000000000003</v>
      </c>
      <c r="N1086">
        <v>3</v>
      </c>
      <c r="O1086">
        <v>93</v>
      </c>
      <c r="P1086">
        <v>96</v>
      </c>
    </row>
    <row r="1087" spans="1:16" x14ac:dyDescent="0.25">
      <c r="A1087">
        <v>476</v>
      </c>
      <c r="B1087" s="19">
        <v>40571</v>
      </c>
      <c r="C1087">
        <v>1</v>
      </c>
      <c r="D1087">
        <v>1</v>
      </c>
      <c r="E1087">
        <v>15</v>
      </c>
      <c r="F1087" t="b">
        <v>0</v>
      </c>
      <c r="G1087">
        <v>5</v>
      </c>
      <c r="H1087">
        <v>2</v>
      </c>
      <c r="I1087">
        <v>0.2</v>
      </c>
      <c r="J1087">
        <v>475</v>
      </c>
      <c r="K1087">
        <v>7.5800000000000006E-2</v>
      </c>
      <c r="L1087">
        <v>0.33</v>
      </c>
      <c r="M1087">
        <v>0.41789999999999999</v>
      </c>
      <c r="N1087">
        <v>1</v>
      </c>
      <c r="O1087">
        <v>52</v>
      </c>
      <c r="P1087">
        <v>53</v>
      </c>
    </row>
    <row r="1088" spans="1:16" x14ac:dyDescent="0.25">
      <c r="A1088">
        <v>477</v>
      </c>
      <c r="B1088" s="19">
        <v>40571</v>
      </c>
      <c r="C1088">
        <v>1</v>
      </c>
      <c r="D1088">
        <v>1</v>
      </c>
      <c r="E1088">
        <v>15</v>
      </c>
      <c r="F1088" t="b">
        <v>0</v>
      </c>
      <c r="G1088">
        <v>5</v>
      </c>
      <c r="H1088">
        <v>2</v>
      </c>
      <c r="I1088">
        <v>0.2</v>
      </c>
      <c r="J1088">
        <v>476</v>
      </c>
      <c r="K1088">
        <v>7.5800000000000006E-2</v>
      </c>
      <c r="L1088">
        <v>0.38</v>
      </c>
      <c r="M1088">
        <v>0.28360000000000002</v>
      </c>
      <c r="N1088">
        <v>0</v>
      </c>
      <c r="O1088">
        <v>41</v>
      </c>
      <c r="P1088">
        <v>41</v>
      </c>
    </row>
    <row r="1089" spans="1:16" x14ac:dyDescent="0.25">
      <c r="A1089">
        <v>478</v>
      </c>
      <c r="B1089" s="19">
        <v>40571</v>
      </c>
      <c r="C1089">
        <v>1</v>
      </c>
      <c r="D1089">
        <v>1</v>
      </c>
      <c r="E1089">
        <v>15</v>
      </c>
      <c r="F1089" t="b">
        <v>0</v>
      </c>
      <c r="G1089">
        <v>5</v>
      </c>
      <c r="H1089">
        <v>2</v>
      </c>
      <c r="I1089">
        <v>0.2</v>
      </c>
      <c r="J1089">
        <v>477</v>
      </c>
      <c r="K1089">
        <v>3.0300000000000001E-2</v>
      </c>
      <c r="L1089">
        <v>0.41</v>
      </c>
      <c r="M1089">
        <v>0.3881</v>
      </c>
      <c r="N1089">
        <v>1</v>
      </c>
      <c r="O1089">
        <v>33</v>
      </c>
      <c r="P1089">
        <v>34</v>
      </c>
    </row>
    <row r="1090" spans="1:16" x14ac:dyDescent="0.25">
      <c r="A1090">
        <v>479</v>
      </c>
      <c r="B1090" s="19">
        <v>40571</v>
      </c>
      <c r="C1090">
        <v>1</v>
      </c>
      <c r="D1090">
        <v>1</v>
      </c>
      <c r="E1090">
        <v>15</v>
      </c>
      <c r="F1090" t="b">
        <v>0</v>
      </c>
      <c r="G1090">
        <v>5</v>
      </c>
      <c r="H1090">
        <v>2</v>
      </c>
      <c r="I1090">
        <v>0.2</v>
      </c>
      <c r="J1090">
        <v>478</v>
      </c>
      <c r="K1090">
        <v>4.5499999999999999E-2</v>
      </c>
      <c r="L1090">
        <v>0.38</v>
      </c>
      <c r="M1090">
        <v>0.32840000000000003</v>
      </c>
      <c r="N1090">
        <v>0</v>
      </c>
      <c r="O1090">
        <v>27</v>
      </c>
      <c r="P1090">
        <v>27</v>
      </c>
    </row>
    <row r="1091" spans="1:16" x14ac:dyDescent="0.25">
      <c r="A1091">
        <v>480</v>
      </c>
      <c r="B1091" s="19">
        <v>40571</v>
      </c>
      <c r="C1091">
        <v>1</v>
      </c>
      <c r="D1091">
        <v>1</v>
      </c>
      <c r="E1091">
        <v>15</v>
      </c>
      <c r="F1091" t="b">
        <v>0</v>
      </c>
      <c r="G1091">
        <v>5</v>
      </c>
      <c r="H1091">
        <v>2</v>
      </c>
      <c r="I1091">
        <v>0.2</v>
      </c>
      <c r="J1091">
        <v>479</v>
      </c>
      <c r="K1091">
        <v>3.0300000000000001E-2</v>
      </c>
      <c r="L1091">
        <v>0.45</v>
      </c>
      <c r="M1091">
        <v>0.25369999999999998</v>
      </c>
      <c r="N1091">
        <v>0</v>
      </c>
      <c r="O1091">
        <v>13</v>
      </c>
      <c r="P1091">
        <v>13</v>
      </c>
    </row>
    <row r="1092" spans="1:16" x14ac:dyDescent="0.25">
      <c r="A1092">
        <v>481</v>
      </c>
      <c r="B1092" s="19">
        <v>40571</v>
      </c>
      <c r="C1092">
        <v>1</v>
      </c>
      <c r="D1092">
        <v>1</v>
      </c>
      <c r="E1092">
        <v>15</v>
      </c>
      <c r="F1092" t="b">
        <v>0</v>
      </c>
      <c r="G1092">
        <v>5</v>
      </c>
      <c r="H1092">
        <v>2</v>
      </c>
      <c r="I1092">
        <v>0.2</v>
      </c>
      <c r="J1092">
        <v>480</v>
      </c>
      <c r="K1092">
        <v>0</v>
      </c>
      <c r="L1092">
        <v>0.41</v>
      </c>
      <c r="M1092">
        <v>0.3881</v>
      </c>
      <c r="N1092">
        <v>3</v>
      </c>
      <c r="O1092">
        <v>9</v>
      </c>
      <c r="P1092">
        <v>12</v>
      </c>
    </row>
    <row r="1093" spans="1:16" x14ac:dyDescent="0.25">
      <c r="A1093">
        <v>482</v>
      </c>
      <c r="B1093" s="19">
        <v>40571</v>
      </c>
      <c r="C1093">
        <v>1</v>
      </c>
      <c r="D1093">
        <v>1</v>
      </c>
      <c r="E1093">
        <v>15</v>
      </c>
      <c r="F1093" t="b">
        <v>0</v>
      </c>
      <c r="G1093">
        <v>5</v>
      </c>
      <c r="H1093">
        <v>2</v>
      </c>
      <c r="I1093">
        <v>0.2</v>
      </c>
      <c r="J1093">
        <v>481</v>
      </c>
      <c r="K1093">
        <v>3.0300000000000001E-2</v>
      </c>
      <c r="L1093">
        <v>0.41</v>
      </c>
      <c r="M1093">
        <v>0.25369999999999998</v>
      </c>
      <c r="N1093">
        <v>0</v>
      </c>
      <c r="O1093">
        <v>11</v>
      </c>
      <c r="P1093">
        <v>11</v>
      </c>
    </row>
    <row r="1094" spans="1:16" x14ac:dyDescent="0.25">
      <c r="A1094">
        <v>483</v>
      </c>
      <c r="B1094" s="19">
        <v>40571</v>
      </c>
      <c r="C1094">
        <v>1</v>
      </c>
      <c r="D1094">
        <v>1</v>
      </c>
      <c r="E1094">
        <v>15</v>
      </c>
      <c r="F1094" t="b">
        <v>0</v>
      </c>
      <c r="G1094">
        <v>5</v>
      </c>
      <c r="H1094">
        <v>2</v>
      </c>
      <c r="I1094">
        <v>0.2</v>
      </c>
      <c r="J1094">
        <v>482</v>
      </c>
      <c r="K1094">
        <v>3.0300000000000001E-2</v>
      </c>
      <c r="L1094">
        <v>0.41</v>
      </c>
      <c r="M1094">
        <v>0.28360000000000002</v>
      </c>
      <c r="N1094">
        <v>1</v>
      </c>
      <c r="O1094">
        <v>6</v>
      </c>
      <c r="P1094">
        <v>7</v>
      </c>
    </row>
    <row r="1095" spans="1:16" x14ac:dyDescent="0.25">
      <c r="A1095">
        <v>484</v>
      </c>
      <c r="B1095" s="19">
        <v>40571</v>
      </c>
      <c r="C1095">
        <v>1</v>
      </c>
      <c r="D1095">
        <v>1</v>
      </c>
      <c r="E1095">
        <v>15</v>
      </c>
      <c r="F1095" t="b">
        <v>0</v>
      </c>
      <c r="G1095">
        <v>5</v>
      </c>
      <c r="H1095">
        <v>2</v>
      </c>
      <c r="I1095">
        <v>0.2</v>
      </c>
      <c r="J1095">
        <v>483</v>
      </c>
      <c r="K1095">
        <v>1.52E-2</v>
      </c>
      <c r="L1095">
        <v>0.48</v>
      </c>
      <c r="M1095">
        <v>0.29849999999999999</v>
      </c>
      <c r="N1095">
        <v>0</v>
      </c>
      <c r="O1095">
        <v>3</v>
      </c>
      <c r="P1095">
        <v>3</v>
      </c>
    </row>
    <row r="1096" spans="1:16" x14ac:dyDescent="0.25">
      <c r="A1096">
        <v>485</v>
      </c>
      <c r="B1096" s="19">
        <v>40571</v>
      </c>
      <c r="C1096">
        <v>1</v>
      </c>
      <c r="D1096">
        <v>1</v>
      </c>
      <c r="E1096">
        <v>15</v>
      </c>
      <c r="F1096" t="b">
        <v>0</v>
      </c>
      <c r="G1096">
        <v>5</v>
      </c>
      <c r="H1096">
        <v>2</v>
      </c>
      <c r="I1096">
        <v>0.2</v>
      </c>
      <c r="J1096">
        <v>484</v>
      </c>
      <c r="K1096">
        <v>3.0300000000000001E-2</v>
      </c>
      <c r="L1096">
        <v>0.44</v>
      </c>
      <c r="M1096">
        <v>0.22389999999999999</v>
      </c>
      <c r="N1096">
        <v>0</v>
      </c>
      <c r="O1096">
        <v>2</v>
      </c>
      <c r="P1096">
        <v>2</v>
      </c>
    </row>
    <row r="1097" spans="1:16" x14ac:dyDescent="0.25">
      <c r="A1097">
        <v>486</v>
      </c>
      <c r="B1097" s="19">
        <v>40571</v>
      </c>
      <c r="C1097">
        <v>1</v>
      </c>
      <c r="D1097">
        <v>1</v>
      </c>
      <c r="E1097">
        <v>15</v>
      </c>
      <c r="F1097" t="b">
        <v>0</v>
      </c>
      <c r="G1097">
        <v>5</v>
      </c>
      <c r="H1097">
        <v>2</v>
      </c>
      <c r="I1097">
        <v>0.2</v>
      </c>
      <c r="J1097">
        <v>485</v>
      </c>
      <c r="K1097">
        <v>1.52E-2</v>
      </c>
      <c r="L1097">
        <v>0.44</v>
      </c>
      <c r="M1097">
        <v>0.28360000000000002</v>
      </c>
      <c r="N1097">
        <v>0</v>
      </c>
      <c r="O1097">
        <v>8</v>
      </c>
      <c r="P1097">
        <v>8</v>
      </c>
    </row>
    <row r="1098" spans="1:16" x14ac:dyDescent="0.25">
      <c r="A1098">
        <v>487</v>
      </c>
      <c r="B1098" s="19">
        <v>40571</v>
      </c>
      <c r="C1098">
        <v>1</v>
      </c>
      <c r="D1098">
        <v>1</v>
      </c>
      <c r="E1098">
        <v>15</v>
      </c>
      <c r="F1098" t="b">
        <v>0</v>
      </c>
      <c r="G1098">
        <v>5</v>
      </c>
      <c r="H1098">
        <v>2</v>
      </c>
      <c r="I1098">
        <v>0.2</v>
      </c>
      <c r="J1098">
        <v>486</v>
      </c>
      <c r="K1098">
        <v>0</v>
      </c>
      <c r="L1098">
        <v>0.44</v>
      </c>
      <c r="M1098">
        <v>0.32840000000000003</v>
      </c>
      <c r="N1098">
        <v>1</v>
      </c>
      <c r="O1098">
        <v>26</v>
      </c>
      <c r="P1098">
        <v>27</v>
      </c>
    </row>
    <row r="1099" spans="1:16" x14ac:dyDescent="0.25">
      <c r="A1099">
        <v>488</v>
      </c>
      <c r="B1099" s="19">
        <v>40571</v>
      </c>
      <c r="C1099">
        <v>1</v>
      </c>
      <c r="D1099">
        <v>1</v>
      </c>
      <c r="E1099">
        <v>15</v>
      </c>
      <c r="F1099" t="b">
        <v>0</v>
      </c>
      <c r="G1099">
        <v>5</v>
      </c>
      <c r="H1099">
        <v>2</v>
      </c>
      <c r="I1099">
        <v>0.2</v>
      </c>
      <c r="J1099">
        <v>487</v>
      </c>
      <c r="K1099">
        <v>3.0300000000000001E-2</v>
      </c>
      <c r="L1099">
        <v>0.41</v>
      </c>
      <c r="M1099">
        <v>0.25369999999999998</v>
      </c>
      <c r="N1099">
        <v>3</v>
      </c>
      <c r="O1099">
        <v>37</v>
      </c>
      <c r="P1099">
        <v>40</v>
      </c>
    </row>
    <row r="1100" spans="1:16" x14ac:dyDescent="0.25">
      <c r="A1100">
        <v>489</v>
      </c>
      <c r="B1100" s="19">
        <v>40571</v>
      </c>
      <c r="C1100">
        <v>1</v>
      </c>
      <c r="D1100">
        <v>1</v>
      </c>
      <c r="E1100">
        <v>15</v>
      </c>
      <c r="F1100" t="b">
        <v>0</v>
      </c>
      <c r="G1100">
        <v>5</v>
      </c>
      <c r="H1100">
        <v>2</v>
      </c>
      <c r="I1100">
        <v>0.2</v>
      </c>
      <c r="J1100">
        <v>488</v>
      </c>
      <c r="K1100">
        <v>6.0600000000000001E-2</v>
      </c>
      <c r="L1100">
        <v>0.41</v>
      </c>
      <c r="M1100">
        <v>0.16420000000000001</v>
      </c>
      <c r="N1100">
        <v>3</v>
      </c>
      <c r="O1100">
        <v>50</v>
      </c>
      <c r="P1100">
        <v>53</v>
      </c>
    </row>
    <row r="1101" spans="1:16" x14ac:dyDescent="0.25">
      <c r="A1101">
        <v>490</v>
      </c>
      <c r="B1101" s="19">
        <v>40571</v>
      </c>
      <c r="C1101">
        <v>1</v>
      </c>
      <c r="D1101">
        <v>1</v>
      </c>
      <c r="E1101">
        <v>15</v>
      </c>
      <c r="F1101" t="b">
        <v>0</v>
      </c>
      <c r="G1101">
        <v>5</v>
      </c>
      <c r="H1101">
        <v>2</v>
      </c>
      <c r="I1101">
        <v>0.2</v>
      </c>
      <c r="J1101">
        <v>489</v>
      </c>
      <c r="K1101">
        <v>7.5800000000000006E-2</v>
      </c>
      <c r="L1101">
        <v>0.38</v>
      </c>
      <c r="M1101">
        <v>0.1343</v>
      </c>
      <c r="N1101">
        <v>4</v>
      </c>
      <c r="O1101">
        <v>59</v>
      </c>
      <c r="P1101">
        <v>63</v>
      </c>
    </row>
    <row r="1102" spans="1:16" x14ac:dyDescent="0.25">
      <c r="A1102">
        <v>491</v>
      </c>
      <c r="B1102" s="19">
        <v>40571</v>
      </c>
      <c r="C1102">
        <v>1</v>
      </c>
      <c r="D1102">
        <v>1</v>
      </c>
      <c r="E1102">
        <v>15</v>
      </c>
      <c r="F1102" t="b">
        <v>0</v>
      </c>
      <c r="G1102">
        <v>5</v>
      </c>
      <c r="H1102">
        <v>2</v>
      </c>
      <c r="I1102">
        <v>0.2</v>
      </c>
      <c r="J1102">
        <v>490</v>
      </c>
      <c r="K1102">
        <v>0.1061</v>
      </c>
      <c r="L1102">
        <v>0.38</v>
      </c>
      <c r="M1102">
        <v>0.1045</v>
      </c>
      <c r="N1102">
        <v>10</v>
      </c>
      <c r="O1102">
        <v>60</v>
      </c>
      <c r="P1102">
        <v>70</v>
      </c>
    </row>
    <row r="1103" spans="1:16" x14ac:dyDescent="0.25">
      <c r="A1103">
        <v>492</v>
      </c>
      <c r="B1103" s="19">
        <v>40571</v>
      </c>
      <c r="C1103">
        <v>1</v>
      </c>
      <c r="D1103">
        <v>1</v>
      </c>
      <c r="E1103">
        <v>15</v>
      </c>
      <c r="F1103" t="b">
        <v>0</v>
      </c>
      <c r="G1103">
        <v>5</v>
      </c>
      <c r="H1103">
        <v>2</v>
      </c>
      <c r="I1103">
        <v>0.2</v>
      </c>
      <c r="J1103">
        <v>491</v>
      </c>
      <c r="K1103">
        <v>0.16669999999999999</v>
      </c>
      <c r="L1103">
        <v>0.35</v>
      </c>
      <c r="M1103">
        <v>0</v>
      </c>
      <c r="N1103">
        <v>12</v>
      </c>
      <c r="O1103">
        <v>72</v>
      </c>
      <c r="P1103">
        <v>84</v>
      </c>
    </row>
    <row r="1104" spans="1:16" x14ac:dyDescent="0.25">
      <c r="A1104">
        <v>493</v>
      </c>
      <c r="B1104" s="19">
        <v>40571</v>
      </c>
      <c r="C1104">
        <v>1</v>
      </c>
      <c r="D1104">
        <v>1</v>
      </c>
      <c r="E1104">
        <v>15</v>
      </c>
      <c r="F1104" t="b">
        <v>0</v>
      </c>
      <c r="G1104">
        <v>5</v>
      </c>
      <c r="H1104">
        <v>2</v>
      </c>
      <c r="I1104">
        <v>0.2</v>
      </c>
      <c r="J1104">
        <v>492</v>
      </c>
      <c r="K1104">
        <v>0.13639999999999999</v>
      </c>
      <c r="L1104">
        <v>0.33</v>
      </c>
      <c r="M1104">
        <v>0.1045</v>
      </c>
      <c r="N1104">
        <v>11</v>
      </c>
      <c r="O1104">
        <v>64</v>
      </c>
      <c r="P1104">
        <v>75</v>
      </c>
    </row>
    <row r="1105" spans="1:16" x14ac:dyDescent="0.25">
      <c r="A1105">
        <v>494</v>
      </c>
      <c r="B1105" s="19">
        <v>40571</v>
      </c>
      <c r="C1105">
        <v>1</v>
      </c>
      <c r="D1105">
        <v>1</v>
      </c>
      <c r="E1105">
        <v>15</v>
      </c>
      <c r="F1105" t="b">
        <v>0</v>
      </c>
      <c r="G1105">
        <v>5</v>
      </c>
      <c r="H1105">
        <v>2</v>
      </c>
      <c r="I1105">
        <v>0.2</v>
      </c>
      <c r="J1105">
        <v>493</v>
      </c>
      <c r="K1105">
        <v>0.1515</v>
      </c>
      <c r="L1105">
        <v>0.28000000000000003</v>
      </c>
      <c r="M1105">
        <v>0</v>
      </c>
      <c r="N1105">
        <v>10</v>
      </c>
      <c r="O1105">
        <v>93</v>
      </c>
      <c r="P1105">
        <v>103</v>
      </c>
    </row>
    <row r="1106" spans="1:16" x14ac:dyDescent="0.25">
      <c r="A1106">
        <v>495</v>
      </c>
      <c r="B1106" s="19">
        <v>40571</v>
      </c>
      <c r="C1106">
        <v>1</v>
      </c>
      <c r="D1106">
        <v>1</v>
      </c>
      <c r="E1106">
        <v>15</v>
      </c>
      <c r="F1106" t="b">
        <v>0</v>
      </c>
      <c r="G1106">
        <v>5</v>
      </c>
      <c r="H1106">
        <v>2</v>
      </c>
      <c r="I1106">
        <v>0.2</v>
      </c>
      <c r="J1106">
        <v>494</v>
      </c>
      <c r="K1106">
        <v>0.13639999999999999</v>
      </c>
      <c r="L1106">
        <v>0.28000000000000003</v>
      </c>
      <c r="M1106">
        <v>0.19400000000000001</v>
      </c>
      <c r="N1106">
        <v>11</v>
      </c>
      <c r="O1106">
        <v>72</v>
      </c>
      <c r="P1106">
        <v>83</v>
      </c>
    </row>
    <row r="1107" spans="1:16" x14ac:dyDescent="0.25">
      <c r="A1107">
        <v>496</v>
      </c>
      <c r="B1107" s="19">
        <v>40571</v>
      </c>
      <c r="C1107">
        <v>1</v>
      </c>
      <c r="D1107">
        <v>1</v>
      </c>
      <c r="E1107">
        <v>15</v>
      </c>
      <c r="F1107" t="b">
        <v>0</v>
      </c>
      <c r="G1107">
        <v>5</v>
      </c>
      <c r="H1107">
        <v>2</v>
      </c>
      <c r="I1107">
        <v>0.2</v>
      </c>
      <c r="J1107">
        <v>495</v>
      </c>
      <c r="K1107">
        <v>0.19700000000000001</v>
      </c>
      <c r="L1107">
        <v>0.28000000000000003</v>
      </c>
      <c r="M1107">
        <v>0</v>
      </c>
      <c r="N1107">
        <v>8</v>
      </c>
      <c r="O1107">
        <v>59</v>
      </c>
      <c r="P1107">
        <v>67</v>
      </c>
    </row>
    <row r="1108" spans="1:16" x14ac:dyDescent="0.25">
      <c r="A1108">
        <v>497</v>
      </c>
      <c r="B1108" s="19">
        <v>40571</v>
      </c>
      <c r="C1108">
        <v>1</v>
      </c>
      <c r="D1108">
        <v>1</v>
      </c>
      <c r="E1108">
        <v>15</v>
      </c>
      <c r="F1108" t="b">
        <v>0</v>
      </c>
      <c r="G1108">
        <v>5</v>
      </c>
      <c r="H1108">
        <v>2</v>
      </c>
      <c r="I1108">
        <v>0.2</v>
      </c>
      <c r="J1108">
        <v>496</v>
      </c>
      <c r="K1108">
        <v>9.0899999999999995E-2</v>
      </c>
      <c r="L1108">
        <v>0.35</v>
      </c>
      <c r="M1108">
        <v>0.19400000000000001</v>
      </c>
      <c r="N1108">
        <v>0</v>
      </c>
      <c r="O1108">
        <v>54</v>
      </c>
      <c r="P1108">
        <v>54</v>
      </c>
    </row>
    <row r="1109" spans="1:16" x14ac:dyDescent="0.25">
      <c r="A1109">
        <v>498</v>
      </c>
      <c r="B1109" s="19">
        <v>40571</v>
      </c>
      <c r="C1109">
        <v>1</v>
      </c>
      <c r="D1109">
        <v>1</v>
      </c>
      <c r="E1109">
        <v>15</v>
      </c>
      <c r="F1109" t="b">
        <v>0</v>
      </c>
      <c r="G1109">
        <v>5</v>
      </c>
      <c r="H1109">
        <v>2</v>
      </c>
      <c r="I1109">
        <v>0.2</v>
      </c>
      <c r="J1109">
        <v>497</v>
      </c>
      <c r="K1109">
        <v>0.1061</v>
      </c>
      <c r="L1109">
        <v>0.35</v>
      </c>
      <c r="M1109">
        <v>0.1343</v>
      </c>
      <c r="N1109">
        <v>6</v>
      </c>
      <c r="O1109">
        <v>53</v>
      </c>
      <c r="P1109">
        <v>59</v>
      </c>
    </row>
    <row r="1110" spans="1:16" x14ac:dyDescent="0.25">
      <c r="A1110">
        <v>499</v>
      </c>
      <c r="B1110" s="19">
        <v>40571</v>
      </c>
      <c r="C1110">
        <v>1</v>
      </c>
      <c r="D1110">
        <v>1</v>
      </c>
      <c r="E1110">
        <v>15</v>
      </c>
      <c r="F1110" t="b">
        <v>0</v>
      </c>
      <c r="G1110">
        <v>5</v>
      </c>
      <c r="H1110">
        <v>2</v>
      </c>
      <c r="I1110">
        <v>0.2</v>
      </c>
      <c r="J1110">
        <v>498</v>
      </c>
      <c r="K1110">
        <v>7.5800000000000006E-2</v>
      </c>
      <c r="L1110">
        <v>0.45</v>
      </c>
      <c r="M1110">
        <v>0.16420000000000001</v>
      </c>
      <c r="N1110">
        <v>1</v>
      </c>
      <c r="O1110">
        <v>44</v>
      </c>
      <c r="P1110">
        <v>45</v>
      </c>
    </row>
    <row r="1111" spans="1:16" x14ac:dyDescent="0.25">
      <c r="A1111">
        <v>500</v>
      </c>
      <c r="B1111" s="19">
        <v>40571</v>
      </c>
      <c r="C1111">
        <v>1</v>
      </c>
      <c r="D1111">
        <v>1</v>
      </c>
      <c r="E1111">
        <v>15</v>
      </c>
      <c r="F1111" t="b">
        <v>0</v>
      </c>
      <c r="G1111">
        <v>5</v>
      </c>
      <c r="H1111">
        <v>2</v>
      </c>
      <c r="I1111">
        <v>0.2</v>
      </c>
      <c r="J1111">
        <v>499</v>
      </c>
      <c r="K1111">
        <v>0.1061</v>
      </c>
      <c r="L1111">
        <v>0.41</v>
      </c>
      <c r="M1111">
        <v>8.9599999999999999E-2</v>
      </c>
      <c r="N1111">
        <v>0</v>
      </c>
      <c r="O1111">
        <v>39</v>
      </c>
      <c r="P1111">
        <v>39</v>
      </c>
    </row>
    <row r="1112" spans="1:16" x14ac:dyDescent="0.25">
      <c r="A1112">
        <v>501</v>
      </c>
      <c r="B1112" s="19">
        <v>40571</v>
      </c>
      <c r="C1112">
        <v>1</v>
      </c>
      <c r="D1112">
        <v>1</v>
      </c>
      <c r="E1112">
        <v>15</v>
      </c>
      <c r="F1112" t="b">
        <v>0</v>
      </c>
      <c r="G1112">
        <v>5</v>
      </c>
      <c r="H1112">
        <v>2</v>
      </c>
      <c r="I1112">
        <v>0.2</v>
      </c>
      <c r="J1112">
        <v>500</v>
      </c>
      <c r="K1112">
        <v>0.1515</v>
      </c>
      <c r="L1112">
        <v>0.49</v>
      </c>
      <c r="M1112">
        <v>0</v>
      </c>
      <c r="N1112">
        <v>7</v>
      </c>
      <c r="O1112">
        <v>23</v>
      </c>
      <c r="P1112">
        <v>30</v>
      </c>
    </row>
    <row r="1113" spans="1:16" x14ac:dyDescent="0.25">
      <c r="A1113">
        <v>502</v>
      </c>
      <c r="B1113" s="19">
        <v>40571</v>
      </c>
      <c r="C1113">
        <v>1</v>
      </c>
      <c r="D1113">
        <v>1</v>
      </c>
      <c r="E1113">
        <v>15</v>
      </c>
      <c r="F1113" t="b">
        <v>0</v>
      </c>
      <c r="G1113">
        <v>5</v>
      </c>
      <c r="H1113">
        <v>2</v>
      </c>
      <c r="I1113">
        <v>0.2</v>
      </c>
      <c r="J1113">
        <v>501</v>
      </c>
      <c r="K1113">
        <v>7.5800000000000006E-2</v>
      </c>
      <c r="L1113">
        <v>0.56999999999999995</v>
      </c>
      <c r="M1113">
        <v>0.1045</v>
      </c>
      <c r="N1113">
        <v>2</v>
      </c>
      <c r="O1113">
        <v>31</v>
      </c>
      <c r="P1113">
        <v>33</v>
      </c>
    </row>
    <row r="1114" spans="1:16" x14ac:dyDescent="0.25">
      <c r="A1114">
        <v>503</v>
      </c>
      <c r="B1114" s="19">
        <v>40571</v>
      </c>
      <c r="C1114">
        <v>1</v>
      </c>
      <c r="D1114">
        <v>1</v>
      </c>
      <c r="E1114">
        <v>15</v>
      </c>
      <c r="F1114" t="b">
        <v>0</v>
      </c>
      <c r="G1114">
        <v>5</v>
      </c>
      <c r="H1114">
        <v>2</v>
      </c>
      <c r="I1114">
        <v>0.2</v>
      </c>
      <c r="J1114">
        <v>502</v>
      </c>
      <c r="K1114">
        <v>7.5800000000000006E-2</v>
      </c>
      <c r="L1114">
        <v>0.56999999999999995</v>
      </c>
      <c r="M1114">
        <v>0.1045</v>
      </c>
      <c r="N1114">
        <v>2</v>
      </c>
      <c r="O1114">
        <v>20</v>
      </c>
      <c r="P1114">
        <v>22</v>
      </c>
    </row>
    <row r="1115" spans="1:16" x14ac:dyDescent="0.25">
      <c r="A1115">
        <v>504</v>
      </c>
      <c r="B1115" s="19">
        <v>40571</v>
      </c>
      <c r="C1115">
        <v>1</v>
      </c>
      <c r="D1115">
        <v>1</v>
      </c>
      <c r="E1115">
        <v>15</v>
      </c>
      <c r="F1115" t="b">
        <v>0</v>
      </c>
      <c r="G1115">
        <v>5</v>
      </c>
      <c r="H1115">
        <v>2</v>
      </c>
      <c r="I1115">
        <v>0.2</v>
      </c>
      <c r="J1115">
        <v>503</v>
      </c>
      <c r="K1115">
        <v>7.5800000000000006E-2</v>
      </c>
      <c r="L1115">
        <v>0.56999999999999995</v>
      </c>
      <c r="M1115">
        <v>0.1045</v>
      </c>
      <c r="N1115">
        <v>1</v>
      </c>
      <c r="O1115">
        <v>12</v>
      </c>
      <c r="P1115">
        <v>13</v>
      </c>
    </row>
    <row r="1116" spans="1:16" x14ac:dyDescent="0.25">
      <c r="A1116">
        <v>505</v>
      </c>
      <c r="B1116" s="19">
        <v>40571</v>
      </c>
      <c r="C1116">
        <v>1</v>
      </c>
      <c r="D1116">
        <v>1</v>
      </c>
      <c r="E1116">
        <v>15</v>
      </c>
      <c r="F1116" t="b">
        <v>0</v>
      </c>
      <c r="G1116">
        <v>5</v>
      </c>
      <c r="H1116">
        <v>2</v>
      </c>
      <c r="I1116">
        <v>0.2</v>
      </c>
      <c r="J1116">
        <v>504</v>
      </c>
      <c r="K1116">
        <v>6.0600000000000001E-2</v>
      </c>
      <c r="L1116">
        <v>0.62</v>
      </c>
      <c r="M1116">
        <v>0.1343</v>
      </c>
      <c r="N1116">
        <v>3</v>
      </c>
      <c r="O1116">
        <v>15</v>
      </c>
      <c r="P1116">
        <v>18</v>
      </c>
    </row>
    <row r="1117" spans="1:16" x14ac:dyDescent="0.25">
      <c r="A1117">
        <v>506</v>
      </c>
      <c r="B1117" s="19">
        <v>40571</v>
      </c>
      <c r="C1117">
        <v>1</v>
      </c>
      <c r="D1117">
        <v>1</v>
      </c>
      <c r="E1117">
        <v>15</v>
      </c>
      <c r="F1117" t="b">
        <v>0</v>
      </c>
      <c r="G1117">
        <v>5</v>
      </c>
      <c r="H1117">
        <v>2</v>
      </c>
      <c r="I1117">
        <v>0.2</v>
      </c>
      <c r="J1117">
        <v>505</v>
      </c>
      <c r="K1117">
        <v>6.0600000000000001E-2</v>
      </c>
      <c r="L1117">
        <v>0.62</v>
      </c>
      <c r="M1117">
        <v>0.1343</v>
      </c>
      <c r="N1117">
        <v>1</v>
      </c>
      <c r="O1117">
        <v>4</v>
      </c>
      <c r="P1117">
        <v>5</v>
      </c>
    </row>
    <row r="1118" spans="1:16" x14ac:dyDescent="0.25">
      <c r="A1118">
        <v>507</v>
      </c>
      <c r="B1118" s="19">
        <v>40571</v>
      </c>
      <c r="C1118">
        <v>1</v>
      </c>
      <c r="D1118">
        <v>1</v>
      </c>
      <c r="E1118">
        <v>15</v>
      </c>
      <c r="F1118" t="b">
        <v>0</v>
      </c>
      <c r="G1118">
        <v>5</v>
      </c>
      <c r="H1118">
        <v>2</v>
      </c>
      <c r="I1118">
        <v>0.2</v>
      </c>
      <c r="J1118">
        <v>506</v>
      </c>
      <c r="K1118">
        <v>7.5800000000000006E-2</v>
      </c>
      <c r="L1118">
        <v>0.56999999999999995</v>
      </c>
      <c r="M1118">
        <v>0.1045</v>
      </c>
      <c r="N1118">
        <v>0</v>
      </c>
      <c r="O1118">
        <v>3</v>
      </c>
      <c r="P1118">
        <v>3</v>
      </c>
    </row>
    <row r="1119" spans="1:16" x14ac:dyDescent="0.25">
      <c r="A1119">
        <v>508</v>
      </c>
      <c r="B1119" s="19">
        <v>40571</v>
      </c>
      <c r="C1119">
        <v>1</v>
      </c>
      <c r="D1119">
        <v>1</v>
      </c>
      <c r="E1119">
        <v>15</v>
      </c>
      <c r="F1119" t="b">
        <v>0</v>
      </c>
      <c r="G1119">
        <v>5</v>
      </c>
      <c r="H1119">
        <v>2</v>
      </c>
      <c r="I1119">
        <v>0.2</v>
      </c>
      <c r="J1119">
        <v>507</v>
      </c>
      <c r="K1119">
        <v>7.5800000000000006E-2</v>
      </c>
      <c r="L1119">
        <v>0.56999999999999995</v>
      </c>
      <c r="M1119">
        <v>0.1045</v>
      </c>
      <c r="N1119">
        <v>0</v>
      </c>
      <c r="O1119">
        <v>1</v>
      </c>
      <c r="P1119">
        <v>1</v>
      </c>
    </row>
    <row r="1120" spans="1:16" x14ac:dyDescent="0.25">
      <c r="A1120">
        <v>509</v>
      </c>
      <c r="B1120" s="19">
        <v>40571</v>
      </c>
      <c r="C1120">
        <v>1</v>
      </c>
      <c r="D1120">
        <v>1</v>
      </c>
      <c r="E1120">
        <v>15</v>
      </c>
      <c r="F1120" t="b">
        <v>0</v>
      </c>
      <c r="G1120">
        <v>5</v>
      </c>
      <c r="H1120">
        <v>2</v>
      </c>
      <c r="I1120">
        <v>0.2</v>
      </c>
      <c r="J1120">
        <v>508</v>
      </c>
      <c r="K1120">
        <v>0.1061</v>
      </c>
      <c r="L1120">
        <v>0.57999999999999996</v>
      </c>
      <c r="M1120">
        <v>0.16420000000000001</v>
      </c>
      <c r="N1120">
        <v>1</v>
      </c>
      <c r="O1120">
        <v>1</v>
      </c>
      <c r="P1120">
        <v>2</v>
      </c>
    </row>
    <row r="1121" spans="1:16" x14ac:dyDescent="0.25">
      <c r="A1121">
        <v>510</v>
      </c>
      <c r="B1121" s="19">
        <v>40571</v>
      </c>
      <c r="C1121">
        <v>1</v>
      </c>
      <c r="D1121">
        <v>1</v>
      </c>
      <c r="E1121">
        <v>15</v>
      </c>
      <c r="F1121" t="b">
        <v>0</v>
      </c>
      <c r="G1121">
        <v>5</v>
      </c>
      <c r="H1121">
        <v>2</v>
      </c>
      <c r="I1121">
        <v>0.2</v>
      </c>
      <c r="J1121">
        <v>509</v>
      </c>
      <c r="K1121">
        <v>7.5800000000000006E-2</v>
      </c>
      <c r="L1121">
        <v>0.62</v>
      </c>
      <c r="M1121">
        <v>0.16420000000000001</v>
      </c>
      <c r="N1121">
        <v>2</v>
      </c>
      <c r="O1121">
        <v>17</v>
      </c>
      <c r="P1121">
        <v>19</v>
      </c>
    </row>
    <row r="1122" spans="1:16" x14ac:dyDescent="0.25">
      <c r="A1122">
        <v>511</v>
      </c>
      <c r="B1122" s="19">
        <v>40571</v>
      </c>
      <c r="C1122">
        <v>1</v>
      </c>
      <c r="D1122">
        <v>1</v>
      </c>
      <c r="E1122">
        <v>15</v>
      </c>
      <c r="F1122" t="b">
        <v>0</v>
      </c>
      <c r="G1122">
        <v>5</v>
      </c>
      <c r="H1122">
        <v>2</v>
      </c>
      <c r="I1122">
        <v>0.2</v>
      </c>
      <c r="J1122">
        <v>510</v>
      </c>
      <c r="K1122">
        <v>7.5800000000000006E-2</v>
      </c>
      <c r="L1122">
        <v>0.54</v>
      </c>
      <c r="M1122">
        <v>0.35820000000000002</v>
      </c>
      <c r="N1122">
        <v>3</v>
      </c>
      <c r="O1122">
        <v>25</v>
      </c>
      <c r="P1122">
        <v>28</v>
      </c>
    </row>
    <row r="1123" spans="1:16" x14ac:dyDescent="0.25">
      <c r="A1123">
        <v>512</v>
      </c>
      <c r="B1123" s="19">
        <v>40571</v>
      </c>
      <c r="C1123">
        <v>1</v>
      </c>
      <c r="D1123">
        <v>1</v>
      </c>
      <c r="E1123">
        <v>15</v>
      </c>
      <c r="F1123" t="b">
        <v>0</v>
      </c>
      <c r="G1123">
        <v>5</v>
      </c>
      <c r="H1123">
        <v>2</v>
      </c>
      <c r="I1123">
        <v>0.2</v>
      </c>
      <c r="J1123">
        <v>511</v>
      </c>
      <c r="K1123">
        <v>0.1061</v>
      </c>
      <c r="L1123">
        <v>0.46</v>
      </c>
      <c r="M1123">
        <v>0.3881</v>
      </c>
      <c r="N1123">
        <v>7</v>
      </c>
      <c r="O1123">
        <v>51</v>
      </c>
      <c r="P1123">
        <v>58</v>
      </c>
    </row>
    <row r="1124" spans="1:16" x14ac:dyDescent="0.25">
      <c r="A1124">
        <v>513</v>
      </c>
      <c r="B1124" s="19">
        <v>40571</v>
      </c>
      <c r="C1124">
        <v>1</v>
      </c>
      <c r="D1124">
        <v>1</v>
      </c>
      <c r="E1124">
        <v>15</v>
      </c>
      <c r="F1124" t="b">
        <v>0</v>
      </c>
      <c r="G1124">
        <v>5</v>
      </c>
      <c r="H1124">
        <v>2</v>
      </c>
      <c r="I1124">
        <v>0.2</v>
      </c>
      <c r="J1124">
        <v>512</v>
      </c>
      <c r="K1124">
        <v>0.13639999999999999</v>
      </c>
      <c r="L1124">
        <v>0.43</v>
      </c>
      <c r="M1124">
        <v>0.22389999999999999</v>
      </c>
      <c r="N1124">
        <v>22</v>
      </c>
      <c r="O1124">
        <v>77</v>
      </c>
      <c r="P1124">
        <v>99</v>
      </c>
    </row>
    <row r="1125" spans="1:16" x14ac:dyDescent="0.25">
      <c r="A1125">
        <v>514</v>
      </c>
      <c r="B1125" s="19">
        <v>40571</v>
      </c>
      <c r="C1125">
        <v>1</v>
      </c>
      <c r="D1125">
        <v>1</v>
      </c>
      <c r="E1125">
        <v>15</v>
      </c>
      <c r="F1125" t="b">
        <v>0</v>
      </c>
      <c r="G1125">
        <v>5</v>
      </c>
      <c r="H1125">
        <v>2</v>
      </c>
      <c r="I1125">
        <v>0.2</v>
      </c>
      <c r="J1125">
        <v>513</v>
      </c>
      <c r="K1125">
        <v>0.1212</v>
      </c>
      <c r="L1125">
        <v>0.37</v>
      </c>
      <c r="M1125">
        <v>0.4627</v>
      </c>
      <c r="N1125">
        <v>24</v>
      </c>
      <c r="O1125">
        <v>92</v>
      </c>
      <c r="P1125">
        <v>116</v>
      </c>
    </row>
    <row r="1126" spans="1:16" x14ac:dyDescent="0.25">
      <c r="A1126">
        <v>515</v>
      </c>
      <c r="B1126" s="19">
        <v>40571</v>
      </c>
      <c r="C1126">
        <v>1</v>
      </c>
      <c r="D1126">
        <v>1</v>
      </c>
      <c r="E1126">
        <v>15</v>
      </c>
      <c r="F1126" t="b">
        <v>0</v>
      </c>
      <c r="G1126">
        <v>5</v>
      </c>
      <c r="H1126">
        <v>2</v>
      </c>
      <c r="I1126">
        <v>0.2</v>
      </c>
      <c r="J1126">
        <v>514</v>
      </c>
      <c r="K1126">
        <v>0.1061</v>
      </c>
      <c r="L1126">
        <v>0.33</v>
      </c>
      <c r="M1126">
        <v>0.3881</v>
      </c>
      <c r="N1126">
        <v>12</v>
      </c>
      <c r="O1126">
        <v>75</v>
      </c>
      <c r="P1126">
        <v>87</v>
      </c>
    </row>
    <row r="1127" spans="1:16" x14ac:dyDescent="0.25">
      <c r="A1127">
        <v>516</v>
      </c>
      <c r="B1127" s="19">
        <v>40571</v>
      </c>
      <c r="C1127">
        <v>1</v>
      </c>
      <c r="D1127">
        <v>1</v>
      </c>
      <c r="E1127">
        <v>15</v>
      </c>
      <c r="F1127" t="b">
        <v>0</v>
      </c>
      <c r="G1127">
        <v>5</v>
      </c>
      <c r="H1127">
        <v>2</v>
      </c>
      <c r="I1127">
        <v>0.2</v>
      </c>
      <c r="J1127">
        <v>515</v>
      </c>
      <c r="K1127">
        <v>0.13639999999999999</v>
      </c>
      <c r="L1127">
        <v>0.28000000000000003</v>
      </c>
      <c r="M1127">
        <v>0.35820000000000002</v>
      </c>
      <c r="N1127">
        <v>17</v>
      </c>
      <c r="O1127">
        <v>93</v>
      </c>
      <c r="P1127">
        <v>110</v>
      </c>
    </row>
    <row r="1128" spans="1:16" x14ac:dyDescent="0.25">
      <c r="A1128">
        <v>517</v>
      </c>
      <c r="B1128" s="19">
        <v>40571</v>
      </c>
      <c r="C1128">
        <v>1</v>
      </c>
      <c r="D1128">
        <v>1</v>
      </c>
      <c r="E1128">
        <v>15</v>
      </c>
      <c r="F1128" t="b">
        <v>0</v>
      </c>
      <c r="G1128">
        <v>5</v>
      </c>
      <c r="H1128">
        <v>2</v>
      </c>
      <c r="I1128">
        <v>0.2</v>
      </c>
      <c r="J1128">
        <v>516</v>
      </c>
      <c r="K1128">
        <v>0.13639999999999999</v>
      </c>
      <c r="L1128">
        <v>0.28000000000000003</v>
      </c>
      <c r="M1128">
        <v>0.35820000000000002</v>
      </c>
      <c r="N1128">
        <v>13</v>
      </c>
      <c r="O1128">
        <v>64</v>
      </c>
      <c r="P1128">
        <v>77</v>
      </c>
    </row>
    <row r="1129" spans="1:16" x14ac:dyDescent="0.25">
      <c r="A1129">
        <v>518</v>
      </c>
      <c r="B1129" s="19">
        <v>40571</v>
      </c>
      <c r="C1129">
        <v>1</v>
      </c>
      <c r="D1129">
        <v>1</v>
      </c>
      <c r="E1129">
        <v>15</v>
      </c>
      <c r="F1129" t="b">
        <v>0</v>
      </c>
      <c r="G1129">
        <v>5</v>
      </c>
      <c r="H1129">
        <v>2</v>
      </c>
      <c r="I1129">
        <v>0.2</v>
      </c>
      <c r="J1129">
        <v>517</v>
      </c>
      <c r="K1129">
        <v>0.13639999999999999</v>
      </c>
      <c r="L1129">
        <v>0.26</v>
      </c>
      <c r="M1129">
        <v>0.32840000000000003</v>
      </c>
      <c r="N1129">
        <v>9</v>
      </c>
      <c r="O1129">
        <v>56</v>
      </c>
      <c r="P1129">
        <v>65</v>
      </c>
    </row>
    <row r="1130" spans="1:16" x14ac:dyDescent="0.25">
      <c r="A1130">
        <v>519</v>
      </c>
      <c r="B1130" s="19">
        <v>40571</v>
      </c>
      <c r="C1130">
        <v>1</v>
      </c>
      <c r="D1130">
        <v>1</v>
      </c>
      <c r="E1130">
        <v>15</v>
      </c>
      <c r="F1130" t="b">
        <v>0</v>
      </c>
      <c r="G1130">
        <v>5</v>
      </c>
      <c r="H1130">
        <v>2</v>
      </c>
      <c r="I1130">
        <v>0.2</v>
      </c>
      <c r="J1130">
        <v>518</v>
      </c>
      <c r="K1130">
        <v>0.1061</v>
      </c>
      <c r="L1130">
        <v>0.26</v>
      </c>
      <c r="M1130">
        <v>0.3881</v>
      </c>
      <c r="N1130">
        <v>5</v>
      </c>
      <c r="O1130">
        <v>50</v>
      </c>
      <c r="P1130">
        <v>55</v>
      </c>
    </row>
    <row r="1131" spans="1:16" x14ac:dyDescent="0.25">
      <c r="A1131">
        <v>520</v>
      </c>
      <c r="B1131" s="19">
        <v>40571</v>
      </c>
      <c r="C1131">
        <v>1</v>
      </c>
      <c r="D1131">
        <v>1</v>
      </c>
      <c r="E1131">
        <v>15</v>
      </c>
      <c r="F1131" t="b">
        <v>0</v>
      </c>
      <c r="G1131">
        <v>5</v>
      </c>
      <c r="H1131">
        <v>2</v>
      </c>
      <c r="I1131">
        <v>0.2</v>
      </c>
      <c r="J1131">
        <v>519</v>
      </c>
      <c r="K1131">
        <v>0.1212</v>
      </c>
      <c r="L1131">
        <v>0.3</v>
      </c>
      <c r="M1131">
        <v>0.25369999999999998</v>
      </c>
      <c r="N1131">
        <v>5</v>
      </c>
      <c r="O1131">
        <v>44</v>
      </c>
      <c r="P1131">
        <v>49</v>
      </c>
    </row>
    <row r="1132" spans="1:16" x14ac:dyDescent="0.25">
      <c r="A1132">
        <v>521</v>
      </c>
      <c r="B1132" s="19">
        <v>40571</v>
      </c>
      <c r="C1132">
        <v>1</v>
      </c>
      <c r="D1132">
        <v>1</v>
      </c>
      <c r="E1132">
        <v>15</v>
      </c>
      <c r="F1132" t="b">
        <v>0</v>
      </c>
      <c r="G1132">
        <v>5</v>
      </c>
      <c r="H1132">
        <v>2</v>
      </c>
      <c r="I1132">
        <v>0.2</v>
      </c>
      <c r="J1132">
        <v>520</v>
      </c>
      <c r="K1132">
        <v>0.1212</v>
      </c>
      <c r="L1132">
        <v>0.3</v>
      </c>
      <c r="M1132">
        <v>0.28360000000000002</v>
      </c>
      <c r="N1132">
        <v>5</v>
      </c>
      <c r="O1132">
        <v>45</v>
      </c>
      <c r="P1132">
        <v>50</v>
      </c>
    </row>
    <row r="1133" spans="1:16" x14ac:dyDescent="0.25">
      <c r="A1133">
        <v>522</v>
      </c>
      <c r="B1133" s="19">
        <v>40571</v>
      </c>
      <c r="C1133">
        <v>1</v>
      </c>
      <c r="D1133">
        <v>1</v>
      </c>
      <c r="E1133">
        <v>15</v>
      </c>
      <c r="F1133" t="b">
        <v>0</v>
      </c>
      <c r="G1133">
        <v>5</v>
      </c>
      <c r="H1133">
        <v>2</v>
      </c>
      <c r="I1133">
        <v>0.2</v>
      </c>
      <c r="J1133">
        <v>521</v>
      </c>
      <c r="K1133">
        <v>0.1061</v>
      </c>
      <c r="L1133">
        <v>0.36</v>
      </c>
      <c r="M1133">
        <v>0.25369999999999998</v>
      </c>
      <c r="N1133">
        <v>4</v>
      </c>
      <c r="O1133">
        <v>31</v>
      </c>
      <c r="P1133">
        <v>35</v>
      </c>
    </row>
    <row r="1134" spans="1:16" x14ac:dyDescent="0.25">
      <c r="A1134">
        <v>523</v>
      </c>
      <c r="B1134" s="19">
        <v>40571</v>
      </c>
      <c r="C1134">
        <v>1</v>
      </c>
      <c r="D1134">
        <v>1</v>
      </c>
      <c r="E1134">
        <v>15</v>
      </c>
      <c r="F1134" t="b">
        <v>0</v>
      </c>
      <c r="G1134">
        <v>5</v>
      </c>
      <c r="H1134">
        <v>2</v>
      </c>
      <c r="I1134">
        <v>0.2</v>
      </c>
      <c r="J1134">
        <v>522</v>
      </c>
      <c r="K1134">
        <v>0.1061</v>
      </c>
      <c r="L1134">
        <v>0.36</v>
      </c>
      <c r="M1134">
        <v>0.19400000000000001</v>
      </c>
      <c r="N1134">
        <v>5</v>
      </c>
      <c r="O1134">
        <v>20</v>
      </c>
      <c r="P1134">
        <v>25</v>
      </c>
    </row>
    <row r="1135" spans="1:16" x14ac:dyDescent="0.25">
      <c r="A1135">
        <v>524</v>
      </c>
      <c r="B1135" s="19">
        <v>40571</v>
      </c>
      <c r="C1135">
        <v>1</v>
      </c>
      <c r="D1135">
        <v>1</v>
      </c>
      <c r="E1135">
        <v>15</v>
      </c>
      <c r="F1135" t="b">
        <v>0</v>
      </c>
      <c r="G1135">
        <v>5</v>
      </c>
      <c r="H1135">
        <v>2</v>
      </c>
      <c r="I1135">
        <v>0.2</v>
      </c>
      <c r="J1135">
        <v>523</v>
      </c>
      <c r="K1135">
        <v>9.0899999999999995E-2</v>
      </c>
      <c r="L1135">
        <v>0.38</v>
      </c>
      <c r="M1135">
        <v>0.19400000000000001</v>
      </c>
      <c r="N1135">
        <v>5</v>
      </c>
      <c r="O1135">
        <v>23</v>
      </c>
      <c r="P1135">
        <v>28</v>
      </c>
    </row>
    <row r="1136" spans="1:16" x14ac:dyDescent="0.25">
      <c r="A1136">
        <v>525</v>
      </c>
      <c r="B1136" s="19">
        <v>40571</v>
      </c>
      <c r="C1136">
        <v>1</v>
      </c>
      <c r="D1136">
        <v>1</v>
      </c>
      <c r="E1136">
        <v>15</v>
      </c>
      <c r="F1136" t="b">
        <v>0</v>
      </c>
      <c r="G1136">
        <v>5</v>
      </c>
      <c r="H1136">
        <v>2</v>
      </c>
      <c r="I1136">
        <v>0.2</v>
      </c>
      <c r="J1136">
        <v>524</v>
      </c>
      <c r="K1136">
        <v>6.0600000000000001E-2</v>
      </c>
      <c r="L1136">
        <v>0.41</v>
      </c>
      <c r="M1136">
        <v>0.22389999999999999</v>
      </c>
      <c r="N1136">
        <v>4</v>
      </c>
      <c r="O1136">
        <v>17</v>
      </c>
      <c r="P1136">
        <v>21</v>
      </c>
    </row>
    <row r="1137" spans="1:16" x14ac:dyDescent="0.25">
      <c r="A1137">
        <v>526</v>
      </c>
      <c r="B1137" s="19">
        <v>40571</v>
      </c>
      <c r="C1137">
        <v>1</v>
      </c>
      <c r="D1137">
        <v>1</v>
      </c>
      <c r="E1137">
        <v>15</v>
      </c>
      <c r="F1137" t="b">
        <v>0</v>
      </c>
      <c r="G1137">
        <v>5</v>
      </c>
      <c r="H1137">
        <v>2</v>
      </c>
      <c r="I1137">
        <v>0.2</v>
      </c>
      <c r="J1137">
        <v>525</v>
      </c>
      <c r="K1137">
        <v>6.0600000000000001E-2</v>
      </c>
      <c r="L1137">
        <v>0.41</v>
      </c>
      <c r="M1137">
        <v>0.19400000000000001</v>
      </c>
      <c r="N1137">
        <v>0</v>
      </c>
      <c r="O1137">
        <v>7</v>
      </c>
      <c r="P1137">
        <v>7</v>
      </c>
    </row>
    <row r="1138" spans="1:16" x14ac:dyDescent="0.25">
      <c r="A1138">
        <v>527</v>
      </c>
      <c r="B1138" s="19">
        <v>40571</v>
      </c>
      <c r="C1138">
        <v>1</v>
      </c>
      <c r="D1138">
        <v>1</v>
      </c>
      <c r="E1138">
        <v>15</v>
      </c>
      <c r="F1138" t="b">
        <v>0</v>
      </c>
      <c r="G1138">
        <v>5</v>
      </c>
      <c r="H1138">
        <v>2</v>
      </c>
      <c r="I1138">
        <v>0.2</v>
      </c>
      <c r="J1138">
        <v>526</v>
      </c>
      <c r="K1138">
        <v>4.5499999999999999E-2</v>
      </c>
      <c r="L1138">
        <v>0.45</v>
      </c>
      <c r="M1138">
        <v>0.19400000000000001</v>
      </c>
      <c r="N1138">
        <v>0</v>
      </c>
      <c r="O1138">
        <v>1</v>
      </c>
      <c r="P1138">
        <v>1</v>
      </c>
    </row>
    <row r="1139" spans="1:16" x14ac:dyDescent="0.25">
      <c r="A1139">
        <v>528</v>
      </c>
      <c r="B1139" s="19">
        <v>40571</v>
      </c>
      <c r="C1139">
        <v>1</v>
      </c>
      <c r="D1139">
        <v>1</v>
      </c>
      <c r="E1139">
        <v>15</v>
      </c>
      <c r="F1139" t="b">
        <v>0</v>
      </c>
      <c r="G1139">
        <v>5</v>
      </c>
      <c r="H1139">
        <v>2</v>
      </c>
      <c r="I1139">
        <v>0.2</v>
      </c>
      <c r="J1139">
        <v>527</v>
      </c>
      <c r="K1139">
        <v>3.0300000000000001E-2</v>
      </c>
      <c r="L1139">
        <v>0.45</v>
      </c>
      <c r="M1139">
        <v>0.25369999999999998</v>
      </c>
      <c r="N1139">
        <v>0</v>
      </c>
      <c r="O1139">
        <v>1</v>
      </c>
      <c r="P1139">
        <v>1</v>
      </c>
    </row>
    <row r="1140" spans="1:16" x14ac:dyDescent="0.25">
      <c r="A1140">
        <v>529</v>
      </c>
      <c r="B1140" s="19">
        <v>40571</v>
      </c>
      <c r="C1140">
        <v>1</v>
      </c>
      <c r="D1140">
        <v>1</v>
      </c>
      <c r="E1140">
        <v>15</v>
      </c>
      <c r="F1140" t="b">
        <v>0</v>
      </c>
      <c r="G1140">
        <v>5</v>
      </c>
      <c r="H1140">
        <v>2</v>
      </c>
      <c r="I1140">
        <v>0.2</v>
      </c>
      <c r="J1140">
        <v>528</v>
      </c>
      <c r="K1140">
        <v>6.0600000000000001E-2</v>
      </c>
      <c r="L1140">
        <v>0.48</v>
      </c>
      <c r="M1140">
        <v>0.1343</v>
      </c>
      <c r="N1140">
        <v>0</v>
      </c>
      <c r="O1140">
        <v>1</v>
      </c>
      <c r="P1140">
        <v>1</v>
      </c>
    </row>
    <row r="1141" spans="1:16" x14ac:dyDescent="0.25">
      <c r="A1141">
        <v>530</v>
      </c>
      <c r="B1141" s="19">
        <v>40571</v>
      </c>
      <c r="C1141">
        <v>1</v>
      </c>
      <c r="D1141">
        <v>1</v>
      </c>
      <c r="E1141">
        <v>15</v>
      </c>
      <c r="F1141" t="b">
        <v>0</v>
      </c>
      <c r="G1141">
        <v>5</v>
      </c>
      <c r="H1141">
        <v>2</v>
      </c>
      <c r="I1141">
        <v>0.2</v>
      </c>
      <c r="J1141">
        <v>529</v>
      </c>
      <c r="K1141">
        <v>6.0600000000000001E-2</v>
      </c>
      <c r="L1141">
        <v>0.48</v>
      </c>
      <c r="M1141">
        <v>0.1343</v>
      </c>
      <c r="N1141">
        <v>0</v>
      </c>
      <c r="O1141">
        <v>5</v>
      </c>
      <c r="P1141">
        <v>5</v>
      </c>
    </row>
    <row r="1142" spans="1:16" x14ac:dyDescent="0.25">
      <c r="A1142">
        <v>531</v>
      </c>
      <c r="B1142" s="19">
        <v>40571</v>
      </c>
      <c r="C1142">
        <v>1</v>
      </c>
      <c r="D1142">
        <v>1</v>
      </c>
      <c r="E1142">
        <v>15</v>
      </c>
      <c r="F1142" t="b">
        <v>0</v>
      </c>
      <c r="G1142">
        <v>5</v>
      </c>
      <c r="H1142">
        <v>2</v>
      </c>
      <c r="I1142">
        <v>0.2</v>
      </c>
      <c r="J1142">
        <v>530</v>
      </c>
      <c r="K1142">
        <v>7.5800000000000006E-2</v>
      </c>
      <c r="L1142">
        <v>0.48</v>
      </c>
      <c r="M1142">
        <v>8.9599999999999999E-2</v>
      </c>
      <c r="N1142">
        <v>0</v>
      </c>
      <c r="O1142">
        <v>15</v>
      </c>
      <c r="P1142">
        <v>15</v>
      </c>
    </row>
    <row r="1143" spans="1:16" x14ac:dyDescent="0.25">
      <c r="A1143">
        <v>532</v>
      </c>
      <c r="B1143" s="19">
        <v>40571</v>
      </c>
      <c r="C1143">
        <v>1</v>
      </c>
      <c r="D1143">
        <v>1</v>
      </c>
      <c r="E1143">
        <v>15</v>
      </c>
      <c r="F1143" t="b">
        <v>0</v>
      </c>
      <c r="G1143">
        <v>5</v>
      </c>
      <c r="H1143">
        <v>2</v>
      </c>
      <c r="I1143">
        <v>0.2</v>
      </c>
      <c r="J1143">
        <v>531</v>
      </c>
      <c r="K1143">
        <v>0.1212</v>
      </c>
      <c r="L1143">
        <v>0.48</v>
      </c>
      <c r="M1143">
        <v>0</v>
      </c>
      <c r="N1143">
        <v>5</v>
      </c>
      <c r="O1143">
        <v>79</v>
      </c>
      <c r="P1143">
        <v>84</v>
      </c>
    </row>
    <row r="1144" spans="1:16" x14ac:dyDescent="0.25">
      <c r="A1144">
        <v>533</v>
      </c>
      <c r="B1144" s="19">
        <v>40571</v>
      </c>
      <c r="C1144">
        <v>1</v>
      </c>
      <c r="D1144">
        <v>1</v>
      </c>
      <c r="E1144">
        <v>15</v>
      </c>
      <c r="F1144" t="b">
        <v>0</v>
      </c>
      <c r="G1144">
        <v>5</v>
      </c>
      <c r="H1144">
        <v>2</v>
      </c>
      <c r="I1144">
        <v>0.2</v>
      </c>
      <c r="J1144">
        <v>532</v>
      </c>
      <c r="K1144">
        <v>0.13639999999999999</v>
      </c>
      <c r="L1144">
        <v>0.49</v>
      </c>
      <c r="M1144">
        <v>0</v>
      </c>
      <c r="N1144">
        <v>6</v>
      </c>
      <c r="O1144">
        <v>171</v>
      </c>
      <c r="P1144">
        <v>177</v>
      </c>
    </row>
    <row r="1145" spans="1:16" x14ac:dyDescent="0.25">
      <c r="A1145">
        <v>534</v>
      </c>
      <c r="B1145" s="19">
        <v>40571</v>
      </c>
      <c r="C1145">
        <v>1</v>
      </c>
      <c r="D1145">
        <v>1</v>
      </c>
      <c r="E1145">
        <v>15</v>
      </c>
      <c r="F1145" t="b">
        <v>0</v>
      </c>
      <c r="G1145">
        <v>5</v>
      </c>
      <c r="H1145">
        <v>2</v>
      </c>
      <c r="I1145">
        <v>0.2</v>
      </c>
      <c r="J1145">
        <v>533</v>
      </c>
      <c r="K1145">
        <v>0.1515</v>
      </c>
      <c r="L1145">
        <v>0.41</v>
      </c>
      <c r="M1145">
        <v>0</v>
      </c>
      <c r="N1145">
        <v>4</v>
      </c>
      <c r="O1145">
        <v>98</v>
      </c>
      <c r="P1145">
        <v>102</v>
      </c>
    </row>
    <row r="1146" spans="1:16" x14ac:dyDescent="0.25">
      <c r="A1146">
        <v>535</v>
      </c>
      <c r="B1146" s="19">
        <v>40571</v>
      </c>
      <c r="C1146">
        <v>1</v>
      </c>
      <c r="D1146">
        <v>1</v>
      </c>
      <c r="E1146">
        <v>15</v>
      </c>
      <c r="F1146" t="b">
        <v>0</v>
      </c>
      <c r="G1146">
        <v>5</v>
      </c>
      <c r="H1146">
        <v>2</v>
      </c>
      <c r="I1146">
        <v>0.2</v>
      </c>
      <c r="J1146">
        <v>534</v>
      </c>
      <c r="K1146">
        <v>0.13639999999999999</v>
      </c>
      <c r="L1146">
        <v>0.42</v>
      </c>
      <c r="M1146">
        <v>0</v>
      </c>
      <c r="N1146">
        <v>6</v>
      </c>
      <c r="O1146">
        <v>34</v>
      </c>
      <c r="P1146">
        <v>40</v>
      </c>
    </row>
    <row r="1147" spans="1:16" x14ac:dyDescent="0.25">
      <c r="A1147">
        <v>536</v>
      </c>
      <c r="B1147" s="19">
        <v>40571</v>
      </c>
      <c r="C1147">
        <v>1</v>
      </c>
      <c r="D1147">
        <v>1</v>
      </c>
      <c r="E1147">
        <v>15</v>
      </c>
      <c r="F1147" t="b">
        <v>0</v>
      </c>
      <c r="G1147">
        <v>5</v>
      </c>
      <c r="H1147">
        <v>2</v>
      </c>
      <c r="I1147">
        <v>0.2</v>
      </c>
      <c r="J1147">
        <v>535</v>
      </c>
      <c r="K1147">
        <v>0.1212</v>
      </c>
      <c r="L1147">
        <v>0.46</v>
      </c>
      <c r="M1147">
        <v>0.1343</v>
      </c>
      <c r="N1147">
        <v>3</v>
      </c>
      <c r="O1147">
        <v>43</v>
      </c>
      <c r="P1147">
        <v>46</v>
      </c>
    </row>
    <row r="1148" spans="1:16" x14ac:dyDescent="0.25">
      <c r="A1148">
        <v>537</v>
      </c>
      <c r="B1148" s="19">
        <v>40571</v>
      </c>
      <c r="C1148">
        <v>1</v>
      </c>
      <c r="D1148">
        <v>1</v>
      </c>
      <c r="E1148">
        <v>15</v>
      </c>
      <c r="F1148" t="b">
        <v>0</v>
      </c>
      <c r="G1148">
        <v>5</v>
      </c>
      <c r="H1148">
        <v>2</v>
      </c>
      <c r="I1148">
        <v>0.2</v>
      </c>
      <c r="J1148">
        <v>536</v>
      </c>
      <c r="K1148">
        <v>0.13639999999999999</v>
      </c>
      <c r="L1148">
        <v>0.42</v>
      </c>
      <c r="M1148">
        <v>0.19400000000000001</v>
      </c>
      <c r="N1148">
        <v>11</v>
      </c>
      <c r="O1148">
        <v>52</v>
      </c>
      <c r="P1148">
        <v>63</v>
      </c>
    </row>
    <row r="1149" spans="1:16" x14ac:dyDescent="0.25">
      <c r="A1149">
        <v>538</v>
      </c>
      <c r="B1149" s="19">
        <v>40571</v>
      </c>
      <c r="C1149">
        <v>1</v>
      </c>
      <c r="D1149">
        <v>1</v>
      </c>
      <c r="E1149">
        <v>15</v>
      </c>
      <c r="F1149" t="b">
        <v>0</v>
      </c>
      <c r="G1149">
        <v>5</v>
      </c>
      <c r="H1149">
        <v>2</v>
      </c>
      <c r="I1149">
        <v>0.2</v>
      </c>
      <c r="J1149">
        <v>537</v>
      </c>
      <c r="K1149">
        <v>0.13639999999999999</v>
      </c>
      <c r="L1149">
        <v>0.43</v>
      </c>
      <c r="M1149">
        <v>0.22389999999999999</v>
      </c>
      <c r="N1149">
        <v>6</v>
      </c>
      <c r="O1149">
        <v>54</v>
      </c>
      <c r="P1149">
        <v>60</v>
      </c>
    </row>
    <row r="1150" spans="1:16" x14ac:dyDescent="0.25">
      <c r="A1150">
        <v>539</v>
      </c>
      <c r="B1150" s="19">
        <v>40571</v>
      </c>
      <c r="C1150">
        <v>1</v>
      </c>
      <c r="D1150">
        <v>1</v>
      </c>
      <c r="E1150">
        <v>15</v>
      </c>
      <c r="F1150" t="b">
        <v>0</v>
      </c>
      <c r="G1150">
        <v>5</v>
      </c>
      <c r="H1150">
        <v>2</v>
      </c>
      <c r="I1150">
        <v>0.2</v>
      </c>
      <c r="J1150">
        <v>538</v>
      </c>
      <c r="K1150">
        <v>0.13639999999999999</v>
      </c>
      <c r="L1150">
        <v>0.46</v>
      </c>
      <c r="M1150">
        <v>0.22389999999999999</v>
      </c>
      <c r="N1150">
        <v>2</v>
      </c>
      <c r="O1150">
        <v>43</v>
      </c>
      <c r="P1150">
        <v>45</v>
      </c>
    </row>
    <row r="1151" spans="1:16" x14ac:dyDescent="0.25">
      <c r="A1151">
        <v>540</v>
      </c>
      <c r="B1151" s="19">
        <v>40571</v>
      </c>
      <c r="C1151">
        <v>1</v>
      </c>
      <c r="D1151">
        <v>1</v>
      </c>
      <c r="E1151">
        <v>15</v>
      </c>
      <c r="F1151" t="b">
        <v>0</v>
      </c>
      <c r="G1151">
        <v>5</v>
      </c>
      <c r="H1151">
        <v>2</v>
      </c>
      <c r="I1151">
        <v>0.2</v>
      </c>
      <c r="J1151">
        <v>539</v>
      </c>
      <c r="K1151">
        <v>0.16669999999999999</v>
      </c>
      <c r="L1151">
        <v>0.4</v>
      </c>
      <c r="M1151">
        <v>0.16420000000000001</v>
      </c>
      <c r="N1151">
        <v>7</v>
      </c>
      <c r="O1151">
        <v>50</v>
      </c>
      <c r="P1151">
        <v>57</v>
      </c>
    </row>
    <row r="1152" spans="1:16" x14ac:dyDescent="0.25">
      <c r="A1152">
        <v>541</v>
      </c>
      <c r="B1152" s="19">
        <v>40571</v>
      </c>
      <c r="C1152">
        <v>1</v>
      </c>
      <c r="D1152">
        <v>1</v>
      </c>
      <c r="E1152">
        <v>15</v>
      </c>
      <c r="F1152" t="b">
        <v>0</v>
      </c>
      <c r="G1152">
        <v>5</v>
      </c>
      <c r="H1152">
        <v>2</v>
      </c>
      <c r="I1152">
        <v>0.2</v>
      </c>
      <c r="J1152">
        <v>540</v>
      </c>
      <c r="K1152">
        <v>0.1515</v>
      </c>
      <c r="L1152">
        <v>0.47</v>
      </c>
      <c r="M1152">
        <v>0.25369999999999998</v>
      </c>
      <c r="N1152">
        <v>4</v>
      </c>
      <c r="O1152">
        <v>66</v>
      </c>
      <c r="P1152">
        <v>70</v>
      </c>
    </row>
    <row r="1153" spans="1:16" x14ac:dyDescent="0.25">
      <c r="A1153">
        <v>542</v>
      </c>
      <c r="B1153" s="19">
        <v>40571</v>
      </c>
      <c r="C1153">
        <v>1</v>
      </c>
      <c r="D1153">
        <v>1</v>
      </c>
      <c r="E1153">
        <v>15</v>
      </c>
      <c r="F1153" t="b">
        <v>0</v>
      </c>
      <c r="G1153">
        <v>5</v>
      </c>
      <c r="H1153">
        <v>2</v>
      </c>
      <c r="I1153">
        <v>0.2</v>
      </c>
      <c r="J1153">
        <v>541</v>
      </c>
      <c r="K1153">
        <v>0.1212</v>
      </c>
      <c r="L1153">
        <v>0.5</v>
      </c>
      <c r="M1153">
        <v>0.25369999999999998</v>
      </c>
      <c r="N1153">
        <v>6</v>
      </c>
      <c r="O1153">
        <v>178</v>
      </c>
      <c r="P1153">
        <v>184</v>
      </c>
    </row>
    <row r="1154" spans="1:16" x14ac:dyDescent="0.25">
      <c r="A1154">
        <v>543</v>
      </c>
      <c r="B1154" s="19">
        <v>40571</v>
      </c>
      <c r="C1154">
        <v>1</v>
      </c>
      <c r="D1154">
        <v>1</v>
      </c>
      <c r="E1154">
        <v>15</v>
      </c>
      <c r="F1154" t="b">
        <v>0</v>
      </c>
      <c r="G1154">
        <v>5</v>
      </c>
      <c r="H1154">
        <v>2</v>
      </c>
      <c r="I1154">
        <v>0.2</v>
      </c>
      <c r="J1154">
        <v>542</v>
      </c>
      <c r="K1154">
        <v>0.13639999999999999</v>
      </c>
      <c r="L1154">
        <v>0.59</v>
      </c>
      <c r="M1154">
        <v>0.19400000000000001</v>
      </c>
      <c r="N1154">
        <v>8</v>
      </c>
      <c r="O1154">
        <v>145</v>
      </c>
      <c r="P1154">
        <v>153</v>
      </c>
    </row>
    <row r="1155" spans="1:16" x14ac:dyDescent="0.25">
      <c r="A1155">
        <v>544</v>
      </c>
      <c r="B1155" s="19">
        <v>40571</v>
      </c>
      <c r="C1155">
        <v>1</v>
      </c>
      <c r="D1155">
        <v>1</v>
      </c>
      <c r="E1155">
        <v>15</v>
      </c>
      <c r="F1155" t="b">
        <v>0</v>
      </c>
      <c r="G1155">
        <v>5</v>
      </c>
      <c r="H1155">
        <v>2</v>
      </c>
      <c r="I1155">
        <v>0.2</v>
      </c>
      <c r="J1155">
        <v>543</v>
      </c>
      <c r="K1155">
        <v>0.1515</v>
      </c>
      <c r="L1155">
        <v>0.54</v>
      </c>
      <c r="M1155">
        <v>0.16420000000000001</v>
      </c>
      <c r="N1155">
        <v>5</v>
      </c>
      <c r="O1155">
        <v>101</v>
      </c>
      <c r="P1155">
        <v>106</v>
      </c>
    </row>
    <row r="1156" spans="1:16" x14ac:dyDescent="0.25">
      <c r="A1156">
        <v>545</v>
      </c>
      <c r="B1156" s="19">
        <v>40571</v>
      </c>
      <c r="C1156">
        <v>1</v>
      </c>
      <c r="D1156">
        <v>1</v>
      </c>
      <c r="E1156">
        <v>15</v>
      </c>
      <c r="F1156" t="b">
        <v>0</v>
      </c>
      <c r="G1156">
        <v>5</v>
      </c>
      <c r="H1156">
        <v>2</v>
      </c>
      <c r="I1156">
        <v>0.2</v>
      </c>
      <c r="J1156">
        <v>544</v>
      </c>
      <c r="K1156">
        <v>0.13639999999999999</v>
      </c>
      <c r="L1156">
        <v>0.59</v>
      </c>
      <c r="M1156">
        <v>0.19400000000000001</v>
      </c>
      <c r="N1156">
        <v>1</v>
      </c>
      <c r="O1156">
        <v>80</v>
      </c>
      <c r="P1156">
        <v>81</v>
      </c>
    </row>
    <row r="1157" spans="1:16" x14ac:dyDescent="0.25">
      <c r="A1157">
        <v>546</v>
      </c>
      <c r="B1157" s="19">
        <v>40571</v>
      </c>
      <c r="C1157">
        <v>1</v>
      </c>
      <c r="D1157">
        <v>1</v>
      </c>
      <c r="E1157">
        <v>15</v>
      </c>
      <c r="F1157" t="b">
        <v>0</v>
      </c>
      <c r="G1157">
        <v>5</v>
      </c>
      <c r="H1157">
        <v>2</v>
      </c>
      <c r="I1157">
        <v>0.2</v>
      </c>
      <c r="J1157">
        <v>545</v>
      </c>
      <c r="K1157">
        <v>0.1515</v>
      </c>
      <c r="L1157">
        <v>0.63</v>
      </c>
      <c r="M1157">
        <v>0.16420000000000001</v>
      </c>
      <c r="N1157">
        <v>6</v>
      </c>
      <c r="O1157">
        <v>53</v>
      </c>
      <c r="P1157">
        <v>59</v>
      </c>
    </row>
    <row r="1158" spans="1:16" x14ac:dyDescent="0.25">
      <c r="A1158">
        <v>547</v>
      </c>
      <c r="B1158" s="19">
        <v>40571</v>
      </c>
      <c r="C1158">
        <v>1</v>
      </c>
      <c r="D1158">
        <v>1</v>
      </c>
      <c r="E1158">
        <v>15</v>
      </c>
      <c r="F1158" t="b">
        <v>0</v>
      </c>
      <c r="G1158">
        <v>5</v>
      </c>
      <c r="H1158">
        <v>2</v>
      </c>
      <c r="I1158">
        <v>0.2</v>
      </c>
      <c r="J1158">
        <v>546</v>
      </c>
      <c r="K1158">
        <v>0.13639999999999999</v>
      </c>
      <c r="L1158">
        <v>0.63</v>
      </c>
      <c r="M1158">
        <v>0.22389999999999999</v>
      </c>
      <c r="N1158">
        <v>3</v>
      </c>
      <c r="O1158">
        <v>32</v>
      </c>
      <c r="P1158">
        <v>35</v>
      </c>
    </row>
    <row r="1159" spans="1:16" x14ac:dyDescent="0.25">
      <c r="A1159">
        <v>548</v>
      </c>
      <c r="B1159" s="19">
        <v>40571</v>
      </c>
      <c r="C1159">
        <v>1</v>
      </c>
      <c r="D1159">
        <v>1</v>
      </c>
      <c r="E1159">
        <v>15</v>
      </c>
      <c r="F1159" t="b">
        <v>0</v>
      </c>
      <c r="G1159">
        <v>5</v>
      </c>
      <c r="H1159">
        <v>2</v>
      </c>
      <c r="I1159">
        <v>0.2</v>
      </c>
      <c r="J1159">
        <v>547</v>
      </c>
      <c r="K1159">
        <v>0.1515</v>
      </c>
      <c r="L1159">
        <v>0.64</v>
      </c>
      <c r="M1159">
        <v>0.25369999999999998</v>
      </c>
      <c r="N1159">
        <v>3</v>
      </c>
      <c r="O1159">
        <v>21</v>
      </c>
      <c r="P1159">
        <v>24</v>
      </c>
    </row>
    <row r="1160" spans="1:16" x14ac:dyDescent="0.25">
      <c r="A1160">
        <v>549</v>
      </c>
      <c r="B1160" s="19">
        <v>40571</v>
      </c>
      <c r="C1160">
        <v>1</v>
      </c>
      <c r="D1160">
        <v>1</v>
      </c>
      <c r="E1160">
        <v>15</v>
      </c>
      <c r="F1160" t="b">
        <v>0</v>
      </c>
      <c r="G1160">
        <v>5</v>
      </c>
      <c r="H1160">
        <v>2</v>
      </c>
      <c r="I1160">
        <v>0.2</v>
      </c>
      <c r="J1160">
        <v>548</v>
      </c>
      <c r="K1160">
        <v>0.13639999999999999</v>
      </c>
      <c r="L1160">
        <v>0.69</v>
      </c>
      <c r="M1160">
        <v>0.28360000000000002</v>
      </c>
      <c r="N1160">
        <v>3</v>
      </c>
      <c r="O1160">
        <v>6</v>
      </c>
      <c r="P1160">
        <v>9</v>
      </c>
    </row>
    <row r="1161" spans="1:16" x14ac:dyDescent="0.25">
      <c r="A1161">
        <v>550</v>
      </c>
      <c r="B1161" s="19">
        <v>40571</v>
      </c>
      <c r="C1161">
        <v>1</v>
      </c>
      <c r="D1161">
        <v>1</v>
      </c>
      <c r="E1161">
        <v>15</v>
      </c>
      <c r="F1161" t="b">
        <v>0</v>
      </c>
      <c r="G1161">
        <v>5</v>
      </c>
      <c r="H1161">
        <v>2</v>
      </c>
      <c r="I1161">
        <v>0.2</v>
      </c>
      <c r="J1161">
        <v>549</v>
      </c>
      <c r="K1161">
        <v>0.16669999999999999</v>
      </c>
      <c r="L1161">
        <v>0.69</v>
      </c>
      <c r="M1161">
        <v>0.16420000000000001</v>
      </c>
      <c r="N1161">
        <v>0</v>
      </c>
      <c r="O1161">
        <v>5</v>
      </c>
      <c r="P1161">
        <v>5</v>
      </c>
    </row>
    <row r="1162" spans="1:16" x14ac:dyDescent="0.25">
      <c r="A1162">
        <v>551</v>
      </c>
      <c r="B1162" s="19">
        <v>40571</v>
      </c>
      <c r="C1162">
        <v>1</v>
      </c>
      <c r="D1162">
        <v>1</v>
      </c>
      <c r="E1162">
        <v>15</v>
      </c>
      <c r="F1162" t="b">
        <v>0</v>
      </c>
      <c r="G1162">
        <v>5</v>
      </c>
      <c r="H1162">
        <v>2</v>
      </c>
      <c r="I1162">
        <v>0.2</v>
      </c>
      <c r="J1162">
        <v>550</v>
      </c>
      <c r="K1162">
        <v>0.1515</v>
      </c>
      <c r="L1162">
        <v>0.69</v>
      </c>
      <c r="M1162">
        <v>0.22389999999999999</v>
      </c>
      <c r="N1162">
        <v>0</v>
      </c>
      <c r="O1162">
        <v>2</v>
      </c>
      <c r="P1162">
        <v>2</v>
      </c>
    </row>
    <row r="1163" spans="1:16" x14ac:dyDescent="0.25">
      <c r="A1163">
        <v>552</v>
      </c>
      <c r="B1163" s="19">
        <v>40571</v>
      </c>
      <c r="C1163">
        <v>1</v>
      </c>
      <c r="D1163">
        <v>1</v>
      </c>
      <c r="E1163">
        <v>15</v>
      </c>
      <c r="F1163" t="b">
        <v>0</v>
      </c>
      <c r="G1163">
        <v>5</v>
      </c>
      <c r="H1163">
        <v>2</v>
      </c>
      <c r="I1163">
        <v>0.2</v>
      </c>
      <c r="J1163">
        <v>551</v>
      </c>
      <c r="K1163">
        <v>0.16669999999999999</v>
      </c>
      <c r="L1163">
        <v>0.74</v>
      </c>
      <c r="M1163">
        <v>0.1045</v>
      </c>
      <c r="N1163">
        <v>0</v>
      </c>
      <c r="O1163">
        <v>1</v>
      </c>
      <c r="P1163">
        <v>1</v>
      </c>
    </row>
    <row r="1164" spans="1:16" x14ac:dyDescent="0.25">
      <c r="A1164">
        <v>553</v>
      </c>
      <c r="B1164" s="19">
        <v>40571</v>
      </c>
      <c r="C1164">
        <v>1</v>
      </c>
      <c r="D1164">
        <v>1</v>
      </c>
      <c r="E1164">
        <v>15</v>
      </c>
      <c r="F1164" t="b">
        <v>0</v>
      </c>
      <c r="G1164">
        <v>5</v>
      </c>
      <c r="H1164">
        <v>2</v>
      </c>
      <c r="I1164">
        <v>0.2</v>
      </c>
      <c r="J1164">
        <v>552</v>
      </c>
      <c r="K1164">
        <v>0.13639999999999999</v>
      </c>
      <c r="L1164">
        <v>0.74</v>
      </c>
      <c r="M1164">
        <v>0.22389999999999999</v>
      </c>
      <c r="N1164">
        <v>0</v>
      </c>
      <c r="O1164">
        <v>9</v>
      </c>
      <c r="P1164">
        <v>9</v>
      </c>
    </row>
    <row r="1165" spans="1:16" x14ac:dyDescent="0.25">
      <c r="A1165">
        <v>554</v>
      </c>
      <c r="B1165" s="19">
        <v>40571</v>
      </c>
      <c r="C1165">
        <v>1</v>
      </c>
      <c r="D1165">
        <v>1</v>
      </c>
      <c r="E1165">
        <v>15</v>
      </c>
      <c r="F1165" t="b">
        <v>0</v>
      </c>
      <c r="G1165">
        <v>5</v>
      </c>
      <c r="H1165">
        <v>2</v>
      </c>
      <c r="I1165">
        <v>0.2</v>
      </c>
      <c r="J1165">
        <v>553</v>
      </c>
      <c r="K1165">
        <v>0.18179999999999999</v>
      </c>
      <c r="L1165">
        <v>0.74</v>
      </c>
      <c r="M1165">
        <v>0.1045</v>
      </c>
      <c r="N1165">
        <v>1</v>
      </c>
      <c r="O1165">
        <v>35</v>
      </c>
      <c r="P1165">
        <v>36</v>
      </c>
    </row>
    <row r="1166" spans="1:16" x14ac:dyDescent="0.25">
      <c r="A1166">
        <v>555</v>
      </c>
      <c r="B1166" s="19">
        <v>40571</v>
      </c>
      <c r="C1166">
        <v>1</v>
      </c>
      <c r="D1166">
        <v>1</v>
      </c>
      <c r="E1166">
        <v>15</v>
      </c>
      <c r="F1166" t="b">
        <v>0</v>
      </c>
      <c r="G1166">
        <v>5</v>
      </c>
      <c r="H1166">
        <v>2</v>
      </c>
      <c r="I1166">
        <v>0.2</v>
      </c>
      <c r="J1166">
        <v>554</v>
      </c>
      <c r="K1166">
        <v>0.1515</v>
      </c>
      <c r="L1166">
        <v>0.74</v>
      </c>
      <c r="M1166">
        <v>0.22389999999999999</v>
      </c>
      <c r="N1166">
        <v>5</v>
      </c>
      <c r="O1166">
        <v>103</v>
      </c>
      <c r="P1166">
        <v>108</v>
      </c>
    </row>
    <row r="1167" spans="1:16" x14ac:dyDescent="0.25">
      <c r="A1167">
        <v>556</v>
      </c>
      <c r="B1167" s="19">
        <v>40571</v>
      </c>
      <c r="C1167">
        <v>1</v>
      </c>
      <c r="D1167">
        <v>1</v>
      </c>
      <c r="E1167">
        <v>15</v>
      </c>
      <c r="F1167" t="b">
        <v>0</v>
      </c>
      <c r="G1167">
        <v>5</v>
      </c>
      <c r="H1167">
        <v>2</v>
      </c>
      <c r="I1167">
        <v>0.2</v>
      </c>
      <c r="J1167">
        <v>555</v>
      </c>
      <c r="K1167">
        <v>0.18179999999999999</v>
      </c>
      <c r="L1167">
        <v>0.74</v>
      </c>
      <c r="M1167">
        <v>0.1343</v>
      </c>
      <c r="N1167">
        <v>5</v>
      </c>
      <c r="O1167">
        <v>233</v>
      </c>
      <c r="P1167">
        <v>238</v>
      </c>
    </row>
    <row r="1168" spans="1:16" x14ac:dyDescent="0.25">
      <c r="A1168">
        <v>557</v>
      </c>
      <c r="B1168" s="19">
        <v>40571</v>
      </c>
      <c r="C1168">
        <v>1</v>
      </c>
      <c r="D1168">
        <v>1</v>
      </c>
      <c r="E1168">
        <v>15</v>
      </c>
      <c r="F1168" t="b">
        <v>0</v>
      </c>
      <c r="G1168">
        <v>5</v>
      </c>
      <c r="H1168">
        <v>2</v>
      </c>
      <c r="I1168">
        <v>0.2</v>
      </c>
      <c r="J1168">
        <v>556</v>
      </c>
      <c r="K1168">
        <v>0.2273</v>
      </c>
      <c r="L1168">
        <v>0.64</v>
      </c>
      <c r="M1168">
        <v>8.9599999999999999E-2</v>
      </c>
      <c r="N1168">
        <v>10</v>
      </c>
      <c r="O1168">
        <v>134</v>
      </c>
      <c r="P1168">
        <v>144</v>
      </c>
    </row>
    <row r="1169" spans="1:16" x14ac:dyDescent="0.25">
      <c r="A1169">
        <v>558</v>
      </c>
      <c r="B1169" s="19">
        <v>40571</v>
      </c>
      <c r="C1169">
        <v>1</v>
      </c>
      <c r="D1169">
        <v>1</v>
      </c>
      <c r="E1169">
        <v>15</v>
      </c>
      <c r="F1169" t="b">
        <v>0</v>
      </c>
      <c r="G1169">
        <v>5</v>
      </c>
      <c r="H1169">
        <v>2</v>
      </c>
      <c r="I1169">
        <v>0.2</v>
      </c>
      <c r="J1169">
        <v>557</v>
      </c>
      <c r="K1169">
        <v>0.2424</v>
      </c>
      <c r="L1169">
        <v>0.6</v>
      </c>
      <c r="M1169">
        <v>0.1045</v>
      </c>
      <c r="N1169">
        <v>6</v>
      </c>
      <c r="O1169">
        <v>49</v>
      </c>
      <c r="P1169">
        <v>55</v>
      </c>
    </row>
    <row r="1170" spans="1:16" x14ac:dyDescent="0.25">
      <c r="A1170">
        <v>559</v>
      </c>
      <c r="B1170" s="19">
        <v>40571</v>
      </c>
      <c r="C1170">
        <v>1</v>
      </c>
      <c r="D1170">
        <v>1</v>
      </c>
      <c r="E1170">
        <v>15</v>
      </c>
      <c r="F1170" t="b">
        <v>0</v>
      </c>
      <c r="G1170">
        <v>5</v>
      </c>
      <c r="H1170">
        <v>2</v>
      </c>
      <c r="I1170">
        <v>0.2</v>
      </c>
      <c r="J1170">
        <v>558</v>
      </c>
      <c r="K1170">
        <v>0.2424</v>
      </c>
      <c r="L1170">
        <v>0.6</v>
      </c>
      <c r="M1170">
        <v>0.1343</v>
      </c>
      <c r="N1170">
        <v>6</v>
      </c>
      <c r="O1170">
        <v>55</v>
      </c>
      <c r="P1170">
        <v>61</v>
      </c>
    </row>
    <row r="1171" spans="1:16" x14ac:dyDescent="0.25">
      <c r="A1171">
        <v>560</v>
      </c>
      <c r="B1171" s="19">
        <v>40571</v>
      </c>
      <c r="C1171">
        <v>1</v>
      </c>
      <c r="D1171">
        <v>1</v>
      </c>
      <c r="E1171">
        <v>15</v>
      </c>
      <c r="F1171" t="b">
        <v>0</v>
      </c>
      <c r="G1171">
        <v>5</v>
      </c>
      <c r="H1171">
        <v>2</v>
      </c>
      <c r="I1171">
        <v>0.2</v>
      </c>
      <c r="J1171">
        <v>559</v>
      </c>
      <c r="K1171">
        <v>0.28789999999999999</v>
      </c>
      <c r="L1171">
        <v>0.56000000000000005</v>
      </c>
      <c r="M1171">
        <v>8.9599999999999999E-2</v>
      </c>
      <c r="N1171">
        <v>21</v>
      </c>
      <c r="O1171">
        <v>85</v>
      </c>
      <c r="P1171">
        <v>106</v>
      </c>
    </row>
    <row r="1172" spans="1:16" x14ac:dyDescent="0.25">
      <c r="A1172">
        <v>561</v>
      </c>
      <c r="B1172" s="19">
        <v>40571</v>
      </c>
      <c r="C1172">
        <v>1</v>
      </c>
      <c r="D1172">
        <v>1</v>
      </c>
      <c r="E1172">
        <v>15</v>
      </c>
      <c r="F1172" t="b">
        <v>0</v>
      </c>
      <c r="G1172">
        <v>5</v>
      </c>
      <c r="H1172">
        <v>2</v>
      </c>
      <c r="I1172">
        <v>0.2</v>
      </c>
      <c r="J1172">
        <v>560</v>
      </c>
      <c r="K1172">
        <v>0.2727</v>
      </c>
      <c r="L1172">
        <v>0.56000000000000005</v>
      </c>
      <c r="M1172">
        <v>0.1343</v>
      </c>
      <c r="N1172">
        <v>21</v>
      </c>
      <c r="O1172">
        <v>72</v>
      </c>
      <c r="P1172">
        <v>93</v>
      </c>
    </row>
    <row r="1173" spans="1:16" x14ac:dyDescent="0.25">
      <c r="A1173">
        <v>562</v>
      </c>
      <c r="B1173" s="19">
        <v>40571</v>
      </c>
      <c r="C1173">
        <v>1</v>
      </c>
      <c r="D1173">
        <v>1</v>
      </c>
      <c r="E1173">
        <v>15</v>
      </c>
      <c r="F1173" t="b">
        <v>0</v>
      </c>
      <c r="G1173">
        <v>5</v>
      </c>
      <c r="H1173">
        <v>2</v>
      </c>
      <c r="I1173">
        <v>0.2</v>
      </c>
      <c r="J1173">
        <v>561</v>
      </c>
      <c r="K1173">
        <v>0.33329999999999999</v>
      </c>
      <c r="L1173">
        <v>0.45</v>
      </c>
      <c r="M1173">
        <v>0</v>
      </c>
      <c r="N1173">
        <v>11</v>
      </c>
      <c r="O1173">
        <v>57</v>
      </c>
      <c r="P1173">
        <v>68</v>
      </c>
    </row>
    <row r="1174" spans="1:16" x14ac:dyDescent="0.25">
      <c r="A1174">
        <v>563</v>
      </c>
      <c r="B1174" s="19">
        <v>40571</v>
      </c>
      <c r="C1174">
        <v>1</v>
      </c>
      <c r="D1174">
        <v>1</v>
      </c>
      <c r="E1174">
        <v>15</v>
      </c>
      <c r="F1174" t="b">
        <v>0</v>
      </c>
      <c r="G1174">
        <v>5</v>
      </c>
      <c r="H1174">
        <v>2</v>
      </c>
      <c r="I1174">
        <v>0.2</v>
      </c>
      <c r="J1174">
        <v>562</v>
      </c>
      <c r="K1174">
        <v>0.34849999999999998</v>
      </c>
      <c r="L1174">
        <v>0.42</v>
      </c>
      <c r="M1174">
        <v>0</v>
      </c>
      <c r="N1174">
        <v>21</v>
      </c>
      <c r="O1174">
        <v>63</v>
      </c>
      <c r="P1174">
        <v>84</v>
      </c>
    </row>
    <row r="1175" spans="1:16" x14ac:dyDescent="0.25">
      <c r="A1175">
        <v>564</v>
      </c>
      <c r="B1175" s="19">
        <v>40571</v>
      </c>
      <c r="C1175">
        <v>1</v>
      </c>
      <c r="D1175">
        <v>1</v>
      </c>
      <c r="E1175">
        <v>15</v>
      </c>
      <c r="F1175" t="b">
        <v>0</v>
      </c>
      <c r="G1175">
        <v>5</v>
      </c>
      <c r="H1175">
        <v>2</v>
      </c>
      <c r="I1175">
        <v>0.2</v>
      </c>
      <c r="J1175">
        <v>563</v>
      </c>
      <c r="K1175">
        <v>0.34849999999999998</v>
      </c>
      <c r="L1175">
        <v>0.42</v>
      </c>
      <c r="M1175">
        <v>0</v>
      </c>
      <c r="N1175">
        <v>14</v>
      </c>
      <c r="O1175">
        <v>102</v>
      </c>
      <c r="P1175">
        <v>116</v>
      </c>
    </row>
    <row r="1176" spans="1:16" x14ac:dyDescent="0.25">
      <c r="A1176">
        <v>565</v>
      </c>
      <c r="B1176" s="19">
        <v>40571</v>
      </c>
      <c r="C1176">
        <v>1</v>
      </c>
      <c r="D1176">
        <v>1</v>
      </c>
      <c r="E1176">
        <v>15</v>
      </c>
      <c r="F1176" t="b">
        <v>0</v>
      </c>
      <c r="G1176">
        <v>5</v>
      </c>
      <c r="H1176">
        <v>2</v>
      </c>
      <c r="I1176">
        <v>0.2</v>
      </c>
      <c r="J1176">
        <v>564</v>
      </c>
      <c r="K1176">
        <v>0.33329999999999999</v>
      </c>
      <c r="L1176">
        <v>0.45</v>
      </c>
      <c r="M1176">
        <v>0</v>
      </c>
      <c r="N1176">
        <v>14</v>
      </c>
      <c r="O1176">
        <v>208</v>
      </c>
      <c r="P1176">
        <v>222</v>
      </c>
    </row>
    <row r="1177" spans="1:16" x14ac:dyDescent="0.25">
      <c r="A1177">
        <v>566</v>
      </c>
      <c r="B1177" s="19">
        <v>40571</v>
      </c>
      <c r="C1177">
        <v>1</v>
      </c>
      <c r="D1177">
        <v>1</v>
      </c>
      <c r="E1177">
        <v>15</v>
      </c>
      <c r="F1177" t="b">
        <v>0</v>
      </c>
      <c r="G1177">
        <v>5</v>
      </c>
      <c r="H1177">
        <v>2</v>
      </c>
      <c r="I1177">
        <v>0.2</v>
      </c>
      <c r="J1177">
        <v>565</v>
      </c>
      <c r="K1177">
        <v>0.31819999999999998</v>
      </c>
      <c r="L1177">
        <v>0.49</v>
      </c>
      <c r="M1177">
        <v>8.9599999999999999E-2</v>
      </c>
      <c r="N1177">
        <v>7</v>
      </c>
      <c r="O1177">
        <v>218</v>
      </c>
      <c r="P1177">
        <v>225</v>
      </c>
    </row>
    <row r="1178" spans="1:16" x14ac:dyDescent="0.25">
      <c r="A1178">
        <v>567</v>
      </c>
      <c r="B1178" s="19">
        <v>40571</v>
      </c>
      <c r="C1178">
        <v>1</v>
      </c>
      <c r="D1178">
        <v>1</v>
      </c>
      <c r="E1178">
        <v>15</v>
      </c>
      <c r="F1178" t="b">
        <v>0</v>
      </c>
      <c r="G1178">
        <v>5</v>
      </c>
      <c r="H1178">
        <v>2</v>
      </c>
      <c r="I1178">
        <v>0.2</v>
      </c>
      <c r="J1178">
        <v>566</v>
      </c>
      <c r="K1178">
        <v>0.2576</v>
      </c>
      <c r="L1178">
        <v>0.65</v>
      </c>
      <c r="M1178">
        <v>0.16420000000000001</v>
      </c>
      <c r="N1178">
        <v>13</v>
      </c>
      <c r="O1178">
        <v>133</v>
      </c>
      <c r="P1178">
        <v>146</v>
      </c>
    </row>
    <row r="1179" spans="1:16" x14ac:dyDescent="0.25">
      <c r="A1179">
        <v>568</v>
      </c>
      <c r="B1179" s="19">
        <v>40571</v>
      </c>
      <c r="C1179">
        <v>1</v>
      </c>
      <c r="D1179">
        <v>1</v>
      </c>
      <c r="E1179">
        <v>15</v>
      </c>
      <c r="F1179" t="b">
        <v>0</v>
      </c>
      <c r="G1179">
        <v>5</v>
      </c>
      <c r="H1179">
        <v>2</v>
      </c>
      <c r="I1179">
        <v>0.2</v>
      </c>
      <c r="J1179">
        <v>567</v>
      </c>
      <c r="K1179">
        <v>0.2273</v>
      </c>
      <c r="L1179">
        <v>0.65</v>
      </c>
      <c r="M1179">
        <v>0.19400000000000001</v>
      </c>
      <c r="N1179">
        <v>16</v>
      </c>
      <c r="O1179">
        <v>103</v>
      </c>
      <c r="P1179">
        <v>119</v>
      </c>
    </row>
    <row r="1180" spans="1:16" x14ac:dyDescent="0.25">
      <c r="A1180">
        <v>569</v>
      </c>
      <c r="B1180" s="19">
        <v>40571</v>
      </c>
      <c r="C1180">
        <v>1</v>
      </c>
      <c r="D1180">
        <v>1</v>
      </c>
      <c r="E1180">
        <v>15</v>
      </c>
      <c r="F1180" t="b">
        <v>0</v>
      </c>
      <c r="G1180">
        <v>5</v>
      </c>
      <c r="H1180">
        <v>2</v>
      </c>
      <c r="I1180">
        <v>0.2</v>
      </c>
      <c r="J1180">
        <v>568</v>
      </c>
      <c r="K1180">
        <v>0.2273</v>
      </c>
      <c r="L1180">
        <v>0.65</v>
      </c>
      <c r="M1180">
        <v>0.19400000000000001</v>
      </c>
      <c r="N1180">
        <v>5</v>
      </c>
      <c r="O1180">
        <v>40</v>
      </c>
      <c r="P1180">
        <v>45</v>
      </c>
    </row>
    <row r="1181" spans="1:16" x14ac:dyDescent="0.25">
      <c r="A1181">
        <v>570</v>
      </c>
      <c r="B1181" s="19">
        <v>40571</v>
      </c>
      <c r="C1181">
        <v>1</v>
      </c>
      <c r="D1181">
        <v>1</v>
      </c>
      <c r="E1181">
        <v>15</v>
      </c>
      <c r="F1181" t="b">
        <v>0</v>
      </c>
      <c r="G1181">
        <v>5</v>
      </c>
      <c r="H1181">
        <v>2</v>
      </c>
      <c r="I1181">
        <v>0.2</v>
      </c>
      <c r="J1181">
        <v>569</v>
      </c>
      <c r="K1181">
        <v>0.2273</v>
      </c>
      <c r="L1181">
        <v>0.64</v>
      </c>
      <c r="M1181">
        <v>0.16420000000000001</v>
      </c>
      <c r="N1181">
        <v>4</v>
      </c>
      <c r="O1181">
        <v>49</v>
      </c>
      <c r="P1181">
        <v>53</v>
      </c>
    </row>
    <row r="1182" spans="1:16" x14ac:dyDescent="0.25">
      <c r="A1182">
        <v>571</v>
      </c>
      <c r="B1182" s="19">
        <v>40571</v>
      </c>
      <c r="C1182">
        <v>1</v>
      </c>
      <c r="D1182">
        <v>1</v>
      </c>
      <c r="E1182">
        <v>15</v>
      </c>
      <c r="F1182" t="b">
        <v>0</v>
      </c>
      <c r="G1182">
        <v>5</v>
      </c>
      <c r="H1182">
        <v>2</v>
      </c>
      <c r="I1182">
        <v>0.2</v>
      </c>
      <c r="J1182">
        <v>570</v>
      </c>
      <c r="K1182">
        <v>0.2273</v>
      </c>
      <c r="L1182">
        <v>0.64</v>
      </c>
      <c r="M1182">
        <v>0.16420000000000001</v>
      </c>
      <c r="N1182">
        <v>3</v>
      </c>
      <c r="O1182">
        <v>37</v>
      </c>
      <c r="P1182">
        <v>40</v>
      </c>
    </row>
    <row r="1183" spans="1:16" x14ac:dyDescent="0.25">
      <c r="A1183">
        <v>572</v>
      </c>
      <c r="B1183" s="19">
        <v>40571</v>
      </c>
      <c r="C1183">
        <v>1</v>
      </c>
      <c r="D1183">
        <v>1</v>
      </c>
      <c r="E1183">
        <v>15</v>
      </c>
      <c r="F1183" t="b">
        <v>0</v>
      </c>
      <c r="G1183">
        <v>5</v>
      </c>
      <c r="H1183">
        <v>2</v>
      </c>
      <c r="I1183">
        <v>0.2</v>
      </c>
      <c r="J1183">
        <v>571</v>
      </c>
      <c r="K1183">
        <v>0.2273</v>
      </c>
      <c r="L1183">
        <v>0.69</v>
      </c>
      <c r="M1183">
        <v>0.1343</v>
      </c>
      <c r="N1183">
        <v>3</v>
      </c>
      <c r="O1183">
        <v>14</v>
      </c>
      <c r="P1183">
        <v>17</v>
      </c>
    </row>
    <row r="1184" spans="1:16" x14ac:dyDescent="0.25">
      <c r="A1184">
        <v>573</v>
      </c>
      <c r="B1184" s="19">
        <v>40571</v>
      </c>
      <c r="C1184">
        <v>1</v>
      </c>
      <c r="D1184">
        <v>1</v>
      </c>
      <c r="E1184">
        <v>15</v>
      </c>
      <c r="F1184" t="b">
        <v>0</v>
      </c>
      <c r="G1184">
        <v>5</v>
      </c>
      <c r="H1184">
        <v>2</v>
      </c>
      <c r="I1184">
        <v>0.2</v>
      </c>
      <c r="J1184">
        <v>572</v>
      </c>
      <c r="K1184">
        <v>0.2424</v>
      </c>
      <c r="L1184">
        <v>0.65</v>
      </c>
      <c r="M1184">
        <v>0.1343</v>
      </c>
      <c r="N1184">
        <v>0</v>
      </c>
      <c r="O1184">
        <v>5</v>
      </c>
      <c r="P1184">
        <v>5</v>
      </c>
    </row>
    <row r="1185" spans="1:16" x14ac:dyDescent="0.25">
      <c r="A1185">
        <v>574</v>
      </c>
      <c r="B1185" s="19">
        <v>40571</v>
      </c>
      <c r="C1185">
        <v>1</v>
      </c>
      <c r="D1185">
        <v>1</v>
      </c>
      <c r="E1185">
        <v>15</v>
      </c>
      <c r="F1185" t="b">
        <v>0</v>
      </c>
      <c r="G1185">
        <v>5</v>
      </c>
      <c r="H1185">
        <v>2</v>
      </c>
      <c r="I1185">
        <v>0.2</v>
      </c>
      <c r="J1185">
        <v>573</v>
      </c>
      <c r="K1185">
        <v>0.2273</v>
      </c>
      <c r="L1185">
        <v>0.69</v>
      </c>
      <c r="M1185">
        <v>0.19400000000000001</v>
      </c>
      <c r="N1185">
        <v>3</v>
      </c>
      <c r="O1185">
        <v>7</v>
      </c>
      <c r="P1185">
        <v>10</v>
      </c>
    </row>
    <row r="1186" spans="1:16" x14ac:dyDescent="0.25">
      <c r="A1186">
        <v>575</v>
      </c>
      <c r="B1186" s="19">
        <v>40571</v>
      </c>
      <c r="C1186">
        <v>1</v>
      </c>
      <c r="D1186">
        <v>1</v>
      </c>
      <c r="E1186">
        <v>15</v>
      </c>
      <c r="F1186" t="b">
        <v>0</v>
      </c>
      <c r="G1186">
        <v>5</v>
      </c>
      <c r="H1186">
        <v>2</v>
      </c>
      <c r="I1186">
        <v>0.2</v>
      </c>
      <c r="J1186">
        <v>574</v>
      </c>
      <c r="K1186">
        <v>0.18179999999999999</v>
      </c>
      <c r="L1186">
        <v>0.86</v>
      </c>
      <c r="M1186">
        <v>0.28360000000000002</v>
      </c>
      <c r="N1186">
        <v>0</v>
      </c>
      <c r="O1186">
        <v>1</v>
      </c>
      <c r="P1186">
        <v>1</v>
      </c>
    </row>
    <row r="1187" spans="1:16" x14ac:dyDescent="0.25">
      <c r="A1187">
        <v>576</v>
      </c>
      <c r="B1187" s="19">
        <v>40571</v>
      </c>
      <c r="C1187">
        <v>1</v>
      </c>
      <c r="D1187">
        <v>1</v>
      </c>
      <c r="E1187">
        <v>15</v>
      </c>
      <c r="F1187" t="b">
        <v>0</v>
      </c>
      <c r="G1187">
        <v>5</v>
      </c>
      <c r="H1187">
        <v>2</v>
      </c>
      <c r="I1187">
        <v>0.2</v>
      </c>
      <c r="J1187">
        <v>575</v>
      </c>
      <c r="K1187">
        <v>0.18179999999999999</v>
      </c>
      <c r="L1187">
        <v>0.86</v>
      </c>
      <c r="M1187">
        <v>0.28360000000000002</v>
      </c>
      <c r="N1187">
        <v>0</v>
      </c>
      <c r="O1187">
        <v>8</v>
      </c>
      <c r="P1187">
        <v>8</v>
      </c>
    </row>
    <row r="1188" spans="1:16" x14ac:dyDescent="0.25">
      <c r="A1188">
        <v>577</v>
      </c>
      <c r="B1188" s="19">
        <v>40571</v>
      </c>
      <c r="C1188">
        <v>1</v>
      </c>
      <c r="D1188">
        <v>1</v>
      </c>
      <c r="E1188">
        <v>15</v>
      </c>
      <c r="F1188" t="b">
        <v>0</v>
      </c>
      <c r="G1188">
        <v>5</v>
      </c>
      <c r="H1188">
        <v>2</v>
      </c>
      <c r="I1188">
        <v>0.2</v>
      </c>
      <c r="J1188">
        <v>576</v>
      </c>
      <c r="K1188">
        <v>0.21210000000000001</v>
      </c>
      <c r="L1188">
        <v>0.87</v>
      </c>
      <c r="M1188">
        <v>0.29849999999999999</v>
      </c>
      <c r="N1188">
        <v>1</v>
      </c>
      <c r="O1188">
        <v>29</v>
      </c>
      <c r="P1188">
        <v>30</v>
      </c>
    </row>
    <row r="1189" spans="1:16" x14ac:dyDescent="0.25">
      <c r="A1189">
        <v>578</v>
      </c>
      <c r="B1189" s="19">
        <v>40571</v>
      </c>
      <c r="C1189">
        <v>1</v>
      </c>
      <c r="D1189">
        <v>1</v>
      </c>
      <c r="E1189">
        <v>15</v>
      </c>
      <c r="F1189" t="b">
        <v>0</v>
      </c>
      <c r="G1189">
        <v>5</v>
      </c>
      <c r="H1189">
        <v>2</v>
      </c>
      <c r="I1189">
        <v>0.2</v>
      </c>
      <c r="J1189">
        <v>577</v>
      </c>
      <c r="K1189">
        <v>0.21210000000000001</v>
      </c>
      <c r="L1189">
        <v>0.87</v>
      </c>
      <c r="M1189">
        <v>0.29849999999999999</v>
      </c>
      <c r="N1189">
        <v>3</v>
      </c>
      <c r="O1189">
        <v>69</v>
      </c>
      <c r="P1189">
        <v>72</v>
      </c>
    </row>
    <row r="1190" spans="1:16" x14ac:dyDescent="0.25">
      <c r="A1190">
        <v>579</v>
      </c>
      <c r="B1190" s="19">
        <v>40571</v>
      </c>
      <c r="C1190">
        <v>1</v>
      </c>
      <c r="D1190">
        <v>1</v>
      </c>
      <c r="E1190">
        <v>15</v>
      </c>
      <c r="F1190" t="b">
        <v>0</v>
      </c>
      <c r="G1190">
        <v>5</v>
      </c>
      <c r="H1190">
        <v>2</v>
      </c>
      <c r="I1190">
        <v>0.2</v>
      </c>
      <c r="J1190">
        <v>578</v>
      </c>
      <c r="K1190">
        <v>0.21210000000000001</v>
      </c>
      <c r="L1190">
        <v>0.87</v>
      </c>
      <c r="M1190">
        <v>0.29849999999999999</v>
      </c>
      <c r="N1190">
        <v>3</v>
      </c>
      <c r="O1190">
        <v>55</v>
      </c>
      <c r="P1190">
        <v>58</v>
      </c>
    </row>
    <row r="1191" spans="1:16" x14ac:dyDescent="0.25">
      <c r="A1191">
        <v>580</v>
      </c>
      <c r="B1191" s="19">
        <v>40571</v>
      </c>
      <c r="C1191">
        <v>1</v>
      </c>
      <c r="D1191">
        <v>1</v>
      </c>
      <c r="E1191">
        <v>15</v>
      </c>
      <c r="F1191" t="b">
        <v>0</v>
      </c>
      <c r="G1191">
        <v>5</v>
      </c>
      <c r="H1191">
        <v>2</v>
      </c>
      <c r="I1191">
        <v>0.2</v>
      </c>
      <c r="J1191">
        <v>579</v>
      </c>
      <c r="K1191">
        <v>0.21210000000000001</v>
      </c>
      <c r="L1191">
        <v>0.93</v>
      </c>
      <c r="M1191">
        <v>0.28360000000000002</v>
      </c>
      <c r="N1191">
        <v>2</v>
      </c>
      <c r="O1191">
        <v>26</v>
      </c>
      <c r="P1191">
        <v>28</v>
      </c>
    </row>
    <row r="1192" spans="1:16" x14ac:dyDescent="0.25">
      <c r="A1192">
        <v>581</v>
      </c>
      <c r="B1192" s="19">
        <v>40571</v>
      </c>
      <c r="C1192">
        <v>1</v>
      </c>
      <c r="D1192">
        <v>1</v>
      </c>
      <c r="E1192">
        <v>15</v>
      </c>
      <c r="F1192" t="b">
        <v>0</v>
      </c>
      <c r="G1192">
        <v>5</v>
      </c>
      <c r="H1192">
        <v>2</v>
      </c>
      <c r="I1192">
        <v>0.2</v>
      </c>
      <c r="J1192">
        <v>580</v>
      </c>
      <c r="K1192">
        <v>0.19700000000000001</v>
      </c>
      <c r="L1192">
        <v>0.93</v>
      </c>
      <c r="M1192">
        <v>0.32840000000000003</v>
      </c>
      <c r="N1192">
        <v>6</v>
      </c>
      <c r="O1192">
        <v>35</v>
      </c>
      <c r="P1192">
        <v>41</v>
      </c>
    </row>
    <row r="1193" spans="1:16" x14ac:dyDescent="0.25">
      <c r="A1193">
        <v>582</v>
      </c>
      <c r="B1193" s="19">
        <v>40571</v>
      </c>
      <c r="C1193">
        <v>1</v>
      </c>
      <c r="D1193">
        <v>1</v>
      </c>
      <c r="E1193">
        <v>15</v>
      </c>
      <c r="F1193" t="b">
        <v>0</v>
      </c>
      <c r="G1193">
        <v>5</v>
      </c>
      <c r="H1193">
        <v>2</v>
      </c>
      <c r="I1193">
        <v>0.2</v>
      </c>
      <c r="J1193">
        <v>581</v>
      </c>
      <c r="K1193">
        <v>0.19700000000000001</v>
      </c>
      <c r="L1193">
        <v>0.93</v>
      </c>
      <c r="M1193">
        <v>0.32840000000000003</v>
      </c>
      <c r="N1193">
        <v>7</v>
      </c>
      <c r="O1193">
        <v>41</v>
      </c>
      <c r="P1193">
        <v>48</v>
      </c>
    </row>
    <row r="1194" spans="1:16" x14ac:dyDescent="0.25">
      <c r="A1194">
        <v>583</v>
      </c>
      <c r="B1194" s="19">
        <v>40571</v>
      </c>
      <c r="C1194">
        <v>1</v>
      </c>
      <c r="D1194">
        <v>1</v>
      </c>
      <c r="E1194">
        <v>15</v>
      </c>
      <c r="F1194" t="b">
        <v>0</v>
      </c>
      <c r="G1194">
        <v>5</v>
      </c>
      <c r="H1194">
        <v>2</v>
      </c>
      <c r="I1194">
        <v>0.2</v>
      </c>
      <c r="J1194">
        <v>582</v>
      </c>
      <c r="K1194">
        <v>0.19700000000000001</v>
      </c>
      <c r="L1194">
        <v>0.93</v>
      </c>
      <c r="M1194">
        <v>0.32840000000000003</v>
      </c>
      <c r="N1194">
        <v>4</v>
      </c>
      <c r="O1194">
        <v>43</v>
      </c>
      <c r="P1194">
        <v>47</v>
      </c>
    </row>
    <row r="1195" spans="1:16" x14ac:dyDescent="0.25">
      <c r="A1195">
        <v>584</v>
      </c>
      <c r="B1195" s="19">
        <v>40571</v>
      </c>
      <c r="C1195">
        <v>1</v>
      </c>
      <c r="D1195">
        <v>1</v>
      </c>
      <c r="E1195">
        <v>15</v>
      </c>
      <c r="F1195" t="b">
        <v>0</v>
      </c>
      <c r="G1195">
        <v>5</v>
      </c>
      <c r="H1195">
        <v>2</v>
      </c>
      <c r="I1195">
        <v>0.2</v>
      </c>
      <c r="J1195">
        <v>583</v>
      </c>
      <c r="K1195">
        <v>0.19700000000000001</v>
      </c>
      <c r="L1195">
        <v>0.93</v>
      </c>
      <c r="M1195">
        <v>0.35820000000000002</v>
      </c>
      <c r="N1195">
        <v>0</v>
      </c>
      <c r="O1195">
        <v>36</v>
      </c>
      <c r="P1195">
        <v>36</v>
      </c>
    </row>
    <row r="1196" spans="1:16" x14ac:dyDescent="0.25">
      <c r="A1196">
        <v>585</v>
      </c>
      <c r="B1196" s="19">
        <v>40571</v>
      </c>
      <c r="C1196">
        <v>1</v>
      </c>
      <c r="D1196">
        <v>1</v>
      </c>
      <c r="E1196">
        <v>15</v>
      </c>
      <c r="F1196" t="b">
        <v>0</v>
      </c>
      <c r="G1196">
        <v>5</v>
      </c>
      <c r="H1196">
        <v>2</v>
      </c>
      <c r="I1196">
        <v>0.2</v>
      </c>
      <c r="J1196">
        <v>584</v>
      </c>
      <c r="K1196">
        <v>0.18179999999999999</v>
      </c>
      <c r="L1196">
        <v>0.93</v>
      </c>
      <c r="M1196">
        <v>0.4627</v>
      </c>
      <c r="N1196">
        <v>1</v>
      </c>
      <c r="O1196">
        <v>42</v>
      </c>
      <c r="P1196">
        <v>43</v>
      </c>
    </row>
    <row r="1197" spans="1:16" x14ac:dyDescent="0.25">
      <c r="A1197">
        <v>586</v>
      </c>
      <c r="B1197" s="19">
        <v>40571</v>
      </c>
      <c r="C1197">
        <v>1</v>
      </c>
      <c r="D1197">
        <v>1</v>
      </c>
      <c r="E1197">
        <v>15</v>
      </c>
      <c r="F1197" t="b">
        <v>0</v>
      </c>
      <c r="G1197">
        <v>5</v>
      </c>
      <c r="H1197">
        <v>2</v>
      </c>
      <c r="I1197">
        <v>0.2</v>
      </c>
      <c r="J1197">
        <v>585</v>
      </c>
      <c r="K1197">
        <v>0.19700000000000001</v>
      </c>
      <c r="L1197">
        <v>0.93</v>
      </c>
      <c r="M1197">
        <v>0.32840000000000003</v>
      </c>
      <c r="N1197">
        <v>1</v>
      </c>
      <c r="O1197">
        <v>35</v>
      </c>
      <c r="P1197">
        <v>36</v>
      </c>
    </row>
    <row r="1198" spans="1:16" x14ac:dyDescent="0.25">
      <c r="A1198">
        <v>587</v>
      </c>
      <c r="B1198" s="19">
        <v>40571</v>
      </c>
      <c r="C1198">
        <v>1</v>
      </c>
      <c r="D1198">
        <v>1</v>
      </c>
      <c r="E1198">
        <v>15</v>
      </c>
      <c r="F1198" t="b">
        <v>0</v>
      </c>
      <c r="G1198">
        <v>5</v>
      </c>
      <c r="H1198">
        <v>2</v>
      </c>
      <c r="I1198">
        <v>0.2</v>
      </c>
      <c r="J1198">
        <v>586</v>
      </c>
      <c r="K1198">
        <v>0.18179999999999999</v>
      </c>
      <c r="L1198">
        <v>0.93</v>
      </c>
      <c r="M1198">
        <v>0.35820000000000002</v>
      </c>
      <c r="N1198">
        <v>0</v>
      </c>
      <c r="O1198">
        <v>26</v>
      </c>
      <c r="P1198">
        <v>26</v>
      </c>
    </row>
    <row r="1199" spans="1:16" x14ac:dyDescent="0.25">
      <c r="A1199">
        <v>588</v>
      </c>
      <c r="B1199" s="19">
        <v>40571</v>
      </c>
      <c r="C1199">
        <v>1</v>
      </c>
      <c r="D1199">
        <v>1</v>
      </c>
      <c r="E1199">
        <v>15</v>
      </c>
      <c r="F1199" t="b">
        <v>0</v>
      </c>
      <c r="G1199">
        <v>5</v>
      </c>
      <c r="H1199">
        <v>2</v>
      </c>
      <c r="I1199">
        <v>0.2</v>
      </c>
      <c r="J1199">
        <v>587</v>
      </c>
      <c r="K1199">
        <v>0.2273</v>
      </c>
      <c r="L1199">
        <v>0.55000000000000004</v>
      </c>
      <c r="M1199">
        <v>0.19400000000000001</v>
      </c>
      <c r="N1199">
        <v>1</v>
      </c>
      <c r="O1199">
        <v>23</v>
      </c>
      <c r="P1199">
        <v>24</v>
      </c>
    </row>
    <row r="1200" spans="1:16" x14ac:dyDescent="0.25">
      <c r="A1200">
        <v>589</v>
      </c>
      <c r="B1200" s="19">
        <v>40571</v>
      </c>
      <c r="C1200">
        <v>1</v>
      </c>
      <c r="D1200">
        <v>1</v>
      </c>
      <c r="E1200">
        <v>15</v>
      </c>
      <c r="F1200" t="b">
        <v>0</v>
      </c>
      <c r="G1200">
        <v>5</v>
      </c>
      <c r="H1200">
        <v>2</v>
      </c>
      <c r="I1200">
        <v>0.2</v>
      </c>
      <c r="J1200">
        <v>588</v>
      </c>
      <c r="K1200">
        <v>0.2424</v>
      </c>
      <c r="L1200">
        <v>0.55000000000000004</v>
      </c>
      <c r="M1200">
        <v>0.1045</v>
      </c>
      <c r="N1200">
        <v>2</v>
      </c>
      <c r="O1200">
        <v>82</v>
      </c>
      <c r="P1200">
        <v>84</v>
      </c>
    </row>
    <row r="1201" spans="1:16" x14ac:dyDescent="0.25">
      <c r="A1201">
        <v>590</v>
      </c>
      <c r="B1201" s="19">
        <v>40571</v>
      </c>
      <c r="C1201">
        <v>1</v>
      </c>
      <c r="D1201">
        <v>1</v>
      </c>
      <c r="E1201">
        <v>15</v>
      </c>
      <c r="F1201" t="b">
        <v>0</v>
      </c>
      <c r="G1201">
        <v>5</v>
      </c>
      <c r="H1201">
        <v>2</v>
      </c>
      <c r="I1201">
        <v>0.2</v>
      </c>
      <c r="J1201">
        <v>589</v>
      </c>
      <c r="K1201">
        <v>0.2273</v>
      </c>
      <c r="L1201">
        <v>0.69</v>
      </c>
      <c r="M1201">
        <v>8.9599999999999999E-2</v>
      </c>
      <c r="N1201">
        <v>3</v>
      </c>
      <c r="O1201">
        <v>101</v>
      </c>
      <c r="P1201">
        <v>104</v>
      </c>
    </row>
    <row r="1202" spans="1:16" x14ac:dyDescent="0.25">
      <c r="A1202">
        <v>591</v>
      </c>
      <c r="B1202" s="19">
        <v>40571</v>
      </c>
      <c r="C1202">
        <v>1</v>
      </c>
      <c r="D1202">
        <v>1</v>
      </c>
      <c r="E1202">
        <v>15</v>
      </c>
      <c r="F1202" t="b">
        <v>0</v>
      </c>
      <c r="G1202">
        <v>5</v>
      </c>
      <c r="H1202">
        <v>2</v>
      </c>
      <c r="I1202">
        <v>0.2</v>
      </c>
      <c r="J1202">
        <v>590</v>
      </c>
      <c r="K1202">
        <v>0.2273</v>
      </c>
      <c r="L1202">
        <v>0.69</v>
      </c>
      <c r="M1202">
        <v>8.9599999999999999E-2</v>
      </c>
      <c r="N1202">
        <v>3</v>
      </c>
      <c r="O1202">
        <v>76</v>
      </c>
      <c r="P1202">
        <v>79</v>
      </c>
    </row>
    <row r="1203" spans="1:16" x14ac:dyDescent="0.25">
      <c r="A1203">
        <v>592</v>
      </c>
      <c r="B1203" s="19">
        <v>40571</v>
      </c>
      <c r="C1203">
        <v>1</v>
      </c>
      <c r="D1203">
        <v>1</v>
      </c>
      <c r="E1203">
        <v>15</v>
      </c>
      <c r="F1203" t="b">
        <v>0</v>
      </c>
      <c r="G1203">
        <v>5</v>
      </c>
      <c r="H1203">
        <v>2</v>
      </c>
      <c r="I1203">
        <v>0.2</v>
      </c>
      <c r="J1203">
        <v>591</v>
      </c>
      <c r="K1203">
        <v>0.21210000000000001</v>
      </c>
      <c r="L1203">
        <v>0.74</v>
      </c>
      <c r="M1203">
        <v>8.9599999999999999E-2</v>
      </c>
      <c r="N1203">
        <v>4</v>
      </c>
      <c r="O1203">
        <v>55</v>
      </c>
      <c r="P1203">
        <v>59</v>
      </c>
    </row>
    <row r="1204" spans="1:16" x14ac:dyDescent="0.25">
      <c r="A1204">
        <v>593</v>
      </c>
      <c r="B1204" s="19">
        <v>40571</v>
      </c>
      <c r="C1204">
        <v>1</v>
      </c>
      <c r="D1204">
        <v>1</v>
      </c>
      <c r="E1204">
        <v>15</v>
      </c>
      <c r="F1204" t="b">
        <v>0</v>
      </c>
      <c r="G1204">
        <v>5</v>
      </c>
      <c r="H1204">
        <v>2</v>
      </c>
      <c r="I1204">
        <v>0.2</v>
      </c>
      <c r="J1204">
        <v>592</v>
      </c>
      <c r="K1204">
        <v>0.21210000000000001</v>
      </c>
      <c r="L1204">
        <v>0.74</v>
      </c>
      <c r="M1204">
        <v>8.9599999999999999E-2</v>
      </c>
      <c r="N1204">
        <v>2</v>
      </c>
      <c r="O1204">
        <v>36</v>
      </c>
      <c r="P1204">
        <v>38</v>
      </c>
    </row>
    <row r="1205" spans="1:16" x14ac:dyDescent="0.25">
      <c r="A1205">
        <v>594</v>
      </c>
      <c r="B1205" s="19">
        <v>40571</v>
      </c>
      <c r="C1205">
        <v>1</v>
      </c>
      <c r="D1205">
        <v>1</v>
      </c>
      <c r="E1205">
        <v>15</v>
      </c>
      <c r="F1205" t="b">
        <v>0</v>
      </c>
      <c r="G1205">
        <v>5</v>
      </c>
      <c r="H1205">
        <v>2</v>
      </c>
      <c r="I1205">
        <v>0.2</v>
      </c>
      <c r="J1205">
        <v>593</v>
      </c>
      <c r="K1205">
        <v>0.21210000000000001</v>
      </c>
      <c r="L1205">
        <v>0.74</v>
      </c>
      <c r="M1205">
        <v>8.9599999999999999E-2</v>
      </c>
      <c r="N1205">
        <v>0</v>
      </c>
      <c r="O1205">
        <v>27</v>
      </c>
      <c r="P1205">
        <v>27</v>
      </c>
    </row>
    <row r="1206" spans="1:16" x14ac:dyDescent="0.25">
      <c r="A1206">
        <v>595</v>
      </c>
      <c r="B1206" s="19">
        <v>40571</v>
      </c>
      <c r="C1206">
        <v>1</v>
      </c>
      <c r="D1206">
        <v>1</v>
      </c>
      <c r="E1206">
        <v>15</v>
      </c>
      <c r="F1206" t="b">
        <v>0</v>
      </c>
      <c r="G1206">
        <v>5</v>
      </c>
      <c r="H1206">
        <v>2</v>
      </c>
      <c r="I1206">
        <v>0.2</v>
      </c>
      <c r="J1206">
        <v>594</v>
      </c>
      <c r="K1206">
        <v>0.19700000000000001</v>
      </c>
      <c r="L1206">
        <v>0.8</v>
      </c>
      <c r="M1206">
        <v>0.16420000000000001</v>
      </c>
      <c r="N1206">
        <v>0</v>
      </c>
      <c r="O1206">
        <v>16</v>
      </c>
      <c r="P1206">
        <v>16</v>
      </c>
    </row>
    <row r="1207" spans="1:16" x14ac:dyDescent="0.25">
      <c r="A1207">
        <v>596</v>
      </c>
      <c r="B1207" s="19">
        <v>40571</v>
      </c>
      <c r="C1207">
        <v>1</v>
      </c>
      <c r="D1207">
        <v>1</v>
      </c>
      <c r="E1207">
        <v>15</v>
      </c>
      <c r="F1207" t="b">
        <v>0</v>
      </c>
      <c r="G1207">
        <v>5</v>
      </c>
      <c r="H1207">
        <v>2</v>
      </c>
      <c r="I1207">
        <v>0.2</v>
      </c>
      <c r="J1207">
        <v>595</v>
      </c>
      <c r="K1207">
        <v>0.21210000000000001</v>
      </c>
      <c r="L1207">
        <v>0.75</v>
      </c>
      <c r="M1207">
        <v>0.1343</v>
      </c>
      <c r="N1207">
        <v>0</v>
      </c>
      <c r="O1207">
        <v>9</v>
      </c>
      <c r="P1207">
        <v>9</v>
      </c>
    </row>
    <row r="1208" spans="1:16" x14ac:dyDescent="0.25">
      <c r="A1208">
        <v>597</v>
      </c>
      <c r="B1208" s="19">
        <v>40571</v>
      </c>
      <c r="C1208">
        <v>1</v>
      </c>
      <c r="D1208">
        <v>1</v>
      </c>
      <c r="E1208">
        <v>15</v>
      </c>
      <c r="F1208" t="b">
        <v>0</v>
      </c>
      <c r="G1208">
        <v>5</v>
      </c>
      <c r="H1208">
        <v>2</v>
      </c>
      <c r="I1208">
        <v>0.2</v>
      </c>
      <c r="J1208">
        <v>596</v>
      </c>
      <c r="K1208">
        <v>0.21210000000000001</v>
      </c>
      <c r="L1208">
        <v>0.75</v>
      </c>
      <c r="M1208">
        <v>0.1343</v>
      </c>
      <c r="N1208">
        <v>1</v>
      </c>
      <c r="O1208">
        <v>2</v>
      </c>
      <c r="P1208">
        <v>3</v>
      </c>
    </row>
    <row r="1209" spans="1:16" x14ac:dyDescent="0.25">
      <c r="A1209">
        <v>598</v>
      </c>
      <c r="B1209" s="19">
        <v>40571</v>
      </c>
      <c r="C1209">
        <v>1</v>
      </c>
      <c r="D1209">
        <v>1</v>
      </c>
      <c r="E1209">
        <v>15</v>
      </c>
      <c r="F1209" t="b">
        <v>0</v>
      </c>
      <c r="G1209">
        <v>5</v>
      </c>
      <c r="H1209">
        <v>2</v>
      </c>
      <c r="I1209">
        <v>0.2</v>
      </c>
      <c r="J1209">
        <v>597</v>
      </c>
      <c r="K1209">
        <v>0.21210000000000001</v>
      </c>
      <c r="L1209">
        <v>0.75</v>
      </c>
      <c r="M1209">
        <v>0.16420000000000001</v>
      </c>
      <c r="N1209">
        <v>0</v>
      </c>
      <c r="O1209">
        <v>2</v>
      </c>
      <c r="P1209">
        <v>2</v>
      </c>
    </row>
    <row r="1210" spans="1:16" x14ac:dyDescent="0.25">
      <c r="A1210">
        <v>599</v>
      </c>
      <c r="B1210" s="19">
        <v>40571</v>
      </c>
      <c r="C1210">
        <v>1</v>
      </c>
      <c r="D1210">
        <v>1</v>
      </c>
      <c r="E1210">
        <v>15</v>
      </c>
      <c r="F1210" t="b">
        <v>0</v>
      </c>
      <c r="G1210">
        <v>5</v>
      </c>
      <c r="H1210">
        <v>2</v>
      </c>
      <c r="I1210">
        <v>0.2</v>
      </c>
      <c r="J1210">
        <v>598</v>
      </c>
      <c r="K1210">
        <v>0.2273</v>
      </c>
      <c r="L1210">
        <v>0.75</v>
      </c>
      <c r="M1210">
        <v>0.1045</v>
      </c>
      <c r="N1210">
        <v>1</v>
      </c>
      <c r="O1210">
        <v>0</v>
      </c>
      <c r="P1210">
        <v>1</v>
      </c>
    </row>
    <row r="1211" spans="1:16" x14ac:dyDescent="0.25">
      <c r="A1211">
        <v>600</v>
      </c>
      <c r="B1211" s="19">
        <v>40571</v>
      </c>
      <c r="C1211">
        <v>1</v>
      </c>
      <c r="D1211">
        <v>1</v>
      </c>
      <c r="E1211">
        <v>15</v>
      </c>
      <c r="F1211" t="b">
        <v>0</v>
      </c>
      <c r="G1211">
        <v>5</v>
      </c>
      <c r="H1211">
        <v>2</v>
      </c>
      <c r="I1211">
        <v>0.2</v>
      </c>
      <c r="J1211">
        <v>599</v>
      </c>
      <c r="K1211">
        <v>0.21210000000000001</v>
      </c>
      <c r="L1211">
        <v>0.8</v>
      </c>
      <c r="M1211">
        <v>0.1045</v>
      </c>
      <c r="N1211">
        <v>0</v>
      </c>
      <c r="O1211">
        <v>4</v>
      </c>
      <c r="P1211">
        <v>4</v>
      </c>
    </row>
    <row r="1212" spans="1:16" x14ac:dyDescent="0.25">
      <c r="A1212">
        <v>601</v>
      </c>
      <c r="B1212" s="19">
        <v>40571</v>
      </c>
      <c r="C1212">
        <v>1</v>
      </c>
      <c r="D1212">
        <v>1</v>
      </c>
      <c r="E1212">
        <v>15</v>
      </c>
      <c r="F1212" t="b">
        <v>0</v>
      </c>
      <c r="G1212">
        <v>5</v>
      </c>
      <c r="H1212">
        <v>2</v>
      </c>
      <c r="I1212">
        <v>0.2</v>
      </c>
      <c r="J1212">
        <v>600</v>
      </c>
      <c r="K1212">
        <v>0.19700000000000001</v>
      </c>
      <c r="L1212">
        <v>0.8</v>
      </c>
      <c r="M1212">
        <v>0.1343</v>
      </c>
      <c r="N1212">
        <v>0</v>
      </c>
      <c r="O1212">
        <v>16</v>
      </c>
      <c r="P1212">
        <v>16</v>
      </c>
    </row>
    <row r="1213" spans="1:16" x14ac:dyDescent="0.25">
      <c r="A1213">
        <v>602</v>
      </c>
      <c r="B1213" s="19">
        <v>40571</v>
      </c>
      <c r="C1213">
        <v>1</v>
      </c>
      <c r="D1213">
        <v>1</v>
      </c>
      <c r="E1213">
        <v>15</v>
      </c>
      <c r="F1213" t="b">
        <v>0</v>
      </c>
      <c r="G1213">
        <v>5</v>
      </c>
      <c r="H1213">
        <v>2</v>
      </c>
      <c r="I1213">
        <v>0.2</v>
      </c>
      <c r="J1213">
        <v>601</v>
      </c>
      <c r="K1213">
        <v>0.19700000000000001</v>
      </c>
      <c r="L1213">
        <v>0.86</v>
      </c>
      <c r="M1213">
        <v>8.9599999999999999E-2</v>
      </c>
      <c r="N1213">
        <v>2</v>
      </c>
      <c r="O1213">
        <v>58</v>
      </c>
      <c r="P1213">
        <v>60</v>
      </c>
    </row>
    <row r="1214" spans="1:16" x14ac:dyDescent="0.25">
      <c r="A1214">
        <v>603</v>
      </c>
      <c r="B1214" s="19">
        <v>40571</v>
      </c>
      <c r="C1214">
        <v>1</v>
      </c>
      <c r="D1214">
        <v>1</v>
      </c>
      <c r="E1214">
        <v>15</v>
      </c>
      <c r="F1214" t="b">
        <v>0</v>
      </c>
      <c r="G1214">
        <v>5</v>
      </c>
      <c r="H1214">
        <v>2</v>
      </c>
      <c r="I1214">
        <v>0.2</v>
      </c>
      <c r="J1214">
        <v>602</v>
      </c>
      <c r="K1214">
        <v>0.19700000000000001</v>
      </c>
      <c r="L1214">
        <v>0.86</v>
      </c>
      <c r="M1214">
        <v>8.9599999999999999E-2</v>
      </c>
      <c r="N1214">
        <v>2</v>
      </c>
      <c r="O1214">
        <v>155</v>
      </c>
      <c r="P1214">
        <v>157</v>
      </c>
    </row>
    <row r="1215" spans="1:16" x14ac:dyDescent="0.25">
      <c r="A1215">
        <v>604</v>
      </c>
      <c r="B1215" s="19">
        <v>40571</v>
      </c>
      <c r="C1215">
        <v>1</v>
      </c>
      <c r="D1215">
        <v>1</v>
      </c>
      <c r="E1215">
        <v>15</v>
      </c>
      <c r="F1215" t="b">
        <v>0</v>
      </c>
      <c r="G1215">
        <v>5</v>
      </c>
      <c r="H1215">
        <v>2</v>
      </c>
      <c r="I1215">
        <v>0.2</v>
      </c>
      <c r="J1215">
        <v>603</v>
      </c>
      <c r="K1215">
        <v>0.21210000000000001</v>
      </c>
      <c r="L1215">
        <v>0.86</v>
      </c>
      <c r="M1215">
        <v>8.9599999999999999E-2</v>
      </c>
      <c r="N1215">
        <v>6</v>
      </c>
      <c r="O1215">
        <v>95</v>
      </c>
      <c r="P1215">
        <v>101</v>
      </c>
    </row>
    <row r="1216" spans="1:16" x14ac:dyDescent="0.25">
      <c r="A1216">
        <v>605</v>
      </c>
      <c r="B1216" s="19">
        <v>40571</v>
      </c>
      <c r="C1216">
        <v>1</v>
      </c>
      <c r="D1216">
        <v>1</v>
      </c>
      <c r="E1216">
        <v>15</v>
      </c>
      <c r="F1216" t="b">
        <v>0</v>
      </c>
      <c r="G1216">
        <v>5</v>
      </c>
      <c r="H1216">
        <v>2</v>
      </c>
      <c r="I1216">
        <v>0.2</v>
      </c>
      <c r="J1216">
        <v>604</v>
      </c>
      <c r="K1216">
        <v>0.21210000000000001</v>
      </c>
      <c r="L1216">
        <v>0.86</v>
      </c>
      <c r="M1216">
        <v>0.1045</v>
      </c>
      <c r="N1216">
        <v>0</v>
      </c>
      <c r="O1216">
        <v>49</v>
      </c>
      <c r="P1216">
        <v>49</v>
      </c>
    </row>
    <row r="1217" spans="1:16" x14ac:dyDescent="0.25">
      <c r="A1217">
        <v>606</v>
      </c>
      <c r="B1217" s="19">
        <v>40571</v>
      </c>
      <c r="C1217">
        <v>1</v>
      </c>
      <c r="D1217">
        <v>1</v>
      </c>
      <c r="E1217">
        <v>15</v>
      </c>
      <c r="F1217" t="b">
        <v>0</v>
      </c>
      <c r="G1217">
        <v>5</v>
      </c>
      <c r="H1217">
        <v>2</v>
      </c>
      <c r="I1217">
        <v>0.2</v>
      </c>
      <c r="J1217">
        <v>605</v>
      </c>
      <c r="K1217">
        <v>0.21210000000000001</v>
      </c>
      <c r="L1217">
        <v>0.93</v>
      </c>
      <c r="M1217">
        <v>0.1045</v>
      </c>
      <c r="N1217">
        <v>0</v>
      </c>
      <c r="O1217">
        <v>30</v>
      </c>
      <c r="P1217">
        <v>30</v>
      </c>
    </row>
    <row r="1218" spans="1:16" x14ac:dyDescent="0.25">
      <c r="A1218">
        <v>607</v>
      </c>
      <c r="B1218" s="19">
        <v>40571</v>
      </c>
      <c r="C1218">
        <v>1</v>
      </c>
      <c r="D1218">
        <v>1</v>
      </c>
      <c r="E1218">
        <v>15</v>
      </c>
      <c r="F1218" t="b">
        <v>0</v>
      </c>
      <c r="G1218">
        <v>5</v>
      </c>
      <c r="H1218">
        <v>2</v>
      </c>
      <c r="I1218">
        <v>0.2</v>
      </c>
      <c r="J1218">
        <v>606</v>
      </c>
      <c r="K1218">
        <v>0.21210000000000001</v>
      </c>
      <c r="L1218">
        <v>0.93</v>
      </c>
      <c r="M1218">
        <v>0.1045</v>
      </c>
      <c r="N1218">
        <v>1</v>
      </c>
      <c r="O1218">
        <v>28</v>
      </c>
      <c r="P1218">
        <v>29</v>
      </c>
    </row>
    <row r="1219" spans="1:16" x14ac:dyDescent="0.25">
      <c r="A1219">
        <v>608</v>
      </c>
      <c r="B1219" s="19">
        <v>40571</v>
      </c>
      <c r="C1219">
        <v>1</v>
      </c>
      <c r="D1219">
        <v>1</v>
      </c>
      <c r="E1219">
        <v>15</v>
      </c>
      <c r="F1219" t="b">
        <v>0</v>
      </c>
      <c r="G1219">
        <v>5</v>
      </c>
      <c r="H1219">
        <v>2</v>
      </c>
      <c r="I1219">
        <v>0.2</v>
      </c>
      <c r="J1219">
        <v>607</v>
      </c>
      <c r="K1219">
        <v>0.21210000000000001</v>
      </c>
      <c r="L1219">
        <v>0.93</v>
      </c>
      <c r="M1219">
        <v>0.1045</v>
      </c>
      <c r="N1219">
        <v>0</v>
      </c>
      <c r="O1219">
        <v>31</v>
      </c>
      <c r="P1219">
        <v>31</v>
      </c>
    </row>
    <row r="1220" spans="1:16" x14ac:dyDescent="0.25">
      <c r="A1220">
        <v>609</v>
      </c>
      <c r="B1220" s="19">
        <v>40571</v>
      </c>
      <c r="C1220">
        <v>1</v>
      </c>
      <c r="D1220">
        <v>1</v>
      </c>
      <c r="E1220">
        <v>15</v>
      </c>
      <c r="F1220" t="b">
        <v>0</v>
      </c>
      <c r="G1220">
        <v>5</v>
      </c>
      <c r="H1220">
        <v>2</v>
      </c>
      <c r="I1220">
        <v>0.2</v>
      </c>
      <c r="J1220">
        <v>608</v>
      </c>
      <c r="K1220">
        <v>0.2727</v>
      </c>
      <c r="L1220">
        <v>0.8</v>
      </c>
      <c r="M1220">
        <v>0</v>
      </c>
      <c r="N1220">
        <v>2</v>
      </c>
      <c r="O1220">
        <v>36</v>
      </c>
      <c r="P1220">
        <v>38</v>
      </c>
    </row>
    <row r="1221" spans="1:16" x14ac:dyDescent="0.25">
      <c r="A1221">
        <v>610</v>
      </c>
      <c r="B1221" s="19">
        <v>40571</v>
      </c>
      <c r="C1221">
        <v>1</v>
      </c>
      <c r="D1221">
        <v>1</v>
      </c>
      <c r="E1221">
        <v>15</v>
      </c>
      <c r="F1221" t="b">
        <v>0</v>
      </c>
      <c r="G1221">
        <v>5</v>
      </c>
      <c r="H1221">
        <v>2</v>
      </c>
      <c r="I1221">
        <v>0.2</v>
      </c>
      <c r="J1221">
        <v>609</v>
      </c>
      <c r="K1221">
        <v>0.2576</v>
      </c>
      <c r="L1221">
        <v>0.86</v>
      </c>
      <c r="M1221">
        <v>0</v>
      </c>
      <c r="N1221">
        <v>1</v>
      </c>
      <c r="O1221">
        <v>40</v>
      </c>
      <c r="P1221">
        <v>41</v>
      </c>
    </row>
    <row r="1222" spans="1:16" x14ac:dyDescent="0.25">
      <c r="A1222">
        <v>611</v>
      </c>
      <c r="B1222" s="19">
        <v>40571</v>
      </c>
      <c r="C1222">
        <v>1</v>
      </c>
      <c r="D1222">
        <v>1</v>
      </c>
      <c r="E1222">
        <v>15</v>
      </c>
      <c r="F1222" t="b">
        <v>0</v>
      </c>
      <c r="G1222">
        <v>5</v>
      </c>
      <c r="H1222">
        <v>2</v>
      </c>
      <c r="I1222">
        <v>0.2</v>
      </c>
      <c r="J1222">
        <v>0</v>
      </c>
      <c r="K1222">
        <v>0</v>
      </c>
      <c r="L1222">
        <v>0</v>
      </c>
      <c r="M1222">
        <v>0</v>
      </c>
      <c r="N1222">
        <v>0</v>
      </c>
      <c r="O1222">
        <v>0</v>
      </c>
      <c r="P1222">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C138C-D319-4AD1-B086-CB87C0153DEF}">
  <dimension ref="A1:N33"/>
  <sheetViews>
    <sheetView topLeftCell="A7" workbookViewId="0">
      <selection activeCell="T7" sqref="T7"/>
    </sheetView>
  </sheetViews>
  <sheetFormatPr defaultRowHeight="13.2" x14ac:dyDescent="0.25"/>
  <cols>
    <col min="1" max="1" width="11.33203125" bestFit="1" customWidth="1"/>
    <col min="2" max="2" width="12.6640625" bestFit="1" customWidth="1"/>
    <col min="3" max="3" width="10.44140625" bestFit="1" customWidth="1"/>
  </cols>
  <sheetData>
    <row r="1" spans="1:14" x14ac:dyDescent="0.25">
      <c r="A1" s="26" t="s">
        <v>47</v>
      </c>
      <c r="B1" s="26"/>
      <c r="C1" s="26"/>
      <c r="D1" s="26"/>
      <c r="E1" s="26"/>
      <c r="F1" s="26"/>
      <c r="G1" s="26"/>
      <c r="H1" s="26"/>
      <c r="I1" s="26"/>
      <c r="J1" s="26"/>
      <c r="K1" s="26"/>
      <c r="L1" s="26"/>
      <c r="M1" s="26"/>
      <c r="N1" s="26"/>
    </row>
    <row r="2" spans="1:14" x14ac:dyDescent="0.25">
      <c r="A2" s="26"/>
      <c r="B2" s="26"/>
      <c r="C2" s="26"/>
      <c r="D2" s="26"/>
      <c r="E2" s="26"/>
      <c r="F2" s="26"/>
      <c r="G2" s="26"/>
      <c r="H2" s="26"/>
      <c r="I2" s="26"/>
      <c r="J2" s="26"/>
      <c r="K2" s="26"/>
      <c r="L2" s="26"/>
      <c r="M2" s="26"/>
      <c r="N2" s="26"/>
    </row>
    <row r="3" spans="1:14" x14ac:dyDescent="0.25">
      <c r="A3" s="26"/>
      <c r="B3" s="26"/>
      <c r="C3" s="26"/>
      <c r="D3" s="26"/>
      <c r="E3" s="26"/>
      <c r="F3" s="26"/>
      <c r="G3" s="26"/>
      <c r="H3" s="26"/>
      <c r="I3" s="26"/>
      <c r="J3" s="26"/>
      <c r="K3" s="26"/>
      <c r="L3" s="26"/>
      <c r="M3" s="26"/>
      <c r="N3" s="26"/>
    </row>
    <row r="4" spans="1:14" x14ac:dyDescent="0.25">
      <c r="A4" s="26"/>
      <c r="B4" s="26"/>
      <c r="C4" s="26"/>
      <c r="D4" s="26"/>
      <c r="E4" s="26"/>
      <c r="F4" s="26"/>
      <c r="G4" s="26"/>
      <c r="H4" s="26"/>
      <c r="I4" s="26"/>
      <c r="J4" s="26"/>
      <c r="K4" s="26"/>
      <c r="L4" s="26"/>
      <c r="M4" s="26"/>
      <c r="N4" s="26"/>
    </row>
    <row r="7" spans="1:14" x14ac:dyDescent="0.25">
      <c r="A7" s="10" t="s">
        <v>5</v>
      </c>
      <c r="B7" t="s">
        <v>45</v>
      </c>
      <c r="C7" t="s">
        <v>46</v>
      </c>
    </row>
    <row r="8" spans="1:14" x14ac:dyDescent="0.25">
      <c r="A8" s="11">
        <v>0</v>
      </c>
      <c r="B8">
        <v>16</v>
      </c>
      <c r="C8">
        <v>416</v>
      </c>
    </row>
    <row r="9" spans="1:14" x14ac:dyDescent="0.25">
      <c r="A9" s="11">
        <v>1</v>
      </c>
      <c r="B9">
        <v>16</v>
      </c>
      <c r="C9">
        <v>416</v>
      </c>
    </row>
    <row r="10" spans="1:14" x14ac:dyDescent="0.25">
      <c r="A10" s="11">
        <v>2</v>
      </c>
      <c r="B10">
        <v>16</v>
      </c>
      <c r="C10">
        <v>384</v>
      </c>
    </row>
    <row r="11" spans="1:14" x14ac:dyDescent="0.25">
      <c r="A11" s="11">
        <v>3</v>
      </c>
      <c r="B11">
        <v>16</v>
      </c>
      <c r="C11">
        <v>256</v>
      </c>
    </row>
    <row r="12" spans="1:14" x14ac:dyDescent="0.25">
      <c r="A12" s="11">
        <v>4</v>
      </c>
      <c r="B12">
        <v>16</v>
      </c>
      <c r="C12">
        <v>320</v>
      </c>
    </row>
    <row r="13" spans="1:14" x14ac:dyDescent="0.25">
      <c r="A13" s="11">
        <v>5</v>
      </c>
      <c r="B13">
        <v>16</v>
      </c>
      <c r="C13">
        <v>384</v>
      </c>
    </row>
    <row r="14" spans="1:14" x14ac:dyDescent="0.25">
      <c r="A14" s="11">
        <v>6</v>
      </c>
      <c r="B14">
        <v>16</v>
      </c>
      <c r="C14">
        <v>416</v>
      </c>
    </row>
    <row r="15" spans="1:14" x14ac:dyDescent="0.25">
      <c r="A15" s="11">
        <v>7</v>
      </c>
      <c r="B15">
        <v>16</v>
      </c>
      <c r="C15">
        <v>416</v>
      </c>
    </row>
    <row r="16" spans="1:14" x14ac:dyDescent="0.25">
      <c r="A16" s="11">
        <v>8</v>
      </c>
      <c r="B16">
        <v>16</v>
      </c>
      <c r="C16">
        <v>416</v>
      </c>
    </row>
    <row r="17" spans="1:3" x14ac:dyDescent="0.25">
      <c r="A17" s="11">
        <v>9</v>
      </c>
      <c r="B17">
        <v>16</v>
      </c>
      <c r="C17">
        <v>416</v>
      </c>
    </row>
    <row r="18" spans="1:3" x14ac:dyDescent="0.25">
      <c r="A18" s="11">
        <v>10</v>
      </c>
      <c r="B18">
        <v>16</v>
      </c>
      <c r="C18">
        <v>416</v>
      </c>
    </row>
    <row r="19" spans="1:3" x14ac:dyDescent="0.25">
      <c r="A19" s="11">
        <v>11</v>
      </c>
      <c r="B19">
        <v>16</v>
      </c>
      <c r="C19">
        <v>416</v>
      </c>
    </row>
    <row r="20" spans="1:3" x14ac:dyDescent="0.25">
      <c r="A20" s="11">
        <v>12</v>
      </c>
      <c r="B20">
        <v>16</v>
      </c>
      <c r="C20">
        <v>432</v>
      </c>
    </row>
    <row r="21" spans="1:3" x14ac:dyDescent="0.25">
      <c r="A21" s="11">
        <v>13</v>
      </c>
      <c r="B21">
        <v>16</v>
      </c>
      <c r="C21">
        <v>432</v>
      </c>
    </row>
    <row r="22" spans="1:3" x14ac:dyDescent="0.25">
      <c r="A22" s="11">
        <v>14</v>
      </c>
      <c r="B22">
        <v>16</v>
      </c>
      <c r="C22">
        <v>432</v>
      </c>
    </row>
    <row r="23" spans="1:3" x14ac:dyDescent="0.25">
      <c r="A23" s="11">
        <v>15</v>
      </c>
      <c r="B23">
        <v>53.808777429467085</v>
      </c>
      <c r="C23">
        <v>34330</v>
      </c>
    </row>
    <row r="24" spans="1:3" x14ac:dyDescent="0.25">
      <c r="A24" s="11">
        <v>16</v>
      </c>
      <c r="B24">
        <v>16</v>
      </c>
      <c r="C24">
        <v>432</v>
      </c>
    </row>
    <row r="25" spans="1:3" x14ac:dyDescent="0.25">
      <c r="A25" s="11">
        <v>17</v>
      </c>
      <c r="B25">
        <v>16</v>
      </c>
      <c r="C25">
        <v>432</v>
      </c>
    </row>
    <row r="26" spans="1:3" x14ac:dyDescent="0.25">
      <c r="A26" s="11">
        <v>18</v>
      </c>
      <c r="B26">
        <v>16</v>
      </c>
      <c r="C26">
        <v>416</v>
      </c>
    </row>
    <row r="27" spans="1:3" x14ac:dyDescent="0.25">
      <c r="A27" s="11">
        <v>19</v>
      </c>
      <c r="B27">
        <v>16</v>
      </c>
      <c r="C27">
        <v>416</v>
      </c>
    </row>
    <row r="28" spans="1:3" x14ac:dyDescent="0.25">
      <c r="A28" s="11">
        <v>20</v>
      </c>
      <c r="B28">
        <v>16</v>
      </c>
      <c r="C28">
        <v>416</v>
      </c>
    </row>
    <row r="29" spans="1:3" x14ac:dyDescent="0.25">
      <c r="A29" s="11">
        <v>21</v>
      </c>
      <c r="B29">
        <v>16</v>
      </c>
      <c r="C29">
        <v>416</v>
      </c>
    </row>
    <row r="30" spans="1:3" x14ac:dyDescent="0.25">
      <c r="A30" s="11">
        <v>22</v>
      </c>
      <c r="B30">
        <v>16</v>
      </c>
      <c r="C30">
        <v>416</v>
      </c>
    </row>
    <row r="31" spans="1:3" x14ac:dyDescent="0.25">
      <c r="A31" s="11">
        <v>23</v>
      </c>
      <c r="B31">
        <v>16</v>
      </c>
      <c r="C31">
        <v>416</v>
      </c>
    </row>
    <row r="32" spans="1:3" x14ac:dyDescent="0.25">
      <c r="A32" s="11" t="s">
        <v>30</v>
      </c>
    </row>
    <row r="33" spans="1:3" x14ac:dyDescent="0.25">
      <c r="A33" s="11" t="s">
        <v>18</v>
      </c>
      <c r="B33">
        <v>35.755937755937758</v>
      </c>
      <c r="C33">
        <v>43658</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06B5-543D-4EDA-9A8C-0D68842DFD43}">
  <dimension ref="A1:M9"/>
  <sheetViews>
    <sheetView workbookViewId="0">
      <selection activeCell="E8" sqref="E8"/>
    </sheetView>
  </sheetViews>
  <sheetFormatPr defaultRowHeight="13.2" x14ac:dyDescent="0.25"/>
  <cols>
    <col min="1" max="1" width="11.33203125" bestFit="1" customWidth="1"/>
    <col min="2" max="2" width="14.88671875" bestFit="1" customWidth="1"/>
    <col min="3" max="3" width="9.77734375" bestFit="1" customWidth="1"/>
  </cols>
  <sheetData>
    <row r="1" spans="1:13" x14ac:dyDescent="0.25">
      <c r="A1" s="27" t="s">
        <v>50</v>
      </c>
      <c r="B1" s="27"/>
      <c r="C1" s="27"/>
      <c r="D1" s="27"/>
      <c r="E1" s="27"/>
      <c r="F1" s="27"/>
      <c r="G1" s="27"/>
      <c r="H1" s="27"/>
      <c r="I1" s="27"/>
      <c r="J1" s="27"/>
      <c r="K1" s="27"/>
      <c r="L1" s="27"/>
      <c r="M1" s="27"/>
    </row>
    <row r="2" spans="1:13" x14ac:dyDescent="0.25">
      <c r="A2" s="27"/>
      <c r="B2" s="27"/>
      <c r="C2" s="27"/>
      <c r="D2" s="27"/>
      <c r="E2" s="27"/>
      <c r="F2" s="27"/>
      <c r="G2" s="27"/>
      <c r="H2" s="27"/>
      <c r="I2" s="27"/>
      <c r="J2" s="27"/>
      <c r="K2" s="27"/>
      <c r="L2" s="27"/>
      <c r="M2" s="27"/>
    </row>
    <row r="3" spans="1:13" x14ac:dyDescent="0.25">
      <c r="A3" s="27"/>
      <c r="B3" s="27"/>
      <c r="C3" s="27"/>
      <c r="D3" s="27"/>
      <c r="E3" s="27"/>
      <c r="F3" s="27"/>
      <c r="G3" s="27"/>
      <c r="H3" s="27"/>
      <c r="I3" s="27"/>
      <c r="J3" s="27"/>
      <c r="K3" s="27"/>
      <c r="L3" s="27"/>
      <c r="M3" s="27"/>
    </row>
    <row r="4" spans="1:13" x14ac:dyDescent="0.25">
      <c r="A4" s="27"/>
      <c r="B4" s="27"/>
      <c r="C4" s="27"/>
      <c r="D4" s="27"/>
      <c r="E4" s="27"/>
      <c r="F4" s="27"/>
      <c r="G4" s="27"/>
      <c r="H4" s="27"/>
      <c r="I4" s="27"/>
      <c r="J4" s="27"/>
      <c r="K4" s="27"/>
      <c r="L4" s="27"/>
      <c r="M4" s="27"/>
    </row>
    <row r="7" spans="1:13" x14ac:dyDescent="0.25">
      <c r="A7" s="10" t="s">
        <v>48</v>
      </c>
      <c r="B7" t="s">
        <v>42</v>
      </c>
      <c r="C7" t="s">
        <v>49</v>
      </c>
    </row>
    <row r="8" spans="1:13" x14ac:dyDescent="0.25">
      <c r="A8" s="22">
        <v>1</v>
      </c>
      <c r="B8" s="25">
        <v>35.755937755937758</v>
      </c>
      <c r="C8" s="25">
        <v>43658</v>
      </c>
    </row>
    <row r="9" spans="1:13" x14ac:dyDescent="0.25">
      <c r="A9" s="22" t="s">
        <v>18</v>
      </c>
      <c r="B9" s="25">
        <v>35.755937755937758</v>
      </c>
      <c r="C9" s="25">
        <v>43658</v>
      </c>
    </row>
  </sheetData>
  <mergeCells count="1">
    <mergeCell ref="A1:M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7DCE5-CC70-4B45-AABA-4942A876C066}">
  <dimension ref="A1:O31"/>
  <sheetViews>
    <sheetView topLeftCell="A3" workbookViewId="0">
      <selection activeCell="J30" sqref="J30"/>
    </sheetView>
  </sheetViews>
  <sheetFormatPr defaultRowHeight="13.2" x14ac:dyDescent="0.25"/>
  <cols>
    <col min="1" max="1" width="11.33203125" bestFit="1" customWidth="1"/>
    <col min="2" max="2" width="13.77734375" bestFit="1" customWidth="1"/>
    <col min="3" max="3" width="10.44140625" bestFit="1" customWidth="1"/>
    <col min="4" max="4" width="12" bestFit="1" customWidth="1"/>
  </cols>
  <sheetData>
    <row r="1" spans="1:15" x14ac:dyDescent="0.25">
      <c r="A1" s="27" t="s">
        <v>19</v>
      </c>
      <c r="B1" s="27"/>
      <c r="C1" s="27"/>
      <c r="D1" s="27"/>
      <c r="E1" s="27"/>
      <c r="F1" s="27"/>
      <c r="G1" s="27"/>
      <c r="H1" s="27"/>
      <c r="I1" s="27"/>
      <c r="J1" s="27"/>
      <c r="K1" s="27"/>
      <c r="L1" s="27"/>
      <c r="M1" s="27"/>
      <c r="N1" s="27"/>
      <c r="O1" s="27"/>
    </row>
    <row r="2" spans="1:15" x14ac:dyDescent="0.25">
      <c r="A2" s="27"/>
      <c r="B2" s="27"/>
      <c r="C2" s="27"/>
      <c r="D2" s="27"/>
      <c r="E2" s="27"/>
      <c r="F2" s="27"/>
      <c r="G2" s="27"/>
      <c r="H2" s="27"/>
      <c r="I2" s="27"/>
      <c r="J2" s="27"/>
      <c r="K2" s="27"/>
      <c r="L2" s="27"/>
      <c r="M2" s="27"/>
      <c r="N2" s="27"/>
      <c r="O2" s="27"/>
    </row>
    <row r="3" spans="1:15" x14ac:dyDescent="0.25">
      <c r="A3" s="27"/>
      <c r="B3" s="27"/>
      <c r="C3" s="27"/>
      <c r="D3" s="27"/>
      <c r="E3" s="27"/>
      <c r="F3" s="27"/>
      <c r="G3" s="27"/>
      <c r="H3" s="27"/>
      <c r="I3" s="27"/>
      <c r="J3" s="27"/>
      <c r="K3" s="27"/>
      <c r="L3" s="27"/>
      <c r="M3" s="27"/>
      <c r="N3" s="27"/>
      <c r="O3" s="27"/>
    </row>
    <row r="4" spans="1:15" x14ac:dyDescent="0.25">
      <c r="A4" s="27"/>
      <c r="B4" s="27"/>
      <c r="C4" s="27"/>
      <c r="D4" s="27"/>
      <c r="E4" s="27"/>
      <c r="F4" s="27"/>
      <c r="G4" s="27"/>
      <c r="H4" s="27"/>
      <c r="I4" s="27"/>
      <c r="J4" s="27"/>
      <c r="K4" s="27"/>
      <c r="L4" s="27"/>
      <c r="M4" s="27"/>
      <c r="N4" s="27"/>
      <c r="O4" s="27"/>
    </row>
    <row r="5" spans="1:15" x14ac:dyDescent="0.25">
      <c r="A5" s="27"/>
      <c r="B5" s="27"/>
      <c r="C5" s="27"/>
      <c r="D5" s="27"/>
      <c r="E5" s="27"/>
      <c r="F5" s="27"/>
      <c r="G5" s="27"/>
      <c r="H5" s="27"/>
      <c r="I5" s="27"/>
      <c r="J5" s="27"/>
      <c r="K5" s="27"/>
      <c r="L5" s="27"/>
      <c r="M5" s="27"/>
      <c r="N5" s="27"/>
      <c r="O5" s="27"/>
    </row>
    <row r="7" spans="1:15" x14ac:dyDescent="0.25">
      <c r="A7" s="10" t="s">
        <v>51</v>
      </c>
      <c r="B7" t="s">
        <v>25</v>
      </c>
      <c r="C7" t="s">
        <v>17</v>
      </c>
    </row>
    <row r="8" spans="1:15" x14ac:dyDescent="0.25">
      <c r="A8" s="11">
        <v>0.02</v>
      </c>
      <c r="B8">
        <v>16</v>
      </c>
      <c r="C8">
        <v>96</v>
      </c>
    </row>
    <row r="9" spans="1:15" x14ac:dyDescent="0.25">
      <c r="A9" s="11">
        <v>0.04</v>
      </c>
      <c r="B9">
        <v>16</v>
      </c>
      <c r="C9">
        <v>112</v>
      </c>
    </row>
    <row r="10" spans="1:15" x14ac:dyDescent="0.25">
      <c r="A10" s="11">
        <v>0.06</v>
      </c>
      <c r="B10">
        <v>16</v>
      </c>
      <c r="C10">
        <v>64</v>
      </c>
    </row>
    <row r="11" spans="1:15" x14ac:dyDescent="0.25">
      <c r="A11" s="11">
        <v>0.08</v>
      </c>
      <c r="B11">
        <v>16</v>
      </c>
      <c r="C11">
        <v>80</v>
      </c>
    </row>
    <row r="12" spans="1:15" x14ac:dyDescent="0.25">
      <c r="A12" s="11">
        <v>0.1</v>
      </c>
      <c r="B12">
        <v>16</v>
      </c>
      <c r="C12">
        <v>208</v>
      </c>
    </row>
    <row r="13" spans="1:15" x14ac:dyDescent="0.25">
      <c r="A13" s="11">
        <v>0.12</v>
      </c>
      <c r="B13">
        <v>16</v>
      </c>
      <c r="C13">
        <v>304</v>
      </c>
    </row>
    <row r="14" spans="1:15" x14ac:dyDescent="0.25">
      <c r="A14" s="11">
        <v>0.14000000000000001</v>
      </c>
      <c r="B14">
        <v>16</v>
      </c>
      <c r="C14">
        <v>784</v>
      </c>
    </row>
    <row r="15" spans="1:15" x14ac:dyDescent="0.25">
      <c r="A15" s="11">
        <v>0.16</v>
      </c>
      <c r="B15">
        <v>16</v>
      </c>
      <c r="C15">
        <v>1024</v>
      </c>
    </row>
    <row r="16" spans="1:15" x14ac:dyDescent="0.25">
      <c r="A16" s="11">
        <v>0.18</v>
      </c>
      <c r="B16">
        <v>16</v>
      </c>
      <c r="C16">
        <v>480</v>
      </c>
    </row>
    <row r="17" spans="1:3" x14ac:dyDescent="0.25">
      <c r="A17" s="11">
        <v>0.2</v>
      </c>
      <c r="B17">
        <v>16</v>
      </c>
      <c r="C17">
        <v>848</v>
      </c>
    </row>
    <row r="18" spans="1:3" x14ac:dyDescent="0.25">
      <c r="A18" s="11">
        <v>0.22</v>
      </c>
      <c r="B18">
        <v>16</v>
      </c>
      <c r="C18">
        <v>1024</v>
      </c>
    </row>
    <row r="19" spans="1:3" x14ac:dyDescent="0.25">
      <c r="A19" s="11">
        <v>0.24</v>
      </c>
      <c r="B19">
        <v>16</v>
      </c>
      <c r="C19">
        <v>464</v>
      </c>
    </row>
    <row r="20" spans="1:3" x14ac:dyDescent="0.25">
      <c r="A20" s="11">
        <v>0.26</v>
      </c>
      <c r="B20">
        <v>16</v>
      </c>
      <c r="C20">
        <v>512</v>
      </c>
    </row>
    <row r="21" spans="1:3" x14ac:dyDescent="0.25">
      <c r="A21" s="11">
        <v>0.28000000000000003</v>
      </c>
      <c r="B21">
        <v>16</v>
      </c>
      <c r="C21">
        <v>144</v>
      </c>
    </row>
    <row r="22" spans="1:3" x14ac:dyDescent="0.25">
      <c r="A22" s="11">
        <v>0.3</v>
      </c>
      <c r="B22">
        <v>16</v>
      </c>
      <c r="C22">
        <v>240</v>
      </c>
    </row>
    <row r="23" spans="1:3" x14ac:dyDescent="0.25">
      <c r="A23" s="11">
        <v>0.32</v>
      </c>
      <c r="B23">
        <v>16</v>
      </c>
      <c r="C23">
        <v>112</v>
      </c>
    </row>
    <row r="24" spans="1:3" x14ac:dyDescent="0.25">
      <c r="A24" s="11">
        <v>0.34</v>
      </c>
      <c r="B24">
        <v>16</v>
      </c>
      <c r="C24">
        <v>64</v>
      </c>
    </row>
    <row r="25" spans="1:3" x14ac:dyDescent="0.25">
      <c r="A25" s="11">
        <v>0.36</v>
      </c>
      <c r="B25">
        <v>16</v>
      </c>
      <c r="C25">
        <v>112</v>
      </c>
    </row>
    <row r="26" spans="1:3" x14ac:dyDescent="0.25">
      <c r="A26" s="11">
        <v>0.38</v>
      </c>
      <c r="B26">
        <v>16</v>
      </c>
      <c r="C26">
        <v>32</v>
      </c>
    </row>
    <row r="27" spans="1:3" x14ac:dyDescent="0.25">
      <c r="A27" s="11">
        <v>0.4</v>
      </c>
      <c r="B27">
        <v>16</v>
      </c>
      <c r="C27">
        <v>80</v>
      </c>
    </row>
    <row r="28" spans="1:3" x14ac:dyDescent="0.25">
      <c r="A28" s="11">
        <v>0.42</v>
      </c>
      <c r="B28">
        <v>16</v>
      </c>
      <c r="C28">
        <v>32</v>
      </c>
    </row>
    <row r="29" spans="1:3" x14ac:dyDescent="0.25">
      <c r="A29" s="11">
        <v>0.44</v>
      </c>
      <c r="B29">
        <v>16</v>
      </c>
      <c r="C29">
        <v>16</v>
      </c>
    </row>
    <row r="30" spans="1:3" x14ac:dyDescent="0.25">
      <c r="A30" s="11">
        <v>0.46</v>
      </c>
      <c r="B30">
        <v>16</v>
      </c>
      <c r="C30">
        <v>48</v>
      </c>
    </row>
    <row r="31" spans="1:3" x14ac:dyDescent="0.25">
      <c r="A31" s="11" t="s">
        <v>18</v>
      </c>
      <c r="B31">
        <v>16</v>
      </c>
      <c r="C31">
        <v>6880</v>
      </c>
    </row>
  </sheetData>
  <mergeCells count="1">
    <mergeCell ref="A1:O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71040-1E51-4819-B128-F9294794161F}">
  <dimension ref="A1:N32"/>
  <sheetViews>
    <sheetView topLeftCell="A4" workbookViewId="0">
      <selection activeCell="E12" sqref="E12"/>
    </sheetView>
  </sheetViews>
  <sheetFormatPr defaultRowHeight="13.2" x14ac:dyDescent="0.25"/>
  <cols>
    <col min="1" max="1" width="11.33203125" bestFit="1" customWidth="1"/>
    <col min="2" max="2" width="16.5546875" bestFit="1" customWidth="1"/>
    <col min="3" max="3" width="20" bestFit="1" customWidth="1"/>
    <col min="4" max="4" width="10.44140625" bestFit="1" customWidth="1"/>
  </cols>
  <sheetData>
    <row r="1" spans="1:14" x14ac:dyDescent="0.25">
      <c r="A1" s="27" t="s">
        <v>20</v>
      </c>
      <c r="B1" s="27"/>
      <c r="C1" s="27"/>
      <c r="D1" s="27"/>
      <c r="E1" s="27"/>
      <c r="F1" s="27"/>
      <c r="G1" s="27"/>
      <c r="H1" s="27"/>
      <c r="I1" s="27"/>
      <c r="J1" s="27"/>
      <c r="K1" s="27"/>
      <c r="L1" s="27"/>
      <c r="M1" s="27"/>
      <c r="N1" s="27"/>
    </row>
    <row r="2" spans="1:14" x14ac:dyDescent="0.25">
      <c r="A2" s="27"/>
      <c r="B2" s="27"/>
      <c r="C2" s="27"/>
      <c r="D2" s="27"/>
      <c r="E2" s="27"/>
      <c r="F2" s="27"/>
      <c r="G2" s="27"/>
      <c r="H2" s="27"/>
      <c r="I2" s="27"/>
      <c r="J2" s="27"/>
      <c r="K2" s="27"/>
      <c r="L2" s="27"/>
      <c r="M2" s="27"/>
      <c r="N2" s="27"/>
    </row>
    <row r="3" spans="1:14" x14ac:dyDescent="0.25">
      <c r="A3" s="27"/>
      <c r="B3" s="27"/>
      <c r="C3" s="27"/>
      <c r="D3" s="27"/>
      <c r="E3" s="27"/>
      <c r="F3" s="27"/>
      <c r="G3" s="27"/>
      <c r="H3" s="27"/>
      <c r="I3" s="27"/>
      <c r="J3" s="27"/>
      <c r="K3" s="27"/>
      <c r="L3" s="27"/>
      <c r="M3" s="27"/>
      <c r="N3" s="27"/>
    </row>
    <row r="4" spans="1:14" x14ac:dyDescent="0.25">
      <c r="A4" s="27"/>
      <c r="B4" s="27"/>
      <c r="C4" s="27"/>
      <c r="D4" s="27"/>
      <c r="E4" s="27"/>
      <c r="F4" s="27"/>
      <c r="G4" s="27"/>
      <c r="H4" s="27"/>
      <c r="I4" s="27"/>
      <c r="J4" s="27"/>
      <c r="K4" s="27"/>
      <c r="L4" s="27"/>
      <c r="M4" s="27"/>
      <c r="N4" s="27"/>
    </row>
    <row r="5" spans="1:14" x14ac:dyDescent="0.25">
      <c r="A5" s="8"/>
    </row>
    <row r="7" spans="1:14" x14ac:dyDescent="0.25">
      <c r="A7" s="10" t="s">
        <v>48</v>
      </c>
      <c r="B7" t="s">
        <v>26</v>
      </c>
      <c r="C7" t="s">
        <v>27</v>
      </c>
      <c r="D7" t="s">
        <v>17</v>
      </c>
    </row>
    <row r="8" spans="1:14" x14ac:dyDescent="0.25">
      <c r="A8" s="34">
        <v>0</v>
      </c>
      <c r="B8" s="35">
        <v>3</v>
      </c>
      <c r="C8" s="35">
        <v>13</v>
      </c>
      <c r="D8" s="35">
        <v>416</v>
      </c>
    </row>
    <row r="9" spans="1:14" x14ac:dyDescent="0.25">
      <c r="A9" s="34">
        <v>1</v>
      </c>
      <c r="B9" s="35">
        <v>3</v>
      </c>
      <c r="C9" s="35">
        <v>13</v>
      </c>
      <c r="D9" s="35">
        <v>416</v>
      </c>
    </row>
    <row r="10" spans="1:14" x14ac:dyDescent="0.25">
      <c r="A10" s="34">
        <v>2</v>
      </c>
      <c r="B10" s="35">
        <v>3</v>
      </c>
      <c r="C10" s="35">
        <v>13</v>
      </c>
      <c r="D10" s="35">
        <v>384</v>
      </c>
    </row>
    <row r="11" spans="1:14" x14ac:dyDescent="0.25">
      <c r="A11" s="34">
        <v>3</v>
      </c>
      <c r="B11" s="35">
        <v>3</v>
      </c>
      <c r="C11" s="35">
        <v>13</v>
      </c>
      <c r="D11" s="35">
        <v>256</v>
      </c>
    </row>
    <row r="12" spans="1:14" x14ac:dyDescent="0.25">
      <c r="A12" s="34">
        <v>4</v>
      </c>
      <c r="B12" s="35">
        <v>3</v>
      </c>
      <c r="C12" s="35">
        <v>13</v>
      </c>
      <c r="D12" s="35">
        <v>320</v>
      </c>
    </row>
    <row r="13" spans="1:14" x14ac:dyDescent="0.25">
      <c r="A13" s="34">
        <v>5</v>
      </c>
      <c r="B13" s="35">
        <v>3</v>
      </c>
      <c r="C13" s="35">
        <v>13</v>
      </c>
      <c r="D13" s="35">
        <v>384</v>
      </c>
    </row>
    <row r="14" spans="1:14" x14ac:dyDescent="0.25">
      <c r="A14" s="34">
        <v>6</v>
      </c>
      <c r="B14" s="35">
        <v>3</v>
      </c>
      <c r="C14" s="35">
        <v>13</v>
      </c>
      <c r="D14" s="35">
        <v>416</v>
      </c>
    </row>
    <row r="15" spans="1:14" x14ac:dyDescent="0.25">
      <c r="A15" s="34">
        <v>7</v>
      </c>
      <c r="B15" s="35">
        <v>3</v>
      </c>
      <c r="C15" s="35">
        <v>13</v>
      </c>
      <c r="D15" s="35">
        <v>416</v>
      </c>
    </row>
    <row r="16" spans="1:14" x14ac:dyDescent="0.25">
      <c r="A16" s="34">
        <v>8</v>
      </c>
      <c r="B16" s="35">
        <v>3</v>
      </c>
      <c r="C16" s="35">
        <v>13</v>
      </c>
      <c r="D16" s="35">
        <v>416</v>
      </c>
    </row>
    <row r="17" spans="1:4" x14ac:dyDescent="0.25">
      <c r="A17" s="34">
        <v>9</v>
      </c>
      <c r="B17" s="35">
        <v>3</v>
      </c>
      <c r="C17" s="35">
        <v>13</v>
      </c>
      <c r="D17" s="35">
        <v>416</v>
      </c>
    </row>
    <row r="18" spans="1:4" x14ac:dyDescent="0.25">
      <c r="A18" s="34">
        <v>10</v>
      </c>
      <c r="B18" s="35">
        <v>3</v>
      </c>
      <c r="C18" s="35">
        <v>13</v>
      </c>
      <c r="D18" s="35">
        <v>416</v>
      </c>
    </row>
    <row r="19" spans="1:4" x14ac:dyDescent="0.25">
      <c r="A19" s="34">
        <v>11</v>
      </c>
      <c r="B19" s="35">
        <v>3</v>
      </c>
      <c r="C19" s="35">
        <v>13</v>
      </c>
      <c r="D19" s="35">
        <v>416</v>
      </c>
    </row>
    <row r="20" spans="1:4" x14ac:dyDescent="0.25">
      <c r="A20" s="34">
        <v>12</v>
      </c>
      <c r="B20" s="35">
        <v>3</v>
      </c>
      <c r="C20" s="35">
        <v>13</v>
      </c>
      <c r="D20" s="35">
        <v>432</v>
      </c>
    </row>
    <row r="21" spans="1:4" x14ac:dyDescent="0.25">
      <c r="A21" s="34">
        <v>13</v>
      </c>
      <c r="B21" s="35">
        <v>3</v>
      </c>
      <c r="C21" s="35">
        <v>13</v>
      </c>
      <c r="D21" s="35">
        <v>432</v>
      </c>
    </row>
    <row r="22" spans="1:4" x14ac:dyDescent="0.25">
      <c r="A22" s="34">
        <v>14</v>
      </c>
      <c r="B22" s="35">
        <v>3</v>
      </c>
      <c r="C22" s="35">
        <v>13</v>
      </c>
      <c r="D22" s="35">
        <v>432</v>
      </c>
    </row>
    <row r="23" spans="1:4" x14ac:dyDescent="0.25">
      <c r="A23" s="34">
        <v>15</v>
      </c>
      <c r="B23" s="35">
        <v>4.431034482758621</v>
      </c>
      <c r="C23" s="35">
        <v>49.377742946708466</v>
      </c>
      <c r="D23" s="35">
        <v>34330</v>
      </c>
    </row>
    <row r="24" spans="1:4" x14ac:dyDescent="0.25">
      <c r="A24" s="34">
        <v>16</v>
      </c>
      <c r="B24" s="35">
        <v>3</v>
      </c>
      <c r="C24" s="35">
        <v>13</v>
      </c>
      <c r="D24" s="35">
        <v>432</v>
      </c>
    </row>
    <row r="25" spans="1:4" x14ac:dyDescent="0.25">
      <c r="A25" s="34">
        <v>17</v>
      </c>
      <c r="B25" s="35">
        <v>3</v>
      </c>
      <c r="C25" s="35">
        <v>13</v>
      </c>
      <c r="D25" s="35">
        <v>432</v>
      </c>
    </row>
    <row r="26" spans="1:4" x14ac:dyDescent="0.25">
      <c r="A26" s="34">
        <v>18</v>
      </c>
      <c r="B26" s="35">
        <v>3</v>
      </c>
      <c r="C26" s="35">
        <v>13</v>
      </c>
      <c r="D26" s="35">
        <v>416</v>
      </c>
    </row>
    <row r="27" spans="1:4" x14ac:dyDescent="0.25">
      <c r="A27" s="34">
        <v>19</v>
      </c>
      <c r="B27" s="35">
        <v>3</v>
      </c>
      <c r="C27" s="35">
        <v>13</v>
      </c>
      <c r="D27" s="35">
        <v>416</v>
      </c>
    </row>
    <row r="28" spans="1:4" x14ac:dyDescent="0.25">
      <c r="A28" s="34">
        <v>20</v>
      </c>
      <c r="B28" s="35">
        <v>3</v>
      </c>
      <c r="C28" s="35">
        <v>13</v>
      </c>
      <c r="D28" s="35">
        <v>416</v>
      </c>
    </row>
    <row r="29" spans="1:4" x14ac:dyDescent="0.25">
      <c r="A29" s="34">
        <v>21</v>
      </c>
      <c r="B29" s="35">
        <v>3</v>
      </c>
      <c r="C29" s="35">
        <v>13</v>
      </c>
      <c r="D29" s="35">
        <v>416</v>
      </c>
    </row>
    <row r="30" spans="1:4" x14ac:dyDescent="0.25">
      <c r="A30" s="34">
        <v>22</v>
      </c>
      <c r="B30" s="35">
        <v>3</v>
      </c>
      <c r="C30" s="35">
        <v>13</v>
      </c>
      <c r="D30" s="35">
        <v>416</v>
      </c>
    </row>
    <row r="31" spans="1:4" x14ac:dyDescent="0.25">
      <c r="A31" s="34">
        <v>23</v>
      </c>
      <c r="B31" s="35">
        <v>3</v>
      </c>
      <c r="C31" s="35">
        <v>13</v>
      </c>
      <c r="D31" s="35">
        <v>416</v>
      </c>
    </row>
    <row r="32" spans="1:4" x14ac:dyDescent="0.25">
      <c r="A32" s="11" t="s">
        <v>18</v>
      </c>
      <c r="B32">
        <v>3.7477477477477477</v>
      </c>
      <c r="C32">
        <v>32.008190008190006</v>
      </c>
      <c r="D32">
        <v>43658</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F186-2B9E-432C-BEEF-22AF9AD22656}">
  <dimension ref="A1:O31"/>
  <sheetViews>
    <sheetView workbookViewId="0">
      <selection activeCell="A7" sqref="A7:C31"/>
    </sheetView>
  </sheetViews>
  <sheetFormatPr defaultRowHeight="13.2" x14ac:dyDescent="0.25"/>
  <cols>
    <col min="1" max="1" width="11.33203125" bestFit="1" customWidth="1"/>
    <col min="2" max="2" width="12" bestFit="1" customWidth="1"/>
    <col min="3" max="3" width="11.33203125" bestFit="1" customWidth="1"/>
  </cols>
  <sheetData>
    <row r="1" spans="1:15" x14ac:dyDescent="0.25">
      <c r="A1" s="27" t="s">
        <v>21</v>
      </c>
      <c r="B1" s="27"/>
      <c r="C1" s="27"/>
      <c r="D1" s="27"/>
      <c r="E1" s="27"/>
      <c r="F1" s="27"/>
      <c r="G1" s="27"/>
      <c r="H1" s="27"/>
      <c r="I1" s="27"/>
      <c r="J1" s="27"/>
      <c r="K1" s="27"/>
      <c r="L1" s="27"/>
      <c r="M1" s="27"/>
      <c r="N1" s="27"/>
      <c r="O1" s="27"/>
    </row>
    <row r="2" spans="1:15" x14ac:dyDescent="0.25">
      <c r="A2" s="27"/>
      <c r="B2" s="27"/>
      <c r="C2" s="27"/>
      <c r="D2" s="27"/>
      <c r="E2" s="27"/>
      <c r="F2" s="27"/>
      <c r="G2" s="27"/>
      <c r="H2" s="27"/>
      <c r="I2" s="27"/>
      <c r="J2" s="27"/>
      <c r="K2" s="27"/>
      <c r="L2" s="27"/>
      <c r="M2" s="27"/>
      <c r="N2" s="27"/>
      <c r="O2" s="27"/>
    </row>
    <row r="3" spans="1:15" x14ac:dyDescent="0.25">
      <c r="A3" s="27"/>
      <c r="B3" s="27"/>
      <c r="C3" s="27"/>
      <c r="D3" s="27"/>
      <c r="E3" s="27"/>
      <c r="F3" s="27"/>
      <c r="G3" s="27"/>
      <c r="H3" s="27"/>
      <c r="I3" s="27"/>
      <c r="J3" s="27"/>
      <c r="K3" s="27"/>
      <c r="L3" s="27"/>
      <c r="M3" s="27"/>
      <c r="N3" s="27"/>
      <c r="O3" s="27"/>
    </row>
    <row r="4" spans="1:15" x14ac:dyDescent="0.25">
      <c r="A4" s="27"/>
      <c r="B4" s="27"/>
      <c r="C4" s="27"/>
      <c r="D4" s="27"/>
      <c r="E4" s="27"/>
      <c r="F4" s="27"/>
      <c r="G4" s="27"/>
      <c r="H4" s="27"/>
      <c r="I4" s="27"/>
      <c r="J4" s="27"/>
      <c r="K4" s="27"/>
      <c r="L4" s="27"/>
      <c r="M4" s="27"/>
      <c r="N4" s="27"/>
      <c r="O4" s="27"/>
    </row>
    <row r="5" spans="1:15" x14ac:dyDescent="0.25">
      <c r="A5" s="8"/>
    </row>
    <row r="7" spans="1:15" x14ac:dyDescent="0.25">
      <c r="A7" s="10" t="s">
        <v>52</v>
      </c>
      <c r="B7" t="s">
        <v>53</v>
      </c>
      <c r="C7" t="s">
        <v>54</v>
      </c>
    </row>
    <row r="8" spans="1:15" x14ac:dyDescent="0.25">
      <c r="A8" s="11">
        <v>0.02</v>
      </c>
      <c r="B8">
        <v>16</v>
      </c>
      <c r="C8">
        <v>160</v>
      </c>
    </row>
    <row r="9" spans="1:15" x14ac:dyDescent="0.25">
      <c r="A9" s="11">
        <v>0.04</v>
      </c>
      <c r="B9">
        <v>16</v>
      </c>
      <c r="C9">
        <v>224</v>
      </c>
    </row>
    <row r="10" spans="1:15" x14ac:dyDescent="0.25">
      <c r="A10" s="11">
        <v>0.06</v>
      </c>
      <c r="B10">
        <v>16</v>
      </c>
      <c r="C10">
        <v>176</v>
      </c>
    </row>
    <row r="11" spans="1:15" x14ac:dyDescent="0.25">
      <c r="A11" s="11">
        <v>0.08</v>
      </c>
      <c r="B11">
        <v>16</v>
      </c>
      <c r="C11">
        <v>144</v>
      </c>
    </row>
    <row r="12" spans="1:15" x14ac:dyDescent="0.25">
      <c r="A12" s="11">
        <v>0.1</v>
      </c>
      <c r="B12">
        <v>16</v>
      </c>
      <c r="C12">
        <v>352</v>
      </c>
    </row>
    <row r="13" spans="1:15" x14ac:dyDescent="0.25">
      <c r="A13" s="11">
        <v>0.12</v>
      </c>
      <c r="B13">
        <v>16</v>
      </c>
      <c r="C13">
        <v>464</v>
      </c>
    </row>
    <row r="14" spans="1:15" x14ac:dyDescent="0.25">
      <c r="A14" s="11">
        <v>0.14000000000000001</v>
      </c>
      <c r="B14">
        <v>16</v>
      </c>
      <c r="C14">
        <v>896</v>
      </c>
    </row>
    <row r="15" spans="1:15" x14ac:dyDescent="0.25">
      <c r="A15" s="11">
        <v>0.16</v>
      </c>
      <c r="B15">
        <v>16</v>
      </c>
      <c r="C15">
        <v>1344</v>
      </c>
    </row>
    <row r="16" spans="1:15" x14ac:dyDescent="0.25">
      <c r="A16" s="11">
        <v>0.18</v>
      </c>
      <c r="B16">
        <v>16</v>
      </c>
      <c r="C16">
        <v>864</v>
      </c>
    </row>
    <row r="17" spans="1:3" x14ac:dyDescent="0.25">
      <c r="A17" s="23">
        <v>0.2</v>
      </c>
      <c r="B17" s="24">
        <v>50.46</v>
      </c>
      <c r="C17" s="24">
        <v>35322</v>
      </c>
    </row>
    <row r="18" spans="1:3" x14ac:dyDescent="0.25">
      <c r="A18" s="11">
        <v>0.22</v>
      </c>
      <c r="B18">
        <v>16</v>
      </c>
      <c r="C18">
        <v>1264</v>
      </c>
    </row>
    <row r="19" spans="1:3" x14ac:dyDescent="0.25">
      <c r="A19" s="11">
        <v>0.24</v>
      </c>
      <c r="B19">
        <v>16</v>
      </c>
      <c r="C19">
        <v>640</v>
      </c>
    </row>
    <row r="20" spans="1:3" x14ac:dyDescent="0.25">
      <c r="A20" s="11">
        <v>0.26</v>
      </c>
      <c r="B20">
        <v>16</v>
      </c>
      <c r="C20">
        <v>512</v>
      </c>
    </row>
    <row r="21" spans="1:3" x14ac:dyDescent="0.25">
      <c r="A21" s="11">
        <v>0.28000000000000003</v>
      </c>
      <c r="B21">
        <v>16</v>
      </c>
      <c r="C21">
        <v>160</v>
      </c>
    </row>
    <row r="22" spans="1:3" x14ac:dyDescent="0.25">
      <c r="A22" s="11">
        <v>0.3</v>
      </c>
      <c r="B22">
        <v>16</v>
      </c>
      <c r="C22">
        <v>304</v>
      </c>
    </row>
    <row r="23" spans="1:3" x14ac:dyDescent="0.25">
      <c r="A23" s="11">
        <v>0.32</v>
      </c>
      <c r="B23">
        <v>16</v>
      </c>
      <c r="C23">
        <v>208</v>
      </c>
    </row>
    <row r="24" spans="1:3" x14ac:dyDescent="0.25">
      <c r="A24" s="11">
        <v>0.34</v>
      </c>
      <c r="B24">
        <v>16</v>
      </c>
      <c r="C24">
        <v>80</v>
      </c>
    </row>
    <row r="25" spans="1:3" x14ac:dyDescent="0.25">
      <c r="A25" s="11">
        <v>0.36</v>
      </c>
      <c r="B25">
        <v>16</v>
      </c>
      <c r="C25">
        <v>128</v>
      </c>
    </row>
    <row r="26" spans="1:3" x14ac:dyDescent="0.25">
      <c r="A26" s="11">
        <v>0.38</v>
      </c>
      <c r="B26">
        <v>16</v>
      </c>
      <c r="C26">
        <v>48</v>
      </c>
    </row>
    <row r="27" spans="1:3" x14ac:dyDescent="0.25">
      <c r="A27" s="11">
        <v>0.4</v>
      </c>
      <c r="B27">
        <v>16</v>
      </c>
      <c r="C27">
        <v>128</v>
      </c>
    </row>
    <row r="28" spans="1:3" x14ac:dyDescent="0.25">
      <c r="A28" s="11">
        <v>0.42</v>
      </c>
      <c r="B28">
        <v>16</v>
      </c>
      <c r="C28">
        <v>96</v>
      </c>
    </row>
    <row r="29" spans="1:3" x14ac:dyDescent="0.25">
      <c r="A29" s="11">
        <v>0.44</v>
      </c>
      <c r="B29">
        <v>16</v>
      </c>
      <c r="C29">
        <v>48</v>
      </c>
    </row>
    <row r="30" spans="1:3" x14ac:dyDescent="0.25">
      <c r="A30" s="11">
        <v>0.46</v>
      </c>
      <c r="B30">
        <v>16</v>
      </c>
      <c r="C30">
        <v>96</v>
      </c>
    </row>
    <row r="31" spans="1:3" x14ac:dyDescent="0.25">
      <c r="A31" s="11" t="s">
        <v>18</v>
      </c>
      <c r="B31">
        <v>35.755937755937758</v>
      </c>
      <c r="C31">
        <v>43658</v>
      </c>
    </row>
  </sheetData>
  <mergeCells count="1">
    <mergeCell ref="A1:O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BA9C5-A7CD-45FA-9C8A-9BD64A4B3D07}">
  <dimension ref="A1:Q391"/>
  <sheetViews>
    <sheetView workbookViewId="0">
      <selection activeCell="H11" sqref="H11"/>
    </sheetView>
  </sheetViews>
  <sheetFormatPr defaultRowHeight="13.2" x14ac:dyDescent="0.25"/>
  <cols>
    <col min="1" max="1" width="11.77734375" customWidth="1"/>
    <col min="2" max="2" width="12.88671875" customWidth="1"/>
    <col min="3" max="3" width="9.109375" customWidth="1"/>
    <col min="7" max="7" width="10.88671875" customWidth="1"/>
    <col min="8" max="8" width="10.44140625" customWidth="1"/>
    <col min="9" max="9" width="12" customWidth="1"/>
    <col min="10" max="11" width="10.44140625" customWidth="1"/>
    <col min="12" max="12" width="10.77734375" customWidth="1"/>
    <col min="13" max="13" width="12.21875" customWidth="1"/>
    <col min="14" max="14" width="10.44140625" customWidth="1"/>
    <col min="15" max="15" width="11.77734375" customWidth="1"/>
    <col min="16" max="16" width="10.88671875" customWidth="1"/>
    <col min="18" max="18" width="10.5546875" customWidth="1"/>
  </cols>
  <sheetData>
    <row r="1" spans="1:15" x14ac:dyDescent="0.25">
      <c r="A1" s="15" t="s">
        <v>0</v>
      </c>
      <c r="B1" s="15" t="s">
        <v>1</v>
      </c>
      <c r="C1" s="15" t="s">
        <v>2</v>
      </c>
      <c r="D1" s="15" t="s">
        <v>4</v>
      </c>
      <c r="E1" s="15" t="s">
        <v>5</v>
      </c>
      <c r="F1" s="15" t="s">
        <v>6</v>
      </c>
      <c r="G1" s="15" t="s">
        <v>7</v>
      </c>
      <c r="H1" s="15" t="s">
        <v>8</v>
      </c>
      <c r="I1" s="15" t="s">
        <v>9</v>
      </c>
      <c r="J1" s="15" t="s">
        <v>11</v>
      </c>
      <c r="K1" s="15" t="s">
        <v>12</v>
      </c>
      <c r="L1" s="15" t="s">
        <v>13</v>
      </c>
      <c r="M1" s="15" t="s">
        <v>14</v>
      </c>
      <c r="N1" s="15" t="s">
        <v>15</v>
      </c>
      <c r="O1" s="15" t="s">
        <v>16</v>
      </c>
    </row>
    <row r="2" spans="1:15" x14ac:dyDescent="0.25">
      <c r="A2" s="12">
        <v>620</v>
      </c>
      <c r="B2" s="13">
        <v>40572</v>
      </c>
      <c r="C2" s="12">
        <v>1</v>
      </c>
      <c r="D2" s="12">
        <v>1</v>
      </c>
      <c r="E2" s="12">
        <v>1</v>
      </c>
      <c r="F2" s="12" t="b">
        <v>0</v>
      </c>
      <c r="G2" s="12">
        <v>6</v>
      </c>
      <c r="H2" s="12">
        <v>1</v>
      </c>
      <c r="I2" s="12">
        <v>0.22</v>
      </c>
      <c r="J2" s="12">
        <v>0.2273</v>
      </c>
      <c r="K2" s="12">
        <v>0.64</v>
      </c>
      <c r="L2" s="12">
        <v>0.19400000000000001</v>
      </c>
      <c r="M2" s="12">
        <v>0</v>
      </c>
      <c r="N2" s="12">
        <v>20</v>
      </c>
      <c r="O2" s="12">
        <v>20</v>
      </c>
    </row>
    <row r="3" spans="1:15" x14ac:dyDescent="0.25">
      <c r="A3" s="12">
        <v>621</v>
      </c>
      <c r="B3" s="13">
        <v>40572</v>
      </c>
      <c r="C3" s="12">
        <v>1</v>
      </c>
      <c r="D3" s="12">
        <v>1</v>
      </c>
      <c r="E3" s="12">
        <v>2</v>
      </c>
      <c r="F3" s="12" t="b">
        <v>0</v>
      </c>
      <c r="G3" s="12">
        <v>6</v>
      </c>
      <c r="H3" s="12">
        <v>1</v>
      </c>
      <c r="I3" s="12">
        <v>0.22</v>
      </c>
      <c r="J3" s="12">
        <v>0.2273</v>
      </c>
      <c r="K3" s="12">
        <v>0.64</v>
      </c>
      <c r="L3" s="12">
        <v>0.16420000000000001</v>
      </c>
      <c r="M3" s="12">
        <v>0</v>
      </c>
      <c r="N3" s="12">
        <v>15</v>
      </c>
      <c r="O3" s="12">
        <v>15</v>
      </c>
    </row>
    <row r="4" spans="1:15" x14ac:dyDescent="0.25">
      <c r="A4" s="12">
        <v>622</v>
      </c>
      <c r="B4" s="13">
        <v>40572</v>
      </c>
      <c r="C4" s="12">
        <v>1</v>
      </c>
      <c r="D4" s="12">
        <v>1</v>
      </c>
      <c r="E4" s="12">
        <v>3</v>
      </c>
      <c r="F4" s="12" t="b">
        <v>0</v>
      </c>
      <c r="G4" s="12">
        <v>6</v>
      </c>
      <c r="H4" s="12">
        <v>1</v>
      </c>
      <c r="I4" s="12">
        <v>0.2</v>
      </c>
      <c r="J4" s="12">
        <v>0.21210000000000001</v>
      </c>
      <c r="K4" s="12">
        <v>0.64</v>
      </c>
      <c r="L4" s="12">
        <v>0.1343</v>
      </c>
      <c r="M4" s="12">
        <v>3</v>
      </c>
      <c r="N4" s="12">
        <v>5</v>
      </c>
      <c r="O4" s="12">
        <v>8</v>
      </c>
    </row>
    <row r="5" spans="1:15" x14ac:dyDescent="0.25">
      <c r="A5" s="12">
        <v>623</v>
      </c>
      <c r="B5" s="13">
        <v>40572</v>
      </c>
      <c r="C5" s="12">
        <v>1</v>
      </c>
      <c r="D5" s="12">
        <v>1</v>
      </c>
      <c r="E5" s="12">
        <v>4</v>
      </c>
      <c r="F5" s="12" t="b">
        <v>0</v>
      </c>
      <c r="G5" s="12">
        <v>6</v>
      </c>
      <c r="H5" s="12">
        <v>1</v>
      </c>
      <c r="I5" s="12">
        <v>0.16</v>
      </c>
      <c r="J5" s="12">
        <v>0.18179999999999999</v>
      </c>
      <c r="K5" s="12">
        <v>0.69</v>
      </c>
      <c r="L5" s="12">
        <v>0.1045</v>
      </c>
      <c r="M5" s="12">
        <v>1</v>
      </c>
      <c r="N5" s="12">
        <v>2</v>
      </c>
      <c r="O5" s="12">
        <v>3</v>
      </c>
    </row>
    <row r="6" spans="1:15" x14ac:dyDescent="0.25">
      <c r="A6" s="12">
        <v>624</v>
      </c>
      <c r="B6" s="13">
        <v>40572</v>
      </c>
      <c r="C6" s="12">
        <v>1</v>
      </c>
      <c r="D6" s="12">
        <v>1</v>
      </c>
      <c r="E6" s="12">
        <v>6</v>
      </c>
      <c r="F6" s="12" t="b">
        <v>0</v>
      </c>
      <c r="G6" s="12">
        <v>6</v>
      </c>
      <c r="H6" s="12">
        <v>1</v>
      </c>
      <c r="I6" s="12">
        <v>0.16</v>
      </c>
      <c r="J6" s="12">
        <v>0.18179999999999999</v>
      </c>
      <c r="K6" s="12">
        <v>0.64</v>
      </c>
      <c r="L6" s="12">
        <v>0.1343</v>
      </c>
      <c r="M6" s="12">
        <v>0</v>
      </c>
      <c r="N6" s="12">
        <v>2</v>
      </c>
      <c r="O6" s="12">
        <v>2</v>
      </c>
    </row>
    <row r="7" spans="1:15" x14ac:dyDescent="0.25">
      <c r="A7" s="12">
        <v>625</v>
      </c>
      <c r="B7" s="13">
        <v>40572</v>
      </c>
      <c r="C7" s="12">
        <v>1</v>
      </c>
      <c r="D7" s="12">
        <v>1</v>
      </c>
      <c r="E7" s="12">
        <v>7</v>
      </c>
      <c r="F7" s="12" t="b">
        <v>0</v>
      </c>
      <c r="G7" s="12">
        <v>6</v>
      </c>
      <c r="H7" s="12">
        <v>1</v>
      </c>
      <c r="I7" s="12">
        <v>0.16</v>
      </c>
      <c r="J7" s="12">
        <v>0.18179999999999999</v>
      </c>
      <c r="K7" s="12">
        <v>0.59</v>
      </c>
      <c r="L7" s="12">
        <v>0.1045</v>
      </c>
      <c r="M7" s="12">
        <v>1</v>
      </c>
      <c r="N7" s="12">
        <v>4</v>
      </c>
      <c r="O7" s="12">
        <v>5</v>
      </c>
    </row>
    <row r="8" spans="1:15" x14ac:dyDescent="0.25">
      <c r="A8" s="12">
        <v>626</v>
      </c>
      <c r="B8" s="13">
        <v>40572</v>
      </c>
      <c r="C8" s="12">
        <v>1</v>
      </c>
      <c r="D8" s="12">
        <v>1</v>
      </c>
      <c r="E8" s="12">
        <v>8</v>
      </c>
      <c r="F8" s="12" t="b">
        <v>0</v>
      </c>
      <c r="G8" s="12">
        <v>6</v>
      </c>
      <c r="H8" s="12">
        <v>1</v>
      </c>
      <c r="I8" s="12">
        <v>0.18</v>
      </c>
      <c r="J8" s="12">
        <v>0.19700000000000001</v>
      </c>
      <c r="K8" s="12">
        <v>0.55000000000000004</v>
      </c>
      <c r="L8" s="12">
        <v>0.16420000000000001</v>
      </c>
      <c r="M8" s="12">
        <v>3</v>
      </c>
      <c r="N8" s="12">
        <v>31</v>
      </c>
      <c r="O8" s="12">
        <v>34</v>
      </c>
    </row>
    <row r="9" spans="1:15" x14ac:dyDescent="0.25">
      <c r="A9" s="12">
        <v>627</v>
      </c>
      <c r="B9" s="13">
        <v>40572</v>
      </c>
      <c r="C9" s="12">
        <v>1</v>
      </c>
      <c r="D9" s="12">
        <v>1</v>
      </c>
      <c r="E9" s="12">
        <v>9</v>
      </c>
      <c r="F9" s="12" t="b">
        <v>0</v>
      </c>
      <c r="G9" s="12">
        <v>6</v>
      </c>
      <c r="H9" s="12">
        <v>1</v>
      </c>
      <c r="I9" s="12">
        <v>0.18</v>
      </c>
      <c r="J9" s="12">
        <v>0.21210000000000001</v>
      </c>
      <c r="K9" s="12">
        <v>0.59</v>
      </c>
      <c r="L9" s="12">
        <v>8.9599999999999999E-2</v>
      </c>
      <c r="M9" s="12">
        <v>0</v>
      </c>
      <c r="N9" s="12">
        <v>34</v>
      </c>
      <c r="O9" s="12">
        <v>34</v>
      </c>
    </row>
    <row r="10" spans="1:15" x14ac:dyDescent="0.25">
      <c r="A10" s="12">
        <v>628</v>
      </c>
      <c r="B10" s="13">
        <v>40572</v>
      </c>
      <c r="C10" s="12">
        <v>1</v>
      </c>
      <c r="D10" s="12">
        <v>1</v>
      </c>
      <c r="E10" s="12">
        <v>10</v>
      </c>
      <c r="F10" s="12" t="b">
        <v>0</v>
      </c>
      <c r="G10" s="12">
        <v>6</v>
      </c>
      <c r="H10" s="12">
        <v>2</v>
      </c>
      <c r="I10" s="12">
        <v>0.18</v>
      </c>
      <c r="J10" s="12">
        <v>0.21210000000000001</v>
      </c>
      <c r="K10" s="12">
        <v>0.64</v>
      </c>
      <c r="L10" s="12">
        <v>0.1045</v>
      </c>
      <c r="M10" s="12">
        <v>4</v>
      </c>
      <c r="N10" s="12">
        <v>51</v>
      </c>
      <c r="O10" s="12">
        <v>55</v>
      </c>
    </row>
    <row r="11" spans="1:15" x14ac:dyDescent="0.25">
      <c r="A11" s="12">
        <v>629</v>
      </c>
      <c r="B11" s="13">
        <v>40572</v>
      </c>
      <c r="C11" s="12">
        <v>1</v>
      </c>
      <c r="D11" s="12">
        <v>1</v>
      </c>
      <c r="E11" s="12">
        <v>11</v>
      </c>
      <c r="F11" s="12" t="b">
        <v>0</v>
      </c>
      <c r="G11" s="12">
        <v>6</v>
      </c>
      <c r="H11" s="12">
        <v>2</v>
      </c>
      <c r="I11" s="12">
        <v>0.18</v>
      </c>
      <c r="J11" s="12">
        <v>0.19700000000000001</v>
      </c>
      <c r="K11" s="12">
        <v>0.64</v>
      </c>
      <c r="L11" s="12">
        <v>0.1343</v>
      </c>
      <c r="M11" s="12">
        <v>4</v>
      </c>
      <c r="N11" s="12">
        <v>60</v>
      </c>
      <c r="O11" s="12">
        <v>64</v>
      </c>
    </row>
    <row r="12" spans="1:15" x14ac:dyDescent="0.25">
      <c r="A12" s="12">
        <v>630</v>
      </c>
      <c r="B12" s="13">
        <v>40572</v>
      </c>
      <c r="C12" s="12">
        <v>1</v>
      </c>
      <c r="D12" s="12">
        <v>1</v>
      </c>
      <c r="E12" s="12">
        <v>12</v>
      </c>
      <c r="F12" s="12" t="b">
        <v>0</v>
      </c>
      <c r="G12" s="12">
        <v>6</v>
      </c>
      <c r="H12" s="12">
        <v>2</v>
      </c>
      <c r="I12" s="12">
        <v>0.2</v>
      </c>
      <c r="J12" s="12">
        <v>0.19700000000000001</v>
      </c>
      <c r="K12" s="12">
        <v>0.59</v>
      </c>
      <c r="L12" s="12">
        <v>0.19400000000000001</v>
      </c>
      <c r="M12" s="12">
        <v>12</v>
      </c>
      <c r="N12" s="12">
        <v>66</v>
      </c>
      <c r="O12" s="12">
        <v>78</v>
      </c>
    </row>
    <row r="13" spans="1:15" x14ac:dyDescent="0.25">
      <c r="A13" s="12">
        <v>631</v>
      </c>
      <c r="B13" s="13">
        <v>40572</v>
      </c>
      <c r="C13" s="12">
        <v>1</v>
      </c>
      <c r="D13" s="12">
        <v>1</v>
      </c>
      <c r="E13" s="12">
        <v>13</v>
      </c>
      <c r="F13" s="12" t="b">
        <v>0</v>
      </c>
      <c r="G13" s="12">
        <v>6</v>
      </c>
      <c r="H13" s="12">
        <v>2</v>
      </c>
      <c r="I13" s="12">
        <v>0.22</v>
      </c>
      <c r="J13" s="12">
        <v>0.2273</v>
      </c>
      <c r="K13" s="12">
        <v>0.55000000000000004</v>
      </c>
      <c r="L13" s="12">
        <v>0.16420000000000001</v>
      </c>
      <c r="M13" s="12">
        <v>9</v>
      </c>
      <c r="N13" s="12">
        <v>56</v>
      </c>
      <c r="O13" s="12">
        <v>65</v>
      </c>
    </row>
    <row r="14" spans="1:15" x14ac:dyDescent="0.25">
      <c r="A14" s="12">
        <v>632</v>
      </c>
      <c r="B14" s="13">
        <v>40572</v>
      </c>
      <c r="C14" s="12">
        <v>1</v>
      </c>
      <c r="D14" s="12">
        <v>1</v>
      </c>
      <c r="E14" s="12">
        <v>14</v>
      </c>
      <c r="F14" s="12" t="b">
        <v>0</v>
      </c>
      <c r="G14" s="12">
        <v>6</v>
      </c>
      <c r="H14" s="12">
        <v>2</v>
      </c>
      <c r="I14" s="12">
        <v>0.22</v>
      </c>
      <c r="J14" s="12">
        <v>0.2273</v>
      </c>
      <c r="K14" s="12">
        <v>0.6</v>
      </c>
      <c r="L14" s="12">
        <v>0.1343</v>
      </c>
      <c r="M14" s="12">
        <v>10</v>
      </c>
      <c r="N14" s="12">
        <v>89</v>
      </c>
      <c r="O14" s="12">
        <v>99</v>
      </c>
    </row>
    <row r="15" spans="1:15" x14ac:dyDescent="0.25">
      <c r="A15" s="12">
        <v>633</v>
      </c>
      <c r="B15" s="13">
        <v>40572</v>
      </c>
      <c r="C15" s="12">
        <v>1</v>
      </c>
      <c r="D15" s="12">
        <v>1</v>
      </c>
      <c r="E15" s="12">
        <v>15</v>
      </c>
      <c r="F15" s="12" t="b">
        <v>0</v>
      </c>
      <c r="G15" s="12">
        <v>6</v>
      </c>
      <c r="H15" s="12">
        <v>1</v>
      </c>
      <c r="I15" s="12">
        <v>0.22</v>
      </c>
      <c r="J15" s="12">
        <v>0.21210000000000001</v>
      </c>
      <c r="K15" s="12">
        <v>0.69</v>
      </c>
      <c r="L15" s="12">
        <v>0.25369999999999998</v>
      </c>
      <c r="M15" s="12">
        <v>22</v>
      </c>
      <c r="N15" s="12">
        <v>98</v>
      </c>
      <c r="O15" s="12">
        <v>120</v>
      </c>
    </row>
    <row r="16" spans="1:15" x14ac:dyDescent="0.25">
      <c r="A16" s="12">
        <v>634</v>
      </c>
      <c r="B16" s="13">
        <v>40572</v>
      </c>
      <c r="C16" s="12">
        <v>1</v>
      </c>
      <c r="D16" s="12">
        <v>1</v>
      </c>
      <c r="E16" s="12">
        <v>16</v>
      </c>
      <c r="F16" s="12" t="b">
        <v>0</v>
      </c>
      <c r="G16" s="12">
        <v>6</v>
      </c>
      <c r="H16" s="12">
        <v>1</v>
      </c>
      <c r="I16" s="12">
        <v>0.24</v>
      </c>
      <c r="J16" s="12">
        <v>0.2424</v>
      </c>
      <c r="K16" s="12">
        <v>0.6</v>
      </c>
      <c r="L16" s="12">
        <v>0.16420000000000001</v>
      </c>
      <c r="M16" s="12">
        <v>19</v>
      </c>
      <c r="N16" s="12">
        <v>88</v>
      </c>
      <c r="O16" s="12">
        <v>107</v>
      </c>
    </row>
    <row r="17" spans="1:15" x14ac:dyDescent="0.25">
      <c r="A17" s="12">
        <v>635</v>
      </c>
      <c r="B17" s="13">
        <v>40572</v>
      </c>
      <c r="C17" s="12">
        <v>1</v>
      </c>
      <c r="D17" s="12">
        <v>1</v>
      </c>
      <c r="E17" s="12">
        <v>17</v>
      </c>
      <c r="F17" s="12" t="b">
        <v>0</v>
      </c>
      <c r="G17" s="12">
        <v>6</v>
      </c>
      <c r="H17" s="12">
        <v>1</v>
      </c>
      <c r="I17" s="12">
        <v>0.24</v>
      </c>
      <c r="J17" s="12">
        <v>0.28789999999999999</v>
      </c>
      <c r="K17" s="12">
        <v>0.6</v>
      </c>
      <c r="L17" s="12">
        <v>0</v>
      </c>
      <c r="M17" s="12">
        <v>9</v>
      </c>
      <c r="N17" s="12">
        <v>82</v>
      </c>
      <c r="O17" s="12">
        <v>91</v>
      </c>
    </row>
    <row r="18" spans="1:15" x14ac:dyDescent="0.25">
      <c r="A18" s="12">
        <v>636</v>
      </c>
      <c r="B18" s="13">
        <v>40572</v>
      </c>
      <c r="C18" s="12">
        <v>1</v>
      </c>
      <c r="D18" s="12">
        <v>1</v>
      </c>
      <c r="E18" s="12">
        <v>18</v>
      </c>
      <c r="F18" s="12" t="b">
        <v>0</v>
      </c>
      <c r="G18" s="12">
        <v>6</v>
      </c>
      <c r="H18" s="12">
        <v>1</v>
      </c>
      <c r="I18" s="12">
        <v>0.22</v>
      </c>
      <c r="J18" s="12">
        <v>0.2273</v>
      </c>
      <c r="K18" s="12">
        <v>0.69</v>
      </c>
      <c r="L18" s="12">
        <v>0.1343</v>
      </c>
      <c r="M18" s="12">
        <v>9</v>
      </c>
      <c r="N18" s="12">
        <v>59</v>
      </c>
      <c r="O18" s="12">
        <v>68</v>
      </c>
    </row>
    <row r="19" spans="1:15" x14ac:dyDescent="0.25">
      <c r="A19" s="12">
        <v>637</v>
      </c>
      <c r="B19" s="13">
        <v>40572</v>
      </c>
      <c r="C19" s="12">
        <v>1</v>
      </c>
      <c r="D19" s="12">
        <v>1</v>
      </c>
      <c r="E19" s="12">
        <v>19</v>
      </c>
      <c r="F19" s="12" t="b">
        <v>0</v>
      </c>
      <c r="G19" s="12">
        <v>6</v>
      </c>
      <c r="H19" s="12">
        <v>2</v>
      </c>
      <c r="I19" s="12">
        <v>0.22</v>
      </c>
      <c r="J19" s="12">
        <v>0.21210000000000001</v>
      </c>
      <c r="K19" s="12">
        <v>0.69</v>
      </c>
      <c r="L19" s="12">
        <v>0.25369999999999998</v>
      </c>
      <c r="M19" s="12">
        <v>6</v>
      </c>
      <c r="N19" s="12">
        <v>52</v>
      </c>
      <c r="O19" s="12">
        <v>58</v>
      </c>
    </row>
    <row r="20" spans="1:15" x14ac:dyDescent="0.25">
      <c r="A20" s="12">
        <v>638</v>
      </c>
      <c r="B20" s="13">
        <v>40572</v>
      </c>
      <c r="C20" s="12">
        <v>1</v>
      </c>
      <c r="D20" s="12">
        <v>1</v>
      </c>
      <c r="E20" s="12">
        <v>20</v>
      </c>
      <c r="F20" s="12" t="b">
        <v>0</v>
      </c>
      <c r="G20" s="12">
        <v>6</v>
      </c>
      <c r="H20" s="12">
        <v>1</v>
      </c>
      <c r="I20" s="12">
        <v>0.18</v>
      </c>
      <c r="J20" s="12">
        <v>0.21210000000000001</v>
      </c>
      <c r="K20" s="12">
        <v>0.74</v>
      </c>
      <c r="L20" s="12">
        <v>8.9599999999999999E-2</v>
      </c>
      <c r="M20" s="12">
        <v>1</v>
      </c>
      <c r="N20" s="12">
        <v>42</v>
      </c>
      <c r="O20" s="12">
        <v>43</v>
      </c>
    </row>
    <row r="21" spans="1:15" x14ac:dyDescent="0.25">
      <c r="A21" s="12">
        <v>639</v>
      </c>
      <c r="B21" s="13">
        <v>40572</v>
      </c>
      <c r="C21" s="12">
        <v>1</v>
      </c>
      <c r="D21" s="12">
        <v>1</v>
      </c>
      <c r="E21" s="12">
        <v>21</v>
      </c>
      <c r="F21" s="12" t="b">
        <v>0</v>
      </c>
      <c r="G21" s="12">
        <v>6</v>
      </c>
      <c r="H21" s="12">
        <v>1</v>
      </c>
      <c r="I21" s="12">
        <v>0.18</v>
      </c>
      <c r="J21" s="12">
        <v>0.21210000000000001</v>
      </c>
      <c r="K21" s="12">
        <v>0.74</v>
      </c>
      <c r="L21" s="12">
        <v>8.9599999999999999E-2</v>
      </c>
      <c r="M21" s="12">
        <v>1</v>
      </c>
      <c r="N21" s="12">
        <v>35</v>
      </c>
      <c r="O21" s="12">
        <v>36</v>
      </c>
    </row>
    <row r="22" spans="1:15" x14ac:dyDescent="0.25">
      <c r="A22" s="12">
        <v>640</v>
      </c>
      <c r="B22" s="13">
        <v>40572</v>
      </c>
      <c r="C22" s="12">
        <v>1</v>
      </c>
      <c r="D22" s="12">
        <v>1</v>
      </c>
      <c r="E22" s="12">
        <v>22</v>
      </c>
      <c r="F22" s="12" t="b">
        <v>0</v>
      </c>
      <c r="G22" s="12">
        <v>6</v>
      </c>
      <c r="H22" s="12">
        <v>1</v>
      </c>
      <c r="I22" s="12">
        <v>0.16</v>
      </c>
      <c r="J22" s="12">
        <v>0.19700000000000001</v>
      </c>
      <c r="K22" s="12">
        <v>0.8</v>
      </c>
      <c r="L22" s="12">
        <v>8.9599999999999999E-2</v>
      </c>
      <c r="M22" s="12">
        <v>4</v>
      </c>
      <c r="N22" s="12">
        <v>28</v>
      </c>
      <c r="O22" s="12">
        <v>32</v>
      </c>
    </row>
    <row r="23" spans="1:15" x14ac:dyDescent="0.25">
      <c r="A23" s="12">
        <v>641</v>
      </c>
      <c r="B23" s="13">
        <v>40572</v>
      </c>
      <c r="C23" s="12">
        <v>1</v>
      </c>
      <c r="D23" s="12">
        <v>1</v>
      </c>
      <c r="E23" s="12">
        <v>23</v>
      </c>
      <c r="F23" s="12" t="b">
        <v>0</v>
      </c>
      <c r="G23" s="12">
        <v>6</v>
      </c>
      <c r="H23" s="12">
        <v>1</v>
      </c>
      <c r="I23" s="12">
        <v>0.16</v>
      </c>
      <c r="J23" s="12">
        <v>0.19700000000000001</v>
      </c>
      <c r="K23" s="12">
        <v>0.8</v>
      </c>
      <c r="L23" s="12">
        <v>8.9599999999999999E-2</v>
      </c>
      <c r="M23" s="12">
        <v>3</v>
      </c>
      <c r="N23" s="12">
        <v>30</v>
      </c>
      <c r="O23" s="12">
        <v>33</v>
      </c>
    </row>
    <row r="24" spans="1:15" x14ac:dyDescent="0.25">
      <c r="A24" s="12">
        <v>642</v>
      </c>
      <c r="B24" s="13">
        <v>40573</v>
      </c>
      <c r="C24" s="12">
        <v>1</v>
      </c>
      <c r="D24" s="12">
        <v>1</v>
      </c>
      <c r="E24" s="12">
        <v>0</v>
      </c>
      <c r="F24" s="12" t="b">
        <v>0</v>
      </c>
      <c r="G24" s="12">
        <v>0</v>
      </c>
      <c r="H24" s="12">
        <v>1</v>
      </c>
      <c r="I24" s="12">
        <v>0.16</v>
      </c>
      <c r="J24" s="12">
        <v>0.18179999999999999</v>
      </c>
      <c r="K24" s="12">
        <v>0.8</v>
      </c>
      <c r="L24" s="12">
        <v>0.1045</v>
      </c>
      <c r="M24" s="12">
        <v>0</v>
      </c>
      <c r="N24" s="12">
        <v>33</v>
      </c>
      <c r="O24" s="12">
        <v>33</v>
      </c>
    </row>
    <row r="25" spans="1:15" x14ac:dyDescent="0.25">
      <c r="A25" s="12">
        <v>643</v>
      </c>
      <c r="B25" s="13">
        <v>40573</v>
      </c>
      <c r="C25" s="12">
        <v>1</v>
      </c>
      <c r="D25" s="12">
        <v>1</v>
      </c>
      <c r="E25" s="12">
        <v>1</v>
      </c>
      <c r="F25" s="12" t="b">
        <v>0</v>
      </c>
      <c r="G25" s="12">
        <v>0</v>
      </c>
      <c r="H25" s="12">
        <v>1</v>
      </c>
      <c r="I25" s="12">
        <v>0.14000000000000001</v>
      </c>
      <c r="J25" s="12">
        <v>0.21210000000000001</v>
      </c>
      <c r="K25" s="12">
        <v>0.8</v>
      </c>
      <c r="L25" s="12">
        <v>0</v>
      </c>
      <c r="M25" s="12">
        <v>7</v>
      </c>
      <c r="N25" s="12">
        <v>22</v>
      </c>
      <c r="O25" s="12">
        <v>29</v>
      </c>
    </row>
    <row r="26" spans="1:15" x14ac:dyDescent="0.25">
      <c r="A26" s="12">
        <v>644</v>
      </c>
      <c r="B26" s="13">
        <v>40573</v>
      </c>
      <c r="C26" s="12">
        <v>1</v>
      </c>
      <c r="D26" s="12">
        <v>1</v>
      </c>
      <c r="E26" s="12">
        <v>2</v>
      </c>
      <c r="F26" s="12" t="b">
        <v>0</v>
      </c>
      <c r="G26" s="12">
        <v>0</v>
      </c>
      <c r="H26" s="12">
        <v>1</v>
      </c>
      <c r="I26" s="12">
        <v>0.16</v>
      </c>
      <c r="J26" s="12">
        <v>0.2273</v>
      </c>
      <c r="K26" s="12">
        <v>0.8</v>
      </c>
      <c r="L26" s="12">
        <v>0</v>
      </c>
      <c r="M26" s="12">
        <v>1</v>
      </c>
      <c r="N26" s="12">
        <v>10</v>
      </c>
      <c r="O26" s="12">
        <v>11</v>
      </c>
    </row>
    <row r="27" spans="1:15" x14ac:dyDescent="0.25">
      <c r="A27" s="12">
        <v>645</v>
      </c>
      <c r="B27" s="13">
        <v>40573</v>
      </c>
      <c r="C27" s="12">
        <v>1</v>
      </c>
      <c r="D27" s="12">
        <v>1</v>
      </c>
      <c r="E27" s="12">
        <v>3</v>
      </c>
      <c r="F27" s="12" t="b">
        <v>0</v>
      </c>
      <c r="G27" s="12">
        <v>0</v>
      </c>
      <c r="H27" s="12">
        <v>1</v>
      </c>
      <c r="I27" s="12">
        <v>0.14000000000000001</v>
      </c>
      <c r="J27" s="12">
        <v>0.21210000000000001</v>
      </c>
      <c r="K27" s="12">
        <v>0.93</v>
      </c>
      <c r="L27" s="12">
        <v>0</v>
      </c>
      <c r="M27" s="12">
        <v>1</v>
      </c>
      <c r="N27" s="12">
        <v>7</v>
      </c>
      <c r="O27" s="12">
        <v>8</v>
      </c>
    </row>
    <row r="28" spans="1:15" x14ac:dyDescent="0.25">
      <c r="A28" s="12">
        <v>646</v>
      </c>
      <c r="B28" s="13">
        <v>40573</v>
      </c>
      <c r="C28" s="12">
        <v>1</v>
      </c>
      <c r="D28" s="12">
        <v>1</v>
      </c>
      <c r="E28" s="12">
        <v>4</v>
      </c>
      <c r="F28" s="12" t="b">
        <v>0</v>
      </c>
      <c r="G28" s="12">
        <v>0</v>
      </c>
      <c r="H28" s="12">
        <v>1</v>
      </c>
      <c r="I28" s="12">
        <v>0.14000000000000001</v>
      </c>
      <c r="J28" s="12">
        <v>0.21210000000000001</v>
      </c>
      <c r="K28" s="12">
        <v>0.93</v>
      </c>
      <c r="L28" s="12">
        <v>0</v>
      </c>
      <c r="M28" s="12">
        <v>0</v>
      </c>
      <c r="N28" s="12">
        <v>1</v>
      </c>
      <c r="O28" s="12">
        <v>1</v>
      </c>
    </row>
    <row r="29" spans="1:15" x14ac:dyDescent="0.25">
      <c r="A29" s="12">
        <v>647</v>
      </c>
      <c r="B29" s="13">
        <v>40573</v>
      </c>
      <c r="C29" s="12">
        <v>1</v>
      </c>
      <c r="D29" s="12">
        <v>1</v>
      </c>
      <c r="E29" s="12">
        <v>5</v>
      </c>
      <c r="F29" s="12" t="b">
        <v>0</v>
      </c>
      <c r="G29" s="12">
        <v>0</v>
      </c>
      <c r="H29" s="12">
        <v>1</v>
      </c>
      <c r="I29" s="12">
        <v>0.14000000000000001</v>
      </c>
      <c r="J29" s="12">
        <v>0.21210000000000001</v>
      </c>
      <c r="K29" s="12">
        <v>0.86</v>
      </c>
      <c r="L29" s="12">
        <v>0</v>
      </c>
      <c r="M29" s="12">
        <v>0</v>
      </c>
      <c r="N29" s="12">
        <v>3</v>
      </c>
      <c r="O29" s="12">
        <v>3</v>
      </c>
    </row>
    <row r="30" spans="1:15" x14ac:dyDescent="0.25">
      <c r="A30" s="12">
        <v>648</v>
      </c>
      <c r="B30" s="13">
        <v>40573</v>
      </c>
      <c r="C30" s="12">
        <v>1</v>
      </c>
      <c r="D30" s="12">
        <v>1</v>
      </c>
      <c r="E30" s="12">
        <v>7</v>
      </c>
      <c r="F30" s="12" t="b">
        <v>0</v>
      </c>
      <c r="G30" s="12">
        <v>0</v>
      </c>
      <c r="H30" s="12">
        <v>1</v>
      </c>
      <c r="I30" s="12">
        <v>0.14000000000000001</v>
      </c>
      <c r="J30" s="12">
        <v>0.21210000000000001</v>
      </c>
      <c r="K30" s="12">
        <v>0.86</v>
      </c>
      <c r="L30" s="12">
        <v>0</v>
      </c>
      <c r="M30" s="12">
        <v>0</v>
      </c>
      <c r="N30" s="12">
        <v>3</v>
      </c>
      <c r="O30" s="12">
        <v>3</v>
      </c>
    </row>
    <row r="31" spans="1:15" x14ac:dyDescent="0.25">
      <c r="A31" s="12">
        <v>649</v>
      </c>
      <c r="B31" s="13">
        <v>40573</v>
      </c>
      <c r="C31" s="12">
        <v>1</v>
      </c>
      <c r="D31" s="12">
        <v>1</v>
      </c>
      <c r="E31" s="12">
        <v>8</v>
      </c>
      <c r="F31" s="12" t="b">
        <v>0</v>
      </c>
      <c r="G31" s="12">
        <v>0</v>
      </c>
      <c r="H31" s="12">
        <v>2</v>
      </c>
      <c r="I31" s="12">
        <v>0.14000000000000001</v>
      </c>
      <c r="J31" s="12">
        <v>0.21210000000000001</v>
      </c>
      <c r="K31" s="12">
        <v>0.86</v>
      </c>
      <c r="L31" s="12">
        <v>0</v>
      </c>
      <c r="M31" s="12">
        <v>1</v>
      </c>
      <c r="N31" s="12">
        <v>11</v>
      </c>
      <c r="O31" s="12">
        <v>12</v>
      </c>
    </row>
    <row r="32" spans="1:15" x14ac:dyDescent="0.25">
      <c r="A32" s="12">
        <v>650</v>
      </c>
      <c r="B32" s="13">
        <v>40573</v>
      </c>
      <c r="C32" s="12">
        <v>1</v>
      </c>
      <c r="D32" s="12">
        <v>1</v>
      </c>
      <c r="E32" s="12">
        <v>9</v>
      </c>
      <c r="F32" s="12" t="b">
        <v>0</v>
      </c>
      <c r="G32" s="12">
        <v>0</v>
      </c>
      <c r="H32" s="12">
        <v>2</v>
      </c>
      <c r="I32" s="12">
        <v>0.16</v>
      </c>
      <c r="J32" s="12">
        <v>0.2273</v>
      </c>
      <c r="K32" s="12">
        <v>0.8</v>
      </c>
      <c r="L32" s="12">
        <v>0</v>
      </c>
      <c r="M32" s="12">
        <v>4</v>
      </c>
      <c r="N32" s="12">
        <v>34</v>
      </c>
      <c r="O32" s="12">
        <v>38</v>
      </c>
    </row>
    <row r="33" spans="1:17" x14ac:dyDescent="0.25">
      <c r="A33" s="12">
        <v>651</v>
      </c>
      <c r="B33" s="13">
        <v>40573</v>
      </c>
      <c r="C33" s="12">
        <v>1</v>
      </c>
      <c r="D33" s="12">
        <v>1</v>
      </c>
      <c r="E33" s="12">
        <v>10</v>
      </c>
      <c r="F33" s="12" t="b">
        <v>0</v>
      </c>
      <c r="G33" s="12">
        <v>0</v>
      </c>
      <c r="H33" s="12">
        <v>2</v>
      </c>
      <c r="I33" s="12">
        <v>0.18</v>
      </c>
      <c r="J33" s="12">
        <v>0.2424</v>
      </c>
      <c r="K33" s="12">
        <v>0.8</v>
      </c>
      <c r="L33" s="12">
        <v>0</v>
      </c>
      <c r="M33" s="12">
        <v>7</v>
      </c>
      <c r="N33" s="12">
        <v>57</v>
      </c>
      <c r="O33" s="12">
        <v>64</v>
      </c>
    </row>
    <row r="34" spans="1:17" x14ac:dyDescent="0.25">
      <c r="A34" s="12">
        <v>652</v>
      </c>
      <c r="B34" s="13">
        <v>40573</v>
      </c>
      <c r="C34" s="12">
        <v>1</v>
      </c>
      <c r="D34" s="12">
        <v>1</v>
      </c>
      <c r="E34" s="12">
        <v>11</v>
      </c>
      <c r="F34" s="12" t="b">
        <v>0</v>
      </c>
      <c r="G34" s="12">
        <v>0</v>
      </c>
      <c r="H34" s="12">
        <v>1</v>
      </c>
      <c r="I34" s="12">
        <v>0.22</v>
      </c>
      <c r="J34" s="12">
        <v>0.2727</v>
      </c>
      <c r="K34" s="12">
        <v>0.75</v>
      </c>
      <c r="L34" s="12">
        <v>0</v>
      </c>
      <c r="M34" s="12">
        <v>9</v>
      </c>
      <c r="N34" s="12">
        <v>50</v>
      </c>
      <c r="O34" s="12">
        <v>59</v>
      </c>
    </row>
    <row r="35" spans="1:17" x14ac:dyDescent="0.25">
      <c r="A35" s="12">
        <v>653</v>
      </c>
      <c r="B35" s="13">
        <v>40573</v>
      </c>
      <c r="C35" s="12">
        <v>1</v>
      </c>
      <c r="D35" s="12">
        <v>1</v>
      </c>
      <c r="E35" s="12">
        <v>12</v>
      </c>
      <c r="F35" s="12" t="b">
        <v>0</v>
      </c>
      <c r="G35" s="12">
        <v>0</v>
      </c>
      <c r="H35" s="12">
        <v>1</v>
      </c>
      <c r="I35" s="12">
        <v>0.3</v>
      </c>
      <c r="J35" s="12">
        <v>0.31819999999999998</v>
      </c>
      <c r="K35" s="12">
        <v>0.52</v>
      </c>
      <c r="L35" s="12">
        <v>0.1045</v>
      </c>
      <c r="M35" s="12">
        <v>10</v>
      </c>
      <c r="N35" s="12">
        <v>87</v>
      </c>
      <c r="O35" s="12">
        <v>97</v>
      </c>
    </row>
    <row r="36" spans="1:17" x14ac:dyDescent="0.25">
      <c r="A36" s="12">
        <v>654</v>
      </c>
      <c r="B36" s="13">
        <v>40573</v>
      </c>
      <c r="C36" s="12">
        <v>1</v>
      </c>
      <c r="D36" s="12">
        <v>1</v>
      </c>
      <c r="E36" s="12">
        <v>13</v>
      </c>
      <c r="F36" s="12" t="b">
        <v>0</v>
      </c>
      <c r="G36" s="12">
        <v>0</v>
      </c>
      <c r="H36" s="12">
        <v>1</v>
      </c>
      <c r="I36" s="12">
        <v>0.28000000000000003</v>
      </c>
      <c r="J36" s="12">
        <v>0.28789999999999999</v>
      </c>
      <c r="K36" s="12">
        <v>0.61</v>
      </c>
      <c r="L36" s="12">
        <v>0.1045</v>
      </c>
      <c r="M36" s="12">
        <v>13</v>
      </c>
      <c r="N36" s="12">
        <v>71</v>
      </c>
      <c r="O36" s="12">
        <v>84</v>
      </c>
    </row>
    <row r="37" spans="1:17" x14ac:dyDescent="0.25">
      <c r="A37" s="12">
        <v>655</v>
      </c>
      <c r="B37" s="13">
        <v>40573</v>
      </c>
      <c r="C37" s="12">
        <v>1</v>
      </c>
      <c r="D37" s="12">
        <v>1</v>
      </c>
      <c r="E37" s="12">
        <v>14</v>
      </c>
      <c r="F37" s="12" t="b">
        <v>0</v>
      </c>
      <c r="G37" s="12">
        <v>0</v>
      </c>
      <c r="H37" s="12">
        <v>1</v>
      </c>
      <c r="I37" s="12">
        <v>0.28000000000000003</v>
      </c>
      <c r="J37" s="12">
        <v>0.30299999999999999</v>
      </c>
      <c r="K37" s="12">
        <v>0.61</v>
      </c>
      <c r="L37" s="12">
        <v>8.9599999999999999E-2</v>
      </c>
      <c r="M37" s="12">
        <v>18</v>
      </c>
      <c r="N37" s="12">
        <v>104</v>
      </c>
      <c r="O37" s="12">
        <v>122</v>
      </c>
    </row>
    <row r="38" spans="1:17" x14ac:dyDescent="0.25">
      <c r="A38" s="12">
        <v>656</v>
      </c>
      <c r="B38" s="13">
        <v>40573</v>
      </c>
      <c r="C38" s="12">
        <v>1</v>
      </c>
      <c r="D38" s="12">
        <v>1</v>
      </c>
      <c r="E38" s="12">
        <v>15</v>
      </c>
      <c r="F38" s="12" t="b">
        <v>0</v>
      </c>
      <c r="G38" s="12">
        <v>0</v>
      </c>
      <c r="H38" s="12">
        <v>1</v>
      </c>
      <c r="I38" s="12">
        <v>0.3</v>
      </c>
      <c r="J38" s="12">
        <v>0.33329999999999999</v>
      </c>
      <c r="K38" s="12">
        <v>0.56000000000000005</v>
      </c>
      <c r="L38" s="12">
        <v>0</v>
      </c>
      <c r="M38" s="12">
        <v>14</v>
      </c>
      <c r="N38" s="12">
        <v>95</v>
      </c>
      <c r="O38" s="12">
        <v>109</v>
      </c>
    </row>
    <row r="39" spans="1:17" x14ac:dyDescent="0.25">
      <c r="A39" s="12">
        <v>657</v>
      </c>
      <c r="B39" s="13">
        <v>40573</v>
      </c>
      <c r="C39" s="12">
        <v>1</v>
      </c>
      <c r="D39" s="12">
        <v>1</v>
      </c>
      <c r="E39" s="12">
        <v>16</v>
      </c>
      <c r="F39" s="12" t="b">
        <v>0</v>
      </c>
      <c r="G39" s="12">
        <v>0</v>
      </c>
      <c r="H39" s="12">
        <v>1</v>
      </c>
      <c r="I39" s="12">
        <v>0.3</v>
      </c>
      <c r="J39" s="12">
        <v>0.33329999999999999</v>
      </c>
      <c r="K39" s="12">
        <v>0.56000000000000005</v>
      </c>
      <c r="L39" s="12">
        <v>0</v>
      </c>
      <c r="M39" s="12">
        <v>19</v>
      </c>
      <c r="N39" s="12">
        <v>104</v>
      </c>
      <c r="O39" s="12">
        <v>123</v>
      </c>
    </row>
    <row r="40" spans="1:17" x14ac:dyDescent="0.25">
      <c r="A40" s="12">
        <v>658</v>
      </c>
      <c r="B40" s="13">
        <v>40573</v>
      </c>
      <c r="C40" s="12">
        <v>1</v>
      </c>
      <c r="D40" s="12">
        <v>1</v>
      </c>
      <c r="E40" s="12">
        <v>17</v>
      </c>
      <c r="F40" s="12" t="b">
        <v>0</v>
      </c>
      <c r="G40" s="12">
        <v>0</v>
      </c>
      <c r="H40" s="12">
        <v>1</v>
      </c>
      <c r="I40" s="12">
        <v>0.3</v>
      </c>
      <c r="J40" s="12">
        <v>0.28789999999999999</v>
      </c>
      <c r="K40" s="12">
        <v>0.56000000000000005</v>
      </c>
      <c r="L40" s="12">
        <v>0.19400000000000001</v>
      </c>
      <c r="M40" s="12">
        <v>6</v>
      </c>
      <c r="N40" s="12">
        <v>71</v>
      </c>
      <c r="O40" s="12">
        <v>77</v>
      </c>
    </row>
    <row r="41" spans="1:17" x14ac:dyDescent="0.25">
      <c r="A41" s="12">
        <v>659</v>
      </c>
      <c r="B41" s="13">
        <v>40573</v>
      </c>
      <c r="C41" s="12">
        <v>1</v>
      </c>
      <c r="D41" s="12">
        <v>1</v>
      </c>
      <c r="E41" s="12">
        <v>18</v>
      </c>
      <c r="F41" s="12" t="b">
        <v>0</v>
      </c>
      <c r="G41" s="12">
        <v>0</v>
      </c>
      <c r="H41" s="12">
        <v>1</v>
      </c>
      <c r="I41" s="12">
        <v>0.26</v>
      </c>
      <c r="J41" s="12">
        <v>0.2576</v>
      </c>
      <c r="K41" s="12">
        <v>0.65</v>
      </c>
      <c r="L41" s="12">
        <v>0.16420000000000001</v>
      </c>
      <c r="M41" s="12">
        <v>8</v>
      </c>
      <c r="N41" s="12">
        <v>57</v>
      </c>
      <c r="O41" s="12">
        <v>65</v>
      </c>
      <c r="Q41" s="14"/>
    </row>
    <row r="42" spans="1:17" x14ac:dyDescent="0.25">
      <c r="A42" s="12">
        <v>660</v>
      </c>
      <c r="B42" s="13">
        <v>40573</v>
      </c>
      <c r="C42" s="12">
        <v>1</v>
      </c>
      <c r="D42" s="12">
        <v>1</v>
      </c>
      <c r="E42" s="12">
        <v>19</v>
      </c>
      <c r="F42" s="12" t="b">
        <v>0</v>
      </c>
      <c r="G42" s="12">
        <v>0</v>
      </c>
      <c r="H42" s="12">
        <v>1</v>
      </c>
      <c r="I42" s="12">
        <v>0.26</v>
      </c>
      <c r="J42" s="12">
        <v>0.2576</v>
      </c>
      <c r="K42" s="12">
        <v>0.65</v>
      </c>
      <c r="L42" s="12">
        <v>0.19400000000000001</v>
      </c>
      <c r="M42" s="12">
        <v>9</v>
      </c>
      <c r="N42" s="12">
        <v>46</v>
      </c>
      <c r="O42" s="12">
        <v>55</v>
      </c>
    </row>
    <row r="43" spans="1:17" x14ac:dyDescent="0.25">
      <c r="A43" s="12">
        <v>661</v>
      </c>
      <c r="B43" s="13">
        <v>40573</v>
      </c>
      <c r="C43" s="12">
        <v>1</v>
      </c>
      <c r="D43" s="12">
        <v>1</v>
      </c>
      <c r="E43" s="12">
        <v>20</v>
      </c>
      <c r="F43" s="12" t="b">
        <v>0</v>
      </c>
      <c r="G43" s="12">
        <v>0</v>
      </c>
      <c r="H43" s="12">
        <v>2</v>
      </c>
      <c r="I43" s="12">
        <v>0.26</v>
      </c>
      <c r="J43" s="12">
        <v>0.2727</v>
      </c>
      <c r="K43" s="12">
        <v>0.65</v>
      </c>
      <c r="L43" s="12">
        <v>0.1045</v>
      </c>
      <c r="M43" s="12">
        <v>3</v>
      </c>
      <c r="N43" s="12">
        <v>30</v>
      </c>
      <c r="O43" s="12">
        <v>33</v>
      </c>
    </row>
    <row r="44" spans="1:17" x14ac:dyDescent="0.25">
      <c r="A44" s="12">
        <v>662</v>
      </c>
      <c r="B44" s="13">
        <v>40573</v>
      </c>
      <c r="C44" s="12">
        <v>1</v>
      </c>
      <c r="D44" s="12">
        <v>1</v>
      </c>
      <c r="E44" s="12">
        <v>21</v>
      </c>
      <c r="F44" s="12" t="b">
        <v>0</v>
      </c>
      <c r="G44" s="12">
        <v>0</v>
      </c>
      <c r="H44" s="12">
        <v>2</v>
      </c>
      <c r="I44" s="12">
        <v>0.24</v>
      </c>
      <c r="J44" s="12">
        <v>0.2424</v>
      </c>
      <c r="K44" s="12">
        <v>0.7</v>
      </c>
      <c r="L44" s="12">
        <v>0.16420000000000001</v>
      </c>
      <c r="M44" s="12">
        <v>3</v>
      </c>
      <c r="N44" s="12">
        <v>25</v>
      </c>
      <c r="O44" s="12">
        <v>28</v>
      </c>
    </row>
    <row r="45" spans="1:17" x14ac:dyDescent="0.25">
      <c r="A45" s="12">
        <v>663</v>
      </c>
      <c r="B45" s="13">
        <v>40573</v>
      </c>
      <c r="C45" s="12">
        <v>1</v>
      </c>
      <c r="D45" s="12">
        <v>1</v>
      </c>
      <c r="E45" s="12">
        <v>22</v>
      </c>
      <c r="F45" s="12" t="b">
        <v>0</v>
      </c>
      <c r="G45" s="12">
        <v>0</v>
      </c>
      <c r="H45" s="12">
        <v>2</v>
      </c>
      <c r="I45" s="12">
        <v>0.24</v>
      </c>
      <c r="J45" s="12">
        <v>0.2273</v>
      </c>
      <c r="K45" s="12">
        <v>0.7</v>
      </c>
      <c r="L45" s="12">
        <v>0.19400000000000001</v>
      </c>
      <c r="M45" s="12">
        <v>2</v>
      </c>
      <c r="N45" s="12">
        <v>19</v>
      </c>
      <c r="O45" s="12">
        <v>21</v>
      </c>
    </row>
    <row r="46" spans="1:17" x14ac:dyDescent="0.25">
      <c r="A46" s="12">
        <v>664</v>
      </c>
      <c r="B46" s="13">
        <v>40573</v>
      </c>
      <c r="C46" s="12">
        <v>1</v>
      </c>
      <c r="D46" s="12">
        <v>1</v>
      </c>
      <c r="E46" s="12">
        <v>23</v>
      </c>
      <c r="F46" s="12" t="b">
        <v>0</v>
      </c>
      <c r="G46" s="12">
        <v>0</v>
      </c>
      <c r="H46" s="12">
        <v>2</v>
      </c>
      <c r="I46" s="12">
        <v>0.24</v>
      </c>
      <c r="J46" s="12">
        <v>0.21210000000000001</v>
      </c>
      <c r="K46" s="12">
        <v>0.65</v>
      </c>
      <c r="L46" s="12">
        <v>0.28360000000000002</v>
      </c>
      <c r="M46" s="12">
        <v>5</v>
      </c>
      <c r="N46" s="12">
        <v>16</v>
      </c>
      <c r="O46" s="12">
        <v>21</v>
      </c>
    </row>
    <row r="47" spans="1:17" x14ac:dyDescent="0.25">
      <c r="A47" s="12">
        <v>665</v>
      </c>
      <c r="B47" s="13">
        <v>40574</v>
      </c>
      <c r="C47" s="12">
        <v>1</v>
      </c>
      <c r="D47" s="12">
        <v>1</v>
      </c>
      <c r="E47" s="12">
        <v>0</v>
      </c>
      <c r="F47" s="12" t="b">
        <v>0</v>
      </c>
      <c r="G47" s="12">
        <v>1</v>
      </c>
      <c r="H47" s="12">
        <v>2</v>
      </c>
      <c r="I47" s="12">
        <v>0.24</v>
      </c>
      <c r="J47" s="12">
        <v>0.2273</v>
      </c>
      <c r="K47" s="12">
        <v>0.65</v>
      </c>
      <c r="L47" s="12">
        <v>0.22389999999999999</v>
      </c>
      <c r="M47" s="12">
        <v>1</v>
      </c>
      <c r="N47" s="12">
        <v>6</v>
      </c>
      <c r="O47" s="12">
        <v>7</v>
      </c>
    </row>
    <row r="48" spans="1:17" x14ac:dyDescent="0.25">
      <c r="A48" s="12">
        <v>666</v>
      </c>
      <c r="B48" s="13">
        <v>40574</v>
      </c>
      <c r="C48" s="12">
        <v>1</v>
      </c>
      <c r="D48" s="12">
        <v>1</v>
      </c>
      <c r="E48" s="12">
        <v>1</v>
      </c>
      <c r="F48" s="12" t="b">
        <v>0</v>
      </c>
      <c r="G48" s="12">
        <v>1</v>
      </c>
      <c r="H48" s="12">
        <v>1</v>
      </c>
      <c r="I48" s="12">
        <v>0.22</v>
      </c>
      <c r="J48" s="12">
        <v>0.21210000000000001</v>
      </c>
      <c r="K48" s="12">
        <v>0.64</v>
      </c>
      <c r="L48" s="12">
        <v>0.25369999999999998</v>
      </c>
      <c r="M48" s="12">
        <v>2</v>
      </c>
      <c r="N48" s="12">
        <v>5</v>
      </c>
      <c r="O48" s="12">
        <v>7</v>
      </c>
    </row>
    <row r="49" spans="1:15" x14ac:dyDescent="0.25">
      <c r="A49" s="12">
        <v>667</v>
      </c>
      <c r="B49" s="13">
        <v>40574</v>
      </c>
      <c r="C49" s="12">
        <v>1</v>
      </c>
      <c r="D49" s="12">
        <v>1</v>
      </c>
      <c r="E49" s="12">
        <v>2</v>
      </c>
      <c r="F49" s="12" t="b">
        <v>0</v>
      </c>
      <c r="G49" s="12">
        <v>1</v>
      </c>
      <c r="H49" s="12">
        <v>1</v>
      </c>
      <c r="I49" s="12">
        <v>0.22</v>
      </c>
      <c r="J49" s="12">
        <v>0.2273</v>
      </c>
      <c r="K49" s="12">
        <v>0.64</v>
      </c>
      <c r="L49" s="12">
        <v>0.19400000000000001</v>
      </c>
      <c r="M49" s="12">
        <v>0</v>
      </c>
      <c r="N49" s="12">
        <v>1</v>
      </c>
      <c r="O49" s="12">
        <v>1</v>
      </c>
    </row>
    <row r="50" spans="1:15" x14ac:dyDescent="0.25">
      <c r="A50" s="12">
        <v>668</v>
      </c>
      <c r="B50" s="13">
        <v>40574</v>
      </c>
      <c r="C50" s="12">
        <v>1</v>
      </c>
      <c r="D50" s="12">
        <v>1</v>
      </c>
      <c r="E50" s="12">
        <v>3</v>
      </c>
      <c r="F50" s="12" t="b">
        <v>0</v>
      </c>
      <c r="G50" s="12">
        <v>1</v>
      </c>
      <c r="H50" s="12">
        <v>1</v>
      </c>
      <c r="I50" s="12">
        <v>0.22</v>
      </c>
      <c r="J50" s="12">
        <v>0.2273</v>
      </c>
      <c r="K50" s="12">
        <v>0.64</v>
      </c>
      <c r="L50" s="12">
        <v>0.19400000000000001</v>
      </c>
      <c r="M50" s="12">
        <v>0</v>
      </c>
      <c r="N50" s="12">
        <v>2</v>
      </c>
      <c r="O50" s="12">
        <v>2</v>
      </c>
    </row>
    <row r="51" spans="1:15" x14ac:dyDescent="0.25">
      <c r="A51" s="12">
        <v>669</v>
      </c>
      <c r="B51" s="13">
        <v>40574</v>
      </c>
      <c r="C51" s="12">
        <v>1</v>
      </c>
      <c r="D51" s="12">
        <v>1</v>
      </c>
      <c r="E51" s="12">
        <v>4</v>
      </c>
      <c r="F51" s="12" t="b">
        <v>0</v>
      </c>
      <c r="G51" s="12">
        <v>1</v>
      </c>
      <c r="H51" s="12">
        <v>1</v>
      </c>
      <c r="I51" s="12">
        <v>0.2</v>
      </c>
      <c r="J51" s="12">
        <v>0.19700000000000001</v>
      </c>
      <c r="K51" s="12">
        <v>0.59</v>
      </c>
      <c r="L51" s="12">
        <v>0.22389999999999999</v>
      </c>
      <c r="M51" s="12">
        <v>0</v>
      </c>
      <c r="N51" s="12">
        <v>2</v>
      </c>
      <c r="O51" s="12">
        <v>2</v>
      </c>
    </row>
    <row r="52" spans="1:15" x14ac:dyDescent="0.25">
      <c r="A52" s="12">
        <v>670</v>
      </c>
      <c r="B52" s="13">
        <v>40574</v>
      </c>
      <c r="C52" s="12">
        <v>1</v>
      </c>
      <c r="D52" s="12">
        <v>1</v>
      </c>
      <c r="E52" s="12">
        <v>5</v>
      </c>
      <c r="F52" s="12" t="b">
        <v>0</v>
      </c>
      <c r="G52" s="12">
        <v>1</v>
      </c>
      <c r="H52" s="12">
        <v>1</v>
      </c>
      <c r="I52" s="12">
        <v>0.18</v>
      </c>
      <c r="J52" s="12">
        <v>0.16669999999999999</v>
      </c>
      <c r="K52" s="12">
        <v>0.64</v>
      </c>
      <c r="L52" s="12">
        <v>0.28360000000000002</v>
      </c>
      <c r="M52" s="12">
        <v>0</v>
      </c>
      <c r="N52" s="12">
        <v>8</v>
      </c>
      <c r="O52" s="12">
        <v>8</v>
      </c>
    </row>
    <row r="53" spans="1:15" x14ac:dyDescent="0.25">
      <c r="A53" s="12">
        <v>671</v>
      </c>
      <c r="B53" s="13">
        <v>40574</v>
      </c>
      <c r="C53" s="12">
        <v>1</v>
      </c>
      <c r="D53" s="12">
        <v>1</v>
      </c>
      <c r="E53" s="12">
        <v>6</v>
      </c>
      <c r="F53" s="12" t="b">
        <v>0</v>
      </c>
      <c r="G53" s="12">
        <v>1</v>
      </c>
      <c r="H53" s="12">
        <v>1</v>
      </c>
      <c r="I53" s="12">
        <v>0.16</v>
      </c>
      <c r="J53" s="12">
        <v>0.13639999999999999</v>
      </c>
      <c r="K53" s="12">
        <v>0.69</v>
      </c>
      <c r="L53" s="12">
        <v>0.32840000000000003</v>
      </c>
      <c r="M53" s="12">
        <v>0</v>
      </c>
      <c r="N53" s="12">
        <v>37</v>
      </c>
      <c r="O53" s="12">
        <v>37</v>
      </c>
    </row>
    <row r="54" spans="1:15" x14ac:dyDescent="0.25">
      <c r="A54" s="12">
        <v>672</v>
      </c>
      <c r="B54" s="13">
        <v>40574</v>
      </c>
      <c r="C54" s="12">
        <v>1</v>
      </c>
      <c r="D54" s="12">
        <v>1</v>
      </c>
      <c r="E54" s="12">
        <v>7</v>
      </c>
      <c r="F54" s="12" t="b">
        <v>0</v>
      </c>
      <c r="G54" s="12">
        <v>1</v>
      </c>
      <c r="H54" s="12">
        <v>2</v>
      </c>
      <c r="I54" s="12">
        <v>0.16</v>
      </c>
      <c r="J54" s="12">
        <v>0.13639999999999999</v>
      </c>
      <c r="K54" s="12">
        <v>0.64</v>
      </c>
      <c r="L54" s="12">
        <v>0.28360000000000002</v>
      </c>
      <c r="M54" s="12">
        <v>1</v>
      </c>
      <c r="N54" s="12">
        <v>71</v>
      </c>
      <c r="O54" s="12">
        <v>72</v>
      </c>
    </row>
    <row r="55" spans="1:15" x14ac:dyDescent="0.25">
      <c r="A55" s="12">
        <v>673</v>
      </c>
      <c r="B55" s="13">
        <v>40574</v>
      </c>
      <c r="C55" s="12">
        <v>1</v>
      </c>
      <c r="D55" s="12">
        <v>1</v>
      </c>
      <c r="E55" s="12">
        <v>8</v>
      </c>
      <c r="F55" s="12" t="b">
        <v>0</v>
      </c>
      <c r="G55" s="12">
        <v>1</v>
      </c>
      <c r="H55" s="12">
        <v>2</v>
      </c>
      <c r="I55" s="12">
        <v>0.16</v>
      </c>
      <c r="J55" s="12">
        <v>0.13639999999999999</v>
      </c>
      <c r="K55" s="12">
        <v>0.59</v>
      </c>
      <c r="L55" s="12">
        <v>0.28360000000000002</v>
      </c>
      <c r="M55" s="12">
        <v>3</v>
      </c>
      <c r="N55" s="12">
        <v>182</v>
      </c>
      <c r="O55" s="12">
        <v>185</v>
      </c>
    </row>
    <row r="56" spans="1:15" x14ac:dyDescent="0.25">
      <c r="A56" s="12">
        <v>674</v>
      </c>
      <c r="B56" s="13">
        <v>40574</v>
      </c>
      <c r="C56" s="12">
        <v>1</v>
      </c>
      <c r="D56" s="12">
        <v>1</v>
      </c>
      <c r="E56" s="12">
        <v>9</v>
      </c>
      <c r="F56" s="12" t="b">
        <v>0</v>
      </c>
      <c r="G56" s="12">
        <v>1</v>
      </c>
      <c r="H56" s="12">
        <v>2</v>
      </c>
      <c r="I56" s="12">
        <v>0.16</v>
      </c>
      <c r="J56" s="12">
        <v>0.13639999999999999</v>
      </c>
      <c r="K56" s="12">
        <v>0.59</v>
      </c>
      <c r="L56" s="12">
        <v>0.29849999999999999</v>
      </c>
      <c r="M56" s="12">
        <v>0</v>
      </c>
      <c r="N56" s="12">
        <v>112</v>
      </c>
      <c r="O56" s="12">
        <v>112</v>
      </c>
    </row>
    <row r="57" spans="1:15" x14ac:dyDescent="0.25">
      <c r="A57" s="12">
        <v>675</v>
      </c>
      <c r="B57" s="13">
        <v>40574</v>
      </c>
      <c r="C57" s="12">
        <v>1</v>
      </c>
      <c r="D57" s="12">
        <v>1</v>
      </c>
      <c r="E57" s="12">
        <v>10</v>
      </c>
      <c r="F57" s="12" t="b">
        <v>0</v>
      </c>
      <c r="G57" s="12">
        <v>1</v>
      </c>
      <c r="H57" s="12">
        <v>2</v>
      </c>
      <c r="I57" s="12">
        <v>0.16</v>
      </c>
      <c r="J57" s="12">
        <v>0.1515</v>
      </c>
      <c r="K57" s="12">
        <v>0.59</v>
      </c>
      <c r="L57" s="12">
        <v>0.19400000000000001</v>
      </c>
      <c r="M57" s="12">
        <v>1</v>
      </c>
      <c r="N57" s="12">
        <v>68</v>
      </c>
      <c r="O57" s="12">
        <v>69</v>
      </c>
    </row>
    <row r="58" spans="1:15" x14ac:dyDescent="0.25">
      <c r="A58" s="12">
        <v>676</v>
      </c>
      <c r="B58" s="13">
        <v>40574</v>
      </c>
      <c r="C58" s="12">
        <v>1</v>
      </c>
      <c r="D58" s="12">
        <v>1</v>
      </c>
      <c r="E58" s="12">
        <v>11</v>
      </c>
      <c r="F58" s="12" t="b">
        <v>0</v>
      </c>
      <c r="G58" s="12">
        <v>1</v>
      </c>
      <c r="H58" s="12">
        <v>2</v>
      </c>
      <c r="I58" s="12">
        <v>0.16</v>
      </c>
      <c r="J58" s="12">
        <v>0.1515</v>
      </c>
      <c r="K58" s="12">
        <v>0.59</v>
      </c>
      <c r="L58" s="12">
        <v>0.19400000000000001</v>
      </c>
      <c r="M58" s="12">
        <v>2</v>
      </c>
      <c r="N58" s="12">
        <v>46</v>
      </c>
      <c r="O58" s="12">
        <v>48</v>
      </c>
    </row>
    <row r="59" spans="1:15" x14ac:dyDescent="0.25">
      <c r="A59" s="12">
        <v>677</v>
      </c>
      <c r="B59" s="13">
        <v>40574</v>
      </c>
      <c r="C59" s="12">
        <v>1</v>
      </c>
      <c r="D59" s="12">
        <v>1</v>
      </c>
      <c r="E59" s="12">
        <v>12</v>
      </c>
      <c r="F59" s="12" t="b">
        <v>0</v>
      </c>
      <c r="G59" s="12">
        <v>1</v>
      </c>
      <c r="H59" s="12">
        <v>2</v>
      </c>
      <c r="I59" s="12">
        <v>0.18</v>
      </c>
      <c r="J59" s="12">
        <v>0.21210000000000001</v>
      </c>
      <c r="K59" s="12">
        <v>0.55000000000000004</v>
      </c>
      <c r="L59" s="12">
        <v>0.1045</v>
      </c>
      <c r="M59" s="12">
        <v>6</v>
      </c>
      <c r="N59" s="12">
        <v>62</v>
      </c>
      <c r="O59" s="12">
        <v>68</v>
      </c>
    </row>
    <row r="60" spans="1:15" x14ac:dyDescent="0.25">
      <c r="A60" s="12">
        <v>678</v>
      </c>
      <c r="B60" s="13">
        <v>40574</v>
      </c>
      <c r="C60" s="12">
        <v>1</v>
      </c>
      <c r="D60" s="12">
        <v>1</v>
      </c>
      <c r="E60" s="12">
        <v>13</v>
      </c>
      <c r="F60" s="12" t="b">
        <v>0</v>
      </c>
      <c r="G60" s="12">
        <v>1</v>
      </c>
      <c r="H60" s="12">
        <v>2</v>
      </c>
      <c r="I60" s="12">
        <v>0.16</v>
      </c>
      <c r="J60" s="12">
        <v>0.2273</v>
      </c>
      <c r="K60" s="12">
        <v>0.59</v>
      </c>
      <c r="L60" s="12">
        <v>0</v>
      </c>
      <c r="M60" s="12">
        <v>2</v>
      </c>
      <c r="N60" s="12">
        <v>52</v>
      </c>
      <c r="O60" s="12">
        <v>54</v>
      </c>
    </row>
    <row r="61" spans="1:15" x14ac:dyDescent="0.25">
      <c r="A61" s="12">
        <v>679</v>
      </c>
      <c r="B61" s="13">
        <v>40574</v>
      </c>
      <c r="C61" s="12">
        <v>1</v>
      </c>
      <c r="D61" s="12">
        <v>1</v>
      </c>
      <c r="E61" s="12">
        <v>14</v>
      </c>
      <c r="F61" s="12" t="b">
        <v>0</v>
      </c>
      <c r="G61" s="12">
        <v>1</v>
      </c>
      <c r="H61" s="12">
        <v>2</v>
      </c>
      <c r="I61" s="12">
        <v>0.18</v>
      </c>
      <c r="J61" s="12">
        <v>0.19700000000000001</v>
      </c>
      <c r="K61" s="12">
        <v>0.55000000000000004</v>
      </c>
      <c r="L61" s="12">
        <v>0.1343</v>
      </c>
      <c r="M61" s="12">
        <v>1</v>
      </c>
      <c r="N61" s="12">
        <v>85</v>
      </c>
      <c r="O61" s="12">
        <v>86</v>
      </c>
    </row>
    <row r="62" spans="1:15" x14ac:dyDescent="0.25">
      <c r="A62" s="12">
        <v>680</v>
      </c>
      <c r="B62" s="13">
        <v>40574</v>
      </c>
      <c r="C62" s="12">
        <v>1</v>
      </c>
      <c r="D62" s="12">
        <v>1</v>
      </c>
      <c r="E62" s="12">
        <v>15</v>
      </c>
      <c r="F62" s="12" t="b">
        <v>0</v>
      </c>
      <c r="G62" s="12">
        <v>1</v>
      </c>
      <c r="H62" s="12">
        <v>2</v>
      </c>
      <c r="I62" s="12">
        <v>0.16</v>
      </c>
      <c r="J62" s="12">
        <v>0.18179999999999999</v>
      </c>
      <c r="K62" s="12">
        <v>0.59</v>
      </c>
      <c r="L62" s="12">
        <v>0.1343</v>
      </c>
      <c r="M62" s="12">
        <v>3</v>
      </c>
      <c r="N62" s="12">
        <v>41</v>
      </c>
      <c r="O62" s="12">
        <v>44</v>
      </c>
    </row>
    <row r="63" spans="1:15" x14ac:dyDescent="0.25">
      <c r="A63" s="12">
        <v>681</v>
      </c>
      <c r="B63" s="13">
        <v>40574</v>
      </c>
      <c r="C63" s="12">
        <v>1</v>
      </c>
      <c r="D63" s="12">
        <v>1</v>
      </c>
      <c r="E63" s="12">
        <v>16</v>
      </c>
      <c r="F63" s="12" t="b">
        <v>0</v>
      </c>
      <c r="G63" s="12">
        <v>1</v>
      </c>
      <c r="H63" s="12">
        <v>2</v>
      </c>
      <c r="I63" s="12">
        <v>0.16</v>
      </c>
      <c r="J63" s="12">
        <v>0.18179999999999999</v>
      </c>
      <c r="K63" s="12">
        <v>0.56000000000000005</v>
      </c>
      <c r="L63" s="12">
        <v>0.19400000000000001</v>
      </c>
      <c r="M63" s="12">
        <v>3</v>
      </c>
      <c r="N63" s="12">
        <v>83</v>
      </c>
      <c r="O63" s="12">
        <v>86</v>
      </c>
    </row>
    <row r="64" spans="1:15" x14ac:dyDescent="0.25">
      <c r="A64" s="12">
        <v>682</v>
      </c>
      <c r="B64" s="13">
        <v>40574</v>
      </c>
      <c r="C64" s="12">
        <v>1</v>
      </c>
      <c r="D64" s="12">
        <v>1</v>
      </c>
      <c r="E64" s="12">
        <v>17</v>
      </c>
      <c r="F64" s="12" t="b">
        <v>0</v>
      </c>
      <c r="G64" s="12">
        <v>1</v>
      </c>
      <c r="H64" s="12">
        <v>2</v>
      </c>
      <c r="I64" s="12">
        <v>0.16</v>
      </c>
      <c r="J64" s="12">
        <v>0.1515</v>
      </c>
      <c r="K64" s="12">
        <v>0.59</v>
      </c>
      <c r="L64" s="12">
        <v>0.19400000000000001</v>
      </c>
      <c r="M64" s="12">
        <v>6</v>
      </c>
      <c r="N64" s="12">
        <v>155</v>
      </c>
      <c r="O64" s="12">
        <v>161</v>
      </c>
    </row>
    <row r="65" spans="1:15" x14ac:dyDescent="0.25">
      <c r="A65" s="12">
        <v>683</v>
      </c>
      <c r="B65" s="13">
        <v>40574</v>
      </c>
      <c r="C65" s="12">
        <v>1</v>
      </c>
      <c r="D65" s="12">
        <v>1</v>
      </c>
      <c r="E65" s="12">
        <v>18</v>
      </c>
      <c r="F65" s="12" t="b">
        <v>0</v>
      </c>
      <c r="G65" s="12">
        <v>1</v>
      </c>
      <c r="H65" s="12">
        <v>2</v>
      </c>
      <c r="I65" s="12">
        <v>0.16</v>
      </c>
      <c r="J65" s="12">
        <v>0.1515</v>
      </c>
      <c r="K65" s="12">
        <v>0.55000000000000004</v>
      </c>
      <c r="L65" s="12">
        <v>0.22389999999999999</v>
      </c>
      <c r="M65" s="12">
        <v>3</v>
      </c>
      <c r="N65" s="12">
        <v>153</v>
      </c>
      <c r="O65" s="12">
        <v>156</v>
      </c>
    </row>
    <row r="66" spans="1:15" x14ac:dyDescent="0.25">
      <c r="A66" s="12">
        <v>684</v>
      </c>
      <c r="B66" s="13">
        <v>40574</v>
      </c>
      <c r="C66" s="12">
        <v>1</v>
      </c>
      <c r="D66" s="12">
        <v>1</v>
      </c>
      <c r="E66" s="12">
        <v>19</v>
      </c>
      <c r="F66" s="12" t="b">
        <v>0</v>
      </c>
      <c r="G66" s="12">
        <v>1</v>
      </c>
      <c r="H66" s="12">
        <v>1</v>
      </c>
      <c r="I66" s="12">
        <v>0.3</v>
      </c>
      <c r="J66" s="12">
        <v>0.31819999999999998</v>
      </c>
      <c r="K66" s="12">
        <v>0.61</v>
      </c>
      <c r="L66" s="12">
        <v>0.1045</v>
      </c>
      <c r="M66" s="12">
        <v>3</v>
      </c>
      <c r="N66" s="12">
        <v>108</v>
      </c>
      <c r="O66" s="12">
        <v>111</v>
      </c>
    </row>
    <row r="67" spans="1:15" x14ac:dyDescent="0.25">
      <c r="A67" s="12">
        <v>685</v>
      </c>
      <c r="B67" s="13">
        <v>40574</v>
      </c>
      <c r="C67" s="12">
        <v>1</v>
      </c>
      <c r="D67" s="12">
        <v>1</v>
      </c>
      <c r="E67" s="12">
        <v>20</v>
      </c>
      <c r="F67" s="12" t="b">
        <v>0</v>
      </c>
      <c r="G67" s="12">
        <v>1</v>
      </c>
      <c r="H67" s="12">
        <v>3</v>
      </c>
      <c r="I67" s="12">
        <v>0.16</v>
      </c>
      <c r="J67" s="12">
        <v>0.16669999999999999</v>
      </c>
      <c r="K67" s="12">
        <v>0.59</v>
      </c>
      <c r="L67" s="12">
        <v>0.16420000000000001</v>
      </c>
      <c r="M67" s="12">
        <v>0</v>
      </c>
      <c r="N67" s="12">
        <v>78</v>
      </c>
      <c r="O67" s="12">
        <v>78</v>
      </c>
    </row>
    <row r="68" spans="1:15" x14ac:dyDescent="0.25">
      <c r="A68" s="12">
        <v>686</v>
      </c>
      <c r="B68" s="13">
        <v>40574</v>
      </c>
      <c r="C68" s="12">
        <v>1</v>
      </c>
      <c r="D68" s="12">
        <v>1</v>
      </c>
      <c r="E68" s="12">
        <v>21</v>
      </c>
      <c r="F68" s="12" t="b">
        <v>0</v>
      </c>
      <c r="G68" s="12">
        <v>1</v>
      </c>
      <c r="H68" s="12">
        <v>3</v>
      </c>
      <c r="I68" s="12">
        <v>0.16</v>
      </c>
      <c r="J68" s="12">
        <v>0.19700000000000001</v>
      </c>
      <c r="K68" s="12">
        <v>0.59</v>
      </c>
      <c r="L68" s="12">
        <v>8.9599999999999999E-2</v>
      </c>
      <c r="M68" s="12">
        <v>3</v>
      </c>
      <c r="N68" s="12">
        <v>53</v>
      </c>
      <c r="O68" s="12">
        <v>56</v>
      </c>
    </row>
    <row r="69" spans="1:15" x14ac:dyDescent="0.25">
      <c r="A69" s="12">
        <v>687</v>
      </c>
      <c r="B69" s="13">
        <v>40574</v>
      </c>
      <c r="C69" s="12">
        <v>1</v>
      </c>
      <c r="D69" s="12">
        <v>1</v>
      </c>
      <c r="E69" s="12">
        <v>22</v>
      </c>
      <c r="F69" s="12" t="b">
        <v>0</v>
      </c>
      <c r="G69" s="12">
        <v>1</v>
      </c>
      <c r="H69" s="12">
        <v>2</v>
      </c>
      <c r="I69" s="12">
        <v>0.16</v>
      </c>
      <c r="J69" s="12">
        <v>0.18179999999999999</v>
      </c>
      <c r="K69" s="12">
        <v>0.59</v>
      </c>
      <c r="L69" s="12">
        <v>0.1045</v>
      </c>
      <c r="M69" s="12">
        <v>0</v>
      </c>
      <c r="N69" s="12">
        <v>34</v>
      </c>
      <c r="O69" s="12">
        <v>34</v>
      </c>
    </row>
    <row r="70" spans="1:15" x14ac:dyDescent="0.25">
      <c r="A70" s="12">
        <v>688</v>
      </c>
      <c r="B70" s="13">
        <v>40574</v>
      </c>
      <c r="C70" s="12">
        <v>1</v>
      </c>
      <c r="D70" s="12">
        <v>1</v>
      </c>
      <c r="E70" s="12">
        <v>23</v>
      </c>
      <c r="F70" s="12" t="b">
        <v>0</v>
      </c>
      <c r="G70" s="12">
        <v>1</v>
      </c>
      <c r="H70" s="12">
        <v>2</v>
      </c>
      <c r="I70" s="12">
        <v>0.16</v>
      </c>
      <c r="J70" s="12">
        <v>0.19700000000000001</v>
      </c>
      <c r="K70" s="12">
        <v>0.64</v>
      </c>
      <c r="L70" s="12">
        <v>8.9599999999999999E-2</v>
      </c>
      <c r="M70" s="12">
        <v>2</v>
      </c>
      <c r="N70" s="12">
        <v>15</v>
      </c>
      <c r="O70" s="12">
        <v>17</v>
      </c>
    </row>
    <row r="71" spans="1:15" x14ac:dyDescent="0.25">
      <c r="A71" s="12">
        <v>689</v>
      </c>
      <c r="B71" s="13">
        <v>40575</v>
      </c>
      <c r="C71" s="12">
        <v>1</v>
      </c>
      <c r="D71" s="12">
        <v>2</v>
      </c>
      <c r="E71" s="12">
        <v>0</v>
      </c>
      <c r="F71" s="12" t="b">
        <v>0</v>
      </c>
      <c r="G71" s="12">
        <v>2</v>
      </c>
      <c r="H71" s="12">
        <v>2</v>
      </c>
      <c r="I71" s="12">
        <v>0.16</v>
      </c>
      <c r="J71" s="12">
        <v>0.18179999999999999</v>
      </c>
      <c r="K71" s="12">
        <v>0.64</v>
      </c>
      <c r="L71" s="12">
        <v>0.1045</v>
      </c>
      <c r="M71" s="12">
        <v>2</v>
      </c>
      <c r="N71" s="12">
        <v>6</v>
      </c>
      <c r="O71" s="12">
        <v>8</v>
      </c>
    </row>
    <row r="72" spans="1:15" x14ac:dyDescent="0.25">
      <c r="A72" s="12">
        <v>690</v>
      </c>
      <c r="B72" s="13">
        <v>40575</v>
      </c>
      <c r="C72" s="12">
        <v>1</v>
      </c>
      <c r="D72" s="12">
        <v>2</v>
      </c>
      <c r="E72" s="12">
        <v>1</v>
      </c>
      <c r="F72" s="12" t="b">
        <v>0</v>
      </c>
      <c r="G72" s="12">
        <v>2</v>
      </c>
      <c r="H72" s="12">
        <v>2</v>
      </c>
      <c r="I72" s="12">
        <v>0.16</v>
      </c>
      <c r="J72" s="12">
        <v>0.18179999999999999</v>
      </c>
      <c r="K72" s="12">
        <v>0.69</v>
      </c>
      <c r="L72" s="12">
        <v>0.1045</v>
      </c>
      <c r="M72" s="12">
        <v>0</v>
      </c>
      <c r="N72" s="12">
        <v>3</v>
      </c>
      <c r="O72" s="12">
        <v>3</v>
      </c>
    </row>
    <row r="73" spans="1:15" x14ac:dyDescent="0.25">
      <c r="A73" s="12">
        <v>691</v>
      </c>
      <c r="B73" s="13">
        <v>40575</v>
      </c>
      <c r="C73" s="12">
        <v>1</v>
      </c>
      <c r="D73" s="12">
        <v>2</v>
      </c>
      <c r="E73" s="12">
        <v>2</v>
      </c>
      <c r="F73" s="12" t="b">
        <v>0</v>
      </c>
      <c r="G73" s="12">
        <v>2</v>
      </c>
      <c r="H73" s="12">
        <v>2</v>
      </c>
      <c r="I73" s="12">
        <v>0.16</v>
      </c>
      <c r="J73" s="12">
        <v>0.2273</v>
      </c>
      <c r="K73" s="12">
        <v>0.69</v>
      </c>
      <c r="L73" s="12">
        <v>0</v>
      </c>
      <c r="M73" s="12">
        <v>0</v>
      </c>
      <c r="N73" s="12">
        <v>2</v>
      </c>
      <c r="O73" s="12">
        <v>2</v>
      </c>
    </row>
    <row r="74" spans="1:15" x14ac:dyDescent="0.25">
      <c r="A74" s="12">
        <v>692</v>
      </c>
      <c r="B74" s="13">
        <v>40575</v>
      </c>
      <c r="C74" s="12">
        <v>1</v>
      </c>
      <c r="D74" s="12">
        <v>2</v>
      </c>
      <c r="E74" s="12">
        <v>3</v>
      </c>
      <c r="F74" s="12" t="b">
        <v>0</v>
      </c>
      <c r="G74" s="12">
        <v>2</v>
      </c>
      <c r="H74" s="12">
        <v>2</v>
      </c>
      <c r="I74" s="12">
        <v>0.16</v>
      </c>
      <c r="J74" s="12">
        <v>0.2273</v>
      </c>
      <c r="K74" s="12">
        <v>0.69</v>
      </c>
      <c r="L74" s="12">
        <v>0</v>
      </c>
      <c r="M74" s="12">
        <v>0</v>
      </c>
      <c r="N74" s="12">
        <v>2</v>
      </c>
      <c r="O74" s="12">
        <v>2</v>
      </c>
    </row>
    <row r="75" spans="1:15" x14ac:dyDescent="0.25">
      <c r="A75" s="12">
        <v>693</v>
      </c>
      <c r="B75" s="13">
        <v>40575</v>
      </c>
      <c r="C75" s="12">
        <v>1</v>
      </c>
      <c r="D75" s="12">
        <v>2</v>
      </c>
      <c r="E75" s="12">
        <v>5</v>
      </c>
      <c r="F75" s="12" t="b">
        <v>0</v>
      </c>
      <c r="G75" s="12">
        <v>2</v>
      </c>
      <c r="H75" s="12">
        <v>3</v>
      </c>
      <c r="I75" s="12">
        <v>0.14000000000000001</v>
      </c>
      <c r="J75" s="12">
        <v>0.21210000000000001</v>
      </c>
      <c r="K75" s="12">
        <v>0.93</v>
      </c>
      <c r="L75" s="12">
        <v>0</v>
      </c>
      <c r="M75" s="12">
        <v>0</v>
      </c>
      <c r="N75" s="12">
        <v>3</v>
      </c>
      <c r="O75" s="12">
        <v>3</v>
      </c>
    </row>
    <row r="76" spans="1:15" x14ac:dyDescent="0.25">
      <c r="A76" s="12">
        <v>694</v>
      </c>
      <c r="B76" s="13">
        <v>40575</v>
      </c>
      <c r="C76" s="12">
        <v>1</v>
      </c>
      <c r="D76" s="12">
        <v>2</v>
      </c>
      <c r="E76" s="12">
        <v>6</v>
      </c>
      <c r="F76" s="12" t="b">
        <v>0</v>
      </c>
      <c r="G76" s="12">
        <v>2</v>
      </c>
      <c r="H76" s="12">
        <v>3</v>
      </c>
      <c r="I76" s="12">
        <v>0.14000000000000001</v>
      </c>
      <c r="J76" s="12">
        <v>0.21210000000000001</v>
      </c>
      <c r="K76" s="12">
        <v>0.93</v>
      </c>
      <c r="L76" s="12">
        <v>0</v>
      </c>
      <c r="M76" s="12">
        <v>0</v>
      </c>
      <c r="N76" s="12">
        <v>22</v>
      </c>
      <c r="O76" s="12">
        <v>22</v>
      </c>
    </row>
    <row r="77" spans="1:15" x14ac:dyDescent="0.25">
      <c r="A77" s="12">
        <v>695</v>
      </c>
      <c r="B77" s="13">
        <v>40575</v>
      </c>
      <c r="C77" s="12">
        <v>1</v>
      </c>
      <c r="D77" s="12">
        <v>2</v>
      </c>
      <c r="E77" s="12">
        <v>7</v>
      </c>
      <c r="F77" s="12" t="b">
        <v>0</v>
      </c>
      <c r="G77" s="12">
        <v>2</v>
      </c>
      <c r="H77" s="12">
        <v>3</v>
      </c>
      <c r="I77" s="12">
        <v>0.16</v>
      </c>
      <c r="J77" s="12">
        <v>0.2273</v>
      </c>
      <c r="K77" s="12">
        <v>0.93</v>
      </c>
      <c r="L77" s="12">
        <v>0</v>
      </c>
      <c r="M77" s="12">
        <v>0</v>
      </c>
      <c r="N77" s="12">
        <v>52</v>
      </c>
      <c r="O77" s="12">
        <v>52</v>
      </c>
    </row>
    <row r="78" spans="1:15" x14ac:dyDescent="0.25">
      <c r="A78" s="12">
        <v>696</v>
      </c>
      <c r="B78" s="13">
        <v>40575</v>
      </c>
      <c r="C78" s="12">
        <v>1</v>
      </c>
      <c r="D78" s="12">
        <v>2</v>
      </c>
      <c r="E78" s="12">
        <v>8</v>
      </c>
      <c r="F78" s="12" t="b">
        <v>0</v>
      </c>
      <c r="G78" s="12">
        <v>2</v>
      </c>
      <c r="H78" s="12">
        <v>3</v>
      </c>
      <c r="I78" s="12">
        <v>0.16</v>
      </c>
      <c r="J78" s="12">
        <v>0.2273</v>
      </c>
      <c r="K78" s="12">
        <v>0.93</v>
      </c>
      <c r="L78" s="12">
        <v>0</v>
      </c>
      <c r="M78" s="12">
        <v>3</v>
      </c>
      <c r="N78" s="12">
        <v>132</v>
      </c>
      <c r="O78" s="12">
        <v>135</v>
      </c>
    </row>
    <row r="79" spans="1:15" x14ac:dyDescent="0.25">
      <c r="A79" s="12">
        <v>697</v>
      </c>
      <c r="B79" s="13">
        <v>40575</v>
      </c>
      <c r="C79" s="12">
        <v>1</v>
      </c>
      <c r="D79" s="12">
        <v>2</v>
      </c>
      <c r="E79" s="12">
        <v>9</v>
      </c>
      <c r="F79" s="12" t="b">
        <v>0</v>
      </c>
      <c r="G79" s="12">
        <v>2</v>
      </c>
      <c r="H79" s="12">
        <v>2</v>
      </c>
      <c r="I79" s="12">
        <v>0.16</v>
      </c>
      <c r="J79" s="12">
        <v>0.2273</v>
      </c>
      <c r="K79" s="12">
        <v>0.93</v>
      </c>
      <c r="L79" s="12">
        <v>0</v>
      </c>
      <c r="M79" s="12">
        <v>2</v>
      </c>
      <c r="N79" s="12">
        <v>114</v>
      </c>
      <c r="O79" s="12">
        <v>116</v>
      </c>
    </row>
    <row r="80" spans="1:15" x14ac:dyDescent="0.25">
      <c r="A80" s="12">
        <v>698</v>
      </c>
      <c r="B80" s="13">
        <v>40575</v>
      </c>
      <c r="C80" s="12">
        <v>1</v>
      </c>
      <c r="D80" s="12">
        <v>2</v>
      </c>
      <c r="E80" s="12">
        <v>10</v>
      </c>
      <c r="F80" s="12" t="b">
        <v>0</v>
      </c>
      <c r="G80" s="12">
        <v>2</v>
      </c>
      <c r="H80" s="12">
        <v>2</v>
      </c>
      <c r="I80" s="12">
        <v>0.16</v>
      </c>
      <c r="J80" s="12">
        <v>0.2273</v>
      </c>
      <c r="K80" s="12">
        <v>0.93</v>
      </c>
      <c r="L80" s="12">
        <v>0</v>
      </c>
      <c r="M80" s="12">
        <v>0</v>
      </c>
      <c r="N80" s="12">
        <v>47</v>
      </c>
      <c r="O80" s="12">
        <v>47</v>
      </c>
    </row>
    <row r="81" spans="1:15" x14ac:dyDescent="0.25">
      <c r="A81" s="12">
        <v>699</v>
      </c>
      <c r="B81" s="13">
        <v>40575</v>
      </c>
      <c r="C81" s="12">
        <v>1</v>
      </c>
      <c r="D81" s="12">
        <v>2</v>
      </c>
      <c r="E81" s="12">
        <v>11</v>
      </c>
      <c r="F81" s="12" t="b">
        <v>0</v>
      </c>
      <c r="G81" s="12">
        <v>2</v>
      </c>
      <c r="H81" s="12">
        <v>2</v>
      </c>
      <c r="I81" s="12">
        <v>0.18</v>
      </c>
      <c r="J81" s="12">
        <v>0.2424</v>
      </c>
      <c r="K81" s="12">
        <v>0.86</v>
      </c>
      <c r="L81" s="12">
        <v>0</v>
      </c>
      <c r="M81" s="12">
        <v>2</v>
      </c>
      <c r="N81" s="12">
        <v>49</v>
      </c>
      <c r="O81" s="12">
        <v>51</v>
      </c>
    </row>
    <row r="82" spans="1:15" x14ac:dyDescent="0.25">
      <c r="A82" s="12">
        <v>700</v>
      </c>
      <c r="B82" s="13">
        <v>40575</v>
      </c>
      <c r="C82" s="12">
        <v>1</v>
      </c>
      <c r="D82" s="12">
        <v>2</v>
      </c>
      <c r="E82" s="12">
        <v>12</v>
      </c>
      <c r="F82" s="12" t="b">
        <v>0</v>
      </c>
      <c r="G82" s="12">
        <v>2</v>
      </c>
      <c r="H82" s="12">
        <v>2</v>
      </c>
      <c r="I82" s="12">
        <v>0.2</v>
      </c>
      <c r="J82" s="12">
        <v>0.2576</v>
      </c>
      <c r="K82" s="12">
        <v>0.86</v>
      </c>
      <c r="L82" s="12">
        <v>0</v>
      </c>
      <c r="M82" s="12">
        <v>2</v>
      </c>
      <c r="N82" s="12">
        <v>53</v>
      </c>
      <c r="O82" s="12">
        <v>55</v>
      </c>
    </row>
    <row r="83" spans="1:15" x14ac:dyDescent="0.25">
      <c r="A83" s="12">
        <v>701</v>
      </c>
      <c r="B83" s="13">
        <v>40575</v>
      </c>
      <c r="C83" s="12">
        <v>1</v>
      </c>
      <c r="D83" s="12">
        <v>2</v>
      </c>
      <c r="E83" s="12">
        <v>13</v>
      </c>
      <c r="F83" s="12" t="b">
        <v>0</v>
      </c>
      <c r="G83" s="12">
        <v>2</v>
      </c>
      <c r="H83" s="12">
        <v>2</v>
      </c>
      <c r="I83" s="12">
        <v>0.2</v>
      </c>
      <c r="J83" s="12">
        <v>0.2576</v>
      </c>
      <c r="K83" s="12">
        <v>0.86</v>
      </c>
      <c r="L83" s="12">
        <v>0</v>
      </c>
      <c r="M83" s="12">
        <v>3</v>
      </c>
      <c r="N83" s="12">
        <v>49</v>
      </c>
      <c r="O83" s="12">
        <v>52</v>
      </c>
    </row>
    <row r="84" spans="1:15" x14ac:dyDescent="0.25">
      <c r="A84" s="12">
        <v>702</v>
      </c>
      <c r="B84" s="13">
        <v>40575</v>
      </c>
      <c r="C84" s="12">
        <v>1</v>
      </c>
      <c r="D84" s="12">
        <v>2</v>
      </c>
      <c r="E84" s="12">
        <v>14</v>
      </c>
      <c r="F84" s="12" t="b">
        <v>0</v>
      </c>
      <c r="G84" s="12">
        <v>2</v>
      </c>
      <c r="H84" s="12">
        <v>2</v>
      </c>
      <c r="I84" s="12">
        <v>0.22</v>
      </c>
      <c r="J84" s="12">
        <v>0.2576</v>
      </c>
      <c r="K84" s="12">
        <v>0.8</v>
      </c>
      <c r="L84" s="12">
        <v>8.9599999999999999E-2</v>
      </c>
      <c r="M84" s="12">
        <v>5</v>
      </c>
      <c r="N84" s="12">
        <v>49</v>
      </c>
      <c r="O84" s="12">
        <v>54</v>
      </c>
    </row>
    <row r="85" spans="1:15" x14ac:dyDescent="0.25">
      <c r="A85" s="12">
        <v>703</v>
      </c>
      <c r="B85" s="13">
        <v>40575</v>
      </c>
      <c r="C85" s="12">
        <v>1</v>
      </c>
      <c r="D85" s="12">
        <v>2</v>
      </c>
      <c r="E85" s="12">
        <v>15</v>
      </c>
      <c r="F85" s="12" t="b">
        <v>0</v>
      </c>
      <c r="G85" s="12">
        <v>2</v>
      </c>
      <c r="H85" s="12">
        <v>2</v>
      </c>
      <c r="I85" s="12">
        <v>0.24</v>
      </c>
      <c r="J85" s="12">
        <v>0.28789999999999999</v>
      </c>
      <c r="K85" s="12">
        <v>0.75</v>
      </c>
      <c r="L85" s="12">
        <v>0</v>
      </c>
      <c r="M85" s="12">
        <v>7</v>
      </c>
      <c r="N85" s="12">
        <v>45</v>
      </c>
      <c r="O85" s="12">
        <v>52</v>
      </c>
    </row>
    <row r="86" spans="1:15" x14ac:dyDescent="0.25">
      <c r="A86" s="12">
        <v>704</v>
      </c>
      <c r="B86" s="13">
        <v>40575</v>
      </c>
      <c r="C86" s="12">
        <v>1</v>
      </c>
      <c r="D86" s="12">
        <v>2</v>
      </c>
      <c r="E86" s="12">
        <v>16</v>
      </c>
      <c r="F86" s="12" t="b">
        <v>0</v>
      </c>
      <c r="G86" s="12">
        <v>2</v>
      </c>
      <c r="H86" s="12">
        <v>2</v>
      </c>
      <c r="I86" s="12">
        <v>0.24</v>
      </c>
      <c r="J86" s="12">
        <v>0.2424</v>
      </c>
      <c r="K86" s="12">
        <v>0.75</v>
      </c>
      <c r="L86" s="12">
        <v>0.1343</v>
      </c>
      <c r="M86" s="12">
        <v>3</v>
      </c>
      <c r="N86" s="12">
        <v>61</v>
      </c>
      <c r="O86" s="12">
        <v>64</v>
      </c>
    </row>
    <row r="87" spans="1:15" x14ac:dyDescent="0.25">
      <c r="A87" s="12">
        <v>705</v>
      </c>
      <c r="B87" s="13">
        <v>40575</v>
      </c>
      <c r="C87" s="12">
        <v>1</v>
      </c>
      <c r="D87" s="12">
        <v>2</v>
      </c>
      <c r="E87" s="12">
        <v>17</v>
      </c>
      <c r="F87" s="12" t="b">
        <v>0</v>
      </c>
      <c r="G87" s="12">
        <v>2</v>
      </c>
      <c r="H87" s="12">
        <v>2</v>
      </c>
      <c r="I87" s="12">
        <v>0.24</v>
      </c>
      <c r="J87" s="12">
        <v>0.28789999999999999</v>
      </c>
      <c r="K87" s="12">
        <v>0.75</v>
      </c>
      <c r="L87" s="12">
        <v>0</v>
      </c>
      <c r="M87" s="12">
        <v>4</v>
      </c>
      <c r="N87" s="12">
        <v>172</v>
      </c>
      <c r="O87" s="12">
        <v>176</v>
      </c>
    </row>
    <row r="88" spans="1:15" x14ac:dyDescent="0.25">
      <c r="A88" s="12">
        <v>706</v>
      </c>
      <c r="B88" s="13">
        <v>40575</v>
      </c>
      <c r="C88" s="12">
        <v>1</v>
      </c>
      <c r="D88" s="12">
        <v>2</v>
      </c>
      <c r="E88" s="12">
        <v>18</v>
      </c>
      <c r="F88" s="12" t="b">
        <v>0</v>
      </c>
      <c r="G88" s="12">
        <v>2</v>
      </c>
      <c r="H88" s="12">
        <v>2</v>
      </c>
      <c r="I88" s="12">
        <v>0.24</v>
      </c>
      <c r="J88" s="12">
        <v>0.2576</v>
      </c>
      <c r="K88" s="12">
        <v>0.81</v>
      </c>
      <c r="L88" s="12">
        <v>0.1045</v>
      </c>
      <c r="M88" s="12">
        <v>3</v>
      </c>
      <c r="N88" s="12">
        <v>165</v>
      </c>
      <c r="O88" s="12">
        <v>168</v>
      </c>
    </row>
    <row r="89" spans="1:15" x14ac:dyDescent="0.25">
      <c r="A89" s="12">
        <v>707</v>
      </c>
      <c r="B89" s="13">
        <v>40575</v>
      </c>
      <c r="C89" s="12">
        <v>1</v>
      </c>
      <c r="D89" s="12">
        <v>2</v>
      </c>
      <c r="E89" s="12">
        <v>19</v>
      </c>
      <c r="F89" s="12" t="b">
        <v>0</v>
      </c>
      <c r="G89" s="12">
        <v>2</v>
      </c>
      <c r="H89" s="12">
        <v>2</v>
      </c>
      <c r="I89" s="12">
        <v>0.24</v>
      </c>
      <c r="J89" s="12">
        <v>0.2424</v>
      </c>
      <c r="K89" s="12">
        <v>0.81</v>
      </c>
      <c r="L89" s="12">
        <v>0.1343</v>
      </c>
      <c r="M89" s="12">
        <v>3</v>
      </c>
      <c r="N89" s="12">
        <v>105</v>
      </c>
      <c r="O89" s="12">
        <v>108</v>
      </c>
    </row>
    <row r="90" spans="1:15" x14ac:dyDescent="0.25">
      <c r="A90" s="12">
        <v>708</v>
      </c>
      <c r="B90" s="13">
        <v>40575</v>
      </c>
      <c r="C90" s="12">
        <v>1</v>
      </c>
      <c r="D90" s="12">
        <v>2</v>
      </c>
      <c r="E90" s="12">
        <v>20</v>
      </c>
      <c r="F90" s="12" t="b">
        <v>0</v>
      </c>
      <c r="G90" s="12">
        <v>2</v>
      </c>
      <c r="H90" s="12">
        <v>2</v>
      </c>
      <c r="I90" s="12">
        <v>0.22</v>
      </c>
      <c r="J90" s="12">
        <v>0.2273</v>
      </c>
      <c r="K90" s="12">
        <v>0.87</v>
      </c>
      <c r="L90" s="12">
        <v>0.1343</v>
      </c>
      <c r="M90" s="12">
        <v>5</v>
      </c>
      <c r="N90" s="12">
        <v>69</v>
      </c>
      <c r="O90" s="12">
        <v>74</v>
      </c>
    </row>
    <row r="91" spans="1:15" x14ac:dyDescent="0.25">
      <c r="A91" s="12">
        <v>709</v>
      </c>
      <c r="B91" s="13">
        <v>40575</v>
      </c>
      <c r="C91" s="12">
        <v>1</v>
      </c>
      <c r="D91" s="12">
        <v>2</v>
      </c>
      <c r="E91" s="12">
        <v>21</v>
      </c>
      <c r="F91" s="12" t="b">
        <v>0</v>
      </c>
      <c r="G91" s="12">
        <v>2</v>
      </c>
      <c r="H91" s="12">
        <v>2</v>
      </c>
      <c r="I91" s="12">
        <v>0.22</v>
      </c>
      <c r="J91" s="12">
        <v>0.2273</v>
      </c>
      <c r="K91" s="12">
        <v>0.87</v>
      </c>
      <c r="L91" s="12">
        <v>0.1343</v>
      </c>
      <c r="M91" s="12">
        <v>0</v>
      </c>
      <c r="N91" s="12">
        <v>64</v>
      </c>
      <c r="O91" s="12">
        <v>64</v>
      </c>
    </row>
    <row r="92" spans="1:15" x14ac:dyDescent="0.25">
      <c r="A92" s="12">
        <v>710</v>
      </c>
      <c r="B92" s="13">
        <v>40575</v>
      </c>
      <c r="C92" s="12">
        <v>1</v>
      </c>
      <c r="D92" s="12">
        <v>2</v>
      </c>
      <c r="E92" s="12">
        <v>22</v>
      </c>
      <c r="F92" s="12" t="b">
        <v>0</v>
      </c>
      <c r="G92" s="12">
        <v>2</v>
      </c>
      <c r="H92" s="12">
        <v>2</v>
      </c>
      <c r="I92" s="12">
        <v>0.22</v>
      </c>
      <c r="J92" s="12">
        <v>0.2576</v>
      </c>
      <c r="K92" s="12">
        <v>0.87</v>
      </c>
      <c r="L92" s="12">
        <v>8.9599999999999999E-2</v>
      </c>
      <c r="M92" s="12">
        <v>2</v>
      </c>
      <c r="N92" s="12">
        <v>34</v>
      </c>
      <c r="O92" s="12">
        <v>36</v>
      </c>
    </row>
    <row r="93" spans="1:15" x14ac:dyDescent="0.25">
      <c r="A93" s="12">
        <v>711</v>
      </c>
      <c r="B93" s="13">
        <v>40575</v>
      </c>
      <c r="C93" s="12">
        <v>1</v>
      </c>
      <c r="D93" s="12">
        <v>2</v>
      </c>
      <c r="E93" s="12">
        <v>23</v>
      </c>
      <c r="F93" s="12" t="b">
        <v>0</v>
      </c>
      <c r="G93" s="12">
        <v>2</v>
      </c>
      <c r="H93" s="12">
        <v>3</v>
      </c>
      <c r="I93" s="12">
        <v>0.2</v>
      </c>
      <c r="J93" s="12">
        <v>0.19700000000000001</v>
      </c>
      <c r="K93" s="12">
        <v>0.93</v>
      </c>
      <c r="L93" s="12">
        <v>0.19400000000000001</v>
      </c>
      <c r="M93" s="12">
        <v>1</v>
      </c>
      <c r="N93" s="12">
        <v>15</v>
      </c>
      <c r="O93" s="12">
        <v>16</v>
      </c>
    </row>
    <row r="94" spans="1:15" x14ac:dyDescent="0.25">
      <c r="A94" s="12">
        <v>712</v>
      </c>
      <c r="B94" s="13">
        <v>40576</v>
      </c>
      <c r="C94" s="12">
        <v>1</v>
      </c>
      <c r="D94" s="12">
        <v>2</v>
      </c>
      <c r="E94" s="12">
        <v>0</v>
      </c>
      <c r="F94" s="12" t="b">
        <v>0</v>
      </c>
      <c r="G94" s="12">
        <v>3</v>
      </c>
      <c r="H94" s="12">
        <v>3</v>
      </c>
      <c r="I94" s="12">
        <v>0.22</v>
      </c>
      <c r="J94" s="12">
        <v>0.2424</v>
      </c>
      <c r="K94" s="12">
        <v>0.93</v>
      </c>
      <c r="L94" s="12">
        <v>0.1045</v>
      </c>
      <c r="M94" s="12">
        <v>0</v>
      </c>
      <c r="N94" s="12">
        <v>2</v>
      </c>
      <c r="O94" s="12">
        <v>2</v>
      </c>
    </row>
    <row r="95" spans="1:15" x14ac:dyDescent="0.25">
      <c r="A95" s="12">
        <v>713</v>
      </c>
      <c r="B95" s="13">
        <v>40576</v>
      </c>
      <c r="C95" s="12">
        <v>1</v>
      </c>
      <c r="D95" s="12">
        <v>2</v>
      </c>
      <c r="E95" s="12">
        <v>1</v>
      </c>
      <c r="F95" s="12" t="b">
        <v>0</v>
      </c>
      <c r="G95" s="12">
        <v>3</v>
      </c>
      <c r="H95" s="12">
        <v>3</v>
      </c>
      <c r="I95" s="12">
        <v>0.22</v>
      </c>
      <c r="J95" s="12">
        <v>0.2273</v>
      </c>
      <c r="K95" s="12">
        <v>0.93</v>
      </c>
      <c r="L95" s="12">
        <v>0.19400000000000001</v>
      </c>
      <c r="M95" s="12">
        <v>0</v>
      </c>
      <c r="N95" s="12">
        <v>3</v>
      </c>
      <c r="O95" s="12">
        <v>3</v>
      </c>
    </row>
    <row r="96" spans="1:15" x14ac:dyDescent="0.25">
      <c r="A96" s="12">
        <v>714</v>
      </c>
      <c r="B96" s="13">
        <v>40576</v>
      </c>
      <c r="C96" s="12">
        <v>1</v>
      </c>
      <c r="D96" s="12">
        <v>2</v>
      </c>
      <c r="E96" s="12">
        <v>2</v>
      </c>
      <c r="F96" s="12" t="b">
        <v>0</v>
      </c>
      <c r="G96" s="12">
        <v>3</v>
      </c>
      <c r="H96" s="12">
        <v>3</v>
      </c>
      <c r="I96" s="12">
        <v>0.22</v>
      </c>
      <c r="J96" s="12">
        <v>0.2273</v>
      </c>
      <c r="K96" s="12">
        <v>0.93</v>
      </c>
      <c r="L96" s="12">
        <v>0.1343</v>
      </c>
      <c r="M96" s="12">
        <v>4</v>
      </c>
      <c r="N96" s="12">
        <v>0</v>
      </c>
      <c r="O96" s="12">
        <v>4</v>
      </c>
    </row>
    <row r="97" spans="1:15" x14ac:dyDescent="0.25">
      <c r="A97" s="12">
        <v>715</v>
      </c>
      <c r="B97" s="13">
        <v>40576</v>
      </c>
      <c r="C97" s="12">
        <v>1</v>
      </c>
      <c r="D97" s="12">
        <v>2</v>
      </c>
      <c r="E97" s="12">
        <v>3</v>
      </c>
      <c r="F97" s="12" t="b">
        <v>0</v>
      </c>
      <c r="G97" s="12">
        <v>3</v>
      </c>
      <c r="H97" s="12">
        <v>3</v>
      </c>
      <c r="I97" s="12">
        <v>0.22</v>
      </c>
      <c r="J97" s="12">
        <v>0.2273</v>
      </c>
      <c r="K97" s="12">
        <v>0.93</v>
      </c>
      <c r="L97" s="12">
        <v>0.1343</v>
      </c>
      <c r="M97" s="12">
        <v>0</v>
      </c>
      <c r="N97" s="12">
        <v>1</v>
      </c>
      <c r="O97" s="12">
        <v>1</v>
      </c>
    </row>
    <row r="98" spans="1:15" x14ac:dyDescent="0.25">
      <c r="A98" s="12">
        <v>716</v>
      </c>
      <c r="B98" s="13">
        <v>40576</v>
      </c>
      <c r="C98" s="12">
        <v>1</v>
      </c>
      <c r="D98" s="12">
        <v>2</v>
      </c>
      <c r="E98" s="12">
        <v>4</v>
      </c>
      <c r="F98" s="12" t="b">
        <v>0</v>
      </c>
      <c r="G98" s="12">
        <v>3</v>
      </c>
      <c r="H98" s="12">
        <v>3</v>
      </c>
      <c r="I98" s="12">
        <v>0.22</v>
      </c>
      <c r="J98" s="12">
        <v>0.21210000000000001</v>
      </c>
      <c r="K98" s="12">
        <v>0.93</v>
      </c>
      <c r="L98" s="12">
        <v>0.28360000000000002</v>
      </c>
      <c r="M98" s="12">
        <v>0</v>
      </c>
      <c r="N98" s="12">
        <v>1</v>
      </c>
      <c r="O98" s="12">
        <v>1</v>
      </c>
    </row>
    <row r="99" spans="1:15" x14ac:dyDescent="0.25">
      <c r="A99" s="12">
        <v>717</v>
      </c>
      <c r="B99" s="13">
        <v>40576</v>
      </c>
      <c r="C99" s="12">
        <v>1</v>
      </c>
      <c r="D99" s="12">
        <v>2</v>
      </c>
      <c r="E99" s="12">
        <v>5</v>
      </c>
      <c r="F99" s="12" t="b">
        <v>0</v>
      </c>
      <c r="G99" s="12">
        <v>3</v>
      </c>
      <c r="H99" s="12">
        <v>3</v>
      </c>
      <c r="I99" s="12">
        <v>0.22</v>
      </c>
      <c r="J99" s="12">
        <v>0.2424</v>
      </c>
      <c r="K99" s="12">
        <v>0.93</v>
      </c>
      <c r="L99" s="12">
        <v>0.1045</v>
      </c>
      <c r="M99" s="12">
        <v>0</v>
      </c>
      <c r="N99" s="12">
        <v>3</v>
      </c>
      <c r="O99" s="12">
        <v>3</v>
      </c>
    </row>
    <row r="100" spans="1:15" x14ac:dyDescent="0.25">
      <c r="A100" s="12">
        <v>718</v>
      </c>
      <c r="B100" s="13">
        <v>40576</v>
      </c>
      <c r="C100" s="12">
        <v>1</v>
      </c>
      <c r="D100" s="12">
        <v>2</v>
      </c>
      <c r="E100" s="12">
        <v>6</v>
      </c>
      <c r="F100" s="12" t="b">
        <v>0</v>
      </c>
      <c r="G100" s="12">
        <v>3</v>
      </c>
      <c r="H100" s="12">
        <v>3</v>
      </c>
      <c r="I100" s="12">
        <v>0.22</v>
      </c>
      <c r="J100" s="12">
        <v>0.2424</v>
      </c>
      <c r="K100" s="12">
        <v>0.93</v>
      </c>
      <c r="L100" s="12">
        <v>0.1045</v>
      </c>
      <c r="M100" s="12">
        <v>1</v>
      </c>
      <c r="N100" s="12">
        <v>17</v>
      </c>
      <c r="O100" s="12">
        <v>18</v>
      </c>
    </row>
    <row r="101" spans="1:15" x14ac:dyDescent="0.25">
      <c r="A101" s="12">
        <v>719</v>
      </c>
      <c r="B101" s="13">
        <v>40576</v>
      </c>
      <c r="C101" s="12">
        <v>1</v>
      </c>
      <c r="D101" s="12">
        <v>2</v>
      </c>
      <c r="E101" s="12">
        <v>7</v>
      </c>
      <c r="F101" s="12" t="b">
        <v>0</v>
      </c>
      <c r="G101" s="12">
        <v>3</v>
      </c>
      <c r="H101" s="12">
        <v>3</v>
      </c>
      <c r="I101" s="12">
        <v>0.22</v>
      </c>
      <c r="J101" s="12">
        <v>0.21210000000000001</v>
      </c>
      <c r="K101" s="12">
        <v>0.93</v>
      </c>
      <c r="L101" s="12">
        <v>0.22389999999999999</v>
      </c>
      <c r="M101" s="12">
        <v>1</v>
      </c>
      <c r="N101" s="12">
        <v>48</v>
      </c>
      <c r="O101" s="12">
        <v>49</v>
      </c>
    </row>
    <row r="102" spans="1:15" x14ac:dyDescent="0.25">
      <c r="A102" s="12">
        <v>720</v>
      </c>
      <c r="B102" s="13">
        <v>40576</v>
      </c>
      <c r="C102" s="12">
        <v>1</v>
      </c>
      <c r="D102" s="12">
        <v>2</v>
      </c>
      <c r="E102" s="12">
        <v>8</v>
      </c>
      <c r="F102" s="12" t="b">
        <v>0</v>
      </c>
      <c r="G102" s="12">
        <v>3</v>
      </c>
      <c r="H102" s="12">
        <v>3</v>
      </c>
      <c r="I102" s="12">
        <v>0.22</v>
      </c>
      <c r="J102" s="12">
        <v>0.21210000000000001</v>
      </c>
      <c r="K102" s="12">
        <v>0.93</v>
      </c>
      <c r="L102" s="12">
        <v>0.22389999999999999</v>
      </c>
      <c r="M102" s="12">
        <v>1</v>
      </c>
      <c r="N102" s="12">
        <v>154</v>
      </c>
      <c r="O102" s="12">
        <v>155</v>
      </c>
    </row>
    <row r="103" spans="1:15" x14ac:dyDescent="0.25">
      <c r="A103" s="12">
        <v>721</v>
      </c>
      <c r="B103" s="13">
        <v>40576</v>
      </c>
      <c r="C103" s="12">
        <v>1</v>
      </c>
      <c r="D103" s="12">
        <v>2</v>
      </c>
      <c r="E103" s="12">
        <v>9</v>
      </c>
      <c r="F103" s="12" t="b">
        <v>0</v>
      </c>
      <c r="G103" s="12">
        <v>3</v>
      </c>
      <c r="H103" s="12">
        <v>2</v>
      </c>
      <c r="I103" s="12">
        <v>0.24</v>
      </c>
      <c r="J103" s="12">
        <v>0.2576</v>
      </c>
      <c r="K103" s="12">
        <v>0.93</v>
      </c>
      <c r="L103" s="12">
        <v>8.9599999999999999E-2</v>
      </c>
      <c r="M103" s="12">
        <v>4</v>
      </c>
      <c r="N103" s="12">
        <v>119</v>
      </c>
      <c r="O103" s="12">
        <v>123</v>
      </c>
    </row>
    <row r="104" spans="1:15" x14ac:dyDescent="0.25">
      <c r="A104" s="12">
        <v>722</v>
      </c>
      <c r="B104" s="13">
        <v>40576</v>
      </c>
      <c r="C104" s="12">
        <v>1</v>
      </c>
      <c r="D104" s="12">
        <v>2</v>
      </c>
      <c r="E104" s="12">
        <v>10</v>
      </c>
      <c r="F104" s="12" t="b">
        <v>0</v>
      </c>
      <c r="G104" s="12">
        <v>3</v>
      </c>
      <c r="H104" s="12">
        <v>2</v>
      </c>
      <c r="I104" s="12">
        <v>0.22</v>
      </c>
      <c r="J104" s="12">
        <v>0.2727</v>
      </c>
      <c r="K104" s="12">
        <v>1</v>
      </c>
      <c r="L104" s="12">
        <v>0</v>
      </c>
      <c r="M104" s="12">
        <v>2</v>
      </c>
      <c r="N104" s="12">
        <v>59</v>
      </c>
      <c r="O104" s="12">
        <v>61</v>
      </c>
    </row>
    <row r="105" spans="1:15" x14ac:dyDescent="0.25">
      <c r="A105" s="12">
        <v>723</v>
      </c>
      <c r="B105" s="13">
        <v>40576</v>
      </c>
      <c r="C105" s="12">
        <v>1</v>
      </c>
      <c r="D105" s="12">
        <v>2</v>
      </c>
      <c r="E105" s="12">
        <v>11</v>
      </c>
      <c r="F105" s="12" t="b">
        <v>0</v>
      </c>
      <c r="G105" s="12">
        <v>3</v>
      </c>
      <c r="H105" s="12">
        <v>2</v>
      </c>
      <c r="I105" s="12">
        <v>0.24</v>
      </c>
      <c r="J105" s="12">
        <v>0.2273</v>
      </c>
      <c r="K105" s="12">
        <v>0.93</v>
      </c>
      <c r="L105" s="12">
        <v>0.19400000000000001</v>
      </c>
      <c r="M105" s="12">
        <v>5</v>
      </c>
      <c r="N105" s="12">
        <v>47</v>
      </c>
      <c r="O105" s="12">
        <v>52</v>
      </c>
    </row>
    <row r="106" spans="1:15" x14ac:dyDescent="0.25">
      <c r="A106" s="12">
        <v>724</v>
      </c>
      <c r="B106" s="13">
        <v>40576</v>
      </c>
      <c r="C106" s="12">
        <v>1</v>
      </c>
      <c r="D106" s="12">
        <v>2</v>
      </c>
      <c r="E106" s="12">
        <v>12</v>
      </c>
      <c r="F106" s="12" t="b">
        <v>0</v>
      </c>
      <c r="G106" s="12">
        <v>3</v>
      </c>
      <c r="H106" s="12">
        <v>2</v>
      </c>
      <c r="I106" s="12">
        <v>0.24</v>
      </c>
      <c r="J106" s="12">
        <v>0.2273</v>
      </c>
      <c r="K106" s="12">
        <v>0.93</v>
      </c>
      <c r="L106" s="12">
        <v>0.22389999999999999</v>
      </c>
      <c r="M106" s="12">
        <v>3</v>
      </c>
      <c r="N106" s="12">
        <v>61</v>
      </c>
      <c r="O106" s="12">
        <v>64</v>
      </c>
    </row>
    <row r="107" spans="1:15" x14ac:dyDescent="0.25">
      <c r="A107" s="12">
        <v>725</v>
      </c>
      <c r="B107" s="13">
        <v>40576</v>
      </c>
      <c r="C107" s="12">
        <v>1</v>
      </c>
      <c r="D107" s="12">
        <v>2</v>
      </c>
      <c r="E107" s="12">
        <v>13</v>
      </c>
      <c r="F107" s="12" t="b">
        <v>0</v>
      </c>
      <c r="G107" s="12">
        <v>3</v>
      </c>
      <c r="H107" s="12">
        <v>1</v>
      </c>
      <c r="I107" s="12">
        <v>0.34</v>
      </c>
      <c r="J107" s="12">
        <v>0.33329999999999999</v>
      </c>
      <c r="K107" s="12">
        <v>0.93</v>
      </c>
      <c r="L107" s="12">
        <v>0.16420000000000001</v>
      </c>
      <c r="M107" s="12">
        <v>1</v>
      </c>
      <c r="N107" s="12">
        <v>74</v>
      </c>
      <c r="O107" s="12">
        <v>75</v>
      </c>
    </row>
    <row r="108" spans="1:15" x14ac:dyDescent="0.25">
      <c r="A108" s="12">
        <v>726</v>
      </c>
      <c r="B108" s="13">
        <v>40576</v>
      </c>
      <c r="C108" s="12">
        <v>1</v>
      </c>
      <c r="D108" s="12">
        <v>2</v>
      </c>
      <c r="E108" s="12">
        <v>14</v>
      </c>
      <c r="F108" s="12" t="b">
        <v>0</v>
      </c>
      <c r="G108" s="12">
        <v>3</v>
      </c>
      <c r="H108" s="12">
        <v>1</v>
      </c>
      <c r="I108" s="12">
        <v>0.38</v>
      </c>
      <c r="J108" s="12">
        <v>0.39389999999999997</v>
      </c>
      <c r="K108" s="12">
        <v>0.82</v>
      </c>
      <c r="L108" s="12">
        <v>0.3881</v>
      </c>
      <c r="M108" s="12">
        <v>2</v>
      </c>
      <c r="N108" s="12">
        <v>61</v>
      </c>
      <c r="O108" s="12">
        <v>63</v>
      </c>
    </row>
    <row r="109" spans="1:15" x14ac:dyDescent="0.25">
      <c r="A109" s="12">
        <v>727</v>
      </c>
      <c r="B109" s="13">
        <v>40576</v>
      </c>
      <c r="C109" s="12">
        <v>1</v>
      </c>
      <c r="D109" s="12">
        <v>2</v>
      </c>
      <c r="E109" s="12">
        <v>15</v>
      </c>
      <c r="F109" s="12" t="b">
        <v>0</v>
      </c>
      <c r="G109" s="12">
        <v>3</v>
      </c>
      <c r="H109" s="12">
        <v>1</v>
      </c>
      <c r="I109" s="12">
        <v>0.38</v>
      </c>
      <c r="J109" s="12">
        <v>0.39389999999999997</v>
      </c>
      <c r="K109" s="12">
        <v>0.76</v>
      </c>
      <c r="L109" s="12">
        <v>0.32840000000000003</v>
      </c>
      <c r="M109" s="12">
        <v>10</v>
      </c>
      <c r="N109" s="12">
        <v>66</v>
      </c>
      <c r="O109" s="12">
        <v>76</v>
      </c>
    </row>
    <row r="110" spans="1:15" x14ac:dyDescent="0.25">
      <c r="A110" s="12">
        <v>728</v>
      </c>
      <c r="B110" s="13">
        <v>40576</v>
      </c>
      <c r="C110" s="12">
        <v>1</v>
      </c>
      <c r="D110" s="12">
        <v>2</v>
      </c>
      <c r="E110" s="12">
        <v>16</v>
      </c>
      <c r="F110" s="12" t="b">
        <v>0</v>
      </c>
      <c r="G110" s="12">
        <v>3</v>
      </c>
      <c r="H110" s="12">
        <v>1</v>
      </c>
      <c r="I110" s="12">
        <v>0.36</v>
      </c>
      <c r="J110" s="12">
        <v>0.33329999999999999</v>
      </c>
      <c r="K110" s="12">
        <v>0.71</v>
      </c>
      <c r="L110" s="12">
        <v>0.29849999999999999</v>
      </c>
      <c r="M110" s="12">
        <v>8</v>
      </c>
      <c r="N110" s="12">
        <v>95</v>
      </c>
      <c r="O110" s="12">
        <v>103</v>
      </c>
    </row>
    <row r="111" spans="1:15" x14ac:dyDescent="0.25">
      <c r="A111" s="12">
        <v>729</v>
      </c>
      <c r="B111" s="13">
        <v>40576</v>
      </c>
      <c r="C111" s="12">
        <v>1</v>
      </c>
      <c r="D111" s="12">
        <v>2</v>
      </c>
      <c r="E111" s="12">
        <v>17</v>
      </c>
      <c r="F111" s="12" t="b">
        <v>0</v>
      </c>
      <c r="G111" s="12">
        <v>3</v>
      </c>
      <c r="H111" s="12">
        <v>1</v>
      </c>
      <c r="I111" s="12">
        <v>0.36</v>
      </c>
      <c r="J111" s="12">
        <v>0.31819999999999998</v>
      </c>
      <c r="K111" s="12">
        <v>0.53</v>
      </c>
      <c r="L111" s="12">
        <v>0.52239999999999998</v>
      </c>
      <c r="M111" s="12">
        <v>7</v>
      </c>
      <c r="N111" s="12">
        <v>183</v>
      </c>
      <c r="O111" s="12">
        <v>190</v>
      </c>
    </row>
    <row r="112" spans="1:15" x14ac:dyDescent="0.25">
      <c r="A112" s="12">
        <v>730</v>
      </c>
      <c r="B112" s="13">
        <v>40576</v>
      </c>
      <c r="C112" s="12">
        <v>1</v>
      </c>
      <c r="D112" s="12">
        <v>2</v>
      </c>
      <c r="E112" s="12">
        <v>18</v>
      </c>
      <c r="F112" s="12" t="b">
        <v>0</v>
      </c>
      <c r="G112" s="12">
        <v>3</v>
      </c>
      <c r="H112" s="12">
        <v>1</v>
      </c>
      <c r="I112" s="12">
        <v>0.34</v>
      </c>
      <c r="J112" s="12">
        <v>0.28789999999999999</v>
      </c>
      <c r="K112" s="12">
        <v>0.42</v>
      </c>
      <c r="L112" s="12">
        <v>0.55220000000000002</v>
      </c>
      <c r="M112" s="12">
        <v>7</v>
      </c>
      <c r="N112" s="12">
        <v>175</v>
      </c>
      <c r="O112" s="12">
        <v>182</v>
      </c>
    </row>
    <row r="113" spans="1:15" x14ac:dyDescent="0.25">
      <c r="A113" s="12">
        <v>731</v>
      </c>
      <c r="B113" s="13">
        <v>40576</v>
      </c>
      <c r="C113" s="12">
        <v>1</v>
      </c>
      <c r="D113" s="12">
        <v>2</v>
      </c>
      <c r="E113" s="12">
        <v>19</v>
      </c>
      <c r="F113" s="12" t="b">
        <v>0</v>
      </c>
      <c r="G113" s="12">
        <v>3</v>
      </c>
      <c r="H113" s="12">
        <v>1</v>
      </c>
      <c r="I113" s="12">
        <v>0.28000000000000003</v>
      </c>
      <c r="J113" s="12">
        <v>0.2424</v>
      </c>
      <c r="K113" s="12">
        <v>0.45</v>
      </c>
      <c r="L113" s="12">
        <v>0.49249999999999999</v>
      </c>
      <c r="M113" s="12">
        <v>3</v>
      </c>
      <c r="N113" s="12">
        <v>88</v>
      </c>
      <c r="O113" s="12">
        <v>91</v>
      </c>
    </row>
    <row r="114" spans="1:15" x14ac:dyDescent="0.25">
      <c r="A114" s="12">
        <v>732</v>
      </c>
      <c r="B114" s="13">
        <v>40576</v>
      </c>
      <c r="C114" s="12">
        <v>1</v>
      </c>
      <c r="D114" s="12">
        <v>2</v>
      </c>
      <c r="E114" s="12">
        <v>20</v>
      </c>
      <c r="F114" s="12" t="b">
        <v>0</v>
      </c>
      <c r="G114" s="12">
        <v>3</v>
      </c>
      <c r="H114" s="12">
        <v>1</v>
      </c>
      <c r="I114" s="12">
        <v>0.24</v>
      </c>
      <c r="J114" s="12">
        <v>0.19700000000000001</v>
      </c>
      <c r="K114" s="12">
        <v>0.48</v>
      </c>
      <c r="L114" s="12">
        <v>0.55220000000000002</v>
      </c>
      <c r="M114" s="12">
        <v>4</v>
      </c>
      <c r="N114" s="12">
        <v>71</v>
      </c>
      <c r="O114" s="12">
        <v>75</v>
      </c>
    </row>
    <row r="115" spans="1:15" x14ac:dyDescent="0.25">
      <c r="A115" s="12">
        <v>733</v>
      </c>
      <c r="B115" s="13">
        <v>40576</v>
      </c>
      <c r="C115" s="12">
        <v>1</v>
      </c>
      <c r="D115" s="12">
        <v>2</v>
      </c>
      <c r="E115" s="12">
        <v>21</v>
      </c>
      <c r="F115" s="12" t="b">
        <v>0</v>
      </c>
      <c r="G115" s="12">
        <v>3</v>
      </c>
      <c r="H115" s="12">
        <v>1</v>
      </c>
      <c r="I115" s="12">
        <v>0.22</v>
      </c>
      <c r="J115" s="12">
        <v>0.19700000000000001</v>
      </c>
      <c r="K115" s="12">
        <v>0.47</v>
      </c>
      <c r="L115" s="12">
        <v>0.32840000000000003</v>
      </c>
      <c r="M115" s="12">
        <v>1</v>
      </c>
      <c r="N115" s="12">
        <v>62</v>
      </c>
      <c r="O115" s="12">
        <v>63</v>
      </c>
    </row>
    <row r="116" spans="1:15" x14ac:dyDescent="0.25">
      <c r="A116" s="12">
        <v>734</v>
      </c>
      <c r="B116" s="13">
        <v>40576</v>
      </c>
      <c r="C116" s="12">
        <v>1</v>
      </c>
      <c r="D116" s="12">
        <v>2</v>
      </c>
      <c r="E116" s="12">
        <v>22</v>
      </c>
      <c r="F116" s="12" t="b">
        <v>0</v>
      </c>
      <c r="G116" s="12">
        <v>3</v>
      </c>
      <c r="H116" s="12">
        <v>1</v>
      </c>
      <c r="I116" s="12">
        <v>0.22</v>
      </c>
      <c r="J116" s="12">
        <v>0.21210000000000001</v>
      </c>
      <c r="K116" s="12">
        <v>0.44</v>
      </c>
      <c r="L116" s="12">
        <v>0.25369999999999998</v>
      </c>
      <c r="M116" s="12">
        <v>5</v>
      </c>
      <c r="N116" s="12">
        <v>35</v>
      </c>
      <c r="O116" s="12">
        <v>40</v>
      </c>
    </row>
    <row r="117" spans="1:15" x14ac:dyDescent="0.25">
      <c r="A117" s="12">
        <v>735</v>
      </c>
      <c r="B117" s="13">
        <v>40576</v>
      </c>
      <c r="C117" s="12">
        <v>1</v>
      </c>
      <c r="D117" s="12">
        <v>2</v>
      </c>
      <c r="E117" s="12">
        <v>23</v>
      </c>
      <c r="F117" s="12" t="b">
        <v>0</v>
      </c>
      <c r="G117" s="12">
        <v>3</v>
      </c>
      <c r="H117" s="12">
        <v>1</v>
      </c>
      <c r="I117" s="12">
        <v>0.2</v>
      </c>
      <c r="J117" s="12">
        <v>0.16669999999999999</v>
      </c>
      <c r="K117" s="12">
        <v>0.44</v>
      </c>
      <c r="L117" s="12">
        <v>0.44779999999999998</v>
      </c>
      <c r="M117" s="12">
        <v>3</v>
      </c>
      <c r="N117" s="12">
        <v>29</v>
      </c>
      <c r="O117" s="12">
        <v>32</v>
      </c>
    </row>
    <row r="118" spans="1:15" x14ac:dyDescent="0.25">
      <c r="A118" s="12">
        <v>736</v>
      </c>
      <c r="B118" s="13">
        <v>40577</v>
      </c>
      <c r="C118" s="12">
        <v>1</v>
      </c>
      <c r="D118" s="12">
        <v>2</v>
      </c>
      <c r="E118" s="12">
        <v>0</v>
      </c>
      <c r="F118" s="12" t="b">
        <v>0</v>
      </c>
      <c r="G118" s="12">
        <v>4</v>
      </c>
      <c r="H118" s="12">
        <v>1</v>
      </c>
      <c r="I118" s="12">
        <v>0.2</v>
      </c>
      <c r="J118" s="12">
        <v>0.16669999999999999</v>
      </c>
      <c r="K118" s="12">
        <v>0.4</v>
      </c>
      <c r="L118" s="12">
        <v>0.44779999999999998</v>
      </c>
      <c r="M118" s="12">
        <v>1</v>
      </c>
      <c r="N118" s="12">
        <v>11</v>
      </c>
      <c r="O118" s="12">
        <v>12</v>
      </c>
    </row>
    <row r="119" spans="1:15" x14ac:dyDescent="0.25">
      <c r="A119" s="12">
        <v>737</v>
      </c>
      <c r="B119" s="13">
        <v>40577</v>
      </c>
      <c r="C119" s="12">
        <v>1</v>
      </c>
      <c r="D119" s="12">
        <v>2</v>
      </c>
      <c r="E119" s="12">
        <v>1</v>
      </c>
      <c r="F119" s="12" t="b">
        <v>0</v>
      </c>
      <c r="G119" s="12">
        <v>4</v>
      </c>
      <c r="H119" s="12">
        <v>1</v>
      </c>
      <c r="I119" s="12">
        <v>0.2</v>
      </c>
      <c r="J119" s="12">
        <v>0.1515</v>
      </c>
      <c r="K119" s="12">
        <v>0.44</v>
      </c>
      <c r="L119" s="12">
        <v>0.52239999999999998</v>
      </c>
      <c r="M119" s="12">
        <v>0</v>
      </c>
      <c r="N119" s="12">
        <v>5</v>
      </c>
      <c r="O119" s="12">
        <v>5</v>
      </c>
    </row>
    <row r="120" spans="1:15" x14ac:dyDescent="0.25">
      <c r="A120" s="12">
        <v>738</v>
      </c>
      <c r="B120" s="13">
        <v>40577</v>
      </c>
      <c r="C120" s="12">
        <v>1</v>
      </c>
      <c r="D120" s="12">
        <v>2</v>
      </c>
      <c r="E120" s="12">
        <v>2</v>
      </c>
      <c r="F120" s="12" t="b">
        <v>0</v>
      </c>
      <c r="G120" s="12">
        <v>4</v>
      </c>
      <c r="H120" s="12">
        <v>1</v>
      </c>
      <c r="I120" s="12">
        <v>0.18</v>
      </c>
      <c r="J120" s="12">
        <v>0.16669999999999999</v>
      </c>
      <c r="K120" s="12">
        <v>0.43</v>
      </c>
      <c r="L120" s="12">
        <v>0.25369999999999998</v>
      </c>
      <c r="M120" s="12">
        <v>0</v>
      </c>
      <c r="N120" s="12">
        <v>2</v>
      </c>
      <c r="O120" s="12">
        <v>2</v>
      </c>
    </row>
    <row r="121" spans="1:15" x14ac:dyDescent="0.25">
      <c r="A121" s="12">
        <v>739</v>
      </c>
      <c r="B121" s="13">
        <v>40577</v>
      </c>
      <c r="C121" s="12">
        <v>1</v>
      </c>
      <c r="D121" s="12">
        <v>2</v>
      </c>
      <c r="E121" s="12">
        <v>3</v>
      </c>
      <c r="F121" s="12" t="b">
        <v>0</v>
      </c>
      <c r="G121" s="12">
        <v>4</v>
      </c>
      <c r="H121" s="12">
        <v>1</v>
      </c>
      <c r="I121" s="12">
        <v>0.18</v>
      </c>
      <c r="J121" s="12">
        <v>0.16669999999999999</v>
      </c>
      <c r="K121" s="12">
        <v>0.43</v>
      </c>
      <c r="L121" s="12">
        <v>0.25369999999999998</v>
      </c>
      <c r="M121" s="12">
        <v>0</v>
      </c>
      <c r="N121" s="12">
        <v>1</v>
      </c>
      <c r="O121" s="12">
        <v>1</v>
      </c>
    </row>
    <row r="122" spans="1:15" x14ac:dyDescent="0.25">
      <c r="A122" s="12">
        <v>740</v>
      </c>
      <c r="B122" s="13">
        <v>40577</v>
      </c>
      <c r="C122" s="12">
        <v>1</v>
      </c>
      <c r="D122" s="12">
        <v>2</v>
      </c>
      <c r="E122" s="12">
        <v>5</v>
      </c>
      <c r="F122" s="12" t="b">
        <v>0</v>
      </c>
      <c r="G122" s="12">
        <v>4</v>
      </c>
      <c r="H122" s="12">
        <v>1</v>
      </c>
      <c r="I122" s="12">
        <v>0.16</v>
      </c>
      <c r="J122" s="12">
        <v>0.13639999999999999</v>
      </c>
      <c r="K122" s="12">
        <v>0.5</v>
      </c>
      <c r="L122" s="12">
        <v>0.29849999999999999</v>
      </c>
      <c r="M122" s="12">
        <v>0</v>
      </c>
      <c r="N122" s="12">
        <v>2</v>
      </c>
      <c r="O122" s="12">
        <v>2</v>
      </c>
    </row>
    <row r="123" spans="1:15" x14ac:dyDescent="0.25">
      <c r="A123" s="12">
        <v>741</v>
      </c>
      <c r="B123" s="13">
        <v>40577</v>
      </c>
      <c r="C123" s="12">
        <v>1</v>
      </c>
      <c r="D123" s="12">
        <v>2</v>
      </c>
      <c r="E123" s="12">
        <v>6</v>
      </c>
      <c r="F123" s="12" t="b">
        <v>0</v>
      </c>
      <c r="G123" s="12">
        <v>4</v>
      </c>
      <c r="H123" s="12">
        <v>1</v>
      </c>
      <c r="I123" s="12">
        <v>0.16</v>
      </c>
      <c r="J123" s="12">
        <v>0.13639999999999999</v>
      </c>
      <c r="K123" s="12">
        <v>0.43</v>
      </c>
      <c r="L123" s="12">
        <v>0.35820000000000002</v>
      </c>
      <c r="M123" s="12">
        <v>0</v>
      </c>
      <c r="N123" s="12">
        <v>39</v>
      </c>
      <c r="O123" s="12">
        <v>39</v>
      </c>
    </row>
    <row r="124" spans="1:15" x14ac:dyDescent="0.25">
      <c r="A124" s="12">
        <v>742</v>
      </c>
      <c r="B124" s="13">
        <v>40577</v>
      </c>
      <c r="C124" s="12">
        <v>1</v>
      </c>
      <c r="D124" s="12">
        <v>2</v>
      </c>
      <c r="E124" s="12">
        <v>7</v>
      </c>
      <c r="F124" s="12" t="b">
        <v>0</v>
      </c>
      <c r="G124" s="12">
        <v>4</v>
      </c>
      <c r="H124" s="12">
        <v>1</v>
      </c>
      <c r="I124" s="12">
        <v>0.14000000000000001</v>
      </c>
      <c r="J124" s="12">
        <v>0.1212</v>
      </c>
      <c r="K124" s="12">
        <v>0.5</v>
      </c>
      <c r="L124" s="12">
        <v>0.32840000000000003</v>
      </c>
      <c r="M124" s="12">
        <v>1</v>
      </c>
      <c r="N124" s="12">
        <v>86</v>
      </c>
      <c r="O124" s="12">
        <v>87</v>
      </c>
    </row>
    <row r="125" spans="1:15" x14ac:dyDescent="0.25">
      <c r="A125" s="12">
        <v>743</v>
      </c>
      <c r="B125" s="13">
        <v>40577</v>
      </c>
      <c r="C125" s="12">
        <v>1</v>
      </c>
      <c r="D125" s="12">
        <v>2</v>
      </c>
      <c r="E125" s="12">
        <v>8</v>
      </c>
      <c r="F125" s="12" t="b">
        <v>0</v>
      </c>
      <c r="G125" s="12">
        <v>4</v>
      </c>
      <c r="H125" s="12">
        <v>1</v>
      </c>
      <c r="I125" s="12">
        <v>0.14000000000000001</v>
      </c>
      <c r="J125" s="12">
        <v>0.1212</v>
      </c>
      <c r="K125" s="12">
        <v>0.5</v>
      </c>
      <c r="L125" s="12">
        <v>0.35820000000000002</v>
      </c>
      <c r="M125" s="12">
        <v>4</v>
      </c>
      <c r="N125" s="12">
        <v>184</v>
      </c>
      <c r="O125" s="12">
        <v>188</v>
      </c>
    </row>
    <row r="126" spans="1:15" x14ac:dyDescent="0.25">
      <c r="A126" s="12">
        <v>744</v>
      </c>
      <c r="B126" s="13">
        <v>40577</v>
      </c>
      <c r="C126" s="12">
        <v>1</v>
      </c>
      <c r="D126" s="12">
        <v>2</v>
      </c>
      <c r="E126" s="12">
        <v>9</v>
      </c>
      <c r="F126" s="12" t="b">
        <v>0</v>
      </c>
      <c r="G126" s="12">
        <v>4</v>
      </c>
      <c r="H126" s="12">
        <v>1</v>
      </c>
      <c r="I126" s="12">
        <v>0.16</v>
      </c>
      <c r="J126" s="12">
        <v>0.13639999999999999</v>
      </c>
      <c r="K126" s="12">
        <v>0.47</v>
      </c>
      <c r="L126" s="12">
        <v>0.29849999999999999</v>
      </c>
      <c r="M126" s="12">
        <v>6</v>
      </c>
      <c r="N126" s="12">
        <v>127</v>
      </c>
      <c r="O126" s="12">
        <v>133</v>
      </c>
    </row>
    <row r="127" spans="1:15" x14ac:dyDescent="0.25">
      <c r="A127" s="12">
        <v>745</v>
      </c>
      <c r="B127" s="13">
        <v>40577</v>
      </c>
      <c r="C127" s="12">
        <v>1</v>
      </c>
      <c r="D127" s="12">
        <v>2</v>
      </c>
      <c r="E127" s="12">
        <v>10</v>
      </c>
      <c r="F127" s="12" t="b">
        <v>0</v>
      </c>
      <c r="G127" s="12">
        <v>4</v>
      </c>
      <c r="H127" s="12">
        <v>1</v>
      </c>
      <c r="I127" s="12">
        <v>0.18</v>
      </c>
      <c r="J127" s="12">
        <v>0.1515</v>
      </c>
      <c r="K127" s="12">
        <v>0.43</v>
      </c>
      <c r="L127" s="12">
        <v>0.32840000000000003</v>
      </c>
      <c r="M127" s="12">
        <v>2</v>
      </c>
      <c r="N127" s="12">
        <v>50</v>
      </c>
      <c r="O127" s="12">
        <v>52</v>
      </c>
    </row>
    <row r="128" spans="1:15" x14ac:dyDescent="0.25">
      <c r="A128" s="12">
        <v>746</v>
      </c>
      <c r="B128" s="13">
        <v>40577</v>
      </c>
      <c r="C128" s="12">
        <v>1</v>
      </c>
      <c r="D128" s="12">
        <v>2</v>
      </c>
      <c r="E128" s="12">
        <v>11</v>
      </c>
      <c r="F128" s="12" t="b">
        <v>0</v>
      </c>
      <c r="G128" s="12">
        <v>4</v>
      </c>
      <c r="H128" s="12">
        <v>1</v>
      </c>
      <c r="I128" s="12">
        <v>0.18</v>
      </c>
      <c r="J128" s="12">
        <v>0.13639999999999999</v>
      </c>
      <c r="K128" s="12">
        <v>0.43</v>
      </c>
      <c r="L128" s="12">
        <v>0.44779999999999998</v>
      </c>
      <c r="M128" s="12">
        <v>9</v>
      </c>
      <c r="N128" s="12">
        <v>55</v>
      </c>
      <c r="O128" s="12">
        <v>64</v>
      </c>
    </row>
    <row r="129" spans="1:15" x14ac:dyDescent="0.25">
      <c r="A129" s="12">
        <v>747</v>
      </c>
      <c r="B129" s="13">
        <v>40577</v>
      </c>
      <c r="C129" s="12">
        <v>1</v>
      </c>
      <c r="D129" s="12">
        <v>2</v>
      </c>
      <c r="E129" s="12">
        <v>12</v>
      </c>
      <c r="F129" s="12" t="b">
        <v>0</v>
      </c>
      <c r="G129" s="12">
        <v>4</v>
      </c>
      <c r="H129" s="12">
        <v>1</v>
      </c>
      <c r="I129" s="12">
        <v>0.2</v>
      </c>
      <c r="J129" s="12">
        <v>0.18179999999999999</v>
      </c>
      <c r="K129" s="12">
        <v>0.4</v>
      </c>
      <c r="L129" s="12">
        <v>0.35820000000000002</v>
      </c>
      <c r="M129" s="12">
        <v>2</v>
      </c>
      <c r="N129" s="12">
        <v>67</v>
      </c>
      <c r="O129" s="12">
        <v>69</v>
      </c>
    </row>
    <row r="130" spans="1:15" x14ac:dyDescent="0.25">
      <c r="A130" s="12">
        <v>748</v>
      </c>
      <c r="B130" s="13">
        <v>40577</v>
      </c>
      <c r="C130" s="12">
        <v>1</v>
      </c>
      <c r="D130" s="12">
        <v>2</v>
      </c>
      <c r="E130" s="12">
        <v>13</v>
      </c>
      <c r="F130" s="12" t="b">
        <v>0</v>
      </c>
      <c r="G130" s="12">
        <v>4</v>
      </c>
      <c r="H130" s="12">
        <v>1</v>
      </c>
      <c r="I130" s="12">
        <v>0.2</v>
      </c>
      <c r="J130" s="12">
        <v>0.16669999999999999</v>
      </c>
      <c r="K130" s="12">
        <v>0.4</v>
      </c>
      <c r="L130" s="12">
        <v>0.41789999999999999</v>
      </c>
      <c r="M130" s="12">
        <v>4</v>
      </c>
      <c r="N130" s="12">
        <v>47</v>
      </c>
      <c r="O130" s="12">
        <v>51</v>
      </c>
    </row>
    <row r="131" spans="1:15" x14ac:dyDescent="0.25">
      <c r="A131" s="12">
        <v>749</v>
      </c>
      <c r="B131" s="13">
        <v>40577</v>
      </c>
      <c r="C131" s="12">
        <v>1</v>
      </c>
      <c r="D131" s="12">
        <v>2</v>
      </c>
      <c r="E131" s="12">
        <v>14</v>
      </c>
      <c r="F131" s="12" t="b">
        <v>0</v>
      </c>
      <c r="G131" s="12">
        <v>4</v>
      </c>
      <c r="H131" s="12">
        <v>1</v>
      </c>
      <c r="I131" s="12">
        <v>0.22</v>
      </c>
      <c r="J131" s="12">
        <v>0.19700000000000001</v>
      </c>
      <c r="K131" s="12">
        <v>0.37</v>
      </c>
      <c r="L131" s="12">
        <v>0.3881</v>
      </c>
      <c r="M131" s="12">
        <v>4</v>
      </c>
      <c r="N131" s="12">
        <v>43</v>
      </c>
      <c r="O131" s="12">
        <v>47</v>
      </c>
    </row>
    <row r="132" spans="1:15" x14ac:dyDescent="0.25">
      <c r="A132" s="12">
        <v>750</v>
      </c>
      <c r="B132" s="13">
        <v>40577</v>
      </c>
      <c r="C132" s="12">
        <v>1</v>
      </c>
      <c r="D132" s="12">
        <v>2</v>
      </c>
      <c r="E132" s="12">
        <v>15</v>
      </c>
      <c r="F132" s="12" t="b">
        <v>0</v>
      </c>
      <c r="G132" s="12">
        <v>4</v>
      </c>
      <c r="H132" s="12">
        <v>1</v>
      </c>
      <c r="I132" s="12">
        <v>0.22</v>
      </c>
      <c r="J132" s="12">
        <v>0.19700000000000001</v>
      </c>
      <c r="K132" s="12">
        <v>0.37</v>
      </c>
      <c r="L132" s="12">
        <v>0.32840000000000003</v>
      </c>
      <c r="M132" s="12">
        <v>4</v>
      </c>
      <c r="N132" s="12">
        <v>56</v>
      </c>
      <c r="O132" s="12">
        <v>60</v>
      </c>
    </row>
    <row r="133" spans="1:15" x14ac:dyDescent="0.25">
      <c r="A133" s="12">
        <v>751</v>
      </c>
      <c r="B133" s="13">
        <v>40577</v>
      </c>
      <c r="C133" s="12">
        <v>1</v>
      </c>
      <c r="D133" s="12">
        <v>2</v>
      </c>
      <c r="E133" s="12">
        <v>16</v>
      </c>
      <c r="F133" s="12" t="b">
        <v>0</v>
      </c>
      <c r="G133" s="12">
        <v>4</v>
      </c>
      <c r="H133" s="12">
        <v>1</v>
      </c>
      <c r="I133" s="12">
        <v>0.22</v>
      </c>
      <c r="J133" s="12">
        <v>0.21210000000000001</v>
      </c>
      <c r="K133" s="12">
        <v>0.37</v>
      </c>
      <c r="L133" s="12">
        <v>0.25369999999999998</v>
      </c>
      <c r="M133" s="12">
        <v>5</v>
      </c>
      <c r="N133" s="12">
        <v>73</v>
      </c>
      <c r="O133" s="12">
        <v>78</v>
      </c>
    </row>
    <row r="134" spans="1:15" x14ac:dyDescent="0.25">
      <c r="A134" s="12">
        <v>752</v>
      </c>
      <c r="B134" s="13">
        <v>40577</v>
      </c>
      <c r="C134" s="12">
        <v>1</v>
      </c>
      <c r="D134" s="12">
        <v>2</v>
      </c>
      <c r="E134" s="12">
        <v>17</v>
      </c>
      <c r="F134" s="12" t="b">
        <v>0</v>
      </c>
      <c r="G134" s="12">
        <v>4</v>
      </c>
      <c r="H134" s="12">
        <v>1</v>
      </c>
      <c r="I134" s="12">
        <v>0.2</v>
      </c>
      <c r="J134" s="12">
        <v>0.19700000000000001</v>
      </c>
      <c r="K134" s="12">
        <v>0.4</v>
      </c>
      <c r="L134" s="12">
        <v>0.19400000000000001</v>
      </c>
      <c r="M134" s="12">
        <v>5</v>
      </c>
      <c r="N134" s="12">
        <v>170</v>
      </c>
      <c r="O134" s="12">
        <v>175</v>
      </c>
    </row>
    <row r="135" spans="1:15" x14ac:dyDescent="0.25">
      <c r="A135" s="12">
        <v>753</v>
      </c>
      <c r="B135" s="13">
        <v>40577</v>
      </c>
      <c r="C135" s="12">
        <v>1</v>
      </c>
      <c r="D135" s="12">
        <v>2</v>
      </c>
      <c r="E135" s="12">
        <v>18</v>
      </c>
      <c r="F135" s="12" t="b">
        <v>0</v>
      </c>
      <c r="G135" s="12">
        <v>4</v>
      </c>
      <c r="H135" s="12">
        <v>1</v>
      </c>
      <c r="I135" s="12">
        <v>0.2</v>
      </c>
      <c r="J135" s="12">
        <v>0.21210000000000001</v>
      </c>
      <c r="K135" s="12">
        <v>0.4</v>
      </c>
      <c r="L135" s="12">
        <v>0.16420000000000001</v>
      </c>
      <c r="M135" s="12">
        <v>2</v>
      </c>
      <c r="N135" s="12">
        <v>145</v>
      </c>
      <c r="O135" s="12">
        <v>147</v>
      </c>
    </row>
    <row r="136" spans="1:15" x14ac:dyDescent="0.25">
      <c r="A136" s="12">
        <v>754</v>
      </c>
      <c r="B136" s="13">
        <v>40577</v>
      </c>
      <c r="C136" s="12">
        <v>1</v>
      </c>
      <c r="D136" s="12">
        <v>2</v>
      </c>
      <c r="E136" s="12">
        <v>19</v>
      </c>
      <c r="F136" s="12" t="b">
        <v>0</v>
      </c>
      <c r="G136" s="12">
        <v>4</v>
      </c>
      <c r="H136" s="12">
        <v>1</v>
      </c>
      <c r="I136" s="12">
        <v>0.2</v>
      </c>
      <c r="J136" s="12">
        <v>0.2576</v>
      </c>
      <c r="K136" s="12">
        <v>0.4</v>
      </c>
      <c r="L136" s="12">
        <v>0</v>
      </c>
      <c r="M136" s="12">
        <v>4</v>
      </c>
      <c r="N136" s="12">
        <v>92</v>
      </c>
      <c r="O136" s="12">
        <v>96</v>
      </c>
    </row>
    <row r="137" spans="1:15" x14ac:dyDescent="0.25">
      <c r="A137" s="12">
        <v>755</v>
      </c>
      <c r="B137" s="13">
        <v>40577</v>
      </c>
      <c r="C137" s="12">
        <v>1</v>
      </c>
      <c r="D137" s="12">
        <v>2</v>
      </c>
      <c r="E137" s="12">
        <v>20</v>
      </c>
      <c r="F137" s="12" t="b">
        <v>0</v>
      </c>
      <c r="G137" s="12">
        <v>4</v>
      </c>
      <c r="H137" s="12">
        <v>1</v>
      </c>
      <c r="I137" s="12">
        <v>0.2</v>
      </c>
      <c r="J137" s="12">
        <v>0.2273</v>
      </c>
      <c r="K137" s="12">
        <v>0.47</v>
      </c>
      <c r="L137" s="12">
        <v>8.9599999999999999E-2</v>
      </c>
      <c r="M137" s="12">
        <v>1</v>
      </c>
      <c r="N137" s="12">
        <v>108</v>
      </c>
      <c r="O137" s="12">
        <v>109</v>
      </c>
    </row>
    <row r="138" spans="1:15" x14ac:dyDescent="0.25">
      <c r="A138" s="12">
        <v>756</v>
      </c>
      <c r="B138" s="13">
        <v>40577</v>
      </c>
      <c r="C138" s="12">
        <v>1</v>
      </c>
      <c r="D138" s="12">
        <v>2</v>
      </c>
      <c r="E138" s="12">
        <v>21</v>
      </c>
      <c r="F138" s="12" t="b">
        <v>0</v>
      </c>
      <c r="G138" s="12">
        <v>4</v>
      </c>
      <c r="H138" s="12">
        <v>1</v>
      </c>
      <c r="I138" s="12">
        <v>0.18</v>
      </c>
      <c r="J138" s="12">
        <v>0.21210000000000001</v>
      </c>
      <c r="K138" s="12">
        <v>0.55000000000000004</v>
      </c>
      <c r="L138" s="12">
        <v>0.1045</v>
      </c>
      <c r="M138" s="12">
        <v>1</v>
      </c>
      <c r="N138" s="12">
        <v>53</v>
      </c>
      <c r="O138" s="12">
        <v>54</v>
      </c>
    </row>
    <row r="139" spans="1:15" x14ac:dyDescent="0.25">
      <c r="A139" s="12">
        <v>757</v>
      </c>
      <c r="B139" s="13">
        <v>40577</v>
      </c>
      <c r="C139" s="12">
        <v>1</v>
      </c>
      <c r="D139" s="12">
        <v>2</v>
      </c>
      <c r="E139" s="12">
        <v>22</v>
      </c>
      <c r="F139" s="12" t="b">
        <v>0</v>
      </c>
      <c r="G139" s="12">
        <v>4</v>
      </c>
      <c r="H139" s="12">
        <v>1</v>
      </c>
      <c r="I139" s="12">
        <v>0.18</v>
      </c>
      <c r="J139" s="12">
        <v>0.21210000000000001</v>
      </c>
      <c r="K139" s="12">
        <v>0.51</v>
      </c>
      <c r="L139" s="12">
        <v>8.9599999999999999E-2</v>
      </c>
      <c r="M139" s="12">
        <v>2</v>
      </c>
      <c r="N139" s="12">
        <v>39</v>
      </c>
      <c r="O139" s="12">
        <v>41</v>
      </c>
    </row>
    <row r="140" spans="1:15" x14ac:dyDescent="0.25">
      <c r="A140" s="12">
        <v>758</v>
      </c>
      <c r="B140" s="13">
        <v>40577</v>
      </c>
      <c r="C140" s="12">
        <v>1</v>
      </c>
      <c r="D140" s="12">
        <v>2</v>
      </c>
      <c r="E140" s="12">
        <v>23</v>
      </c>
      <c r="F140" s="12" t="b">
        <v>0</v>
      </c>
      <c r="G140" s="12">
        <v>4</v>
      </c>
      <c r="H140" s="12">
        <v>1</v>
      </c>
      <c r="I140" s="12">
        <v>0.2</v>
      </c>
      <c r="J140" s="12">
        <v>0.2273</v>
      </c>
      <c r="K140" s="12">
        <v>0.47</v>
      </c>
      <c r="L140" s="12">
        <v>0.1045</v>
      </c>
      <c r="M140" s="12">
        <v>4</v>
      </c>
      <c r="N140" s="12">
        <v>34</v>
      </c>
      <c r="O140" s="12">
        <v>38</v>
      </c>
    </row>
    <row r="141" spans="1:15" x14ac:dyDescent="0.25">
      <c r="A141" s="12">
        <v>759</v>
      </c>
      <c r="B141" s="13">
        <v>40578</v>
      </c>
      <c r="C141" s="12">
        <v>1</v>
      </c>
      <c r="D141" s="12">
        <v>2</v>
      </c>
      <c r="E141" s="12">
        <v>0</v>
      </c>
      <c r="F141" s="12" t="b">
        <v>0</v>
      </c>
      <c r="G141" s="12">
        <v>5</v>
      </c>
      <c r="H141" s="12">
        <v>2</v>
      </c>
      <c r="I141" s="12">
        <v>0.2</v>
      </c>
      <c r="J141" s="12">
        <v>0.2576</v>
      </c>
      <c r="K141" s="12">
        <v>0.44</v>
      </c>
      <c r="L141" s="12">
        <v>0</v>
      </c>
      <c r="M141" s="12">
        <v>3</v>
      </c>
      <c r="N141" s="12">
        <v>10</v>
      </c>
      <c r="O141" s="12">
        <v>13</v>
      </c>
    </row>
    <row r="142" spans="1:15" x14ac:dyDescent="0.25">
      <c r="A142" s="12">
        <v>760</v>
      </c>
      <c r="B142" s="13">
        <v>40578</v>
      </c>
      <c r="C142" s="12">
        <v>1</v>
      </c>
      <c r="D142" s="12">
        <v>2</v>
      </c>
      <c r="E142" s="12">
        <v>1</v>
      </c>
      <c r="F142" s="12" t="b">
        <v>0</v>
      </c>
      <c r="G142" s="12">
        <v>5</v>
      </c>
      <c r="H142" s="12">
        <v>2</v>
      </c>
      <c r="I142" s="12">
        <v>0.16</v>
      </c>
      <c r="J142" s="12">
        <v>0.2273</v>
      </c>
      <c r="K142" s="12">
        <v>0.59</v>
      </c>
      <c r="L142" s="12">
        <v>0</v>
      </c>
      <c r="M142" s="12">
        <v>0</v>
      </c>
      <c r="N142" s="12">
        <v>7</v>
      </c>
      <c r="O142" s="12">
        <v>7</v>
      </c>
    </row>
    <row r="143" spans="1:15" x14ac:dyDescent="0.25">
      <c r="A143" s="12">
        <v>761</v>
      </c>
      <c r="B143" s="13">
        <v>40578</v>
      </c>
      <c r="C143" s="12">
        <v>1</v>
      </c>
      <c r="D143" s="12">
        <v>2</v>
      </c>
      <c r="E143" s="12">
        <v>2</v>
      </c>
      <c r="F143" s="12" t="b">
        <v>0</v>
      </c>
      <c r="G143" s="12">
        <v>5</v>
      </c>
      <c r="H143" s="12">
        <v>2</v>
      </c>
      <c r="I143" s="12">
        <v>0.14000000000000001</v>
      </c>
      <c r="J143" s="12">
        <v>0.16669999999999999</v>
      </c>
      <c r="K143" s="12">
        <v>0.63</v>
      </c>
      <c r="L143" s="12">
        <v>0.1045</v>
      </c>
      <c r="M143" s="12">
        <v>0</v>
      </c>
      <c r="N143" s="12">
        <v>1</v>
      </c>
      <c r="O143" s="12">
        <v>1</v>
      </c>
    </row>
    <row r="144" spans="1:15" x14ac:dyDescent="0.25">
      <c r="A144" s="12">
        <v>762</v>
      </c>
      <c r="B144" s="13">
        <v>40578</v>
      </c>
      <c r="C144" s="12">
        <v>1</v>
      </c>
      <c r="D144" s="12">
        <v>2</v>
      </c>
      <c r="E144" s="12">
        <v>3</v>
      </c>
      <c r="F144" s="12" t="b">
        <v>0</v>
      </c>
      <c r="G144" s="12">
        <v>5</v>
      </c>
      <c r="H144" s="12">
        <v>2</v>
      </c>
      <c r="I144" s="12">
        <v>0.14000000000000001</v>
      </c>
      <c r="J144" s="12">
        <v>0.16669999999999999</v>
      </c>
      <c r="K144" s="12">
        <v>0.63</v>
      </c>
      <c r="L144" s="12">
        <v>0.1045</v>
      </c>
      <c r="M144" s="12">
        <v>0</v>
      </c>
      <c r="N144" s="12">
        <v>1</v>
      </c>
      <c r="O144" s="12">
        <v>1</v>
      </c>
    </row>
    <row r="145" spans="1:15" x14ac:dyDescent="0.25">
      <c r="A145" s="12">
        <v>763</v>
      </c>
      <c r="B145" s="13">
        <v>40578</v>
      </c>
      <c r="C145" s="12">
        <v>1</v>
      </c>
      <c r="D145" s="12">
        <v>2</v>
      </c>
      <c r="E145" s="12">
        <v>5</v>
      </c>
      <c r="F145" s="12" t="b">
        <v>0</v>
      </c>
      <c r="G145" s="12">
        <v>5</v>
      </c>
      <c r="H145" s="12">
        <v>2</v>
      </c>
      <c r="I145" s="12">
        <v>0.14000000000000001</v>
      </c>
      <c r="J145" s="12">
        <v>0.1515</v>
      </c>
      <c r="K145" s="12">
        <v>0.63</v>
      </c>
      <c r="L145" s="12">
        <v>0.1343</v>
      </c>
      <c r="M145" s="12">
        <v>0</v>
      </c>
      <c r="N145" s="12">
        <v>7</v>
      </c>
      <c r="O145" s="12">
        <v>7</v>
      </c>
    </row>
    <row r="146" spans="1:15" x14ac:dyDescent="0.25">
      <c r="A146" s="12">
        <v>764</v>
      </c>
      <c r="B146" s="13">
        <v>40578</v>
      </c>
      <c r="C146" s="12">
        <v>1</v>
      </c>
      <c r="D146" s="12">
        <v>2</v>
      </c>
      <c r="E146" s="12">
        <v>6</v>
      </c>
      <c r="F146" s="12" t="b">
        <v>0</v>
      </c>
      <c r="G146" s="12">
        <v>5</v>
      </c>
      <c r="H146" s="12">
        <v>2</v>
      </c>
      <c r="I146" s="12">
        <v>0.16</v>
      </c>
      <c r="J146" s="12">
        <v>0.2273</v>
      </c>
      <c r="K146" s="12">
        <v>0.55000000000000004</v>
      </c>
      <c r="L146" s="12">
        <v>0</v>
      </c>
      <c r="M146" s="12">
        <v>2</v>
      </c>
      <c r="N146" s="12">
        <v>26</v>
      </c>
      <c r="O146" s="12">
        <v>28</v>
      </c>
    </row>
    <row r="147" spans="1:15" x14ac:dyDescent="0.25">
      <c r="A147" s="12">
        <v>765</v>
      </c>
      <c r="B147" s="13">
        <v>40578</v>
      </c>
      <c r="C147" s="12">
        <v>1</v>
      </c>
      <c r="D147" s="12">
        <v>2</v>
      </c>
      <c r="E147" s="12">
        <v>7</v>
      </c>
      <c r="F147" s="12" t="b">
        <v>0</v>
      </c>
      <c r="G147" s="12">
        <v>5</v>
      </c>
      <c r="H147" s="12">
        <v>1</v>
      </c>
      <c r="I147" s="12">
        <v>0.14000000000000001</v>
      </c>
      <c r="J147" s="12">
        <v>0.21210000000000001</v>
      </c>
      <c r="K147" s="12">
        <v>0.59</v>
      </c>
      <c r="L147" s="12">
        <v>0</v>
      </c>
      <c r="M147" s="12">
        <v>0</v>
      </c>
      <c r="N147" s="12">
        <v>87</v>
      </c>
      <c r="O147" s="12">
        <v>87</v>
      </c>
    </row>
    <row r="148" spans="1:15" x14ac:dyDescent="0.25">
      <c r="A148" s="12">
        <v>766</v>
      </c>
      <c r="B148" s="13">
        <v>40578</v>
      </c>
      <c r="C148" s="12">
        <v>1</v>
      </c>
      <c r="D148" s="12">
        <v>2</v>
      </c>
      <c r="E148" s="12">
        <v>8</v>
      </c>
      <c r="F148" s="12" t="b">
        <v>0</v>
      </c>
      <c r="G148" s="12">
        <v>5</v>
      </c>
      <c r="H148" s="12">
        <v>1</v>
      </c>
      <c r="I148" s="12">
        <v>0.14000000000000001</v>
      </c>
      <c r="J148" s="12">
        <v>0.1515</v>
      </c>
      <c r="K148" s="12">
        <v>0.74</v>
      </c>
      <c r="L148" s="12">
        <v>0.1343</v>
      </c>
      <c r="M148" s="12">
        <v>3</v>
      </c>
      <c r="N148" s="12">
        <v>217</v>
      </c>
      <c r="O148" s="12">
        <v>220</v>
      </c>
    </row>
    <row r="149" spans="1:15" x14ac:dyDescent="0.25">
      <c r="A149" s="12">
        <v>767</v>
      </c>
      <c r="B149" s="13">
        <v>40578</v>
      </c>
      <c r="C149" s="12">
        <v>1</v>
      </c>
      <c r="D149" s="12">
        <v>2</v>
      </c>
      <c r="E149" s="12">
        <v>9</v>
      </c>
      <c r="F149" s="12" t="b">
        <v>0</v>
      </c>
      <c r="G149" s="12">
        <v>5</v>
      </c>
      <c r="H149" s="12">
        <v>2</v>
      </c>
      <c r="I149" s="12">
        <v>0.16</v>
      </c>
      <c r="J149" s="12">
        <v>0.18179999999999999</v>
      </c>
      <c r="K149" s="12">
        <v>0.8</v>
      </c>
      <c r="L149" s="12">
        <v>0.1343</v>
      </c>
      <c r="M149" s="12">
        <v>3</v>
      </c>
      <c r="N149" s="12">
        <v>124</v>
      </c>
      <c r="O149" s="12">
        <v>127</v>
      </c>
    </row>
    <row r="150" spans="1:15" x14ac:dyDescent="0.25">
      <c r="A150" s="12">
        <v>768</v>
      </c>
      <c r="B150" s="13">
        <v>40578</v>
      </c>
      <c r="C150" s="12">
        <v>1</v>
      </c>
      <c r="D150" s="12">
        <v>2</v>
      </c>
      <c r="E150" s="12">
        <v>10</v>
      </c>
      <c r="F150" s="12" t="b">
        <v>0</v>
      </c>
      <c r="G150" s="12">
        <v>5</v>
      </c>
      <c r="H150" s="12">
        <v>2</v>
      </c>
      <c r="I150" s="12">
        <v>0.2</v>
      </c>
      <c r="J150" s="12">
        <v>0.21210000000000001</v>
      </c>
      <c r="K150" s="12">
        <v>0.51</v>
      </c>
      <c r="L150" s="12">
        <v>0.1343</v>
      </c>
      <c r="M150" s="12">
        <v>5</v>
      </c>
      <c r="N150" s="12">
        <v>46</v>
      </c>
      <c r="O150" s="12">
        <v>51</v>
      </c>
    </row>
    <row r="151" spans="1:15" x14ac:dyDescent="0.25">
      <c r="A151" s="12">
        <v>769</v>
      </c>
      <c r="B151" s="13">
        <v>40578</v>
      </c>
      <c r="C151" s="12">
        <v>1</v>
      </c>
      <c r="D151" s="12">
        <v>2</v>
      </c>
      <c r="E151" s="12">
        <v>11</v>
      </c>
      <c r="F151" s="12" t="b">
        <v>0</v>
      </c>
      <c r="G151" s="12">
        <v>5</v>
      </c>
      <c r="H151" s="12">
        <v>1</v>
      </c>
      <c r="I151" s="12">
        <v>0.22</v>
      </c>
      <c r="J151" s="12">
        <v>0.2273</v>
      </c>
      <c r="K151" s="12">
        <v>0.51</v>
      </c>
      <c r="L151" s="12">
        <v>0.16420000000000001</v>
      </c>
      <c r="M151" s="12">
        <v>3</v>
      </c>
      <c r="N151" s="12">
        <v>61</v>
      </c>
      <c r="O151" s="12">
        <v>64</v>
      </c>
    </row>
    <row r="152" spans="1:15" x14ac:dyDescent="0.25">
      <c r="A152" s="12">
        <v>770</v>
      </c>
      <c r="B152" s="13">
        <v>40578</v>
      </c>
      <c r="C152" s="12">
        <v>1</v>
      </c>
      <c r="D152" s="12">
        <v>2</v>
      </c>
      <c r="E152" s="12">
        <v>12</v>
      </c>
      <c r="F152" s="12" t="b">
        <v>0</v>
      </c>
      <c r="G152" s="12">
        <v>5</v>
      </c>
      <c r="H152" s="12">
        <v>2</v>
      </c>
      <c r="I152" s="12">
        <v>0.24</v>
      </c>
      <c r="J152" s="12">
        <v>0.2424</v>
      </c>
      <c r="K152" s="12">
        <v>0.48</v>
      </c>
      <c r="L152" s="12">
        <v>0.16420000000000001</v>
      </c>
      <c r="M152" s="12">
        <v>8</v>
      </c>
      <c r="N152" s="12">
        <v>78</v>
      </c>
      <c r="O152" s="12">
        <v>86</v>
      </c>
    </row>
    <row r="153" spans="1:15" x14ac:dyDescent="0.25">
      <c r="A153" s="12">
        <v>771</v>
      </c>
      <c r="B153" s="13">
        <v>40578</v>
      </c>
      <c r="C153" s="12">
        <v>1</v>
      </c>
      <c r="D153" s="12">
        <v>2</v>
      </c>
      <c r="E153" s="12">
        <v>13</v>
      </c>
      <c r="F153" s="12" t="b">
        <v>0</v>
      </c>
      <c r="G153" s="12">
        <v>5</v>
      </c>
      <c r="H153" s="12">
        <v>2</v>
      </c>
      <c r="I153" s="12">
        <v>0.26</v>
      </c>
      <c r="J153" s="12">
        <v>0.2576</v>
      </c>
      <c r="K153" s="12">
        <v>0.5</v>
      </c>
      <c r="L153" s="12">
        <v>0.22389999999999999</v>
      </c>
      <c r="M153" s="12">
        <v>9</v>
      </c>
      <c r="N153" s="12">
        <v>73</v>
      </c>
      <c r="O153" s="12">
        <v>82</v>
      </c>
    </row>
    <row r="154" spans="1:15" x14ac:dyDescent="0.25">
      <c r="A154" s="12">
        <v>772</v>
      </c>
      <c r="B154" s="13">
        <v>40578</v>
      </c>
      <c r="C154" s="12">
        <v>1</v>
      </c>
      <c r="D154" s="12">
        <v>2</v>
      </c>
      <c r="E154" s="12">
        <v>14</v>
      </c>
      <c r="F154" s="12" t="b">
        <v>0</v>
      </c>
      <c r="G154" s="12">
        <v>5</v>
      </c>
      <c r="H154" s="12">
        <v>2</v>
      </c>
      <c r="I154" s="12">
        <v>0.28000000000000003</v>
      </c>
      <c r="J154" s="12">
        <v>0.2727</v>
      </c>
      <c r="K154" s="12">
        <v>0.45</v>
      </c>
      <c r="L154" s="12">
        <v>0.16420000000000001</v>
      </c>
      <c r="M154" s="12">
        <v>15</v>
      </c>
      <c r="N154" s="12">
        <v>76</v>
      </c>
      <c r="O154" s="12">
        <v>91</v>
      </c>
    </row>
    <row r="155" spans="1:15" x14ac:dyDescent="0.25">
      <c r="A155" s="12">
        <v>773</v>
      </c>
      <c r="B155" s="13">
        <v>40578</v>
      </c>
      <c r="C155" s="12">
        <v>1</v>
      </c>
      <c r="D155" s="12">
        <v>2</v>
      </c>
      <c r="E155" s="12">
        <v>15</v>
      </c>
      <c r="F155" s="12" t="b">
        <v>0</v>
      </c>
      <c r="G155" s="12">
        <v>5</v>
      </c>
      <c r="H155" s="12">
        <v>2</v>
      </c>
      <c r="I155" s="12">
        <v>0.28000000000000003</v>
      </c>
      <c r="J155" s="12">
        <v>0.2727</v>
      </c>
      <c r="K155" s="12">
        <v>0.48</v>
      </c>
      <c r="L155" s="12">
        <v>0.25369999999999998</v>
      </c>
      <c r="M155" s="12">
        <v>9</v>
      </c>
      <c r="N155" s="12">
        <v>81</v>
      </c>
      <c r="O155" s="12">
        <v>90</v>
      </c>
    </row>
    <row r="156" spans="1:15" x14ac:dyDescent="0.25">
      <c r="A156" s="12">
        <v>774</v>
      </c>
      <c r="B156" s="13">
        <v>40578</v>
      </c>
      <c r="C156" s="12">
        <v>1</v>
      </c>
      <c r="D156" s="12">
        <v>2</v>
      </c>
      <c r="E156" s="12">
        <v>16</v>
      </c>
      <c r="F156" s="12" t="b">
        <v>0</v>
      </c>
      <c r="G156" s="12">
        <v>5</v>
      </c>
      <c r="H156" s="12">
        <v>2</v>
      </c>
      <c r="I156" s="12">
        <v>0.3</v>
      </c>
      <c r="J156" s="12">
        <v>0.28789999999999999</v>
      </c>
      <c r="K156" s="12">
        <v>0.42</v>
      </c>
      <c r="L156" s="12">
        <v>0.22389999999999999</v>
      </c>
      <c r="M156" s="12">
        <v>8</v>
      </c>
      <c r="N156" s="12">
        <v>91</v>
      </c>
      <c r="O156" s="12">
        <v>99</v>
      </c>
    </row>
    <row r="157" spans="1:15" x14ac:dyDescent="0.25">
      <c r="A157" s="12">
        <v>775</v>
      </c>
      <c r="B157" s="13">
        <v>40578</v>
      </c>
      <c r="C157" s="12">
        <v>1</v>
      </c>
      <c r="D157" s="12">
        <v>2</v>
      </c>
      <c r="E157" s="12">
        <v>17</v>
      </c>
      <c r="F157" s="12" t="b">
        <v>0</v>
      </c>
      <c r="G157" s="12">
        <v>5</v>
      </c>
      <c r="H157" s="12">
        <v>2</v>
      </c>
      <c r="I157" s="12">
        <v>0.26</v>
      </c>
      <c r="J157" s="12">
        <v>0.2727</v>
      </c>
      <c r="K157" s="12">
        <v>0.56000000000000005</v>
      </c>
      <c r="L157" s="12">
        <v>0.1343</v>
      </c>
      <c r="M157" s="12">
        <v>10</v>
      </c>
      <c r="N157" s="12">
        <v>195</v>
      </c>
      <c r="O157" s="12">
        <v>205</v>
      </c>
    </row>
    <row r="158" spans="1:15" x14ac:dyDescent="0.25">
      <c r="A158" s="12">
        <v>776</v>
      </c>
      <c r="B158" s="13">
        <v>40578</v>
      </c>
      <c r="C158" s="12">
        <v>1</v>
      </c>
      <c r="D158" s="12">
        <v>2</v>
      </c>
      <c r="E158" s="12">
        <v>18</v>
      </c>
      <c r="F158" s="12" t="b">
        <v>0</v>
      </c>
      <c r="G158" s="12">
        <v>5</v>
      </c>
      <c r="H158" s="12">
        <v>2</v>
      </c>
      <c r="I158" s="12">
        <v>0.24</v>
      </c>
      <c r="J158" s="12">
        <v>0.2576</v>
      </c>
      <c r="K158" s="12">
        <v>0.6</v>
      </c>
      <c r="L158" s="12">
        <v>0.1045</v>
      </c>
      <c r="M158" s="12">
        <v>3</v>
      </c>
      <c r="N158" s="12">
        <v>152</v>
      </c>
      <c r="O158" s="12">
        <v>155</v>
      </c>
    </row>
    <row r="159" spans="1:15" x14ac:dyDescent="0.25">
      <c r="A159" s="12">
        <v>777</v>
      </c>
      <c r="B159" s="13">
        <v>40578</v>
      </c>
      <c r="C159" s="12">
        <v>1</v>
      </c>
      <c r="D159" s="12">
        <v>2</v>
      </c>
      <c r="E159" s="12">
        <v>19</v>
      </c>
      <c r="F159" s="12" t="b">
        <v>0</v>
      </c>
      <c r="G159" s="12">
        <v>5</v>
      </c>
      <c r="H159" s="12">
        <v>2</v>
      </c>
      <c r="I159" s="12">
        <v>0.24</v>
      </c>
      <c r="J159" s="12">
        <v>0.2424</v>
      </c>
      <c r="K159" s="12">
        <v>0.65</v>
      </c>
      <c r="L159" s="12">
        <v>0.1343</v>
      </c>
      <c r="M159" s="12">
        <v>1</v>
      </c>
      <c r="N159" s="12">
        <v>102</v>
      </c>
      <c r="O159" s="12">
        <v>103</v>
      </c>
    </row>
    <row r="160" spans="1:15" x14ac:dyDescent="0.25">
      <c r="A160" s="12">
        <v>778</v>
      </c>
      <c r="B160" s="13">
        <v>40578</v>
      </c>
      <c r="C160" s="12">
        <v>1</v>
      </c>
      <c r="D160" s="12">
        <v>2</v>
      </c>
      <c r="E160" s="12">
        <v>20</v>
      </c>
      <c r="F160" s="12" t="b">
        <v>0</v>
      </c>
      <c r="G160" s="12">
        <v>5</v>
      </c>
      <c r="H160" s="12">
        <v>2</v>
      </c>
      <c r="I160" s="12">
        <v>0.24</v>
      </c>
      <c r="J160" s="12">
        <v>0.2424</v>
      </c>
      <c r="K160" s="12">
        <v>0.65</v>
      </c>
      <c r="L160" s="12">
        <v>0.16420000000000001</v>
      </c>
      <c r="M160" s="12">
        <v>2</v>
      </c>
      <c r="N160" s="12">
        <v>69</v>
      </c>
      <c r="O160" s="12">
        <v>71</v>
      </c>
    </row>
    <row r="161" spans="1:15" x14ac:dyDescent="0.25">
      <c r="A161" s="12">
        <v>779</v>
      </c>
      <c r="B161" s="13">
        <v>40578</v>
      </c>
      <c r="C161" s="12">
        <v>1</v>
      </c>
      <c r="D161" s="12">
        <v>2</v>
      </c>
      <c r="E161" s="12">
        <v>21</v>
      </c>
      <c r="F161" s="12" t="b">
        <v>0</v>
      </c>
      <c r="G161" s="12">
        <v>5</v>
      </c>
      <c r="H161" s="12">
        <v>2</v>
      </c>
      <c r="I161" s="12">
        <v>0.24</v>
      </c>
      <c r="J161" s="12">
        <v>0.2424</v>
      </c>
      <c r="K161" s="12">
        <v>0.7</v>
      </c>
      <c r="L161" s="12">
        <v>0.16420000000000001</v>
      </c>
      <c r="M161" s="12">
        <v>2</v>
      </c>
      <c r="N161" s="12">
        <v>41</v>
      </c>
      <c r="O161" s="12">
        <v>43</v>
      </c>
    </row>
    <row r="162" spans="1:15" x14ac:dyDescent="0.25">
      <c r="A162" s="12">
        <v>780</v>
      </c>
      <c r="B162" s="13">
        <v>40578</v>
      </c>
      <c r="C162" s="12">
        <v>1</v>
      </c>
      <c r="D162" s="12">
        <v>2</v>
      </c>
      <c r="E162" s="12">
        <v>22</v>
      </c>
      <c r="F162" s="12" t="b">
        <v>0</v>
      </c>
      <c r="G162" s="12">
        <v>5</v>
      </c>
      <c r="H162" s="12">
        <v>2</v>
      </c>
      <c r="I162" s="12">
        <v>0.24</v>
      </c>
      <c r="J162" s="12">
        <v>0.2424</v>
      </c>
      <c r="K162" s="12">
        <v>0.65</v>
      </c>
      <c r="L162" s="12">
        <v>0.16420000000000001</v>
      </c>
      <c r="M162" s="12">
        <v>1</v>
      </c>
      <c r="N162" s="12">
        <v>45</v>
      </c>
      <c r="O162" s="12">
        <v>46</v>
      </c>
    </row>
    <row r="163" spans="1:15" x14ac:dyDescent="0.25">
      <c r="A163" s="12">
        <v>781</v>
      </c>
      <c r="B163" s="13">
        <v>40578</v>
      </c>
      <c r="C163" s="12">
        <v>1</v>
      </c>
      <c r="D163" s="12">
        <v>2</v>
      </c>
      <c r="E163" s="12">
        <v>23</v>
      </c>
      <c r="F163" s="12" t="b">
        <v>0</v>
      </c>
      <c r="G163" s="12">
        <v>5</v>
      </c>
      <c r="H163" s="12">
        <v>2</v>
      </c>
      <c r="I163" s="12">
        <v>0.24</v>
      </c>
      <c r="J163" s="12">
        <v>0.2424</v>
      </c>
      <c r="K163" s="12">
        <v>0.7</v>
      </c>
      <c r="L163" s="12">
        <v>0.1343</v>
      </c>
      <c r="M163" s="12">
        <v>1</v>
      </c>
      <c r="N163" s="12">
        <v>30</v>
      </c>
      <c r="O163" s="12">
        <v>31</v>
      </c>
    </row>
    <row r="164" spans="1:15" x14ac:dyDescent="0.25">
      <c r="A164" s="12">
        <v>782</v>
      </c>
      <c r="B164" s="13">
        <v>40579</v>
      </c>
      <c r="C164" s="12">
        <v>1</v>
      </c>
      <c r="D164" s="12">
        <v>2</v>
      </c>
      <c r="E164" s="12">
        <v>0</v>
      </c>
      <c r="F164" s="12" t="b">
        <v>0</v>
      </c>
      <c r="G164" s="12">
        <v>6</v>
      </c>
      <c r="H164" s="12">
        <v>2</v>
      </c>
      <c r="I164" s="12">
        <v>0.24</v>
      </c>
      <c r="J164" s="12">
        <v>0.2424</v>
      </c>
      <c r="K164" s="12">
        <v>0.7</v>
      </c>
      <c r="L164" s="12">
        <v>0.16420000000000001</v>
      </c>
      <c r="M164" s="12">
        <v>3</v>
      </c>
      <c r="N164" s="12">
        <v>36</v>
      </c>
      <c r="O164" s="12">
        <v>39</v>
      </c>
    </row>
    <row r="165" spans="1:15" x14ac:dyDescent="0.25">
      <c r="A165" s="12">
        <v>783</v>
      </c>
      <c r="B165" s="13">
        <v>40579</v>
      </c>
      <c r="C165" s="12">
        <v>1</v>
      </c>
      <c r="D165" s="12">
        <v>2</v>
      </c>
      <c r="E165" s="12">
        <v>1</v>
      </c>
      <c r="F165" s="12" t="b">
        <v>0</v>
      </c>
      <c r="G165" s="12">
        <v>6</v>
      </c>
      <c r="H165" s="12">
        <v>2</v>
      </c>
      <c r="I165" s="12">
        <v>0.24</v>
      </c>
      <c r="J165" s="12">
        <v>0.2424</v>
      </c>
      <c r="K165" s="12">
        <v>0.65</v>
      </c>
      <c r="L165" s="12">
        <v>0.16420000000000001</v>
      </c>
      <c r="M165" s="12">
        <v>1</v>
      </c>
      <c r="N165" s="12">
        <v>17</v>
      </c>
      <c r="O165" s="12">
        <v>18</v>
      </c>
    </row>
    <row r="166" spans="1:15" x14ac:dyDescent="0.25">
      <c r="A166" s="12">
        <v>784</v>
      </c>
      <c r="B166" s="13">
        <v>40579</v>
      </c>
      <c r="C166" s="12">
        <v>1</v>
      </c>
      <c r="D166" s="12">
        <v>2</v>
      </c>
      <c r="E166" s="12">
        <v>2</v>
      </c>
      <c r="F166" s="12" t="b">
        <v>0</v>
      </c>
      <c r="G166" s="12">
        <v>6</v>
      </c>
      <c r="H166" s="12">
        <v>2</v>
      </c>
      <c r="I166" s="12">
        <v>0.24</v>
      </c>
      <c r="J166" s="12">
        <v>0.2424</v>
      </c>
      <c r="K166" s="12">
        <v>0.75</v>
      </c>
      <c r="L166" s="12">
        <v>0.16420000000000001</v>
      </c>
      <c r="M166" s="12">
        <v>5</v>
      </c>
      <c r="N166" s="12">
        <v>12</v>
      </c>
      <c r="O166" s="12">
        <v>17</v>
      </c>
    </row>
    <row r="167" spans="1:15" x14ac:dyDescent="0.25">
      <c r="A167" s="12">
        <v>785</v>
      </c>
      <c r="B167" s="13">
        <v>40579</v>
      </c>
      <c r="C167" s="12">
        <v>1</v>
      </c>
      <c r="D167" s="12">
        <v>2</v>
      </c>
      <c r="E167" s="12">
        <v>3</v>
      </c>
      <c r="F167" s="12" t="b">
        <v>0</v>
      </c>
      <c r="G167" s="12">
        <v>6</v>
      </c>
      <c r="H167" s="12">
        <v>2</v>
      </c>
      <c r="I167" s="12">
        <v>0.24</v>
      </c>
      <c r="J167" s="12">
        <v>0.2424</v>
      </c>
      <c r="K167" s="12">
        <v>0.75</v>
      </c>
      <c r="L167" s="12">
        <v>0.16420000000000001</v>
      </c>
      <c r="M167" s="12">
        <v>1</v>
      </c>
      <c r="N167" s="12">
        <v>10</v>
      </c>
      <c r="O167" s="12">
        <v>11</v>
      </c>
    </row>
    <row r="168" spans="1:15" x14ac:dyDescent="0.25">
      <c r="A168" s="12">
        <v>786</v>
      </c>
      <c r="B168" s="13">
        <v>40579</v>
      </c>
      <c r="C168" s="12">
        <v>1</v>
      </c>
      <c r="D168" s="12">
        <v>2</v>
      </c>
      <c r="E168" s="12">
        <v>4</v>
      </c>
      <c r="F168" s="12" t="b">
        <v>0</v>
      </c>
      <c r="G168" s="12">
        <v>6</v>
      </c>
      <c r="H168" s="12">
        <v>3</v>
      </c>
      <c r="I168" s="12">
        <v>0.22</v>
      </c>
      <c r="J168" s="12">
        <v>0.2273</v>
      </c>
      <c r="K168" s="12">
        <v>0.93</v>
      </c>
      <c r="L168" s="12">
        <v>0.1343</v>
      </c>
      <c r="M168" s="12">
        <v>0</v>
      </c>
      <c r="N168" s="12">
        <v>8</v>
      </c>
      <c r="O168" s="12">
        <v>8</v>
      </c>
    </row>
    <row r="169" spans="1:15" x14ac:dyDescent="0.25">
      <c r="A169" s="12">
        <v>787</v>
      </c>
      <c r="B169" s="13">
        <v>40579</v>
      </c>
      <c r="C169" s="12">
        <v>1</v>
      </c>
      <c r="D169" s="12">
        <v>2</v>
      </c>
      <c r="E169" s="12">
        <v>5</v>
      </c>
      <c r="F169" s="12" t="b">
        <v>0</v>
      </c>
      <c r="G169" s="12">
        <v>6</v>
      </c>
      <c r="H169" s="12">
        <v>3</v>
      </c>
      <c r="I169" s="12">
        <v>0.2</v>
      </c>
      <c r="J169" s="12">
        <v>0.2273</v>
      </c>
      <c r="K169" s="12">
        <v>1</v>
      </c>
      <c r="L169" s="12">
        <v>8.9599999999999999E-2</v>
      </c>
      <c r="M169" s="12">
        <v>0</v>
      </c>
      <c r="N169" s="12">
        <v>9</v>
      </c>
      <c r="O169" s="12">
        <v>9</v>
      </c>
    </row>
    <row r="170" spans="1:15" x14ac:dyDescent="0.25">
      <c r="A170" s="12">
        <v>788</v>
      </c>
      <c r="B170" s="13">
        <v>40579</v>
      </c>
      <c r="C170" s="12">
        <v>1</v>
      </c>
      <c r="D170" s="12">
        <v>2</v>
      </c>
      <c r="E170" s="12">
        <v>6</v>
      </c>
      <c r="F170" s="12" t="b">
        <v>0</v>
      </c>
      <c r="G170" s="12">
        <v>6</v>
      </c>
      <c r="H170" s="12">
        <v>3</v>
      </c>
      <c r="I170" s="12">
        <v>0.2</v>
      </c>
      <c r="J170" s="12">
        <v>0.2576</v>
      </c>
      <c r="K170" s="12">
        <v>1</v>
      </c>
      <c r="L170" s="12">
        <v>0</v>
      </c>
      <c r="M170" s="12">
        <v>0</v>
      </c>
      <c r="N170" s="12">
        <v>4</v>
      </c>
      <c r="O170" s="12">
        <v>4</v>
      </c>
    </row>
    <row r="171" spans="1:15" x14ac:dyDescent="0.25">
      <c r="A171" s="12">
        <v>789</v>
      </c>
      <c r="B171" s="13">
        <v>40579</v>
      </c>
      <c r="C171" s="12">
        <v>1</v>
      </c>
      <c r="D171" s="12">
        <v>2</v>
      </c>
      <c r="E171" s="12">
        <v>7</v>
      </c>
      <c r="F171" s="12" t="b">
        <v>0</v>
      </c>
      <c r="G171" s="12">
        <v>6</v>
      </c>
      <c r="H171" s="12">
        <v>3</v>
      </c>
      <c r="I171" s="12">
        <v>0.22</v>
      </c>
      <c r="J171" s="12">
        <v>0.2576</v>
      </c>
      <c r="K171" s="12">
        <v>0.93</v>
      </c>
      <c r="L171" s="12">
        <v>8.9599999999999999E-2</v>
      </c>
      <c r="M171" s="12">
        <v>0</v>
      </c>
      <c r="N171" s="12">
        <v>4</v>
      </c>
      <c r="O171" s="12">
        <v>4</v>
      </c>
    </row>
    <row r="172" spans="1:15" x14ac:dyDescent="0.25">
      <c r="A172" s="12">
        <v>790</v>
      </c>
      <c r="B172" s="13">
        <v>40579</v>
      </c>
      <c r="C172" s="12">
        <v>1</v>
      </c>
      <c r="D172" s="12">
        <v>2</v>
      </c>
      <c r="E172" s="12">
        <v>8</v>
      </c>
      <c r="F172" s="12" t="b">
        <v>0</v>
      </c>
      <c r="G172" s="12">
        <v>6</v>
      </c>
      <c r="H172" s="12">
        <v>3</v>
      </c>
      <c r="I172" s="12">
        <v>0.2</v>
      </c>
      <c r="J172" s="12">
        <v>0.2273</v>
      </c>
      <c r="K172" s="12">
        <v>1</v>
      </c>
      <c r="L172" s="12">
        <v>8.9599999999999999E-2</v>
      </c>
      <c r="M172" s="12">
        <v>0</v>
      </c>
      <c r="N172" s="12">
        <v>10</v>
      </c>
      <c r="O172" s="12">
        <v>10</v>
      </c>
    </row>
    <row r="173" spans="1:15" x14ac:dyDescent="0.25">
      <c r="A173" s="12">
        <v>791</v>
      </c>
      <c r="B173" s="13">
        <v>40579</v>
      </c>
      <c r="C173" s="12">
        <v>1</v>
      </c>
      <c r="D173" s="12">
        <v>2</v>
      </c>
      <c r="E173" s="12">
        <v>9</v>
      </c>
      <c r="F173" s="12" t="b">
        <v>0</v>
      </c>
      <c r="G173" s="12">
        <v>6</v>
      </c>
      <c r="H173" s="12">
        <v>3</v>
      </c>
      <c r="I173" s="12">
        <v>0.2</v>
      </c>
      <c r="J173" s="12">
        <v>0.2273</v>
      </c>
      <c r="K173" s="12">
        <v>1</v>
      </c>
      <c r="L173" s="12">
        <v>8.9599999999999999E-2</v>
      </c>
      <c r="M173" s="12">
        <v>3</v>
      </c>
      <c r="N173" s="12">
        <v>17</v>
      </c>
      <c r="O173" s="12">
        <v>20</v>
      </c>
    </row>
    <row r="174" spans="1:15" x14ac:dyDescent="0.25">
      <c r="A174" s="12">
        <v>792</v>
      </c>
      <c r="B174" s="13">
        <v>40579</v>
      </c>
      <c r="C174" s="12">
        <v>1</v>
      </c>
      <c r="D174" s="12">
        <v>2</v>
      </c>
      <c r="E174" s="12">
        <v>10</v>
      </c>
      <c r="F174" s="12" t="b">
        <v>0</v>
      </c>
      <c r="G174" s="12">
        <v>6</v>
      </c>
      <c r="H174" s="12">
        <v>3</v>
      </c>
      <c r="I174" s="12">
        <v>0.2</v>
      </c>
      <c r="J174" s="12">
        <v>0.21210000000000001</v>
      </c>
      <c r="K174" s="12">
        <v>1</v>
      </c>
      <c r="L174" s="12">
        <v>0.1343</v>
      </c>
      <c r="M174" s="12">
        <v>3</v>
      </c>
      <c r="N174" s="12">
        <v>31</v>
      </c>
      <c r="O174" s="12">
        <v>34</v>
      </c>
    </row>
    <row r="175" spans="1:15" x14ac:dyDescent="0.25">
      <c r="A175" s="12">
        <v>793</v>
      </c>
      <c r="B175" s="13">
        <v>40579</v>
      </c>
      <c r="C175" s="12">
        <v>1</v>
      </c>
      <c r="D175" s="12">
        <v>2</v>
      </c>
      <c r="E175" s="12">
        <v>11</v>
      </c>
      <c r="F175" s="12" t="b">
        <v>0</v>
      </c>
      <c r="G175" s="12">
        <v>6</v>
      </c>
      <c r="H175" s="12">
        <v>3</v>
      </c>
      <c r="I175" s="12">
        <v>0.22</v>
      </c>
      <c r="J175" s="12">
        <v>0.2273</v>
      </c>
      <c r="K175" s="12">
        <v>1</v>
      </c>
      <c r="L175" s="12">
        <v>0.1343</v>
      </c>
      <c r="M175" s="12">
        <v>1</v>
      </c>
      <c r="N175" s="12">
        <v>46</v>
      </c>
      <c r="O175" s="12">
        <v>47</v>
      </c>
    </row>
    <row r="176" spans="1:15" x14ac:dyDescent="0.25">
      <c r="A176" s="12">
        <v>794</v>
      </c>
      <c r="B176" s="13">
        <v>40579</v>
      </c>
      <c r="C176" s="12">
        <v>1</v>
      </c>
      <c r="D176" s="12">
        <v>2</v>
      </c>
      <c r="E176" s="12">
        <v>12</v>
      </c>
      <c r="F176" s="12" t="b">
        <v>0</v>
      </c>
      <c r="G176" s="12">
        <v>6</v>
      </c>
      <c r="H176" s="12">
        <v>3</v>
      </c>
      <c r="I176" s="12">
        <v>0.22</v>
      </c>
      <c r="J176" s="12">
        <v>0.2273</v>
      </c>
      <c r="K176" s="12">
        <v>1</v>
      </c>
      <c r="L176" s="12">
        <v>0.16420000000000001</v>
      </c>
      <c r="M176" s="12">
        <v>10</v>
      </c>
      <c r="N176" s="12">
        <v>42</v>
      </c>
      <c r="O176" s="12">
        <v>52</v>
      </c>
    </row>
    <row r="177" spans="1:15" x14ac:dyDescent="0.25">
      <c r="A177" s="12">
        <v>795</v>
      </c>
      <c r="B177" s="13">
        <v>40579</v>
      </c>
      <c r="C177" s="12">
        <v>1</v>
      </c>
      <c r="D177" s="12">
        <v>2</v>
      </c>
      <c r="E177" s="12">
        <v>13</v>
      </c>
      <c r="F177" s="12" t="b">
        <v>0</v>
      </c>
      <c r="G177" s="12">
        <v>6</v>
      </c>
      <c r="H177" s="12">
        <v>3</v>
      </c>
      <c r="I177" s="12">
        <v>0.22</v>
      </c>
      <c r="J177" s="12">
        <v>0.2273</v>
      </c>
      <c r="K177" s="12">
        <v>1</v>
      </c>
      <c r="L177" s="12">
        <v>0.16420000000000001</v>
      </c>
      <c r="M177" s="12">
        <v>10</v>
      </c>
      <c r="N177" s="12">
        <v>62</v>
      </c>
      <c r="O177" s="12">
        <v>72</v>
      </c>
    </row>
    <row r="178" spans="1:15" x14ac:dyDescent="0.25">
      <c r="A178" s="12">
        <v>796</v>
      </c>
      <c r="B178" s="13">
        <v>40579</v>
      </c>
      <c r="C178" s="12">
        <v>1</v>
      </c>
      <c r="D178" s="12">
        <v>2</v>
      </c>
      <c r="E178" s="12">
        <v>14</v>
      </c>
      <c r="F178" s="12" t="b">
        <v>0</v>
      </c>
      <c r="G178" s="12">
        <v>6</v>
      </c>
      <c r="H178" s="12">
        <v>3</v>
      </c>
      <c r="I178" s="12">
        <v>0.22</v>
      </c>
      <c r="J178" s="12">
        <v>0.2727</v>
      </c>
      <c r="K178" s="12">
        <v>1</v>
      </c>
      <c r="L178" s="12">
        <v>0</v>
      </c>
      <c r="M178" s="12">
        <v>5</v>
      </c>
      <c r="N178" s="12">
        <v>50</v>
      </c>
      <c r="O178" s="12">
        <v>55</v>
      </c>
    </row>
    <row r="179" spans="1:15" x14ac:dyDescent="0.25">
      <c r="A179" s="12">
        <v>797</v>
      </c>
      <c r="B179" s="13">
        <v>40579</v>
      </c>
      <c r="C179" s="12">
        <v>1</v>
      </c>
      <c r="D179" s="12">
        <v>2</v>
      </c>
      <c r="E179" s="12">
        <v>15</v>
      </c>
      <c r="F179" s="12" t="b">
        <v>0</v>
      </c>
      <c r="G179" s="12">
        <v>6</v>
      </c>
      <c r="H179" s="12">
        <v>3</v>
      </c>
      <c r="I179" s="12">
        <v>0.22</v>
      </c>
      <c r="J179" s="12">
        <v>0.2727</v>
      </c>
      <c r="K179" s="12">
        <v>1</v>
      </c>
      <c r="L179" s="12">
        <v>0</v>
      </c>
      <c r="M179" s="12">
        <v>11</v>
      </c>
      <c r="N179" s="12">
        <v>49</v>
      </c>
      <c r="O179" s="12">
        <v>60</v>
      </c>
    </row>
    <row r="180" spans="1:15" x14ac:dyDescent="0.25">
      <c r="A180" s="12">
        <v>798</v>
      </c>
      <c r="B180" s="13">
        <v>40579</v>
      </c>
      <c r="C180" s="12">
        <v>1</v>
      </c>
      <c r="D180" s="12">
        <v>2</v>
      </c>
      <c r="E180" s="12">
        <v>16</v>
      </c>
      <c r="F180" s="12" t="b">
        <v>0</v>
      </c>
      <c r="G180" s="12">
        <v>6</v>
      </c>
      <c r="H180" s="12">
        <v>3</v>
      </c>
      <c r="I180" s="12">
        <v>0.22</v>
      </c>
      <c r="J180" s="12">
        <v>0.2273</v>
      </c>
      <c r="K180" s="12">
        <v>1</v>
      </c>
      <c r="L180" s="12">
        <v>0.1343</v>
      </c>
      <c r="M180" s="12">
        <v>8</v>
      </c>
      <c r="N180" s="12">
        <v>63</v>
      </c>
      <c r="O180" s="12">
        <v>71</v>
      </c>
    </row>
    <row r="181" spans="1:15" x14ac:dyDescent="0.25">
      <c r="A181" s="12">
        <v>799</v>
      </c>
      <c r="B181" s="13">
        <v>40579</v>
      </c>
      <c r="C181" s="12">
        <v>1</v>
      </c>
      <c r="D181" s="12">
        <v>2</v>
      </c>
      <c r="E181" s="12">
        <v>17</v>
      </c>
      <c r="F181" s="12" t="b">
        <v>0</v>
      </c>
      <c r="G181" s="12">
        <v>6</v>
      </c>
      <c r="H181" s="12">
        <v>2</v>
      </c>
      <c r="I181" s="12">
        <v>0.24</v>
      </c>
      <c r="J181" s="12">
        <v>0.21210000000000001</v>
      </c>
      <c r="K181" s="12">
        <v>1</v>
      </c>
      <c r="L181" s="12">
        <v>0.28360000000000002</v>
      </c>
      <c r="M181" s="12">
        <v>14</v>
      </c>
      <c r="N181" s="12">
        <v>64</v>
      </c>
      <c r="O181" s="12">
        <v>78</v>
      </c>
    </row>
    <row r="182" spans="1:15" x14ac:dyDescent="0.25">
      <c r="A182" s="12">
        <v>800</v>
      </c>
      <c r="B182" s="13">
        <v>40579</v>
      </c>
      <c r="C182" s="12">
        <v>1</v>
      </c>
      <c r="D182" s="12">
        <v>2</v>
      </c>
      <c r="E182" s="12">
        <v>18</v>
      </c>
      <c r="F182" s="12" t="b">
        <v>0</v>
      </c>
      <c r="G182" s="12">
        <v>6</v>
      </c>
      <c r="H182" s="12">
        <v>2</v>
      </c>
      <c r="I182" s="12">
        <v>0.28000000000000003</v>
      </c>
      <c r="J182" s="12">
        <v>0.2424</v>
      </c>
      <c r="K182" s="12">
        <v>0.93</v>
      </c>
      <c r="L182" s="12">
        <v>0.44779999999999998</v>
      </c>
      <c r="M182" s="12">
        <v>2</v>
      </c>
      <c r="N182" s="12">
        <v>81</v>
      </c>
      <c r="O182" s="12">
        <v>83</v>
      </c>
    </row>
    <row r="183" spans="1:15" x14ac:dyDescent="0.25">
      <c r="A183" s="12">
        <v>801</v>
      </c>
      <c r="B183" s="13">
        <v>40579</v>
      </c>
      <c r="C183" s="12">
        <v>1</v>
      </c>
      <c r="D183" s="12">
        <v>2</v>
      </c>
      <c r="E183" s="12">
        <v>19</v>
      </c>
      <c r="F183" s="12" t="b">
        <v>0</v>
      </c>
      <c r="G183" s="12">
        <v>6</v>
      </c>
      <c r="H183" s="12">
        <v>2</v>
      </c>
      <c r="I183" s="12">
        <v>0.28000000000000003</v>
      </c>
      <c r="J183" s="12">
        <v>0.2424</v>
      </c>
      <c r="K183" s="12">
        <v>0.93</v>
      </c>
      <c r="L183" s="12">
        <v>0.44779999999999998</v>
      </c>
      <c r="M183" s="12">
        <v>6</v>
      </c>
      <c r="N183" s="12">
        <v>78</v>
      </c>
      <c r="O183" s="12">
        <v>84</v>
      </c>
    </row>
    <row r="184" spans="1:15" x14ac:dyDescent="0.25">
      <c r="A184" s="12">
        <v>802</v>
      </c>
      <c r="B184" s="13">
        <v>40579</v>
      </c>
      <c r="C184" s="12">
        <v>1</v>
      </c>
      <c r="D184" s="12">
        <v>2</v>
      </c>
      <c r="E184" s="12">
        <v>20</v>
      </c>
      <c r="F184" s="12" t="b">
        <v>0</v>
      </c>
      <c r="G184" s="12">
        <v>6</v>
      </c>
      <c r="H184" s="12">
        <v>1</v>
      </c>
      <c r="I184" s="12">
        <v>0.3</v>
      </c>
      <c r="J184" s="12">
        <v>0.28789999999999999</v>
      </c>
      <c r="K184" s="12">
        <v>0.87</v>
      </c>
      <c r="L184" s="12">
        <v>0.25369999999999998</v>
      </c>
      <c r="M184" s="12">
        <v>5</v>
      </c>
      <c r="N184" s="12">
        <v>64</v>
      </c>
      <c r="O184" s="12">
        <v>69</v>
      </c>
    </row>
    <row r="185" spans="1:15" x14ac:dyDescent="0.25">
      <c r="A185" s="12">
        <v>803</v>
      </c>
      <c r="B185" s="13">
        <v>40579</v>
      </c>
      <c r="C185" s="12">
        <v>1</v>
      </c>
      <c r="D185" s="12">
        <v>2</v>
      </c>
      <c r="E185" s="12">
        <v>21</v>
      </c>
      <c r="F185" s="12" t="b">
        <v>0</v>
      </c>
      <c r="G185" s="12">
        <v>6</v>
      </c>
      <c r="H185" s="12">
        <v>1</v>
      </c>
      <c r="I185" s="12">
        <v>0.26</v>
      </c>
      <c r="J185" s="12">
        <v>0.2576</v>
      </c>
      <c r="K185" s="12">
        <v>1</v>
      </c>
      <c r="L185" s="12">
        <v>0.19400000000000001</v>
      </c>
      <c r="M185" s="12">
        <v>3</v>
      </c>
      <c r="N185" s="12">
        <v>53</v>
      </c>
      <c r="O185" s="12">
        <v>56</v>
      </c>
    </row>
    <row r="186" spans="1:15" x14ac:dyDescent="0.25">
      <c r="A186" s="12">
        <v>804</v>
      </c>
      <c r="B186" s="13">
        <v>40579</v>
      </c>
      <c r="C186" s="12">
        <v>1</v>
      </c>
      <c r="D186" s="12">
        <v>2</v>
      </c>
      <c r="E186" s="12">
        <v>22</v>
      </c>
      <c r="F186" s="12" t="b">
        <v>0</v>
      </c>
      <c r="G186" s="12">
        <v>6</v>
      </c>
      <c r="H186" s="12">
        <v>1</v>
      </c>
      <c r="I186" s="12">
        <v>0.26</v>
      </c>
      <c r="J186" s="12">
        <v>0.2727</v>
      </c>
      <c r="K186" s="12">
        <v>0.93</v>
      </c>
      <c r="L186" s="12">
        <v>0.1343</v>
      </c>
      <c r="M186" s="12">
        <v>2</v>
      </c>
      <c r="N186" s="12">
        <v>43</v>
      </c>
      <c r="O186" s="12">
        <v>45</v>
      </c>
    </row>
    <row r="187" spans="1:15" x14ac:dyDescent="0.25">
      <c r="A187" s="12">
        <v>805</v>
      </c>
      <c r="B187" s="13">
        <v>40579</v>
      </c>
      <c r="C187" s="12">
        <v>1</v>
      </c>
      <c r="D187" s="12">
        <v>2</v>
      </c>
      <c r="E187" s="12">
        <v>23</v>
      </c>
      <c r="F187" s="12" t="b">
        <v>0</v>
      </c>
      <c r="G187" s="12">
        <v>6</v>
      </c>
      <c r="H187" s="12">
        <v>1</v>
      </c>
      <c r="I187" s="12">
        <v>0.26</v>
      </c>
      <c r="J187" s="12">
        <v>0.2576</v>
      </c>
      <c r="K187" s="12">
        <v>0.93</v>
      </c>
      <c r="L187" s="12">
        <v>0.22389999999999999</v>
      </c>
      <c r="M187" s="12">
        <v>7</v>
      </c>
      <c r="N187" s="12">
        <v>52</v>
      </c>
      <c r="O187" s="12">
        <v>59</v>
      </c>
    </row>
    <row r="188" spans="1:15" x14ac:dyDescent="0.25">
      <c r="A188" s="12">
        <v>806</v>
      </c>
      <c r="B188" s="13">
        <v>40580</v>
      </c>
      <c r="C188" s="12">
        <v>1</v>
      </c>
      <c r="D188" s="12">
        <v>2</v>
      </c>
      <c r="E188" s="12">
        <v>0</v>
      </c>
      <c r="F188" s="12" t="b">
        <v>0</v>
      </c>
      <c r="G188" s="12">
        <v>0</v>
      </c>
      <c r="H188" s="12">
        <v>1</v>
      </c>
      <c r="I188" s="12">
        <v>0.26</v>
      </c>
      <c r="J188" s="12">
        <v>0.2576</v>
      </c>
      <c r="K188" s="12">
        <v>0.7</v>
      </c>
      <c r="L188" s="12">
        <v>0.19400000000000001</v>
      </c>
      <c r="M188" s="12">
        <v>2</v>
      </c>
      <c r="N188" s="12">
        <v>37</v>
      </c>
      <c r="O188" s="12">
        <v>39</v>
      </c>
    </row>
    <row r="189" spans="1:15" x14ac:dyDescent="0.25">
      <c r="A189" s="12">
        <v>807</v>
      </c>
      <c r="B189" s="13">
        <v>40580</v>
      </c>
      <c r="C189" s="12">
        <v>1</v>
      </c>
      <c r="D189" s="12">
        <v>2</v>
      </c>
      <c r="E189" s="12">
        <v>1</v>
      </c>
      <c r="F189" s="12" t="b">
        <v>0</v>
      </c>
      <c r="G189" s="12">
        <v>0</v>
      </c>
      <c r="H189" s="12">
        <v>1</v>
      </c>
      <c r="I189" s="12">
        <v>0.26</v>
      </c>
      <c r="J189" s="12">
        <v>0.2273</v>
      </c>
      <c r="K189" s="12">
        <v>0.65</v>
      </c>
      <c r="L189" s="12">
        <v>0.41789999999999999</v>
      </c>
      <c r="M189" s="12">
        <v>4</v>
      </c>
      <c r="N189" s="12">
        <v>40</v>
      </c>
      <c r="O189" s="12">
        <v>44</v>
      </c>
    </row>
    <row r="190" spans="1:15" x14ac:dyDescent="0.25">
      <c r="A190" s="12">
        <v>808</v>
      </c>
      <c r="B190" s="13">
        <v>40580</v>
      </c>
      <c r="C190" s="12">
        <v>1</v>
      </c>
      <c r="D190" s="12">
        <v>2</v>
      </c>
      <c r="E190" s="12">
        <v>2</v>
      </c>
      <c r="F190" s="12" t="b">
        <v>0</v>
      </c>
      <c r="G190" s="12">
        <v>0</v>
      </c>
      <c r="H190" s="12">
        <v>1</v>
      </c>
      <c r="I190" s="12">
        <v>0.26</v>
      </c>
      <c r="J190" s="12">
        <v>0.2273</v>
      </c>
      <c r="K190" s="12">
        <v>0.6</v>
      </c>
      <c r="L190" s="12">
        <v>0.32840000000000003</v>
      </c>
      <c r="M190" s="12">
        <v>0</v>
      </c>
      <c r="N190" s="12">
        <v>20</v>
      </c>
      <c r="O190" s="12">
        <v>20</v>
      </c>
    </row>
    <row r="191" spans="1:15" x14ac:dyDescent="0.25">
      <c r="A191" s="12">
        <v>809</v>
      </c>
      <c r="B191" s="13">
        <v>40580</v>
      </c>
      <c r="C191" s="12">
        <v>1</v>
      </c>
      <c r="D191" s="12">
        <v>2</v>
      </c>
      <c r="E191" s="12">
        <v>3</v>
      </c>
      <c r="F191" s="12" t="b">
        <v>0</v>
      </c>
      <c r="G191" s="12">
        <v>0</v>
      </c>
      <c r="H191" s="12">
        <v>1</v>
      </c>
      <c r="I191" s="12">
        <v>0.26</v>
      </c>
      <c r="J191" s="12">
        <v>0.28789999999999999</v>
      </c>
      <c r="K191" s="12">
        <v>0.6</v>
      </c>
      <c r="L191" s="12">
        <v>8.9599999999999999E-2</v>
      </c>
      <c r="M191" s="12">
        <v>3</v>
      </c>
      <c r="N191" s="12">
        <v>10</v>
      </c>
      <c r="O191" s="12">
        <v>13</v>
      </c>
    </row>
    <row r="192" spans="1:15" x14ac:dyDescent="0.25">
      <c r="A192" s="12">
        <v>810</v>
      </c>
      <c r="B192" s="13">
        <v>40580</v>
      </c>
      <c r="C192" s="12">
        <v>1</v>
      </c>
      <c r="D192" s="12">
        <v>2</v>
      </c>
      <c r="E192" s="12">
        <v>4</v>
      </c>
      <c r="F192" s="12" t="b">
        <v>0</v>
      </c>
      <c r="G192" s="12">
        <v>0</v>
      </c>
      <c r="H192" s="12">
        <v>1</v>
      </c>
      <c r="I192" s="12">
        <v>0.26</v>
      </c>
      <c r="J192" s="12">
        <v>0.2273</v>
      </c>
      <c r="K192" s="12">
        <v>0.6</v>
      </c>
      <c r="L192" s="12">
        <v>0.35820000000000002</v>
      </c>
      <c r="M192" s="12">
        <v>0</v>
      </c>
      <c r="N192" s="12">
        <v>2</v>
      </c>
      <c r="O192" s="12">
        <v>2</v>
      </c>
    </row>
    <row r="193" spans="1:15" x14ac:dyDescent="0.25">
      <c r="A193" s="12">
        <v>811</v>
      </c>
      <c r="B193" s="13">
        <v>40580</v>
      </c>
      <c r="C193" s="12">
        <v>1</v>
      </c>
      <c r="D193" s="12">
        <v>2</v>
      </c>
      <c r="E193" s="12">
        <v>5</v>
      </c>
      <c r="F193" s="12" t="b">
        <v>0</v>
      </c>
      <c r="G193" s="12">
        <v>0</v>
      </c>
      <c r="H193" s="12">
        <v>1</v>
      </c>
      <c r="I193" s="12">
        <v>0.26</v>
      </c>
      <c r="J193" s="12">
        <v>0.2576</v>
      </c>
      <c r="K193" s="12">
        <v>0.6</v>
      </c>
      <c r="L193" s="12">
        <v>0.22389999999999999</v>
      </c>
      <c r="M193" s="12">
        <v>0</v>
      </c>
      <c r="N193" s="12">
        <v>1</v>
      </c>
      <c r="O193" s="12">
        <v>1</v>
      </c>
    </row>
    <row r="194" spans="1:15" x14ac:dyDescent="0.25">
      <c r="A194" s="12">
        <v>812</v>
      </c>
      <c r="B194" s="13">
        <v>40580</v>
      </c>
      <c r="C194" s="12">
        <v>1</v>
      </c>
      <c r="D194" s="12">
        <v>2</v>
      </c>
      <c r="E194" s="12">
        <v>6</v>
      </c>
      <c r="F194" s="12" t="b">
        <v>0</v>
      </c>
      <c r="G194" s="12">
        <v>0</v>
      </c>
      <c r="H194" s="12">
        <v>1</v>
      </c>
      <c r="I194" s="12">
        <v>0.26</v>
      </c>
      <c r="J194" s="12">
        <v>0.2576</v>
      </c>
      <c r="K194" s="12">
        <v>0.6</v>
      </c>
      <c r="L194" s="12">
        <v>0.22389999999999999</v>
      </c>
      <c r="M194" s="12">
        <v>0</v>
      </c>
      <c r="N194" s="12">
        <v>1</v>
      </c>
      <c r="O194" s="12">
        <v>1</v>
      </c>
    </row>
    <row r="195" spans="1:15" x14ac:dyDescent="0.25">
      <c r="A195" s="12">
        <v>813</v>
      </c>
      <c r="B195" s="13">
        <v>40580</v>
      </c>
      <c r="C195" s="12">
        <v>1</v>
      </c>
      <c r="D195" s="12">
        <v>2</v>
      </c>
      <c r="E195" s="12">
        <v>7</v>
      </c>
      <c r="F195" s="12" t="b">
        <v>0</v>
      </c>
      <c r="G195" s="12">
        <v>0</v>
      </c>
      <c r="H195" s="12">
        <v>1</v>
      </c>
      <c r="I195" s="12">
        <v>0.24</v>
      </c>
      <c r="J195" s="12">
        <v>0.2424</v>
      </c>
      <c r="K195" s="12">
        <v>0.65</v>
      </c>
      <c r="L195" s="12">
        <v>0.16420000000000001</v>
      </c>
      <c r="M195" s="12">
        <v>0</v>
      </c>
      <c r="N195" s="12">
        <v>8</v>
      </c>
      <c r="O195" s="12">
        <v>8</v>
      </c>
    </row>
    <row r="196" spans="1:15" x14ac:dyDescent="0.25">
      <c r="A196" s="12">
        <v>814</v>
      </c>
      <c r="B196" s="13">
        <v>40580</v>
      </c>
      <c r="C196" s="12">
        <v>1</v>
      </c>
      <c r="D196" s="12">
        <v>2</v>
      </c>
      <c r="E196" s="12">
        <v>8</v>
      </c>
      <c r="F196" s="12" t="b">
        <v>0</v>
      </c>
      <c r="G196" s="12">
        <v>0</v>
      </c>
      <c r="H196" s="12">
        <v>1</v>
      </c>
      <c r="I196" s="12">
        <v>0.24</v>
      </c>
      <c r="J196" s="12">
        <v>0.2576</v>
      </c>
      <c r="K196" s="12">
        <v>0.65</v>
      </c>
      <c r="L196" s="12">
        <v>0.1045</v>
      </c>
      <c r="M196" s="12">
        <v>2</v>
      </c>
      <c r="N196" s="12">
        <v>21</v>
      </c>
      <c r="O196" s="12">
        <v>23</v>
      </c>
    </row>
    <row r="197" spans="1:15" x14ac:dyDescent="0.25">
      <c r="A197" s="12">
        <v>815</v>
      </c>
      <c r="B197" s="13">
        <v>40580</v>
      </c>
      <c r="C197" s="12">
        <v>1</v>
      </c>
      <c r="D197" s="12">
        <v>2</v>
      </c>
      <c r="E197" s="12">
        <v>9</v>
      </c>
      <c r="F197" s="12" t="b">
        <v>0</v>
      </c>
      <c r="G197" s="12">
        <v>0</v>
      </c>
      <c r="H197" s="12">
        <v>1</v>
      </c>
      <c r="I197" s="12">
        <v>0.28000000000000003</v>
      </c>
      <c r="J197" s="12">
        <v>0.28789999999999999</v>
      </c>
      <c r="K197" s="12">
        <v>0.56000000000000005</v>
      </c>
      <c r="L197" s="12">
        <v>0.1045</v>
      </c>
      <c r="M197" s="12">
        <v>7</v>
      </c>
      <c r="N197" s="12">
        <v>38</v>
      </c>
      <c r="O197" s="12">
        <v>45</v>
      </c>
    </row>
    <row r="198" spans="1:15" x14ac:dyDescent="0.25">
      <c r="A198" s="12">
        <v>816</v>
      </c>
      <c r="B198" s="13">
        <v>40580</v>
      </c>
      <c r="C198" s="12">
        <v>1</v>
      </c>
      <c r="D198" s="12">
        <v>2</v>
      </c>
      <c r="E198" s="12">
        <v>10</v>
      </c>
      <c r="F198" s="12" t="b">
        <v>0</v>
      </c>
      <c r="G198" s="12">
        <v>0</v>
      </c>
      <c r="H198" s="12">
        <v>1</v>
      </c>
      <c r="I198" s="12">
        <v>0.3</v>
      </c>
      <c r="J198" s="12">
        <v>0.28789999999999999</v>
      </c>
      <c r="K198" s="12">
        <v>0.52</v>
      </c>
      <c r="L198" s="12">
        <v>0.25369999999999998</v>
      </c>
      <c r="M198" s="12">
        <v>15</v>
      </c>
      <c r="N198" s="12">
        <v>74</v>
      </c>
      <c r="O198" s="12">
        <v>89</v>
      </c>
    </row>
    <row r="199" spans="1:15" x14ac:dyDescent="0.25">
      <c r="A199" s="12">
        <v>817</v>
      </c>
      <c r="B199" s="13">
        <v>40580</v>
      </c>
      <c r="C199" s="12">
        <v>1</v>
      </c>
      <c r="D199" s="12">
        <v>2</v>
      </c>
      <c r="E199" s="12">
        <v>11</v>
      </c>
      <c r="F199" s="12" t="b">
        <v>0</v>
      </c>
      <c r="G199" s="12">
        <v>0</v>
      </c>
      <c r="H199" s="12">
        <v>1</v>
      </c>
      <c r="I199" s="12">
        <v>0.32</v>
      </c>
      <c r="J199" s="12">
        <v>0.30299999999999999</v>
      </c>
      <c r="K199" s="12">
        <v>0.49</v>
      </c>
      <c r="L199" s="12">
        <v>0.25369999999999998</v>
      </c>
      <c r="M199" s="12">
        <v>28</v>
      </c>
      <c r="N199" s="12">
        <v>89</v>
      </c>
      <c r="O199" s="12">
        <v>117</v>
      </c>
    </row>
    <row r="200" spans="1:15" x14ac:dyDescent="0.25">
      <c r="A200" s="12">
        <v>818</v>
      </c>
      <c r="B200" s="13">
        <v>40580</v>
      </c>
      <c r="C200" s="12">
        <v>1</v>
      </c>
      <c r="D200" s="12">
        <v>2</v>
      </c>
      <c r="E200" s="12">
        <v>12</v>
      </c>
      <c r="F200" s="12" t="b">
        <v>0</v>
      </c>
      <c r="G200" s="12">
        <v>0</v>
      </c>
      <c r="H200" s="12">
        <v>1</v>
      </c>
      <c r="I200" s="12">
        <v>0.34</v>
      </c>
      <c r="J200" s="12">
        <v>0.33329999999999999</v>
      </c>
      <c r="K200" s="12">
        <v>0.46</v>
      </c>
      <c r="L200" s="12">
        <v>0</v>
      </c>
      <c r="M200" s="12">
        <v>48</v>
      </c>
      <c r="N200" s="12">
        <v>126</v>
      </c>
      <c r="O200" s="12">
        <v>174</v>
      </c>
    </row>
    <row r="201" spans="1:15" x14ac:dyDescent="0.25">
      <c r="A201" s="12">
        <v>819</v>
      </c>
      <c r="B201" s="13">
        <v>40580</v>
      </c>
      <c r="C201" s="12">
        <v>1</v>
      </c>
      <c r="D201" s="12">
        <v>2</v>
      </c>
      <c r="E201" s="12">
        <v>13</v>
      </c>
      <c r="F201" s="12" t="b">
        <v>0</v>
      </c>
      <c r="G201" s="12">
        <v>0</v>
      </c>
      <c r="H201" s="12">
        <v>1</v>
      </c>
      <c r="I201" s="12">
        <v>0.34</v>
      </c>
      <c r="J201" s="12">
        <v>0.36359999999999998</v>
      </c>
      <c r="K201" s="12">
        <v>0.46</v>
      </c>
      <c r="L201" s="12">
        <v>0</v>
      </c>
      <c r="M201" s="12">
        <v>47</v>
      </c>
      <c r="N201" s="12">
        <v>135</v>
      </c>
      <c r="O201" s="12">
        <v>182</v>
      </c>
    </row>
    <row r="202" spans="1:15" x14ac:dyDescent="0.25">
      <c r="A202" s="12">
        <v>820</v>
      </c>
      <c r="B202" s="13">
        <v>40580</v>
      </c>
      <c r="C202" s="12">
        <v>1</v>
      </c>
      <c r="D202" s="12">
        <v>2</v>
      </c>
      <c r="E202" s="12">
        <v>14</v>
      </c>
      <c r="F202" s="12" t="b">
        <v>0</v>
      </c>
      <c r="G202" s="12">
        <v>0</v>
      </c>
      <c r="H202" s="12">
        <v>1</v>
      </c>
      <c r="I202" s="12">
        <v>0.34</v>
      </c>
      <c r="J202" s="12">
        <v>0.34849999999999998</v>
      </c>
      <c r="K202" s="12">
        <v>0.46</v>
      </c>
      <c r="L202" s="12">
        <v>8.9599999999999999E-2</v>
      </c>
      <c r="M202" s="12">
        <v>47</v>
      </c>
      <c r="N202" s="12">
        <v>114</v>
      </c>
      <c r="O202" s="12">
        <v>161</v>
      </c>
    </row>
    <row r="203" spans="1:15" x14ac:dyDescent="0.25">
      <c r="A203" s="12">
        <v>821</v>
      </c>
      <c r="B203" s="13">
        <v>40580</v>
      </c>
      <c r="C203" s="12">
        <v>1</v>
      </c>
      <c r="D203" s="12">
        <v>2</v>
      </c>
      <c r="E203" s="12">
        <v>15</v>
      </c>
      <c r="F203" s="12" t="b">
        <v>0</v>
      </c>
      <c r="G203" s="12">
        <v>0</v>
      </c>
      <c r="H203" s="12">
        <v>1</v>
      </c>
      <c r="I203" s="12">
        <v>0.34</v>
      </c>
      <c r="J203" s="12">
        <v>0.34849999999999998</v>
      </c>
      <c r="K203" s="12">
        <v>0.46</v>
      </c>
      <c r="L203" s="12">
        <v>8.9599999999999999E-2</v>
      </c>
      <c r="M203" s="12">
        <v>52</v>
      </c>
      <c r="N203" s="12">
        <v>130</v>
      </c>
      <c r="O203" s="12">
        <v>182</v>
      </c>
    </row>
    <row r="204" spans="1:15" x14ac:dyDescent="0.25">
      <c r="A204" s="12">
        <v>822</v>
      </c>
      <c r="B204" s="13">
        <v>40580</v>
      </c>
      <c r="C204" s="12">
        <v>1</v>
      </c>
      <c r="D204" s="12">
        <v>2</v>
      </c>
      <c r="E204" s="12">
        <v>16</v>
      </c>
      <c r="F204" s="12" t="b">
        <v>0</v>
      </c>
      <c r="G204" s="12">
        <v>0</v>
      </c>
      <c r="H204" s="12">
        <v>1</v>
      </c>
      <c r="I204" s="12">
        <v>0.34</v>
      </c>
      <c r="J204" s="12">
        <v>0.34849999999999998</v>
      </c>
      <c r="K204" s="12">
        <v>0.49</v>
      </c>
      <c r="L204" s="12">
        <v>0.1045</v>
      </c>
      <c r="M204" s="12">
        <v>42</v>
      </c>
      <c r="N204" s="12">
        <v>115</v>
      </c>
      <c r="O204" s="12">
        <v>157</v>
      </c>
    </row>
    <row r="205" spans="1:15" x14ac:dyDescent="0.25">
      <c r="A205" s="12">
        <v>823</v>
      </c>
      <c r="B205" s="13">
        <v>40580</v>
      </c>
      <c r="C205" s="12">
        <v>1</v>
      </c>
      <c r="D205" s="12">
        <v>2</v>
      </c>
      <c r="E205" s="12">
        <v>17</v>
      </c>
      <c r="F205" s="12" t="b">
        <v>0</v>
      </c>
      <c r="G205" s="12">
        <v>0</v>
      </c>
      <c r="H205" s="12">
        <v>1</v>
      </c>
      <c r="I205" s="12">
        <v>0.34</v>
      </c>
      <c r="J205" s="12">
        <v>0.36359999999999998</v>
      </c>
      <c r="K205" s="12">
        <v>0.46</v>
      </c>
      <c r="L205" s="12">
        <v>0</v>
      </c>
      <c r="M205" s="12">
        <v>24</v>
      </c>
      <c r="N205" s="12">
        <v>97</v>
      </c>
      <c r="O205" s="12">
        <v>121</v>
      </c>
    </row>
    <row r="206" spans="1:15" x14ac:dyDescent="0.25">
      <c r="A206" s="12">
        <v>824</v>
      </c>
      <c r="B206" s="13">
        <v>40580</v>
      </c>
      <c r="C206" s="12">
        <v>1</v>
      </c>
      <c r="D206" s="12">
        <v>2</v>
      </c>
      <c r="E206" s="12">
        <v>18</v>
      </c>
      <c r="F206" s="12" t="b">
        <v>0</v>
      </c>
      <c r="G206" s="12">
        <v>0</v>
      </c>
      <c r="H206" s="12">
        <v>1</v>
      </c>
      <c r="I206" s="12">
        <v>0.3</v>
      </c>
      <c r="J206" s="12">
        <v>0.30299999999999999</v>
      </c>
      <c r="K206" s="12">
        <v>0.56000000000000005</v>
      </c>
      <c r="L206" s="12">
        <v>0.16420000000000001</v>
      </c>
      <c r="M206" s="12">
        <v>13</v>
      </c>
      <c r="N206" s="12">
        <v>65</v>
      </c>
      <c r="O206" s="12">
        <v>78</v>
      </c>
    </row>
    <row r="207" spans="1:15" x14ac:dyDescent="0.25">
      <c r="A207" s="12">
        <v>825</v>
      </c>
      <c r="B207" s="13">
        <v>40580</v>
      </c>
      <c r="C207" s="12">
        <v>1</v>
      </c>
      <c r="D207" s="12">
        <v>2</v>
      </c>
      <c r="E207" s="12">
        <v>19</v>
      </c>
      <c r="F207" s="12" t="b">
        <v>0</v>
      </c>
      <c r="G207" s="12">
        <v>0</v>
      </c>
      <c r="H207" s="12">
        <v>1</v>
      </c>
      <c r="I207" s="12">
        <v>0.28000000000000003</v>
      </c>
      <c r="J207" s="12">
        <v>0.28789999999999999</v>
      </c>
      <c r="K207" s="12">
        <v>0.61</v>
      </c>
      <c r="L207" s="12">
        <v>0.1343</v>
      </c>
      <c r="M207" s="12">
        <v>1</v>
      </c>
      <c r="N207" s="12">
        <v>20</v>
      </c>
      <c r="O207" s="12">
        <v>21</v>
      </c>
    </row>
    <row r="208" spans="1:15" x14ac:dyDescent="0.25">
      <c r="A208" s="12">
        <v>826</v>
      </c>
      <c r="B208" s="13">
        <v>40580</v>
      </c>
      <c r="C208" s="12">
        <v>1</v>
      </c>
      <c r="D208" s="12">
        <v>2</v>
      </c>
      <c r="E208" s="12">
        <v>20</v>
      </c>
      <c r="F208" s="12" t="b">
        <v>0</v>
      </c>
      <c r="G208" s="12">
        <v>0</v>
      </c>
      <c r="H208" s="12">
        <v>1</v>
      </c>
      <c r="I208" s="12">
        <v>0.28000000000000003</v>
      </c>
      <c r="J208" s="12">
        <v>0.28789999999999999</v>
      </c>
      <c r="K208" s="12">
        <v>0.61</v>
      </c>
      <c r="L208" s="12">
        <v>0.1045</v>
      </c>
      <c r="M208" s="12">
        <v>5</v>
      </c>
      <c r="N208" s="12">
        <v>21</v>
      </c>
      <c r="O208" s="12">
        <v>26</v>
      </c>
    </row>
    <row r="209" spans="1:15" x14ac:dyDescent="0.25">
      <c r="A209" s="12">
        <v>827</v>
      </c>
      <c r="B209" s="13">
        <v>40580</v>
      </c>
      <c r="C209" s="12">
        <v>1</v>
      </c>
      <c r="D209" s="12">
        <v>2</v>
      </c>
      <c r="E209" s="12">
        <v>21</v>
      </c>
      <c r="F209" s="12" t="b">
        <v>0</v>
      </c>
      <c r="G209" s="12">
        <v>0</v>
      </c>
      <c r="H209" s="12">
        <v>1</v>
      </c>
      <c r="I209" s="12">
        <v>0.26</v>
      </c>
      <c r="J209" s="12">
        <v>0.30299999999999999</v>
      </c>
      <c r="K209" s="12">
        <v>0.6</v>
      </c>
      <c r="L209" s="12">
        <v>0</v>
      </c>
      <c r="M209" s="12">
        <v>5</v>
      </c>
      <c r="N209" s="12">
        <v>22</v>
      </c>
      <c r="O209" s="12">
        <v>27</v>
      </c>
    </row>
    <row r="210" spans="1:15" x14ac:dyDescent="0.25">
      <c r="A210" s="12">
        <v>828</v>
      </c>
      <c r="B210" s="13">
        <v>40580</v>
      </c>
      <c r="C210" s="12">
        <v>1</v>
      </c>
      <c r="D210" s="12">
        <v>2</v>
      </c>
      <c r="E210" s="12">
        <v>22</v>
      </c>
      <c r="F210" s="12" t="b">
        <v>0</v>
      </c>
      <c r="G210" s="12">
        <v>0</v>
      </c>
      <c r="H210" s="12">
        <v>1</v>
      </c>
      <c r="I210" s="12">
        <v>0.26</v>
      </c>
      <c r="J210" s="12">
        <v>0.30299999999999999</v>
      </c>
      <c r="K210" s="12">
        <v>0.6</v>
      </c>
      <c r="L210" s="12">
        <v>0</v>
      </c>
      <c r="M210" s="12">
        <v>5</v>
      </c>
      <c r="N210" s="12">
        <v>57</v>
      </c>
      <c r="O210" s="12">
        <v>62</v>
      </c>
    </row>
    <row r="211" spans="1:15" x14ac:dyDescent="0.25">
      <c r="A211" s="12">
        <v>829</v>
      </c>
      <c r="B211" s="13">
        <v>40580</v>
      </c>
      <c r="C211" s="12">
        <v>1</v>
      </c>
      <c r="D211" s="12">
        <v>2</v>
      </c>
      <c r="E211" s="12">
        <v>23</v>
      </c>
      <c r="F211" s="12" t="b">
        <v>0</v>
      </c>
      <c r="G211" s="12">
        <v>0</v>
      </c>
      <c r="H211" s="12">
        <v>1</v>
      </c>
      <c r="I211" s="12">
        <v>0.24</v>
      </c>
      <c r="J211" s="12">
        <v>0.28789999999999999</v>
      </c>
      <c r="K211" s="12">
        <v>0.65</v>
      </c>
      <c r="L211" s="12">
        <v>0</v>
      </c>
      <c r="M211" s="12">
        <v>4</v>
      </c>
      <c r="N211" s="12">
        <v>26</v>
      </c>
      <c r="O211" s="12">
        <v>30</v>
      </c>
    </row>
    <row r="212" spans="1:15" x14ac:dyDescent="0.25">
      <c r="A212" s="12">
        <v>830</v>
      </c>
      <c r="B212" s="13">
        <v>40581</v>
      </c>
      <c r="C212" s="12">
        <v>1</v>
      </c>
      <c r="D212" s="12">
        <v>2</v>
      </c>
      <c r="E212" s="12">
        <v>0</v>
      </c>
      <c r="F212" s="12" t="b">
        <v>0</v>
      </c>
      <c r="G212" s="12">
        <v>1</v>
      </c>
      <c r="H212" s="12">
        <v>1</v>
      </c>
      <c r="I212" s="12">
        <v>0.24</v>
      </c>
      <c r="J212" s="12">
        <v>0.28789999999999999</v>
      </c>
      <c r="K212" s="12">
        <v>0.65</v>
      </c>
      <c r="L212" s="12">
        <v>0</v>
      </c>
      <c r="M212" s="12">
        <v>1</v>
      </c>
      <c r="N212" s="12">
        <v>14</v>
      </c>
      <c r="O212" s="12">
        <v>15</v>
      </c>
    </row>
    <row r="213" spans="1:15" x14ac:dyDescent="0.25">
      <c r="A213" s="12">
        <v>831</v>
      </c>
      <c r="B213" s="13">
        <v>40581</v>
      </c>
      <c r="C213" s="12">
        <v>1</v>
      </c>
      <c r="D213" s="12">
        <v>2</v>
      </c>
      <c r="E213" s="12">
        <v>1</v>
      </c>
      <c r="F213" s="12" t="b">
        <v>0</v>
      </c>
      <c r="G213" s="12">
        <v>1</v>
      </c>
      <c r="H213" s="12">
        <v>1</v>
      </c>
      <c r="I213" s="12">
        <v>0.22</v>
      </c>
      <c r="J213" s="12">
        <v>0.2727</v>
      </c>
      <c r="K213" s="12">
        <v>0.75</v>
      </c>
      <c r="L213" s="12">
        <v>0</v>
      </c>
      <c r="M213" s="12">
        <v>1</v>
      </c>
      <c r="N213" s="12">
        <v>4</v>
      </c>
      <c r="O213" s="12">
        <v>5</v>
      </c>
    </row>
    <row r="214" spans="1:15" x14ac:dyDescent="0.25">
      <c r="A214" s="12">
        <v>832</v>
      </c>
      <c r="B214" s="13">
        <v>40581</v>
      </c>
      <c r="C214" s="12">
        <v>1</v>
      </c>
      <c r="D214" s="12">
        <v>2</v>
      </c>
      <c r="E214" s="12">
        <v>2</v>
      </c>
      <c r="F214" s="12" t="b">
        <v>0</v>
      </c>
      <c r="G214" s="12">
        <v>1</v>
      </c>
      <c r="H214" s="12">
        <v>1</v>
      </c>
      <c r="I214" s="12">
        <v>0.2</v>
      </c>
      <c r="J214" s="12">
        <v>0.2576</v>
      </c>
      <c r="K214" s="12">
        <v>0.8</v>
      </c>
      <c r="L214" s="12">
        <v>0</v>
      </c>
      <c r="M214" s="12">
        <v>0</v>
      </c>
      <c r="N214" s="12">
        <v>3</v>
      </c>
      <c r="O214" s="12">
        <v>3</v>
      </c>
    </row>
    <row r="215" spans="1:15" x14ac:dyDescent="0.25">
      <c r="A215" s="12">
        <v>833</v>
      </c>
      <c r="B215" s="13">
        <v>40581</v>
      </c>
      <c r="C215" s="12">
        <v>1</v>
      </c>
      <c r="D215" s="12">
        <v>2</v>
      </c>
      <c r="E215" s="12">
        <v>3</v>
      </c>
      <c r="F215" s="12" t="b">
        <v>0</v>
      </c>
      <c r="G215" s="12">
        <v>1</v>
      </c>
      <c r="H215" s="12">
        <v>1</v>
      </c>
      <c r="I215" s="12">
        <v>0.2</v>
      </c>
      <c r="J215" s="12">
        <v>0.2576</v>
      </c>
      <c r="K215" s="12">
        <v>0.86</v>
      </c>
      <c r="L215" s="12">
        <v>0</v>
      </c>
      <c r="M215" s="12">
        <v>0</v>
      </c>
      <c r="N215" s="12">
        <v>1</v>
      </c>
      <c r="O215" s="12">
        <v>1</v>
      </c>
    </row>
    <row r="216" spans="1:15" x14ac:dyDescent="0.25">
      <c r="A216" s="12">
        <v>834</v>
      </c>
      <c r="B216" s="13">
        <v>40581</v>
      </c>
      <c r="C216" s="12">
        <v>1</v>
      </c>
      <c r="D216" s="12">
        <v>2</v>
      </c>
      <c r="E216" s="12">
        <v>4</v>
      </c>
      <c r="F216" s="12" t="b">
        <v>0</v>
      </c>
      <c r="G216" s="12">
        <v>1</v>
      </c>
      <c r="H216" s="12">
        <v>1</v>
      </c>
      <c r="I216" s="12">
        <v>0.2</v>
      </c>
      <c r="J216" s="12">
        <v>0.2576</v>
      </c>
      <c r="K216" s="12">
        <v>0.86</v>
      </c>
      <c r="L216" s="12">
        <v>0</v>
      </c>
      <c r="M216" s="12">
        <v>1</v>
      </c>
      <c r="N216" s="12">
        <v>1</v>
      </c>
      <c r="O216" s="12">
        <v>2</v>
      </c>
    </row>
    <row r="217" spans="1:15" x14ac:dyDescent="0.25">
      <c r="A217" s="12">
        <v>835</v>
      </c>
      <c r="B217" s="13">
        <v>40581</v>
      </c>
      <c r="C217" s="12">
        <v>1</v>
      </c>
      <c r="D217" s="12">
        <v>2</v>
      </c>
      <c r="E217" s="12">
        <v>5</v>
      </c>
      <c r="F217" s="12" t="b">
        <v>0</v>
      </c>
      <c r="G217" s="12">
        <v>1</v>
      </c>
      <c r="H217" s="12">
        <v>1</v>
      </c>
      <c r="I217" s="12">
        <v>0.2</v>
      </c>
      <c r="J217" s="12">
        <v>0.2576</v>
      </c>
      <c r="K217" s="12">
        <v>0.86</v>
      </c>
      <c r="L217" s="12">
        <v>0</v>
      </c>
      <c r="M217" s="12">
        <v>1</v>
      </c>
      <c r="N217" s="12">
        <v>9</v>
      </c>
      <c r="O217" s="12">
        <v>10</v>
      </c>
    </row>
    <row r="218" spans="1:15" x14ac:dyDescent="0.25">
      <c r="A218" s="12">
        <v>836</v>
      </c>
      <c r="B218" s="13">
        <v>40581</v>
      </c>
      <c r="C218" s="12">
        <v>1</v>
      </c>
      <c r="D218" s="12">
        <v>2</v>
      </c>
      <c r="E218" s="12">
        <v>6</v>
      </c>
      <c r="F218" s="12" t="b">
        <v>0</v>
      </c>
      <c r="G218" s="12">
        <v>1</v>
      </c>
      <c r="H218" s="12">
        <v>1</v>
      </c>
      <c r="I218" s="12">
        <v>0.18</v>
      </c>
      <c r="J218" s="12">
        <v>0.2424</v>
      </c>
      <c r="K218" s="12">
        <v>0.93</v>
      </c>
      <c r="L218" s="12">
        <v>0</v>
      </c>
      <c r="M218" s="12">
        <v>1</v>
      </c>
      <c r="N218" s="12">
        <v>29</v>
      </c>
      <c r="O218" s="12">
        <v>30</v>
      </c>
    </row>
    <row r="219" spans="1:15" x14ac:dyDescent="0.25">
      <c r="A219" s="12">
        <v>837</v>
      </c>
      <c r="B219" s="13">
        <v>40581</v>
      </c>
      <c r="C219" s="12">
        <v>1</v>
      </c>
      <c r="D219" s="12">
        <v>2</v>
      </c>
      <c r="E219" s="12">
        <v>7</v>
      </c>
      <c r="F219" s="12" t="b">
        <v>0</v>
      </c>
      <c r="G219" s="12">
        <v>1</v>
      </c>
      <c r="H219" s="12">
        <v>1</v>
      </c>
      <c r="I219" s="12">
        <v>0.18</v>
      </c>
      <c r="J219" s="12">
        <v>0.2424</v>
      </c>
      <c r="K219" s="12">
        <v>0.86</v>
      </c>
      <c r="L219" s="12">
        <v>0</v>
      </c>
      <c r="M219" s="12">
        <v>6</v>
      </c>
      <c r="N219" s="12">
        <v>89</v>
      </c>
      <c r="O219" s="12">
        <v>95</v>
      </c>
    </row>
    <row r="220" spans="1:15" x14ac:dyDescent="0.25">
      <c r="A220" s="12">
        <v>838</v>
      </c>
      <c r="B220" s="13">
        <v>40581</v>
      </c>
      <c r="C220" s="12">
        <v>1</v>
      </c>
      <c r="D220" s="12">
        <v>2</v>
      </c>
      <c r="E220" s="12">
        <v>8</v>
      </c>
      <c r="F220" s="12" t="b">
        <v>0</v>
      </c>
      <c r="G220" s="12">
        <v>1</v>
      </c>
      <c r="H220" s="12">
        <v>2</v>
      </c>
      <c r="I220" s="12">
        <v>0.16</v>
      </c>
      <c r="J220" s="12">
        <v>0.2273</v>
      </c>
      <c r="K220" s="12">
        <v>1</v>
      </c>
      <c r="L220" s="12">
        <v>0</v>
      </c>
      <c r="M220" s="12">
        <v>7</v>
      </c>
      <c r="N220" s="12">
        <v>223</v>
      </c>
      <c r="O220" s="12">
        <v>230</v>
      </c>
    </row>
    <row r="221" spans="1:15" x14ac:dyDescent="0.25">
      <c r="A221" s="12">
        <v>839</v>
      </c>
      <c r="B221" s="13">
        <v>40581</v>
      </c>
      <c r="C221" s="12">
        <v>1</v>
      </c>
      <c r="D221" s="12">
        <v>2</v>
      </c>
      <c r="E221" s="12">
        <v>9</v>
      </c>
      <c r="F221" s="12" t="b">
        <v>0</v>
      </c>
      <c r="G221" s="12">
        <v>1</v>
      </c>
      <c r="H221" s="12">
        <v>1</v>
      </c>
      <c r="I221" s="12">
        <v>0.22</v>
      </c>
      <c r="J221" s="12">
        <v>0.2727</v>
      </c>
      <c r="K221" s="12">
        <v>0.8</v>
      </c>
      <c r="L221" s="12">
        <v>0</v>
      </c>
      <c r="M221" s="12">
        <v>3</v>
      </c>
      <c r="N221" s="12">
        <v>115</v>
      </c>
      <c r="O221" s="12">
        <v>118</v>
      </c>
    </row>
    <row r="222" spans="1:15" x14ac:dyDescent="0.25">
      <c r="A222" s="12">
        <v>840</v>
      </c>
      <c r="B222" s="13">
        <v>40581</v>
      </c>
      <c r="C222" s="12">
        <v>1</v>
      </c>
      <c r="D222" s="12">
        <v>2</v>
      </c>
      <c r="E222" s="12">
        <v>10</v>
      </c>
      <c r="F222" s="12" t="b">
        <v>0</v>
      </c>
      <c r="G222" s="12">
        <v>1</v>
      </c>
      <c r="H222" s="12">
        <v>1</v>
      </c>
      <c r="I222" s="12">
        <v>0.24</v>
      </c>
      <c r="J222" s="12">
        <v>0.2576</v>
      </c>
      <c r="K222" s="12">
        <v>0.75</v>
      </c>
      <c r="L222" s="12">
        <v>0.1045</v>
      </c>
      <c r="M222" s="12">
        <v>6</v>
      </c>
      <c r="N222" s="12">
        <v>49</v>
      </c>
      <c r="O222" s="12">
        <v>55</v>
      </c>
    </row>
    <row r="223" spans="1:15" x14ac:dyDescent="0.25">
      <c r="A223" s="12">
        <v>841</v>
      </c>
      <c r="B223" s="13">
        <v>40581</v>
      </c>
      <c r="C223" s="12">
        <v>1</v>
      </c>
      <c r="D223" s="12">
        <v>2</v>
      </c>
      <c r="E223" s="12">
        <v>11</v>
      </c>
      <c r="F223" s="12" t="b">
        <v>0</v>
      </c>
      <c r="G223" s="12">
        <v>1</v>
      </c>
      <c r="H223" s="12">
        <v>1</v>
      </c>
      <c r="I223" s="12">
        <v>0.3</v>
      </c>
      <c r="J223" s="12">
        <v>0.31819999999999998</v>
      </c>
      <c r="K223" s="12">
        <v>0.65</v>
      </c>
      <c r="L223" s="12">
        <v>8.9599999999999999E-2</v>
      </c>
      <c r="M223" s="12">
        <v>11</v>
      </c>
      <c r="N223" s="12">
        <v>36</v>
      </c>
      <c r="O223" s="12">
        <v>47</v>
      </c>
    </row>
    <row r="224" spans="1:15" x14ac:dyDescent="0.25">
      <c r="A224" s="12">
        <v>842</v>
      </c>
      <c r="B224" s="13">
        <v>40581</v>
      </c>
      <c r="C224" s="12">
        <v>1</v>
      </c>
      <c r="D224" s="12">
        <v>2</v>
      </c>
      <c r="E224" s="12">
        <v>12</v>
      </c>
      <c r="F224" s="12" t="b">
        <v>0</v>
      </c>
      <c r="G224" s="12">
        <v>1</v>
      </c>
      <c r="H224" s="12">
        <v>2</v>
      </c>
      <c r="I224" s="12">
        <v>0.32</v>
      </c>
      <c r="J224" s="12">
        <v>0.34849999999999998</v>
      </c>
      <c r="K224" s="12">
        <v>0.62</v>
      </c>
      <c r="L224" s="12">
        <v>0</v>
      </c>
      <c r="M224" s="12">
        <v>7</v>
      </c>
      <c r="N224" s="12">
        <v>59</v>
      </c>
      <c r="O224" s="12">
        <v>66</v>
      </c>
    </row>
    <row r="225" spans="1:15" x14ac:dyDescent="0.25">
      <c r="A225" s="12">
        <v>843</v>
      </c>
      <c r="B225" s="13">
        <v>40581</v>
      </c>
      <c r="C225" s="12">
        <v>1</v>
      </c>
      <c r="D225" s="12">
        <v>2</v>
      </c>
      <c r="E225" s="12">
        <v>13</v>
      </c>
      <c r="F225" s="12" t="b">
        <v>0</v>
      </c>
      <c r="G225" s="12">
        <v>1</v>
      </c>
      <c r="H225" s="12">
        <v>2</v>
      </c>
      <c r="I225" s="12">
        <v>0.36</v>
      </c>
      <c r="J225" s="12">
        <v>0.36359999999999998</v>
      </c>
      <c r="K225" s="12">
        <v>0.56999999999999995</v>
      </c>
      <c r="L225" s="12">
        <v>8.9599999999999999E-2</v>
      </c>
      <c r="M225" s="12">
        <v>10</v>
      </c>
      <c r="N225" s="12">
        <v>54</v>
      </c>
      <c r="O225" s="12">
        <v>64</v>
      </c>
    </row>
    <row r="226" spans="1:15" x14ac:dyDescent="0.25">
      <c r="A226" s="12">
        <v>844</v>
      </c>
      <c r="B226" s="13">
        <v>40581</v>
      </c>
      <c r="C226" s="12">
        <v>1</v>
      </c>
      <c r="D226" s="12">
        <v>2</v>
      </c>
      <c r="E226" s="12">
        <v>14</v>
      </c>
      <c r="F226" s="12" t="b">
        <v>0</v>
      </c>
      <c r="G226" s="12">
        <v>1</v>
      </c>
      <c r="H226" s="12">
        <v>2</v>
      </c>
      <c r="I226" s="12">
        <v>0.36</v>
      </c>
      <c r="J226" s="12">
        <v>0.36359999999999998</v>
      </c>
      <c r="K226" s="12">
        <v>0.56999999999999995</v>
      </c>
      <c r="L226" s="12">
        <v>8.9599999999999999E-2</v>
      </c>
      <c r="M226" s="12">
        <v>8</v>
      </c>
      <c r="N226" s="12">
        <v>52</v>
      </c>
      <c r="O226" s="12">
        <v>60</v>
      </c>
    </row>
    <row r="227" spans="1:15" x14ac:dyDescent="0.25">
      <c r="A227" s="12">
        <v>845</v>
      </c>
      <c r="B227" s="13">
        <v>40581</v>
      </c>
      <c r="C227" s="12">
        <v>1</v>
      </c>
      <c r="D227" s="12">
        <v>2</v>
      </c>
      <c r="E227" s="12">
        <v>15</v>
      </c>
      <c r="F227" s="12" t="b">
        <v>0</v>
      </c>
      <c r="G227" s="12">
        <v>1</v>
      </c>
      <c r="H227" s="12">
        <v>2</v>
      </c>
      <c r="I227" s="12">
        <v>0.38</v>
      </c>
      <c r="J227" s="12">
        <v>0.39389999999999997</v>
      </c>
      <c r="K227" s="12">
        <v>0.54</v>
      </c>
      <c r="L227" s="12">
        <v>8.9599999999999999E-2</v>
      </c>
      <c r="M227" s="12">
        <v>4</v>
      </c>
      <c r="N227" s="12">
        <v>46</v>
      </c>
      <c r="O227" s="12">
        <v>50</v>
      </c>
    </row>
    <row r="228" spans="1:15" x14ac:dyDescent="0.25">
      <c r="A228" s="12">
        <v>846</v>
      </c>
      <c r="B228" s="13">
        <v>40581</v>
      </c>
      <c r="C228" s="12">
        <v>1</v>
      </c>
      <c r="D228" s="12">
        <v>2</v>
      </c>
      <c r="E228" s="12">
        <v>16</v>
      </c>
      <c r="F228" s="12" t="b">
        <v>0</v>
      </c>
      <c r="G228" s="12">
        <v>1</v>
      </c>
      <c r="H228" s="12">
        <v>2</v>
      </c>
      <c r="I228" s="12">
        <v>0.36</v>
      </c>
      <c r="J228" s="12">
        <v>0.34849999999999998</v>
      </c>
      <c r="K228" s="12">
        <v>0.56999999999999995</v>
      </c>
      <c r="L228" s="12">
        <v>0.1343</v>
      </c>
      <c r="M228" s="12">
        <v>16</v>
      </c>
      <c r="N228" s="12">
        <v>98</v>
      </c>
      <c r="O228" s="12">
        <v>114</v>
      </c>
    </row>
    <row r="229" spans="1:15" x14ac:dyDescent="0.25">
      <c r="A229" s="12">
        <v>847</v>
      </c>
      <c r="B229" s="13">
        <v>40581</v>
      </c>
      <c r="C229" s="12">
        <v>1</v>
      </c>
      <c r="D229" s="12">
        <v>2</v>
      </c>
      <c r="E229" s="12">
        <v>17</v>
      </c>
      <c r="F229" s="12" t="b">
        <v>0</v>
      </c>
      <c r="G229" s="12">
        <v>1</v>
      </c>
      <c r="H229" s="12">
        <v>2</v>
      </c>
      <c r="I229" s="12">
        <v>0.32</v>
      </c>
      <c r="J229" s="12">
        <v>0.31819999999999998</v>
      </c>
      <c r="K229" s="12">
        <v>0.7</v>
      </c>
      <c r="L229" s="12">
        <v>0.16420000000000001</v>
      </c>
      <c r="M229" s="12">
        <v>9</v>
      </c>
      <c r="N229" s="12">
        <v>207</v>
      </c>
      <c r="O229" s="12">
        <v>216</v>
      </c>
    </row>
    <row r="230" spans="1:15" x14ac:dyDescent="0.25">
      <c r="A230" s="12">
        <v>848</v>
      </c>
      <c r="B230" s="13">
        <v>40581</v>
      </c>
      <c r="C230" s="12">
        <v>1</v>
      </c>
      <c r="D230" s="12">
        <v>2</v>
      </c>
      <c r="E230" s="12">
        <v>18</v>
      </c>
      <c r="F230" s="12" t="b">
        <v>0</v>
      </c>
      <c r="G230" s="12">
        <v>1</v>
      </c>
      <c r="H230" s="12">
        <v>2</v>
      </c>
      <c r="I230" s="12">
        <v>0.34</v>
      </c>
      <c r="J230" s="12">
        <v>0.33329999999999999</v>
      </c>
      <c r="K230" s="12">
        <v>0.66</v>
      </c>
      <c r="L230" s="12">
        <v>0.1343</v>
      </c>
      <c r="M230" s="12">
        <v>5</v>
      </c>
      <c r="N230" s="12">
        <v>170</v>
      </c>
      <c r="O230" s="12">
        <v>175</v>
      </c>
    </row>
    <row r="231" spans="1:15" x14ac:dyDescent="0.25">
      <c r="A231" s="12">
        <v>849</v>
      </c>
      <c r="B231" s="13">
        <v>40581</v>
      </c>
      <c r="C231" s="12">
        <v>1</v>
      </c>
      <c r="D231" s="12">
        <v>2</v>
      </c>
      <c r="E231" s="12">
        <v>19</v>
      </c>
      <c r="F231" s="12" t="b">
        <v>0</v>
      </c>
      <c r="G231" s="12">
        <v>1</v>
      </c>
      <c r="H231" s="12">
        <v>2</v>
      </c>
      <c r="I231" s="12">
        <v>0.32</v>
      </c>
      <c r="J231" s="12">
        <v>0.34849999999999998</v>
      </c>
      <c r="K231" s="12">
        <v>0.7</v>
      </c>
      <c r="L231" s="12">
        <v>0</v>
      </c>
      <c r="M231" s="12">
        <v>5</v>
      </c>
      <c r="N231" s="12">
        <v>123</v>
      </c>
      <c r="O231" s="12">
        <v>128</v>
      </c>
    </row>
    <row r="232" spans="1:15" x14ac:dyDescent="0.25">
      <c r="A232" s="12">
        <v>850</v>
      </c>
      <c r="B232" s="13">
        <v>40581</v>
      </c>
      <c r="C232" s="12">
        <v>1</v>
      </c>
      <c r="D232" s="12">
        <v>2</v>
      </c>
      <c r="E232" s="12">
        <v>20</v>
      </c>
      <c r="F232" s="12" t="b">
        <v>0</v>
      </c>
      <c r="G232" s="12">
        <v>1</v>
      </c>
      <c r="H232" s="12">
        <v>2</v>
      </c>
      <c r="I232" s="12">
        <v>0.32</v>
      </c>
      <c r="J232" s="12">
        <v>0.33329999999999999</v>
      </c>
      <c r="K232" s="12">
        <v>0.7</v>
      </c>
      <c r="L232" s="12">
        <v>0.1045</v>
      </c>
      <c r="M232" s="12">
        <v>6</v>
      </c>
      <c r="N232" s="12">
        <v>82</v>
      </c>
      <c r="O232" s="12">
        <v>88</v>
      </c>
    </row>
    <row r="233" spans="1:15" x14ac:dyDescent="0.25">
      <c r="A233" s="12">
        <v>851</v>
      </c>
      <c r="B233" s="13">
        <v>40581</v>
      </c>
      <c r="C233" s="12">
        <v>1</v>
      </c>
      <c r="D233" s="12">
        <v>2</v>
      </c>
      <c r="E233" s="12">
        <v>21</v>
      </c>
      <c r="F233" s="12" t="b">
        <v>0</v>
      </c>
      <c r="G233" s="12">
        <v>1</v>
      </c>
      <c r="H233" s="12">
        <v>1</v>
      </c>
      <c r="I233" s="12">
        <v>0.32</v>
      </c>
      <c r="J233" s="12">
        <v>0.34849999999999998</v>
      </c>
      <c r="K233" s="12">
        <v>0.7</v>
      </c>
      <c r="L233" s="12">
        <v>0</v>
      </c>
      <c r="M233" s="12">
        <v>3</v>
      </c>
      <c r="N233" s="12">
        <v>75</v>
      </c>
      <c r="O233" s="12">
        <v>78</v>
      </c>
    </row>
    <row r="234" spans="1:15" x14ac:dyDescent="0.25">
      <c r="A234" s="12">
        <v>852</v>
      </c>
      <c r="B234" s="13">
        <v>40581</v>
      </c>
      <c r="C234" s="12">
        <v>1</v>
      </c>
      <c r="D234" s="12">
        <v>2</v>
      </c>
      <c r="E234" s="12">
        <v>22</v>
      </c>
      <c r="F234" s="12" t="b">
        <v>0</v>
      </c>
      <c r="G234" s="12">
        <v>1</v>
      </c>
      <c r="H234" s="12">
        <v>1</v>
      </c>
      <c r="I234" s="12">
        <v>0.28000000000000003</v>
      </c>
      <c r="J234" s="12">
        <v>0.30299999999999999</v>
      </c>
      <c r="K234" s="12">
        <v>0.81</v>
      </c>
      <c r="L234" s="12">
        <v>8.9599999999999999E-2</v>
      </c>
      <c r="M234" s="12">
        <v>3</v>
      </c>
      <c r="N234" s="12">
        <v>34</v>
      </c>
      <c r="O234" s="12">
        <v>37</v>
      </c>
    </row>
    <row r="235" spans="1:15" x14ac:dyDescent="0.25">
      <c r="A235" s="12">
        <v>853</v>
      </c>
      <c r="B235" s="13">
        <v>40581</v>
      </c>
      <c r="C235" s="12">
        <v>1</v>
      </c>
      <c r="D235" s="12">
        <v>2</v>
      </c>
      <c r="E235" s="12">
        <v>23</v>
      </c>
      <c r="F235" s="12" t="b">
        <v>0</v>
      </c>
      <c r="G235" s="12">
        <v>1</v>
      </c>
      <c r="H235" s="12">
        <v>2</v>
      </c>
      <c r="I235" s="12">
        <v>0.3</v>
      </c>
      <c r="J235" s="12">
        <v>0.33329999999999999</v>
      </c>
      <c r="K235" s="12">
        <v>0.81</v>
      </c>
      <c r="L235" s="12">
        <v>0</v>
      </c>
      <c r="M235" s="12">
        <v>6</v>
      </c>
      <c r="N235" s="12">
        <v>19</v>
      </c>
      <c r="O235" s="12">
        <v>25</v>
      </c>
    </row>
    <row r="236" spans="1:15" x14ac:dyDescent="0.25">
      <c r="A236" s="12">
        <v>854</v>
      </c>
      <c r="B236" s="13">
        <v>40582</v>
      </c>
      <c r="C236" s="12">
        <v>1</v>
      </c>
      <c r="D236" s="12">
        <v>2</v>
      </c>
      <c r="E236" s="12">
        <v>0</v>
      </c>
      <c r="F236" s="12" t="b">
        <v>0</v>
      </c>
      <c r="G236" s="12">
        <v>2</v>
      </c>
      <c r="H236" s="12">
        <v>2</v>
      </c>
      <c r="I236" s="12">
        <v>0.28000000000000003</v>
      </c>
      <c r="J236" s="12">
        <v>0.31819999999999998</v>
      </c>
      <c r="K236" s="12">
        <v>0.87</v>
      </c>
      <c r="L236" s="12">
        <v>0</v>
      </c>
      <c r="M236" s="12">
        <v>4</v>
      </c>
      <c r="N236" s="12">
        <v>6</v>
      </c>
      <c r="O236" s="12">
        <v>10</v>
      </c>
    </row>
    <row r="237" spans="1:15" x14ac:dyDescent="0.25">
      <c r="A237" s="12">
        <v>855</v>
      </c>
      <c r="B237" s="13">
        <v>40582</v>
      </c>
      <c r="C237" s="12">
        <v>1</v>
      </c>
      <c r="D237" s="12">
        <v>2</v>
      </c>
      <c r="E237" s="12">
        <v>1</v>
      </c>
      <c r="F237" s="12" t="b">
        <v>0</v>
      </c>
      <c r="G237" s="12">
        <v>2</v>
      </c>
      <c r="H237" s="12">
        <v>2</v>
      </c>
      <c r="I237" s="12">
        <v>0.28000000000000003</v>
      </c>
      <c r="J237" s="12">
        <v>0.31819999999999998</v>
      </c>
      <c r="K237" s="12">
        <v>0.87</v>
      </c>
      <c r="L237" s="12">
        <v>0</v>
      </c>
      <c r="M237" s="12">
        <v>0</v>
      </c>
      <c r="N237" s="12">
        <v>4</v>
      </c>
      <c r="O237" s="12">
        <v>4</v>
      </c>
    </row>
    <row r="238" spans="1:15" x14ac:dyDescent="0.25">
      <c r="A238" s="12">
        <v>856</v>
      </c>
      <c r="B238" s="13">
        <v>40582</v>
      </c>
      <c r="C238" s="12">
        <v>1</v>
      </c>
      <c r="D238" s="12">
        <v>2</v>
      </c>
      <c r="E238" s="12">
        <v>2</v>
      </c>
      <c r="F238" s="12" t="b">
        <v>0</v>
      </c>
      <c r="G238" s="12">
        <v>2</v>
      </c>
      <c r="H238" s="12">
        <v>2</v>
      </c>
      <c r="I238" s="12">
        <v>0.26</v>
      </c>
      <c r="J238" s="12">
        <v>0.2727</v>
      </c>
      <c r="K238" s="12">
        <v>0.93</v>
      </c>
      <c r="L238" s="12">
        <v>0.1045</v>
      </c>
      <c r="M238" s="12">
        <v>1</v>
      </c>
      <c r="N238" s="12">
        <v>1</v>
      </c>
      <c r="O238" s="12">
        <v>2</v>
      </c>
    </row>
    <row r="239" spans="1:15" x14ac:dyDescent="0.25">
      <c r="A239" s="12">
        <v>857</v>
      </c>
      <c r="B239" s="13">
        <v>40582</v>
      </c>
      <c r="C239" s="12">
        <v>1</v>
      </c>
      <c r="D239" s="12">
        <v>2</v>
      </c>
      <c r="E239" s="12">
        <v>3</v>
      </c>
      <c r="F239" s="12" t="b">
        <v>0</v>
      </c>
      <c r="G239" s="12">
        <v>2</v>
      </c>
      <c r="H239" s="12">
        <v>3</v>
      </c>
      <c r="I239" s="12">
        <v>0.28000000000000003</v>
      </c>
      <c r="J239" s="12">
        <v>0.2727</v>
      </c>
      <c r="K239" s="12">
        <v>0.93</v>
      </c>
      <c r="L239" s="12">
        <v>0.16420000000000001</v>
      </c>
      <c r="M239" s="12">
        <v>0</v>
      </c>
      <c r="N239" s="12">
        <v>1</v>
      </c>
      <c r="O239" s="12">
        <v>1</v>
      </c>
    </row>
    <row r="240" spans="1:15" x14ac:dyDescent="0.25">
      <c r="A240" s="12">
        <v>858</v>
      </c>
      <c r="B240" s="13">
        <v>40582</v>
      </c>
      <c r="C240" s="12">
        <v>1</v>
      </c>
      <c r="D240" s="12">
        <v>2</v>
      </c>
      <c r="E240" s="12">
        <v>4</v>
      </c>
      <c r="F240" s="12" t="b">
        <v>0</v>
      </c>
      <c r="G240" s="12">
        <v>2</v>
      </c>
      <c r="H240" s="12">
        <v>1</v>
      </c>
      <c r="I240" s="12">
        <v>0.26</v>
      </c>
      <c r="J240" s="12">
        <v>0.2576</v>
      </c>
      <c r="K240" s="12">
        <v>0.93</v>
      </c>
      <c r="L240" s="12">
        <v>0.16420000000000001</v>
      </c>
      <c r="M240" s="12">
        <v>0</v>
      </c>
      <c r="N240" s="12">
        <v>3</v>
      </c>
      <c r="O240" s="12">
        <v>3</v>
      </c>
    </row>
    <row r="241" spans="1:15" x14ac:dyDescent="0.25">
      <c r="A241" s="12">
        <v>859</v>
      </c>
      <c r="B241" s="13">
        <v>40582</v>
      </c>
      <c r="C241" s="12">
        <v>1</v>
      </c>
      <c r="D241" s="12">
        <v>2</v>
      </c>
      <c r="E241" s="12">
        <v>5</v>
      </c>
      <c r="F241" s="12" t="b">
        <v>0</v>
      </c>
      <c r="G241" s="12">
        <v>2</v>
      </c>
      <c r="H241" s="12">
        <v>1</v>
      </c>
      <c r="I241" s="12">
        <v>0.26</v>
      </c>
      <c r="J241" s="12">
        <v>0.2273</v>
      </c>
      <c r="K241" s="12">
        <v>0.81</v>
      </c>
      <c r="L241" s="12">
        <v>0.32840000000000003</v>
      </c>
      <c r="M241" s="12">
        <v>0</v>
      </c>
      <c r="N241" s="12">
        <v>2</v>
      </c>
      <c r="O241" s="12">
        <v>2</v>
      </c>
    </row>
    <row r="242" spans="1:15" x14ac:dyDescent="0.25">
      <c r="A242" s="12">
        <v>860</v>
      </c>
      <c r="B242" s="13">
        <v>40582</v>
      </c>
      <c r="C242" s="12">
        <v>1</v>
      </c>
      <c r="D242" s="12">
        <v>2</v>
      </c>
      <c r="E242" s="12">
        <v>6</v>
      </c>
      <c r="F242" s="12" t="b">
        <v>0</v>
      </c>
      <c r="G242" s="12">
        <v>2</v>
      </c>
      <c r="H242" s="12">
        <v>1</v>
      </c>
      <c r="I242" s="12">
        <v>0.26</v>
      </c>
      <c r="J242" s="12">
        <v>0.2273</v>
      </c>
      <c r="K242" s="12">
        <v>0.7</v>
      </c>
      <c r="L242" s="12">
        <v>0.32840000000000003</v>
      </c>
      <c r="M242" s="12">
        <v>0</v>
      </c>
      <c r="N242" s="12">
        <v>39</v>
      </c>
      <c r="O242" s="12">
        <v>39</v>
      </c>
    </row>
    <row r="243" spans="1:15" x14ac:dyDescent="0.25">
      <c r="A243" s="12">
        <v>861</v>
      </c>
      <c r="B243" s="13">
        <v>40582</v>
      </c>
      <c r="C243" s="12">
        <v>1</v>
      </c>
      <c r="D243" s="12">
        <v>2</v>
      </c>
      <c r="E243" s="12">
        <v>7</v>
      </c>
      <c r="F243" s="12" t="b">
        <v>0</v>
      </c>
      <c r="G243" s="12">
        <v>2</v>
      </c>
      <c r="H243" s="12">
        <v>1</v>
      </c>
      <c r="I243" s="12">
        <v>0.24</v>
      </c>
      <c r="J243" s="12">
        <v>0.19700000000000001</v>
      </c>
      <c r="K243" s="12">
        <v>0.65</v>
      </c>
      <c r="L243" s="12">
        <v>0.41789999999999999</v>
      </c>
      <c r="M243" s="12">
        <v>3</v>
      </c>
      <c r="N243" s="12">
        <v>97</v>
      </c>
      <c r="O243" s="12">
        <v>100</v>
      </c>
    </row>
    <row r="244" spans="1:15" x14ac:dyDescent="0.25">
      <c r="A244" s="12">
        <v>862</v>
      </c>
      <c r="B244" s="13">
        <v>40582</v>
      </c>
      <c r="C244" s="12">
        <v>1</v>
      </c>
      <c r="D244" s="12">
        <v>2</v>
      </c>
      <c r="E244" s="12">
        <v>8</v>
      </c>
      <c r="F244" s="12" t="b">
        <v>0</v>
      </c>
      <c r="G244" s="12">
        <v>2</v>
      </c>
      <c r="H244" s="12">
        <v>1</v>
      </c>
      <c r="I244" s="12">
        <v>0.24</v>
      </c>
      <c r="J244" s="12">
        <v>0.19700000000000001</v>
      </c>
      <c r="K244" s="12">
        <v>0.56000000000000005</v>
      </c>
      <c r="L244" s="12">
        <v>0.49249999999999999</v>
      </c>
      <c r="M244" s="12">
        <v>7</v>
      </c>
      <c r="N244" s="12">
        <v>236</v>
      </c>
      <c r="O244" s="12">
        <v>243</v>
      </c>
    </row>
    <row r="245" spans="1:15" x14ac:dyDescent="0.25">
      <c r="A245" s="12">
        <v>863</v>
      </c>
      <c r="B245" s="13">
        <v>40582</v>
      </c>
      <c r="C245" s="12">
        <v>1</v>
      </c>
      <c r="D245" s="12">
        <v>2</v>
      </c>
      <c r="E245" s="12">
        <v>9</v>
      </c>
      <c r="F245" s="12" t="b">
        <v>0</v>
      </c>
      <c r="G245" s="12">
        <v>2</v>
      </c>
      <c r="H245" s="12">
        <v>1</v>
      </c>
      <c r="I245" s="12">
        <v>0.24</v>
      </c>
      <c r="J245" s="12">
        <v>0.19700000000000001</v>
      </c>
      <c r="K245" s="12">
        <v>0.52</v>
      </c>
      <c r="L245" s="12">
        <v>0.49249999999999999</v>
      </c>
      <c r="M245" s="12">
        <v>7</v>
      </c>
      <c r="N245" s="12">
        <v>128</v>
      </c>
      <c r="O245" s="12">
        <v>135</v>
      </c>
    </row>
    <row r="246" spans="1:15" x14ac:dyDescent="0.25">
      <c r="A246" s="12">
        <v>864</v>
      </c>
      <c r="B246" s="13">
        <v>40582</v>
      </c>
      <c r="C246" s="12">
        <v>1</v>
      </c>
      <c r="D246" s="12">
        <v>2</v>
      </c>
      <c r="E246" s="12">
        <v>10</v>
      </c>
      <c r="F246" s="12" t="b">
        <v>0</v>
      </c>
      <c r="G246" s="12">
        <v>2</v>
      </c>
      <c r="H246" s="12">
        <v>1</v>
      </c>
      <c r="I246" s="12">
        <v>0.22</v>
      </c>
      <c r="J246" s="12">
        <v>0.18179999999999999</v>
      </c>
      <c r="K246" s="12">
        <v>0.47</v>
      </c>
      <c r="L246" s="12">
        <v>0.55220000000000002</v>
      </c>
      <c r="M246" s="12">
        <v>4</v>
      </c>
      <c r="N246" s="12">
        <v>44</v>
      </c>
      <c r="O246" s="12">
        <v>48</v>
      </c>
    </row>
    <row r="247" spans="1:15" x14ac:dyDescent="0.25">
      <c r="A247" s="12">
        <v>865</v>
      </c>
      <c r="B247" s="13">
        <v>40582</v>
      </c>
      <c r="C247" s="12">
        <v>1</v>
      </c>
      <c r="D247" s="12">
        <v>2</v>
      </c>
      <c r="E247" s="12">
        <v>11</v>
      </c>
      <c r="F247" s="12" t="b">
        <v>0</v>
      </c>
      <c r="G247" s="12">
        <v>2</v>
      </c>
      <c r="H247" s="12">
        <v>1</v>
      </c>
      <c r="I247" s="12">
        <v>0.22</v>
      </c>
      <c r="J247" s="12">
        <v>0.18179999999999999</v>
      </c>
      <c r="K247" s="12">
        <v>0.47</v>
      </c>
      <c r="L247" s="12">
        <v>0.4627</v>
      </c>
      <c r="M247" s="12">
        <v>1</v>
      </c>
      <c r="N247" s="12">
        <v>49</v>
      </c>
      <c r="O247" s="12">
        <v>50</v>
      </c>
    </row>
    <row r="248" spans="1:15" x14ac:dyDescent="0.25">
      <c r="A248" s="12">
        <v>866</v>
      </c>
      <c r="B248" s="13">
        <v>40582</v>
      </c>
      <c r="C248" s="12">
        <v>1</v>
      </c>
      <c r="D248" s="12">
        <v>2</v>
      </c>
      <c r="E248" s="12">
        <v>12</v>
      </c>
      <c r="F248" s="12" t="b">
        <v>0</v>
      </c>
      <c r="G248" s="12">
        <v>2</v>
      </c>
      <c r="H248" s="12">
        <v>1</v>
      </c>
      <c r="I248" s="12">
        <v>0.24</v>
      </c>
      <c r="J248" s="12">
        <v>0.19700000000000001</v>
      </c>
      <c r="K248" s="12">
        <v>0.38</v>
      </c>
      <c r="L248" s="12">
        <v>0.49249999999999999</v>
      </c>
      <c r="M248" s="12">
        <v>2</v>
      </c>
      <c r="N248" s="12">
        <v>63</v>
      </c>
      <c r="O248" s="12">
        <v>65</v>
      </c>
    </row>
    <row r="249" spans="1:15" x14ac:dyDescent="0.25">
      <c r="A249" s="12">
        <v>867</v>
      </c>
      <c r="B249" s="13">
        <v>40582</v>
      </c>
      <c r="C249" s="12">
        <v>1</v>
      </c>
      <c r="D249" s="12">
        <v>2</v>
      </c>
      <c r="E249" s="12">
        <v>13</v>
      </c>
      <c r="F249" s="12" t="b">
        <v>0</v>
      </c>
      <c r="G249" s="12">
        <v>2</v>
      </c>
      <c r="H249" s="12">
        <v>2</v>
      </c>
      <c r="I249" s="12">
        <v>0.24</v>
      </c>
      <c r="J249" s="12">
        <v>0.19700000000000001</v>
      </c>
      <c r="K249" s="12">
        <v>0.32</v>
      </c>
      <c r="L249" s="12">
        <v>0.44779999999999998</v>
      </c>
      <c r="M249" s="12">
        <v>2</v>
      </c>
      <c r="N249" s="12">
        <v>48</v>
      </c>
      <c r="O249" s="12">
        <v>50</v>
      </c>
    </row>
    <row r="250" spans="1:15" x14ac:dyDescent="0.25">
      <c r="A250" s="12">
        <v>868</v>
      </c>
      <c r="B250" s="13">
        <v>40582</v>
      </c>
      <c r="C250" s="12">
        <v>1</v>
      </c>
      <c r="D250" s="12">
        <v>2</v>
      </c>
      <c r="E250" s="12">
        <v>14</v>
      </c>
      <c r="F250" s="12" t="b">
        <v>0</v>
      </c>
      <c r="G250" s="12">
        <v>2</v>
      </c>
      <c r="H250" s="12">
        <v>1</v>
      </c>
      <c r="I250" s="12">
        <v>0.22</v>
      </c>
      <c r="J250" s="12">
        <v>0.19700000000000001</v>
      </c>
      <c r="K250" s="12">
        <v>0.37</v>
      </c>
      <c r="L250" s="12">
        <v>0.41789999999999999</v>
      </c>
      <c r="M250" s="12">
        <v>3</v>
      </c>
      <c r="N250" s="12">
        <v>61</v>
      </c>
      <c r="O250" s="12">
        <v>64</v>
      </c>
    </row>
    <row r="251" spans="1:15" x14ac:dyDescent="0.25">
      <c r="A251" s="12">
        <v>869</v>
      </c>
      <c r="B251" s="13">
        <v>40582</v>
      </c>
      <c r="C251" s="12">
        <v>1</v>
      </c>
      <c r="D251" s="12">
        <v>2</v>
      </c>
      <c r="E251" s="12">
        <v>15</v>
      </c>
      <c r="F251" s="12" t="b">
        <v>0</v>
      </c>
      <c r="G251" s="12">
        <v>2</v>
      </c>
      <c r="H251" s="12">
        <v>1</v>
      </c>
      <c r="I251" s="12">
        <v>0.22</v>
      </c>
      <c r="J251" s="12">
        <v>0.19700000000000001</v>
      </c>
      <c r="K251" s="12">
        <v>0.35</v>
      </c>
      <c r="L251" s="12">
        <v>0.3881</v>
      </c>
      <c r="M251" s="12">
        <v>6</v>
      </c>
      <c r="N251" s="12">
        <v>45</v>
      </c>
      <c r="O251" s="12">
        <v>51</v>
      </c>
    </row>
    <row r="252" spans="1:15" x14ac:dyDescent="0.25">
      <c r="A252" s="12">
        <v>870</v>
      </c>
      <c r="B252" s="13">
        <v>40582</v>
      </c>
      <c r="C252" s="12">
        <v>1</v>
      </c>
      <c r="D252" s="12">
        <v>2</v>
      </c>
      <c r="E252" s="12">
        <v>16</v>
      </c>
      <c r="F252" s="12" t="b">
        <v>0</v>
      </c>
      <c r="G252" s="12">
        <v>2</v>
      </c>
      <c r="H252" s="12">
        <v>1</v>
      </c>
      <c r="I252" s="12">
        <v>0.22</v>
      </c>
      <c r="J252" s="12">
        <v>0.18179999999999999</v>
      </c>
      <c r="K252" s="12">
        <v>0.35</v>
      </c>
      <c r="L252" s="12">
        <v>0.52239999999999998</v>
      </c>
      <c r="M252" s="12">
        <v>4</v>
      </c>
      <c r="N252" s="12">
        <v>79</v>
      </c>
      <c r="O252" s="12">
        <v>83</v>
      </c>
    </row>
    <row r="253" spans="1:15" x14ac:dyDescent="0.25">
      <c r="A253" s="12">
        <v>871</v>
      </c>
      <c r="B253" s="13">
        <v>40582</v>
      </c>
      <c r="C253" s="12">
        <v>1</v>
      </c>
      <c r="D253" s="12">
        <v>2</v>
      </c>
      <c r="E253" s="12">
        <v>17</v>
      </c>
      <c r="F253" s="12" t="b">
        <v>0</v>
      </c>
      <c r="G253" s="12">
        <v>2</v>
      </c>
      <c r="H253" s="12">
        <v>1</v>
      </c>
      <c r="I253" s="12">
        <v>0.22</v>
      </c>
      <c r="J253" s="12">
        <v>0.18179999999999999</v>
      </c>
      <c r="K253" s="12">
        <v>0.32</v>
      </c>
      <c r="L253" s="12">
        <v>0.58209999999999995</v>
      </c>
      <c r="M253" s="12">
        <v>4</v>
      </c>
      <c r="N253" s="12">
        <v>172</v>
      </c>
      <c r="O253" s="12">
        <v>176</v>
      </c>
    </row>
    <row r="254" spans="1:15" x14ac:dyDescent="0.25">
      <c r="A254" s="12">
        <v>872</v>
      </c>
      <c r="B254" s="13">
        <v>40582</v>
      </c>
      <c r="C254" s="12">
        <v>1</v>
      </c>
      <c r="D254" s="12">
        <v>2</v>
      </c>
      <c r="E254" s="12">
        <v>18</v>
      </c>
      <c r="F254" s="12" t="b">
        <v>0</v>
      </c>
      <c r="G254" s="12">
        <v>2</v>
      </c>
      <c r="H254" s="12">
        <v>1</v>
      </c>
      <c r="I254" s="12">
        <v>0.2</v>
      </c>
      <c r="J254" s="12">
        <v>0.18179999999999999</v>
      </c>
      <c r="K254" s="12">
        <v>0.32</v>
      </c>
      <c r="L254" s="12">
        <v>0.3881</v>
      </c>
      <c r="M254" s="12">
        <v>1</v>
      </c>
      <c r="N254" s="12">
        <v>151</v>
      </c>
      <c r="O254" s="12">
        <v>152</v>
      </c>
    </row>
    <row r="255" spans="1:15" x14ac:dyDescent="0.25">
      <c r="A255" s="12">
        <v>873</v>
      </c>
      <c r="B255" s="13">
        <v>40582</v>
      </c>
      <c r="C255" s="12">
        <v>1</v>
      </c>
      <c r="D255" s="12">
        <v>2</v>
      </c>
      <c r="E255" s="12">
        <v>19</v>
      </c>
      <c r="F255" s="12" t="b">
        <v>0</v>
      </c>
      <c r="G255" s="12">
        <v>2</v>
      </c>
      <c r="H255" s="12">
        <v>1</v>
      </c>
      <c r="I255" s="12">
        <v>0.16</v>
      </c>
      <c r="J255" s="12">
        <v>0.1212</v>
      </c>
      <c r="K255" s="12">
        <v>0.4</v>
      </c>
      <c r="L255" s="12">
        <v>0.4627</v>
      </c>
      <c r="M255" s="12">
        <v>1</v>
      </c>
      <c r="N255" s="12">
        <v>100</v>
      </c>
      <c r="O255" s="12">
        <v>101</v>
      </c>
    </row>
    <row r="256" spans="1:15" x14ac:dyDescent="0.25">
      <c r="A256" s="12">
        <v>874</v>
      </c>
      <c r="B256" s="13">
        <v>40582</v>
      </c>
      <c r="C256" s="12">
        <v>1</v>
      </c>
      <c r="D256" s="12">
        <v>2</v>
      </c>
      <c r="E256" s="12">
        <v>20</v>
      </c>
      <c r="F256" s="12" t="b">
        <v>0</v>
      </c>
      <c r="G256" s="12">
        <v>2</v>
      </c>
      <c r="H256" s="12">
        <v>1</v>
      </c>
      <c r="I256" s="12">
        <v>0.16</v>
      </c>
      <c r="J256" s="12">
        <v>0.13639999999999999</v>
      </c>
      <c r="K256" s="12">
        <v>0.4</v>
      </c>
      <c r="L256" s="12">
        <v>0.32840000000000003</v>
      </c>
      <c r="M256" s="12">
        <v>3</v>
      </c>
      <c r="N256" s="12">
        <v>53</v>
      </c>
      <c r="O256" s="12">
        <v>56</v>
      </c>
    </row>
    <row r="257" spans="1:15" x14ac:dyDescent="0.25">
      <c r="A257" s="12">
        <v>875</v>
      </c>
      <c r="B257" s="13">
        <v>40582</v>
      </c>
      <c r="C257" s="12">
        <v>1</v>
      </c>
      <c r="D257" s="12">
        <v>2</v>
      </c>
      <c r="E257" s="12">
        <v>21</v>
      </c>
      <c r="F257" s="12" t="b">
        <v>0</v>
      </c>
      <c r="G257" s="12">
        <v>2</v>
      </c>
      <c r="H257" s="12">
        <v>1</v>
      </c>
      <c r="I257" s="12">
        <v>0.14000000000000001</v>
      </c>
      <c r="J257" s="12">
        <v>0.1061</v>
      </c>
      <c r="K257" s="12">
        <v>0.33</v>
      </c>
      <c r="L257" s="12">
        <v>0.4627</v>
      </c>
      <c r="M257" s="12">
        <v>8</v>
      </c>
      <c r="N257" s="12">
        <v>46</v>
      </c>
      <c r="O257" s="12">
        <v>54</v>
      </c>
    </row>
    <row r="258" spans="1:15" x14ac:dyDescent="0.25">
      <c r="A258" s="12">
        <v>876</v>
      </c>
      <c r="B258" s="13">
        <v>40582</v>
      </c>
      <c r="C258" s="12">
        <v>1</v>
      </c>
      <c r="D258" s="12">
        <v>2</v>
      </c>
      <c r="E258" s="12">
        <v>22</v>
      </c>
      <c r="F258" s="12" t="b">
        <v>0</v>
      </c>
      <c r="G258" s="12">
        <v>2</v>
      </c>
      <c r="H258" s="12">
        <v>1</v>
      </c>
      <c r="I258" s="12">
        <v>0.12</v>
      </c>
      <c r="J258" s="12">
        <v>0.1061</v>
      </c>
      <c r="K258" s="12">
        <v>0.33</v>
      </c>
      <c r="L258" s="12">
        <v>0.35820000000000002</v>
      </c>
      <c r="M258" s="12">
        <v>0</v>
      </c>
      <c r="N258" s="12">
        <v>29</v>
      </c>
      <c r="O258" s="12">
        <v>29</v>
      </c>
    </row>
    <row r="259" spans="1:15" x14ac:dyDescent="0.25">
      <c r="A259" s="12">
        <v>877</v>
      </c>
      <c r="B259" s="13">
        <v>40582</v>
      </c>
      <c r="C259" s="12">
        <v>1</v>
      </c>
      <c r="D259" s="12">
        <v>2</v>
      </c>
      <c r="E259" s="12">
        <v>23</v>
      </c>
      <c r="F259" s="12" t="b">
        <v>0</v>
      </c>
      <c r="G259" s="12">
        <v>2</v>
      </c>
      <c r="H259" s="12">
        <v>1</v>
      </c>
      <c r="I259" s="12">
        <v>0.12</v>
      </c>
      <c r="J259" s="12">
        <v>0.1061</v>
      </c>
      <c r="K259" s="12">
        <v>0.33</v>
      </c>
      <c r="L259" s="12">
        <v>0.32840000000000003</v>
      </c>
      <c r="M259" s="12">
        <v>3</v>
      </c>
      <c r="N259" s="12">
        <v>9</v>
      </c>
      <c r="O259" s="12">
        <v>12</v>
      </c>
    </row>
    <row r="260" spans="1:15" x14ac:dyDescent="0.25">
      <c r="A260" s="12">
        <v>878</v>
      </c>
      <c r="B260" s="13">
        <v>40583</v>
      </c>
      <c r="C260" s="12">
        <v>1</v>
      </c>
      <c r="D260" s="12">
        <v>2</v>
      </c>
      <c r="E260" s="12">
        <v>0</v>
      </c>
      <c r="F260" s="12" t="b">
        <v>0</v>
      </c>
      <c r="G260" s="12">
        <v>3</v>
      </c>
      <c r="H260" s="12">
        <v>1</v>
      </c>
      <c r="I260" s="12">
        <v>0.1</v>
      </c>
      <c r="J260" s="12">
        <v>7.5800000000000006E-2</v>
      </c>
      <c r="K260" s="12">
        <v>0.36</v>
      </c>
      <c r="L260" s="12">
        <v>0.35820000000000002</v>
      </c>
      <c r="M260" s="12">
        <v>0</v>
      </c>
      <c r="N260" s="12">
        <v>17</v>
      </c>
      <c r="O260" s="12">
        <v>17</v>
      </c>
    </row>
    <row r="261" spans="1:15" x14ac:dyDescent="0.25">
      <c r="A261" s="12">
        <v>879</v>
      </c>
      <c r="B261" s="13">
        <v>40583</v>
      </c>
      <c r="C261" s="12">
        <v>1</v>
      </c>
      <c r="D261" s="12">
        <v>2</v>
      </c>
      <c r="E261" s="12">
        <v>1</v>
      </c>
      <c r="F261" s="12" t="b">
        <v>0</v>
      </c>
      <c r="G261" s="12">
        <v>3</v>
      </c>
      <c r="H261" s="12">
        <v>1</v>
      </c>
      <c r="I261" s="12">
        <v>0.1</v>
      </c>
      <c r="J261" s="12">
        <v>0.1061</v>
      </c>
      <c r="K261" s="12">
        <v>0.36</v>
      </c>
      <c r="L261" s="12">
        <v>0.22389999999999999</v>
      </c>
      <c r="M261" s="12">
        <v>0</v>
      </c>
      <c r="N261" s="12">
        <v>7</v>
      </c>
      <c r="O261" s="12">
        <v>7</v>
      </c>
    </row>
    <row r="262" spans="1:15" x14ac:dyDescent="0.25">
      <c r="A262" s="12">
        <v>880</v>
      </c>
      <c r="B262" s="13">
        <v>40583</v>
      </c>
      <c r="C262" s="12">
        <v>1</v>
      </c>
      <c r="D262" s="12">
        <v>2</v>
      </c>
      <c r="E262" s="12">
        <v>2</v>
      </c>
      <c r="F262" s="12" t="b">
        <v>0</v>
      </c>
      <c r="G262" s="12">
        <v>3</v>
      </c>
      <c r="H262" s="12">
        <v>1</v>
      </c>
      <c r="I262" s="12">
        <v>0.08</v>
      </c>
      <c r="J262" s="12">
        <v>7.5800000000000006E-2</v>
      </c>
      <c r="K262" s="12">
        <v>0.38</v>
      </c>
      <c r="L262" s="12">
        <v>0.28360000000000002</v>
      </c>
      <c r="M262" s="12">
        <v>1</v>
      </c>
      <c r="N262" s="12">
        <v>2</v>
      </c>
      <c r="O262" s="12">
        <v>3</v>
      </c>
    </row>
    <row r="263" spans="1:15" x14ac:dyDescent="0.25">
      <c r="A263" s="12">
        <v>881</v>
      </c>
      <c r="B263" s="13">
        <v>40583</v>
      </c>
      <c r="C263" s="12">
        <v>1</v>
      </c>
      <c r="D263" s="12">
        <v>2</v>
      </c>
      <c r="E263" s="12">
        <v>3</v>
      </c>
      <c r="F263" s="12" t="b">
        <v>0</v>
      </c>
      <c r="G263" s="12">
        <v>3</v>
      </c>
      <c r="H263" s="12">
        <v>1</v>
      </c>
      <c r="I263" s="12">
        <v>0.06</v>
      </c>
      <c r="J263" s="12">
        <v>7.5800000000000006E-2</v>
      </c>
      <c r="K263" s="12">
        <v>0.45</v>
      </c>
      <c r="L263" s="12">
        <v>0.1343</v>
      </c>
      <c r="M263" s="12">
        <v>0</v>
      </c>
      <c r="N263" s="12">
        <v>2</v>
      </c>
      <c r="O263" s="12">
        <v>2</v>
      </c>
    </row>
    <row r="264" spans="1:15" x14ac:dyDescent="0.25">
      <c r="A264" s="12">
        <v>882</v>
      </c>
      <c r="B264" s="13">
        <v>40583</v>
      </c>
      <c r="C264" s="12">
        <v>1</v>
      </c>
      <c r="D264" s="12">
        <v>2</v>
      </c>
      <c r="E264" s="12">
        <v>5</v>
      </c>
      <c r="F264" s="12" t="b">
        <v>0</v>
      </c>
      <c r="G264" s="12">
        <v>3</v>
      </c>
      <c r="H264" s="12">
        <v>1</v>
      </c>
      <c r="I264" s="12">
        <v>0.06</v>
      </c>
      <c r="J264" s="12">
        <v>0.1061</v>
      </c>
      <c r="K264" s="12">
        <v>0.45</v>
      </c>
      <c r="L264" s="12">
        <v>0.1045</v>
      </c>
      <c r="M264" s="12">
        <v>0</v>
      </c>
      <c r="N264" s="12">
        <v>7</v>
      </c>
      <c r="O264" s="12">
        <v>7</v>
      </c>
    </row>
    <row r="265" spans="1:15" x14ac:dyDescent="0.25">
      <c r="A265" s="12">
        <v>883</v>
      </c>
      <c r="B265" s="13">
        <v>40583</v>
      </c>
      <c r="C265" s="12">
        <v>1</v>
      </c>
      <c r="D265" s="12">
        <v>2</v>
      </c>
      <c r="E265" s="12">
        <v>6</v>
      </c>
      <c r="F265" s="12" t="b">
        <v>0</v>
      </c>
      <c r="G265" s="12">
        <v>3</v>
      </c>
      <c r="H265" s="12">
        <v>1</v>
      </c>
      <c r="I265" s="12">
        <v>0.06</v>
      </c>
      <c r="J265" s="12">
        <v>0.1515</v>
      </c>
      <c r="K265" s="12">
        <v>0.45</v>
      </c>
      <c r="L265" s="12">
        <v>0</v>
      </c>
      <c r="M265" s="12">
        <v>0</v>
      </c>
      <c r="N265" s="12">
        <v>43</v>
      </c>
      <c r="O265" s="12">
        <v>43</v>
      </c>
    </row>
    <row r="266" spans="1:15" x14ac:dyDescent="0.25">
      <c r="A266" s="12">
        <v>884</v>
      </c>
      <c r="B266" s="13">
        <v>40583</v>
      </c>
      <c r="C266" s="12">
        <v>1</v>
      </c>
      <c r="D266" s="12">
        <v>2</v>
      </c>
      <c r="E266" s="12">
        <v>7</v>
      </c>
      <c r="F266" s="12" t="b">
        <v>0</v>
      </c>
      <c r="G266" s="12">
        <v>3</v>
      </c>
      <c r="H266" s="12">
        <v>1</v>
      </c>
      <c r="I266" s="12">
        <v>0.06</v>
      </c>
      <c r="J266" s="12">
        <v>0.1061</v>
      </c>
      <c r="K266" s="12">
        <v>0.49</v>
      </c>
      <c r="L266" s="12">
        <v>0.1045</v>
      </c>
      <c r="M266" s="12">
        <v>4</v>
      </c>
      <c r="N266" s="12">
        <v>95</v>
      </c>
      <c r="O266" s="12">
        <v>99</v>
      </c>
    </row>
    <row r="267" spans="1:15" x14ac:dyDescent="0.25">
      <c r="A267" s="12">
        <v>885</v>
      </c>
      <c r="B267" s="13">
        <v>40583</v>
      </c>
      <c r="C267" s="12">
        <v>1</v>
      </c>
      <c r="D267" s="12">
        <v>2</v>
      </c>
      <c r="E267" s="12">
        <v>8</v>
      </c>
      <c r="F267" s="12" t="b">
        <v>0</v>
      </c>
      <c r="G267" s="12">
        <v>3</v>
      </c>
      <c r="H267" s="12">
        <v>1</v>
      </c>
      <c r="I267" s="12">
        <v>0.1</v>
      </c>
      <c r="J267" s="12">
        <v>0.13639999999999999</v>
      </c>
      <c r="K267" s="12">
        <v>0.42</v>
      </c>
      <c r="L267" s="12">
        <v>0</v>
      </c>
      <c r="M267" s="12">
        <v>1</v>
      </c>
      <c r="N267" s="12">
        <v>198</v>
      </c>
      <c r="O267" s="12">
        <v>199</v>
      </c>
    </row>
    <row r="268" spans="1:15" x14ac:dyDescent="0.25">
      <c r="A268" s="12">
        <v>886</v>
      </c>
      <c r="B268" s="13">
        <v>40583</v>
      </c>
      <c r="C268" s="12">
        <v>1</v>
      </c>
      <c r="D268" s="12">
        <v>2</v>
      </c>
      <c r="E268" s="12">
        <v>9</v>
      </c>
      <c r="F268" s="12" t="b">
        <v>0</v>
      </c>
      <c r="G268" s="12">
        <v>3</v>
      </c>
      <c r="H268" s="12">
        <v>1</v>
      </c>
      <c r="I268" s="12">
        <v>0.12</v>
      </c>
      <c r="J268" s="12">
        <v>0.13639999999999999</v>
      </c>
      <c r="K268" s="12">
        <v>0.39</v>
      </c>
      <c r="L268" s="12">
        <v>0.16420000000000001</v>
      </c>
      <c r="M268" s="12">
        <v>4</v>
      </c>
      <c r="N268" s="12">
        <v>119</v>
      </c>
      <c r="O268" s="12">
        <v>123</v>
      </c>
    </row>
    <row r="269" spans="1:15" x14ac:dyDescent="0.25">
      <c r="A269" s="12">
        <v>887</v>
      </c>
      <c r="B269" s="13">
        <v>40583</v>
      </c>
      <c r="C269" s="12">
        <v>1</v>
      </c>
      <c r="D269" s="12">
        <v>2</v>
      </c>
      <c r="E269" s="12">
        <v>10</v>
      </c>
      <c r="F269" s="12" t="b">
        <v>0</v>
      </c>
      <c r="G269" s="12">
        <v>3</v>
      </c>
      <c r="H269" s="12">
        <v>1</v>
      </c>
      <c r="I269" s="12">
        <v>0.14000000000000001</v>
      </c>
      <c r="J269" s="12">
        <v>0.18179999999999999</v>
      </c>
      <c r="K269" s="12">
        <v>0.36</v>
      </c>
      <c r="L269" s="12">
        <v>0</v>
      </c>
      <c r="M269" s="12">
        <v>8</v>
      </c>
      <c r="N269" s="12">
        <v>51</v>
      </c>
      <c r="O269" s="12">
        <v>59</v>
      </c>
    </row>
    <row r="270" spans="1:15" x14ac:dyDescent="0.25">
      <c r="A270" s="12">
        <v>888</v>
      </c>
      <c r="B270" s="13">
        <v>40583</v>
      </c>
      <c r="C270" s="12">
        <v>1</v>
      </c>
      <c r="D270" s="12">
        <v>2</v>
      </c>
      <c r="E270" s="12">
        <v>11</v>
      </c>
      <c r="F270" s="12" t="b">
        <v>0</v>
      </c>
      <c r="G270" s="12">
        <v>3</v>
      </c>
      <c r="H270" s="12">
        <v>2</v>
      </c>
      <c r="I270" s="12">
        <v>0.14000000000000001</v>
      </c>
      <c r="J270" s="12">
        <v>0.1515</v>
      </c>
      <c r="K270" s="12">
        <v>0.43</v>
      </c>
      <c r="L270" s="12">
        <v>0.16420000000000001</v>
      </c>
      <c r="M270" s="12">
        <v>1</v>
      </c>
      <c r="N270" s="12">
        <v>40</v>
      </c>
      <c r="O270" s="12">
        <v>41</v>
      </c>
    </row>
    <row r="271" spans="1:15" x14ac:dyDescent="0.25">
      <c r="A271" s="12">
        <v>889</v>
      </c>
      <c r="B271" s="13">
        <v>40583</v>
      </c>
      <c r="C271" s="12">
        <v>1</v>
      </c>
      <c r="D271" s="12">
        <v>2</v>
      </c>
      <c r="E271" s="12">
        <v>12</v>
      </c>
      <c r="F271" s="12" t="b">
        <v>0</v>
      </c>
      <c r="G271" s="12">
        <v>3</v>
      </c>
      <c r="H271" s="12">
        <v>2</v>
      </c>
      <c r="I271" s="12">
        <v>0.18</v>
      </c>
      <c r="J271" s="12">
        <v>0.18179999999999999</v>
      </c>
      <c r="K271" s="12">
        <v>0.4</v>
      </c>
      <c r="L271" s="12">
        <v>0.22389999999999999</v>
      </c>
      <c r="M271" s="12">
        <v>4</v>
      </c>
      <c r="N271" s="12">
        <v>57</v>
      </c>
      <c r="O271" s="12">
        <v>61</v>
      </c>
    </row>
    <row r="272" spans="1:15" x14ac:dyDescent="0.25">
      <c r="A272" s="12">
        <v>890</v>
      </c>
      <c r="B272" s="13">
        <v>40583</v>
      </c>
      <c r="C272" s="12">
        <v>1</v>
      </c>
      <c r="D272" s="12">
        <v>2</v>
      </c>
      <c r="E272" s="12">
        <v>13</v>
      </c>
      <c r="F272" s="12" t="b">
        <v>0</v>
      </c>
      <c r="G272" s="12">
        <v>3</v>
      </c>
      <c r="H272" s="12">
        <v>1</v>
      </c>
      <c r="I272" s="12">
        <v>0.18</v>
      </c>
      <c r="J272" s="12">
        <v>0.16669999999999999</v>
      </c>
      <c r="K272" s="12">
        <v>0.4</v>
      </c>
      <c r="L272" s="12">
        <v>0.25369999999999998</v>
      </c>
      <c r="M272" s="12">
        <v>2</v>
      </c>
      <c r="N272" s="12">
        <v>67</v>
      </c>
      <c r="O272" s="12">
        <v>69</v>
      </c>
    </row>
    <row r="273" spans="1:15" x14ac:dyDescent="0.25">
      <c r="A273" s="12">
        <v>891</v>
      </c>
      <c r="B273" s="13">
        <v>40583</v>
      </c>
      <c r="C273" s="12">
        <v>1</v>
      </c>
      <c r="D273" s="12">
        <v>2</v>
      </c>
      <c r="E273" s="12">
        <v>14</v>
      </c>
      <c r="F273" s="12" t="b">
        <v>0</v>
      </c>
      <c r="G273" s="12">
        <v>3</v>
      </c>
      <c r="H273" s="12">
        <v>1</v>
      </c>
      <c r="I273" s="12">
        <v>0.2</v>
      </c>
      <c r="J273" s="12">
        <v>0.18179999999999999</v>
      </c>
      <c r="K273" s="12">
        <v>0.34</v>
      </c>
      <c r="L273" s="12">
        <v>0.29849999999999999</v>
      </c>
      <c r="M273" s="12">
        <v>2</v>
      </c>
      <c r="N273" s="12">
        <v>56</v>
      </c>
      <c r="O273" s="12">
        <v>58</v>
      </c>
    </row>
    <row r="274" spans="1:15" x14ac:dyDescent="0.25">
      <c r="A274" s="12">
        <v>892</v>
      </c>
      <c r="B274" s="13">
        <v>40583</v>
      </c>
      <c r="C274" s="12">
        <v>1</v>
      </c>
      <c r="D274" s="12">
        <v>2</v>
      </c>
      <c r="E274" s="12">
        <v>15</v>
      </c>
      <c r="F274" s="12" t="b">
        <v>0</v>
      </c>
      <c r="G274" s="12">
        <v>3</v>
      </c>
      <c r="H274" s="12">
        <v>2</v>
      </c>
      <c r="I274" s="12">
        <v>0.2</v>
      </c>
      <c r="J274" s="12">
        <v>0.18179999999999999</v>
      </c>
      <c r="K274" s="12">
        <v>0.34</v>
      </c>
      <c r="L274" s="12">
        <v>0.28360000000000002</v>
      </c>
      <c r="M274" s="12">
        <v>3</v>
      </c>
      <c r="N274" s="12">
        <v>61</v>
      </c>
      <c r="O274" s="12">
        <v>64</v>
      </c>
    </row>
    <row r="275" spans="1:15" x14ac:dyDescent="0.25">
      <c r="A275" s="12">
        <v>893</v>
      </c>
      <c r="B275" s="13">
        <v>40583</v>
      </c>
      <c r="C275" s="12">
        <v>1</v>
      </c>
      <c r="D275" s="12">
        <v>2</v>
      </c>
      <c r="E275" s="12">
        <v>16</v>
      </c>
      <c r="F275" s="12" t="b">
        <v>0</v>
      </c>
      <c r="G275" s="12">
        <v>3</v>
      </c>
      <c r="H275" s="12">
        <v>2</v>
      </c>
      <c r="I275" s="12">
        <v>0.2</v>
      </c>
      <c r="J275" s="12">
        <v>0.19700000000000001</v>
      </c>
      <c r="K275" s="12">
        <v>0.37</v>
      </c>
      <c r="L275" s="12">
        <v>0.25369999999999998</v>
      </c>
      <c r="M275" s="12">
        <v>7</v>
      </c>
      <c r="N275" s="12">
        <v>72</v>
      </c>
      <c r="O275" s="12">
        <v>79</v>
      </c>
    </row>
    <row r="276" spans="1:15" x14ac:dyDescent="0.25">
      <c r="A276" s="12">
        <v>894</v>
      </c>
      <c r="B276" s="13">
        <v>40583</v>
      </c>
      <c r="C276" s="12">
        <v>1</v>
      </c>
      <c r="D276" s="12">
        <v>2</v>
      </c>
      <c r="E276" s="12">
        <v>17</v>
      </c>
      <c r="F276" s="12" t="b">
        <v>0</v>
      </c>
      <c r="G276" s="12">
        <v>3</v>
      </c>
      <c r="H276" s="12">
        <v>2</v>
      </c>
      <c r="I276" s="12">
        <v>0.2</v>
      </c>
      <c r="J276" s="12">
        <v>0.19700000000000001</v>
      </c>
      <c r="K276" s="12">
        <v>0.34</v>
      </c>
      <c r="L276" s="12">
        <v>0.25369999999999998</v>
      </c>
      <c r="M276" s="12">
        <v>9</v>
      </c>
      <c r="N276" s="12">
        <v>157</v>
      </c>
      <c r="O276" s="12">
        <v>166</v>
      </c>
    </row>
    <row r="277" spans="1:15" x14ac:dyDescent="0.25">
      <c r="A277" s="12">
        <v>895</v>
      </c>
      <c r="B277" s="13">
        <v>40583</v>
      </c>
      <c r="C277" s="12">
        <v>1</v>
      </c>
      <c r="D277" s="12">
        <v>2</v>
      </c>
      <c r="E277" s="12">
        <v>18</v>
      </c>
      <c r="F277" s="12" t="b">
        <v>0</v>
      </c>
      <c r="G277" s="12">
        <v>3</v>
      </c>
      <c r="H277" s="12">
        <v>2</v>
      </c>
      <c r="I277" s="12">
        <v>0.18</v>
      </c>
      <c r="J277" s="12">
        <v>0.16669999999999999</v>
      </c>
      <c r="K277" s="12">
        <v>0.47</v>
      </c>
      <c r="L277" s="12">
        <v>0.29849999999999999</v>
      </c>
      <c r="M277" s="12">
        <v>2</v>
      </c>
      <c r="N277" s="12">
        <v>168</v>
      </c>
      <c r="O277" s="12">
        <v>170</v>
      </c>
    </row>
    <row r="278" spans="1:15" x14ac:dyDescent="0.25">
      <c r="A278" s="12">
        <v>896</v>
      </c>
      <c r="B278" s="13">
        <v>40583</v>
      </c>
      <c r="C278" s="12">
        <v>1</v>
      </c>
      <c r="D278" s="12">
        <v>2</v>
      </c>
      <c r="E278" s="12">
        <v>19</v>
      </c>
      <c r="F278" s="12" t="b">
        <v>0</v>
      </c>
      <c r="G278" s="12">
        <v>3</v>
      </c>
      <c r="H278" s="12">
        <v>3</v>
      </c>
      <c r="I278" s="12">
        <v>0.14000000000000001</v>
      </c>
      <c r="J278" s="12">
        <v>0.1212</v>
      </c>
      <c r="K278" s="12">
        <v>0.86</v>
      </c>
      <c r="L278" s="12">
        <v>0.25369999999999998</v>
      </c>
      <c r="M278" s="12">
        <v>1</v>
      </c>
      <c r="N278" s="12">
        <v>87</v>
      </c>
      <c r="O278" s="12">
        <v>88</v>
      </c>
    </row>
    <row r="279" spans="1:15" x14ac:dyDescent="0.25">
      <c r="A279" s="12">
        <v>897</v>
      </c>
      <c r="B279" s="13">
        <v>40583</v>
      </c>
      <c r="C279" s="12">
        <v>1</v>
      </c>
      <c r="D279" s="12">
        <v>2</v>
      </c>
      <c r="E279" s="12">
        <v>20</v>
      </c>
      <c r="F279" s="12" t="b">
        <v>0</v>
      </c>
      <c r="G279" s="12">
        <v>3</v>
      </c>
      <c r="H279" s="12">
        <v>3</v>
      </c>
      <c r="I279" s="12">
        <v>0.14000000000000001</v>
      </c>
      <c r="J279" s="12">
        <v>0.1515</v>
      </c>
      <c r="K279" s="12">
        <v>0.86</v>
      </c>
      <c r="L279" s="12">
        <v>0.16420000000000001</v>
      </c>
      <c r="M279" s="12">
        <v>0</v>
      </c>
      <c r="N279" s="12">
        <v>84</v>
      </c>
      <c r="O279" s="12">
        <v>84</v>
      </c>
    </row>
    <row r="280" spans="1:15" x14ac:dyDescent="0.25">
      <c r="A280" s="12">
        <v>898</v>
      </c>
      <c r="B280" s="13">
        <v>40583</v>
      </c>
      <c r="C280" s="12">
        <v>1</v>
      </c>
      <c r="D280" s="12">
        <v>2</v>
      </c>
      <c r="E280" s="12">
        <v>21</v>
      </c>
      <c r="F280" s="12" t="b">
        <v>0</v>
      </c>
      <c r="G280" s="12">
        <v>3</v>
      </c>
      <c r="H280" s="12">
        <v>2</v>
      </c>
      <c r="I280" s="12">
        <v>0.14000000000000001</v>
      </c>
      <c r="J280" s="12">
        <v>0.1515</v>
      </c>
      <c r="K280" s="12">
        <v>0.86</v>
      </c>
      <c r="L280" s="12">
        <v>0.16420000000000001</v>
      </c>
      <c r="M280" s="12">
        <v>0</v>
      </c>
      <c r="N280" s="12">
        <v>83</v>
      </c>
      <c r="O280" s="12">
        <v>83</v>
      </c>
    </row>
    <row r="281" spans="1:15" x14ac:dyDescent="0.25">
      <c r="A281" s="12">
        <v>899</v>
      </c>
      <c r="B281" s="13">
        <v>40583</v>
      </c>
      <c r="C281" s="12">
        <v>1</v>
      </c>
      <c r="D281" s="12">
        <v>2</v>
      </c>
      <c r="E281" s="12">
        <v>22</v>
      </c>
      <c r="F281" s="12" t="b">
        <v>0</v>
      </c>
      <c r="G281" s="12">
        <v>3</v>
      </c>
      <c r="H281" s="12">
        <v>3</v>
      </c>
      <c r="I281" s="12">
        <v>0.16</v>
      </c>
      <c r="J281" s="12">
        <v>0.16669999999999999</v>
      </c>
      <c r="K281" s="12">
        <v>0.8</v>
      </c>
      <c r="L281" s="12">
        <v>0.16420000000000001</v>
      </c>
      <c r="M281" s="12">
        <v>4</v>
      </c>
      <c r="N281" s="12">
        <v>42</v>
      </c>
      <c r="O281" s="12">
        <v>46</v>
      </c>
    </row>
    <row r="282" spans="1:15" x14ac:dyDescent="0.25">
      <c r="A282" s="12">
        <v>900</v>
      </c>
      <c r="B282" s="13">
        <v>40583</v>
      </c>
      <c r="C282" s="12">
        <v>1</v>
      </c>
      <c r="D282" s="12">
        <v>2</v>
      </c>
      <c r="E282" s="12">
        <v>23</v>
      </c>
      <c r="F282" s="12" t="b">
        <v>0</v>
      </c>
      <c r="G282" s="12">
        <v>3</v>
      </c>
      <c r="H282" s="12">
        <v>3</v>
      </c>
      <c r="I282" s="12">
        <v>0.16</v>
      </c>
      <c r="J282" s="12">
        <v>0.1515</v>
      </c>
      <c r="K282" s="12">
        <v>0.8</v>
      </c>
      <c r="L282" s="12">
        <v>0.19400000000000001</v>
      </c>
      <c r="M282" s="12">
        <v>0</v>
      </c>
      <c r="N282" s="12">
        <v>37</v>
      </c>
      <c r="O282" s="12">
        <v>37</v>
      </c>
    </row>
    <row r="283" spans="1:15" x14ac:dyDescent="0.25">
      <c r="A283" s="12">
        <v>901</v>
      </c>
      <c r="B283" s="13">
        <v>40584</v>
      </c>
      <c r="C283" s="12">
        <v>1</v>
      </c>
      <c r="D283" s="12">
        <v>2</v>
      </c>
      <c r="E283" s="12">
        <v>0</v>
      </c>
      <c r="F283" s="12" t="b">
        <v>0</v>
      </c>
      <c r="G283" s="12">
        <v>4</v>
      </c>
      <c r="H283" s="12">
        <v>3</v>
      </c>
      <c r="I283" s="12">
        <v>0.14000000000000001</v>
      </c>
      <c r="J283" s="12">
        <v>0.13639999999999999</v>
      </c>
      <c r="K283" s="12">
        <v>0.86</v>
      </c>
      <c r="L283" s="12">
        <v>0.19400000000000001</v>
      </c>
      <c r="M283" s="12">
        <v>0</v>
      </c>
      <c r="N283" s="12">
        <v>16</v>
      </c>
      <c r="O283" s="12">
        <v>16</v>
      </c>
    </row>
    <row r="284" spans="1:15" x14ac:dyDescent="0.25">
      <c r="A284" s="12">
        <v>902</v>
      </c>
      <c r="B284" s="13">
        <v>40584</v>
      </c>
      <c r="C284" s="12">
        <v>1</v>
      </c>
      <c r="D284" s="12">
        <v>2</v>
      </c>
      <c r="E284" s="12">
        <v>1</v>
      </c>
      <c r="F284" s="12" t="b">
        <v>0</v>
      </c>
      <c r="G284" s="12">
        <v>4</v>
      </c>
      <c r="H284" s="12">
        <v>3</v>
      </c>
      <c r="I284" s="12">
        <v>0.14000000000000001</v>
      </c>
      <c r="J284" s="12">
        <v>0.1515</v>
      </c>
      <c r="K284" s="12">
        <v>0.8</v>
      </c>
      <c r="L284" s="12">
        <v>0.1343</v>
      </c>
      <c r="M284" s="12">
        <v>0</v>
      </c>
      <c r="N284" s="12">
        <v>7</v>
      </c>
      <c r="O284" s="12">
        <v>7</v>
      </c>
    </row>
    <row r="285" spans="1:15" x14ac:dyDescent="0.25">
      <c r="A285" s="12">
        <v>903</v>
      </c>
      <c r="B285" s="13">
        <v>40584</v>
      </c>
      <c r="C285" s="12">
        <v>1</v>
      </c>
      <c r="D285" s="12">
        <v>2</v>
      </c>
      <c r="E285" s="12">
        <v>2</v>
      </c>
      <c r="F285" s="12" t="b">
        <v>0</v>
      </c>
      <c r="G285" s="12">
        <v>4</v>
      </c>
      <c r="H285" s="12">
        <v>3</v>
      </c>
      <c r="I285" s="12">
        <v>0.14000000000000001</v>
      </c>
      <c r="J285" s="12">
        <v>0.1515</v>
      </c>
      <c r="K285" s="12">
        <v>0.8</v>
      </c>
      <c r="L285" s="12">
        <v>0.1343</v>
      </c>
      <c r="M285" s="12">
        <v>0</v>
      </c>
      <c r="N285" s="12">
        <v>3</v>
      </c>
      <c r="O285" s="12">
        <v>3</v>
      </c>
    </row>
    <row r="286" spans="1:15" x14ac:dyDescent="0.25">
      <c r="A286" s="12">
        <v>904</v>
      </c>
      <c r="B286" s="13">
        <v>40584</v>
      </c>
      <c r="C286" s="12">
        <v>1</v>
      </c>
      <c r="D286" s="12">
        <v>2</v>
      </c>
      <c r="E286" s="12">
        <v>4</v>
      </c>
      <c r="F286" s="12" t="b">
        <v>0</v>
      </c>
      <c r="G286" s="12">
        <v>4</v>
      </c>
      <c r="H286" s="12">
        <v>2</v>
      </c>
      <c r="I286" s="12">
        <v>0.14000000000000001</v>
      </c>
      <c r="J286" s="12">
        <v>0.13639999999999999</v>
      </c>
      <c r="K286" s="12">
        <v>0.59</v>
      </c>
      <c r="L286" s="12">
        <v>0.22389999999999999</v>
      </c>
      <c r="M286" s="12">
        <v>0</v>
      </c>
      <c r="N286" s="12">
        <v>1</v>
      </c>
      <c r="O286" s="12">
        <v>1</v>
      </c>
    </row>
    <row r="287" spans="1:15" x14ac:dyDescent="0.25">
      <c r="A287" s="12">
        <v>905</v>
      </c>
      <c r="B287" s="13">
        <v>40584</v>
      </c>
      <c r="C287" s="12">
        <v>1</v>
      </c>
      <c r="D287" s="12">
        <v>2</v>
      </c>
      <c r="E287" s="12">
        <v>5</v>
      </c>
      <c r="F287" s="12" t="b">
        <v>0</v>
      </c>
      <c r="G287" s="12">
        <v>4</v>
      </c>
      <c r="H287" s="12">
        <v>2</v>
      </c>
      <c r="I287" s="12">
        <v>0.12</v>
      </c>
      <c r="J287" s="12">
        <v>0.1212</v>
      </c>
      <c r="K287" s="12">
        <v>0.5</v>
      </c>
      <c r="L287" s="12">
        <v>0.22389999999999999</v>
      </c>
      <c r="M287" s="12">
        <v>0</v>
      </c>
      <c r="N287" s="12">
        <v>6</v>
      </c>
      <c r="O287" s="12">
        <v>6</v>
      </c>
    </row>
    <row r="288" spans="1:15" x14ac:dyDescent="0.25">
      <c r="A288" s="12">
        <v>906</v>
      </c>
      <c r="B288" s="13">
        <v>40584</v>
      </c>
      <c r="C288" s="12">
        <v>1</v>
      </c>
      <c r="D288" s="12">
        <v>2</v>
      </c>
      <c r="E288" s="12">
        <v>6</v>
      </c>
      <c r="F288" s="12" t="b">
        <v>0</v>
      </c>
      <c r="G288" s="12">
        <v>4</v>
      </c>
      <c r="H288" s="12">
        <v>2</v>
      </c>
      <c r="I288" s="12">
        <v>0.12</v>
      </c>
      <c r="J288" s="12">
        <v>0.1212</v>
      </c>
      <c r="K288" s="12">
        <v>0.54</v>
      </c>
      <c r="L288" s="12">
        <v>0.28360000000000002</v>
      </c>
      <c r="M288" s="12">
        <v>0</v>
      </c>
      <c r="N288" s="12">
        <v>26</v>
      </c>
      <c r="O288" s="12">
        <v>26</v>
      </c>
    </row>
    <row r="289" spans="1:15" x14ac:dyDescent="0.25">
      <c r="A289" s="12">
        <v>907</v>
      </c>
      <c r="B289" s="13">
        <v>40584</v>
      </c>
      <c r="C289" s="12">
        <v>1</v>
      </c>
      <c r="D289" s="12">
        <v>2</v>
      </c>
      <c r="E289" s="12">
        <v>7</v>
      </c>
      <c r="F289" s="12" t="b">
        <v>0</v>
      </c>
      <c r="G289" s="12">
        <v>4</v>
      </c>
      <c r="H289" s="12">
        <v>1</v>
      </c>
      <c r="I289" s="12">
        <v>0.1</v>
      </c>
      <c r="J289" s="12">
        <v>7.5800000000000006E-2</v>
      </c>
      <c r="K289" s="12">
        <v>0.5</v>
      </c>
      <c r="L289" s="12">
        <v>0.41789999999999999</v>
      </c>
      <c r="M289" s="12">
        <v>0</v>
      </c>
      <c r="N289" s="12">
        <v>99</v>
      </c>
      <c r="O289" s="12">
        <v>99</v>
      </c>
    </row>
    <row r="290" spans="1:15" x14ac:dyDescent="0.25">
      <c r="A290" s="12">
        <v>908</v>
      </c>
      <c r="B290" s="13">
        <v>40584</v>
      </c>
      <c r="C290" s="12">
        <v>1</v>
      </c>
      <c r="D290" s="12">
        <v>2</v>
      </c>
      <c r="E290" s="12">
        <v>8</v>
      </c>
      <c r="F290" s="12" t="b">
        <v>0</v>
      </c>
      <c r="G290" s="12">
        <v>4</v>
      </c>
      <c r="H290" s="12">
        <v>1</v>
      </c>
      <c r="I290" s="12">
        <v>0.1</v>
      </c>
      <c r="J290" s="12">
        <v>7.5800000000000006E-2</v>
      </c>
      <c r="K290" s="12">
        <v>0.49</v>
      </c>
      <c r="L290" s="12">
        <v>0.32840000000000003</v>
      </c>
      <c r="M290" s="12">
        <v>5</v>
      </c>
      <c r="N290" s="12">
        <v>173</v>
      </c>
      <c r="O290" s="12">
        <v>178</v>
      </c>
    </row>
    <row r="291" spans="1:15" x14ac:dyDescent="0.25">
      <c r="A291" s="12">
        <v>909</v>
      </c>
      <c r="B291" s="13">
        <v>40584</v>
      </c>
      <c r="C291" s="12">
        <v>1</v>
      </c>
      <c r="D291" s="12">
        <v>2</v>
      </c>
      <c r="E291" s="12">
        <v>9</v>
      </c>
      <c r="F291" s="12" t="b">
        <v>0</v>
      </c>
      <c r="G291" s="12">
        <v>4</v>
      </c>
      <c r="H291" s="12">
        <v>1</v>
      </c>
      <c r="I291" s="12">
        <v>0.12</v>
      </c>
      <c r="J291" s="12">
        <v>0.1061</v>
      </c>
      <c r="K291" s="12">
        <v>0.42</v>
      </c>
      <c r="L291" s="12">
        <v>0.35820000000000002</v>
      </c>
      <c r="M291" s="12">
        <v>1</v>
      </c>
      <c r="N291" s="12">
        <v>121</v>
      </c>
      <c r="O291" s="12">
        <v>122</v>
      </c>
    </row>
    <row r="292" spans="1:15" x14ac:dyDescent="0.25">
      <c r="A292" s="12">
        <v>910</v>
      </c>
      <c r="B292" s="13">
        <v>40584</v>
      </c>
      <c r="C292" s="12">
        <v>1</v>
      </c>
      <c r="D292" s="12">
        <v>2</v>
      </c>
      <c r="E292" s="12">
        <v>10</v>
      </c>
      <c r="F292" s="12" t="b">
        <v>0</v>
      </c>
      <c r="G292" s="12">
        <v>4</v>
      </c>
      <c r="H292" s="12">
        <v>1</v>
      </c>
      <c r="I292" s="12">
        <v>0.12</v>
      </c>
      <c r="J292" s="12">
        <v>0.1061</v>
      </c>
      <c r="K292" s="12">
        <v>0.42</v>
      </c>
      <c r="L292" s="12">
        <v>0.29849999999999999</v>
      </c>
      <c r="M292" s="12">
        <v>1</v>
      </c>
      <c r="N292" s="12">
        <v>34</v>
      </c>
      <c r="O292" s="12">
        <v>35</v>
      </c>
    </row>
    <row r="293" spans="1:15" x14ac:dyDescent="0.25">
      <c r="A293" s="12">
        <v>911</v>
      </c>
      <c r="B293" s="13">
        <v>40584</v>
      </c>
      <c r="C293" s="12">
        <v>1</v>
      </c>
      <c r="D293" s="12">
        <v>2</v>
      </c>
      <c r="E293" s="12">
        <v>11</v>
      </c>
      <c r="F293" s="12" t="b">
        <v>0</v>
      </c>
      <c r="G293" s="12">
        <v>4</v>
      </c>
      <c r="H293" s="12">
        <v>1</v>
      </c>
      <c r="I293" s="12">
        <v>0.14000000000000001</v>
      </c>
      <c r="J293" s="12">
        <v>0.1212</v>
      </c>
      <c r="K293" s="12">
        <v>0.39</v>
      </c>
      <c r="L293" s="12">
        <v>0.35820000000000002</v>
      </c>
      <c r="M293" s="12">
        <v>1</v>
      </c>
      <c r="N293" s="12">
        <v>44</v>
      </c>
      <c r="O293" s="12">
        <v>45</v>
      </c>
    </row>
    <row r="294" spans="1:15" x14ac:dyDescent="0.25">
      <c r="A294" s="12">
        <v>912</v>
      </c>
      <c r="B294" s="13">
        <v>40584</v>
      </c>
      <c r="C294" s="12">
        <v>1</v>
      </c>
      <c r="D294" s="12">
        <v>2</v>
      </c>
      <c r="E294" s="12">
        <v>12</v>
      </c>
      <c r="F294" s="12" t="b">
        <v>0</v>
      </c>
      <c r="G294" s="12">
        <v>4</v>
      </c>
      <c r="H294" s="12">
        <v>1</v>
      </c>
      <c r="I294" s="12">
        <v>0.16</v>
      </c>
      <c r="J294" s="12">
        <v>0.13639999999999999</v>
      </c>
      <c r="K294" s="12">
        <v>0.34</v>
      </c>
      <c r="L294" s="12">
        <v>0.3881</v>
      </c>
      <c r="M294" s="12">
        <v>4</v>
      </c>
      <c r="N294" s="12">
        <v>65</v>
      </c>
      <c r="O294" s="12">
        <v>69</v>
      </c>
    </row>
    <row r="295" spans="1:15" x14ac:dyDescent="0.25">
      <c r="A295" s="12">
        <v>913</v>
      </c>
      <c r="B295" s="13">
        <v>40584</v>
      </c>
      <c r="C295" s="12">
        <v>1</v>
      </c>
      <c r="D295" s="12">
        <v>2</v>
      </c>
      <c r="E295" s="12">
        <v>13</v>
      </c>
      <c r="F295" s="12" t="b">
        <v>0</v>
      </c>
      <c r="G295" s="12">
        <v>4</v>
      </c>
      <c r="H295" s="12">
        <v>1</v>
      </c>
      <c r="I295" s="12">
        <v>0.18</v>
      </c>
      <c r="J295" s="12">
        <v>0.16669999999999999</v>
      </c>
      <c r="K295" s="12">
        <v>0.28999999999999998</v>
      </c>
      <c r="L295" s="12">
        <v>0.29849999999999999</v>
      </c>
      <c r="M295" s="12">
        <v>3</v>
      </c>
      <c r="N295" s="12">
        <v>59</v>
      </c>
      <c r="O295" s="12">
        <v>62</v>
      </c>
    </row>
    <row r="296" spans="1:15" x14ac:dyDescent="0.25">
      <c r="A296" s="12">
        <v>914</v>
      </c>
      <c r="B296" s="13">
        <v>40584</v>
      </c>
      <c r="C296" s="12">
        <v>1</v>
      </c>
      <c r="D296" s="12">
        <v>2</v>
      </c>
      <c r="E296" s="12">
        <v>14</v>
      </c>
      <c r="F296" s="12" t="b">
        <v>0</v>
      </c>
      <c r="G296" s="12">
        <v>4</v>
      </c>
      <c r="H296" s="12">
        <v>1</v>
      </c>
      <c r="I296" s="12">
        <v>0.2</v>
      </c>
      <c r="J296" s="12">
        <v>0.18179999999999999</v>
      </c>
      <c r="K296" s="12">
        <v>0.27</v>
      </c>
      <c r="L296" s="12">
        <v>0.28360000000000002</v>
      </c>
      <c r="M296" s="12">
        <v>6</v>
      </c>
      <c r="N296" s="12">
        <v>42</v>
      </c>
      <c r="O296" s="12">
        <v>48</v>
      </c>
    </row>
    <row r="297" spans="1:15" x14ac:dyDescent="0.25">
      <c r="A297" s="12">
        <v>915</v>
      </c>
      <c r="B297" s="13">
        <v>40584</v>
      </c>
      <c r="C297" s="12">
        <v>1</v>
      </c>
      <c r="D297" s="12">
        <v>2</v>
      </c>
      <c r="E297" s="12">
        <v>15</v>
      </c>
      <c r="F297" s="12" t="b">
        <v>0</v>
      </c>
      <c r="G297" s="12">
        <v>4</v>
      </c>
      <c r="H297" s="12">
        <v>1</v>
      </c>
      <c r="I297" s="12">
        <v>0.2</v>
      </c>
      <c r="J297" s="12">
        <v>0.19700000000000001</v>
      </c>
      <c r="K297" s="12">
        <v>0.25</v>
      </c>
      <c r="L297" s="12">
        <v>0.25369999999999998</v>
      </c>
      <c r="M297" s="12">
        <v>0</v>
      </c>
      <c r="N297" s="12">
        <v>50</v>
      </c>
      <c r="O297" s="12">
        <v>50</v>
      </c>
    </row>
    <row r="298" spans="1:15" x14ac:dyDescent="0.25">
      <c r="A298" s="12">
        <v>916</v>
      </c>
      <c r="B298" s="13">
        <v>40584</v>
      </c>
      <c r="C298" s="12">
        <v>1</v>
      </c>
      <c r="D298" s="12">
        <v>2</v>
      </c>
      <c r="E298" s="12">
        <v>16</v>
      </c>
      <c r="F298" s="12" t="b">
        <v>0</v>
      </c>
      <c r="G298" s="12">
        <v>4</v>
      </c>
      <c r="H298" s="12">
        <v>1</v>
      </c>
      <c r="I298" s="12">
        <v>0.2</v>
      </c>
      <c r="J298" s="12">
        <v>0.18179999999999999</v>
      </c>
      <c r="K298" s="12">
        <v>0.27</v>
      </c>
      <c r="L298" s="12">
        <v>0.29849999999999999</v>
      </c>
      <c r="M298" s="12">
        <v>4</v>
      </c>
      <c r="N298" s="12">
        <v>76</v>
      </c>
      <c r="O298" s="12">
        <v>80</v>
      </c>
    </row>
    <row r="299" spans="1:15" x14ac:dyDescent="0.25">
      <c r="A299" s="12">
        <v>917</v>
      </c>
      <c r="B299" s="13">
        <v>40584</v>
      </c>
      <c r="C299" s="12">
        <v>1</v>
      </c>
      <c r="D299" s="12">
        <v>2</v>
      </c>
      <c r="E299" s="12">
        <v>17</v>
      </c>
      <c r="F299" s="12" t="b">
        <v>0</v>
      </c>
      <c r="G299" s="12">
        <v>4</v>
      </c>
      <c r="H299" s="12">
        <v>1</v>
      </c>
      <c r="I299" s="12">
        <v>0.18</v>
      </c>
      <c r="J299" s="12">
        <v>0.18179999999999999</v>
      </c>
      <c r="K299" s="12">
        <v>0.26</v>
      </c>
      <c r="L299" s="12">
        <v>0.19400000000000001</v>
      </c>
      <c r="M299" s="12">
        <v>6</v>
      </c>
      <c r="N299" s="12">
        <v>159</v>
      </c>
      <c r="O299" s="12">
        <v>165</v>
      </c>
    </row>
    <row r="300" spans="1:15" x14ac:dyDescent="0.25">
      <c r="A300" s="12">
        <v>918</v>
      </c>
      <c r="B300" s="13">
        <v>40584</v>
      </c>
      <c r="C300" s="12">
        <v>1</v>
      </c>
      <c r="D300" s="12">
        <v>2</v>
      </c>
      <c r="E300" s="12">
        <v>18</v>
      </c>
      <c r="F300" s="12" t="b">
        <v>0</v>
      </c>
      <c r="G300" s="12">
        <v>4</v>
      </c>
      <c r="H300" s="12">
        <v>1</v>
      </c>
      <c r="I300" s="12">
        <v>0.16</v>
      </c>
      <c r="J300" s="12">
        <v>0.18179999999999999</v>
      </c>
      <c r="K300" s="12">
        <v>0.28000000000000003</v>
      </c>
      <c r="L300" s="12">
        <v>0.1343</v>
      </c>
      <c r="M300" s="12">
        <v>3</v>
      </c>
      <c r="N300" s="12">
        <v>157</v>
      </c>
      <c r="O300" s="12">
        <v>160</v>
      </c>
    </row>
    <row r="301" spans="1:15" x14ac:dyDescent="0.25">
      <c r="A301" s="12">
        <v>919</v>
      </c>
      <c r="B301" s="13">
        <v>40584</v>
      </c>
      <c r="C301" s="12">
        <v>1</v>
      </c>
      <c r="D301" s="12">
        <v>2</v>
      </c>
      <c r="E301" s="12">
        <v>19</v>
      </c>
      <c r="F301" s="12" t="b">
        <v>0</v>
      </c>
      <c r="G301" s="12">
        <v>4</v>
      </c>
      <c r="H301" s="12">
        <v>1</v>
      </c>
      <c r="I301" s="12">
        <v>0.14000000000000001</v>
      </c>
      <c r="J301" s="12">
        <v>0.16669999999999999</v>
      </c>
      <c r="K301" s="12">
        <v>0.28000000000000003</v>
      </c>
      <c r="L301" s="12">
        <v>0.1045</v>
      </c>
      <c r="M301" s="12">
        <v>2</v>
      </c>
      <c r="N301" s="12">
        <v>110</v>
      </c>
      <c r="O301" s="12">
        <v>112</v>
      </c>
    </row>
    <row r="302" spans="1:15" x14ac:dyDescent="0.25">
      <c r="A302" s="12">
        <v>920</v>
      </c>
      <c r="B302" s="13">
        <v>40584</v>
      </c>
      <c r="C302" s="12">
        <v>1</v>
      </c>
      <c r="D302" s="12">
        <v>2</v>
      </c>
      <c r="E302" s="12">
        <v>20</v>
      </c>
      <c r="F302" s="12" t="b">
        <v>0</v>
      </c>
      <c r="G302" s="12">
        <v>4</v>
      </c>
      <c r="H302" s="12">
        <v>1</v>
      </c>
      <c r="I302" s="12">
        <v>0.14000000000000001</v>
      </c>
      <c r="J302" s="12">
        <v>0.18179999999999999</v>
      </c>
      <c r="K302" s="12">
        <v>0.31</v>
      </c>
      <c r="L302" s="12">
        <v>8.9599999999999999E-2</v>
      </c>
      <c r="M302" s="12">
        <v>4</v>
      </c>
      <c r="N302" s="12">
        <v>93</v>
      </c>
      <c r="O302" s="12">
        <v>97</v>
      </c>
    </row>
    <row r="303" spans="1:15" x14ac:dyDescent="0.25">
      <c r="A303" s="12">
        <v>921</v>
      </c>
      <c r="B303" s="13">
        <v>40584</v>
      </c>
      <c r="C303" s="12">
        <v>1</v>
      </c>
      <c r="D303" s="12">
        <v>2</v>
      </c>
      <c r="E303" s="12">
        <v>21</v>
      </c>
      <c r="F303" s="12" t="b">
        <v>0</v>
      </c>
      <c r="G303" s="12">
        <v>4</v>
      </c>
      <c r="H303" s="12">
        <v>1</v>
      </c>
      <c r="I303" s="12">
        <v>0.14000000000000001</v>
      </c>
      <c r="J303" s="12">
        <v>0.21210000000000001</v>
      </c>
      <c r="K303" s="12">
        <v>0.39</v>
      </c>
      <c r="L303" s="12">
        <v>0</v>
      </c>
      <c r="M303" s="12">
        <v>2</v>
      </c>
      <c r="N303" s="12">
        <v>70</v>
      </c>
      <c r="O303" s="12">
        <v>72</v>
      </c>
    </row>
    <row r="304" spans="1:15" x14ac:dyDescent="0.25">
      <c r="A304" s="12">
        <v>922</v>
      </c>
      <c r="B304" s="13">
        <v>40584</v>
      </c>
      <c r="C304" s="12">
        <v>1</v>
      </c>
      <c r="D304" s="12">
        <v>2</v>
      </c>
      <c r="E304" s="12">
        <v>22</v>
      </c>
      <c r="F304" s="12" t="b">
        <v>0</v>
      </c>
      <c r="G304" s="12">
        <v>4</v>
      </c>
      <c r="H304" s="12">
        <v>1</v>
      </c>
      <c r="I304" s="12">
        <v>0.12</v>
      </c>
      <c r="J304" s="12">
        <v>0.19700000000000001</v>
      </c>
      <c r="K304" s="12">
        <v>0.39</v>
      </c>
      <c r="L304" s="12">
        <v>0</v>
      </c>
      <c r="M304" s="12">
        <v>4</v>
      </c>
      <c r="N304" s="12">
        <v>47</v>
      </c>
      <c r="O304" s="12">
        <v>51</v>
      </c>
    </row>
    <row r="305" spans="1:15" x14ac:dyDescent="0.25">
      <c r="A305" s="12">
        <v>923</v>
      </c>
      <c r="B305" s="13">
        <v>40584</v>
      </c>
      <c r="C305" s="12">
        <v>1</v>
      </c>
      <c r="D305" s="12">
        <v>2</v>
      </c>
      <c r="E305" s="12">
        <v>23</v>
      </c>
      <c r="F305" s="12" t="b">
        <v>0</v>
      </c>
      <c r="G305" s="12">
        <v>4</v>
      </c>
      <c r="H305" s="12">
        <v>1</v>
      </c>
      <c r="I305" s="12">
        <v>0.12</v>
      </c>
      <c r="J305" s="12">
        <v>0.1515</v>
      </c>
      <c r="K305" s="12">
        <v>0.42</v>
      </c>
      <c r="L305" s="12">
        <v>0.1045</v>
      </c>
      <c r="M305" s="12">
        <v>1</v>
      </c>
      <c r="N305" s="12">
        <v>33</v>
      </c>
      <c r="O305" s="12">
        <v>34</v>
      </c>
    </row>
    <row r="306" spans="1:15" x14ac:dyDescent="0.25">
      <c r="A306" s="12">
        <v>924</v>
      </c>
      <c r="B306" s="13">
        <v>40585</v>
      </c>
      <c r="C306" s="12">
        <v>1</v>
      </c>
      <c r="D306" s="12">
        <v>2</v>
      </c>
      <c r="E306" s="12">
        <v>0</v>
      </c>
      <c r="F306" s="12" t="b">
        <v>0</v>
      </c>
      <c r="G306" s="12">
        <v>5</v>
      </c>
      <c r="H306" s="12">
        <v>1</v>
      </c>
      <c r="I306" s="12">
        <v>0.1</v>
      </c>
      <c r="J306" s="12">
        <v>0.13639999999999999</v>
      </c>
      <c r="K306" s="12">
        <v>0.49</v>
      </c>
      <c r="L306" s="12">
        <v>0.1045</v>
      </c>
      <c r="M306" s="12">
        <v>2</v>
      </c>
      <c r="N306" s="12">
        <v>12</v>
      </c>
      <c r="O306" s="12">
        <v>14</v>
      </c>
    </row>
    <row r="307" spans="1:15" x14ac:dyDescent="0.25">
      <c r="A307" s="12">
        <v>925</v>
      </c>
      <c r="B307" s="13">
        <v>40585</v>
      </c>
      <c r="C307" s="12">
        <v>1</v>
      </c>
      <c r="D307" s="12">
        <v>2</v>
      </c>
      <c r="E307" s="12">
        <v>1</v>
      </c>
      <c r="F307" s="12" t="b">
        <v>0</v>
      </c>
      <c r="G307" s="12">
        <v>5</v>
      </c>
      <c r="H307" s="12">
        <v>1</v>
      </c>
      <c r="I307" s="12">
        <v>0.1</v>
      </c>
      <c r="J307" s="12">
        <v>0.13639999999999999</v>
      </c>
      <c r="K307" s="12">
        <v>0.54</v>
      </c>
      <c r="L307" s="12">
        <v>8.9599999999999999E-2</v>
      </c>
      <c r="M307" s="12">
        <v>1</v>
      </c>
      <c r="N307" s="12">
        <v>6</v>
      </c>
      <c r="O307" s="12">
        <v>7</v>
      </c>
    </row>
    <row r="308" spans="1:15" x14ac:dyDescent="0.25">
      <c r="A308" s="12">
        <v>926</v>
      </c>
      <c r="B308" s="13">
        <v>40585</v>
      </c>
      <c r="C308" s="12">
        <v>1</v>
      </c>
      <c r="D308" s="12">
        <v>2</v>
      </c>
      <c r="E308" s="12">
        <v>2</v>
      </c>
      <c r="F308" s="12" t="b">
        <v>0</v>
      </c>
      <c r="G308" s="12">
        <v>5</v>
      </c>
      <c r="H308" s="12">
        <v>1</v>
      </c>
      <c r="I308" s="12">
        <v>0.1</v>
      </c>
      <c r="J308" s="12">
        <v>0.13639999999999999</v>
      </c>
      <c r="K308" s="12">
        <v>0.54</v>
      </c>
      <c r="L308" s="12">
        <v>8.9599999999999999E-2</v>
      </c>
      <c r="M308" s="12">
        <v>0</v>
      </c>
      <c r="N308" s="12">
        <v>3</v>
      </c>
      <c r="O308" s="12">
        <v>3</v>
      </c>
    </row>
    <row r="309" spans="1:15" x14ac:dyDescent="0.25">
      <c r="A309" s="12">
        <v>927</v>
      </c>
      <c r="B309" s="13">
        <v>40585</v>
      </c>
      <c r="C309" s="12">
        <v>1</v>
      </c>
      <c r="D309" s="12">
        <v>2</v>
      </c>
      <c r="E309" s="12">
        <v>5</v>
      </c>
      <c r="F309" s="12" t="b">
        <v>0</v>
      </c>
      <c r="G309" s="12">
        <v>5</v>
      </c>
      <c r="H309" s="12">
        <v>1</v>
      </c>
      <c r="I309" s="12">
        <v>0.08</v>
      </c>
      <c r="J309" s="12">
        <v>0.1212</v>
      </c>
      <c r="K309" s="12">
        <v>0.63</v>
      </c>
      <c r="L309" s="12">
        <v>8.9599999999999999E-2</v>
      </c>
      <c r="M309" s="12">
        <v>0</v>
      </c>
      <c r="N309" s="12">
        <v>4</v>
      </c>
      <c r="O309" s="12">
        <v>4</v>
      </c>
    </row>
    <row r="310" spans="1:15" x14ac:dyDescent="0.25">
      <c r="A310" s="12">
        <v>928</v>
      </c>
      <c r="B310" s="13">
        <v>40585</v>
      </c>
      <c r="C310" s="12">
        <v>1</v>
      </c>
      <c r="D310" s="12">
        <v>2</v>
      </c>
      <c r="E310" s="12">
        <v>6</v>
      </c>
      <c r="F310" s="12" t="b">
        <v>0</v>
      </c>
      <c r="G310" s="12">
        <v>5</v>
      </c>
      <c r="H310" s="12">
        <v>1</v>
      </c>
      <c r="I310" s="12">
        <v>0.1</v>
      </c>
      <c r="J310" s="12">
        <v>0.18179999999999999</v>
      </c>
      <c r="K310" s="12">
        <v>0.68</v>
      </c>
      <c r="L310" s="12">
        <v>0</v>
      </c>
      <c r="M310" s="12">
        <v>1</v>
      </c>
      <c r="N310" s="12">
        <v>23</v>
      </c>
      <c r="O310" s="12">
        <v>24</v>
      </c>
    </row>
    <row r="311" spans="1:15" x14ac:dyDescent="0.25">
      <c r="A311" s="12">
        <v>929</v>
      </c>
      <c r="B311" s="13">
        <v>40585</v>
      </c>
      <c r="C311" s="12">
        <v>1</v>
      </c>
      <c r="D311" s="12">
        <v>2</v>
      </c>
      <c r="E311" s="12">
        <v>7</v>
      </c>
      <c r="F311" s="12" t="b">
        <v>0</v>
      </c>
      <c r="G311" s="12">
        <v>5</v>
      </c>
      <c r="H311" s="12">
        <v>1</v>
      </c>
      <c r="I311" s="12">
        <v>0.08</v>
      </c>
      <c r="J311" s="12">
        <v>0.16669999999999999</v>
      </c>
      <c r="K311" s="12">
        <v>0.73</v>
      </c>
      <c r="L311" s="12">
        <v>0</v>
      </c>
      <c r="M311" s="12">
        <v>1</v>
      </c>
      <c r="N311" s="12">
        <v>73</v>
      </c>
      <c r="O311" s="12">
        <v>74</v>
      </c>
    </row>
    <row r="312" spans="1:15" x14ac:dyDescent="0.25">
      <c r="A312" s="12">
        <v>930</v>
      </c>
      <c r="B312" s="13">
        <v>40585</v>
      </c>
      <c r="C312" s="12">
        <v>1</v>
      </c>
      <c r="D312" s="12">
        <v>2</v>
      </c>
      <c r="E312" s="12">
        <v>8</v>
      </c>
      <c r="F312" s="12" t="b">
        <v>0</v>
      </c>
      <c r="G312" s="12">
        <v>5</v>
      </c>
      <c r="H312" s="12">
        <v>1</v>
      </c>
      <c r="I312" s="12">
        <v>0.1</v>
      </c>
      <c r="J312" s="12">
        <v>0.1212</v>
      </c>
      <c r="K312" s="12">
        <v>0.74</v>
      </c>
      <c r="L312" s="12">
        <v>0.16420000000000001</v>
      </c>
      <c r="M312" s="12">
        <v>4</v>
      </c>
      <c r="N312" s="12">
        <v>212</v>
      </c>
      <c r="O312" s="12">
        <v>216</v>
      </c>
    </row>
    <row r="313" spans="1:15" x14ac:dyDescent="0.25">
      <c r="A313" s="12">
        <v>931</v>
      </c>
      <c r="B313" s="13">
        <v>40585</v>
      </c>
      <c r="C313" s="12">
        <v>1</v>
      </c>
      <c r="D313" s="12">
        <v>2</v>
      </c>
      <c r="E313" s="12">
        <v>9</v>
      </c>
      <c r="F313" s="12" t="b">
        <v>0</v>
      </c>
      <c r="G313" s="12">
        <v>5</v>
      </c>
      <c r="H313" s="12">
        <v>1</v>
      </c>
      <c r="I313" s="12">
        <v>0.12</v>
      </c>
      <c r="J313" s="12">
        <v>0.1212</v>
      </c>
      <c r="K313" s="12">
        <v>0.74</v>
      </c>
      <c r="L313" s="12">
        <v>0.22389999999999999</v>
      </c>
      <c r="M313" s="12">
        <v>8</v>
      </c>
      <c r="N313" s="12">
        <v>132</v>
      </c>
      <c r="O313" s="12">
        <v>140</v>
      </c>
    </row>
    <row r="314" spans="1:15" x14ac:dyDescent="0.25">
      <c r="A314" s="12">
        <v>932</v>
      </c>
      <c r="B314" s="13">
        <v>40585</v>
      </c>
      <c r="C314" s="12">
        <v>1</v>
      </c>
      <c r="D314" s="12">
        <v>2</v>
      </c>
      <c r="E314" s="12">
        <v>10</v>
      </c>
      <c r="F314" s="12" t="b">
        <v>0</v>
      </c>
      <c r="G314" s="12">
        <v>5</v>
      </c>
      <c r="H314" s="12">
        <v>1</v>
      </c>
      <c r="I314" s="12">
        <v>0.14000000000000001</v>
      </c>
      <c r="J314" s="12">
        <v>0.13639999999999999</v>
      </c>
      <c r="K314" s="12">
        <v>0.69</v>
      </c>
      <c r="L314" s="12">
        <v>0.19400000000000001</v>
      </c>
      <c r="M314" s="12">
        <v>5</v>
      </c>
      <c r="N314" s="12">
        <v>39</v>
      </c>
      <c r="O314" s="12">
        <v>44</v>
      </c>
    </row>
    <row r="315" spans="1:15" x14ac:dyDescent="0.25">
      <c r="A315" s="12">
        <v>933</v>
      </c>
      <c r="B315" s="13">
        <v>40585</v>
      </c>
      <c r="C315" s="12">
        <v>1</v>
      </c>
      <c r="D315" s="12">
        <v>2</v>
      </c>
      <c r="E315" s="12">
        <v>11</v>
      </c>
      <c r="F315" s="12" t="b">
        <v>0</v>
      </c>
      <c r="G315" s="12">
        <v>5</v>
      </c>
      <c r="H315" s="12">
        <v>1</v>
      </c>
      <c r="I315" s="12">
        <v>0.22</v>
      </c>
      <c r="J315" s="12">
        <v>0.2273</v>
      </c>
      <c r="K315" s="12">
        <v>0.47</v>
      </c>
      <c r="L315" s="12">
        <v>0.1343</v>
      </c>
      <c r="M315" s="12">
        <v>12</v>
      </c>
      <c r="N315" s="12">
        <v>52</v>
      </c>
      <c r="O315" s="12">
        <v>64</v>
      </c>
    </row>
    <row r="316" spans="1:15" x14ac:dyDescent="0.25">
      <c r="A316" s="12">
        <v>934</v>
      </c>
      <c r="B316" s="13">
        <v>40585</v>
      </c>
      <c r="C316" s="12">
        <v>1</v>
      </c>
      <c r="D316" s="12">
        <v>2</v>
      </c>
      <c r="E316" s="12">
        <v>12</v>
      </c>
      <c r="F316" s="12" t="b">
        <v>0</v>
      </c>
      <c r="G316" s="12">
        <v>5</v>
      </c>
      <c r="H316" s="12">
        <v>1</v>
      </c>
      <c r="I316" s="12">
        <v>0.22</v>
      </c>
      <c r="J316" s="12">
        <v>0.2273</v>
      </c>
      <c r="K316" s="12">
        <v>0.47</v>
      </c>
      <c r="L316" s="12">
        <v>0.1343</v>
      </c>
      <c r="M316" s="12">
        <v>7</v>
      </c>
      <c r="N316" s="12">
        <v>64</v>
      </c>
      <c r="O316" s="12">
        <v>71</v>
      </c>
    </row>
    <row r="317" spans="1:15" x14ac:dyDescent="0.25">
      <c r="A317" s="12">
        <v>935</v>
      </c>
      <c r="B317" s="13">
        <v>40585</v>
      </c>
      <c r="C317" s="12">
        <v>1</v>
      </c>
      <c r="D317" s="12">
        <v>2</v>
      </c>
      <c r="E317" s="12">
        <v>13</v>
      </c>
      <c r="F317" s="12" t="b">
        <v>0</v>
      </c>
      <c r="G317" s="12">
        <v>5</v>
      </c>
      <c r="H317" s="12">
        <v>1</v>
      </c>
      <c r="I317" s="12">
        <v>0.24</v>
      </c>
      <c r="J317" s="12">
        <v>0.2273</v>
      </c>
      <c r="K317" s="12">
        <v>0.35</v>
      </c>
      <c r="L317" s="12">
        <v>0.19400000000000001</v>
      </c>
      <c r="M317" s="12">
        <v>21</v>
      </c>
      <c r="N317" s="12">
        <v>89</v>
      </c>
      <c r="O317" s="12">
        <v>110</v>
      </c>
    </row>
    <row r="318" spans="1:15" x14ac:dyDescent="0.25">
      <c r="A318" s="12">
        <v>936</v>
      </c>
      <c r="B318" s="13">
        <v>40585</v>
      </c>
      <c r="C318" s="12">
        <v>1</v>
      </c>
      <c r="D318" s="12">
        <v>2</v>
      </c>
      <c r="E318" s="12">
        <v>14</v>
      </c>
      <c r="F318" s="12" t="b">
        <v>0</v>
      </c>
      <c r="G318" s="12">
        <v>5</v>
      </c>
      <c r="H318" s="12">
        <v>1</v>
      </c>
      <c r="I318" s="12">
        <v>0.3</v>
      </c>
      <c r="J318" s="12">
        <v>0.28789999999999999</v>
      </c>
      <c r="K318" s="12">
        <v>0.26</v>
      </c>
      <c r="L318" s="12">
        <v>0.25369999999999998</v>
      </c>
      <c r="M318" s="12">
        <v>17</v>
      </c>
      <c r="N318" s="12">
        <v>67</v>
      </c>
      <c r="O318" s="12">
        <v>84</v>
      </c>
    </row>
    <row r="319" spans="1:15" x14ac:dyDescent="0.25">
      <c r="A319" s="12">
        <v>937</v>
      </c>
      <c r="B319" s="13">
        <v>40585</v>
      </c>
      <c r="C319" s="12">
        <v>1</v>
      </c>
      <c r="D319" s="12">
        <v>2</v>
      </c>
      <c r="E319" s="12">
        <v>15</v>
      </c>
      <c r="F319" s="12" t="b">
        <v>0</v>
      </c>
      <c r="G319" s="12">
        <v>5</v>
      </c>
      <c r="H319" s="12">
        <v>1</v>
      </c>
      <c r="I319" s="12">
        <v>0.32</v>
      </c>
      <c r="J319" s="12">
        <v>0.31819999999999998</v>
      </c>
      <c r="K319" s="12">
        <v>0.21</v>
      </c>
      <c r="L319" s="12">
        <v>0.16420000000000001</v>
      </c>
      <c r="M319" s="12">
        <v>12</v>
      </c>
      <c r="N319" s="12">
        <v>62</v>
      </c>
      <c r="O319" s="12">
        <v>74</v>
      </c>
    </row>
    <row r="320" spans="1:15" x14ac:dyDescent="0.25">
      <c r="A320" s="12">
        <v>938</v>
      </c>
      <c r="B320" s="13">
        <v>40585</v>
      </c>
      <c r="C320" s="12">
        <v>1</v>
      </c>
      <c r="D320" s="12">
        <v>2</v>
      </c>
      <c r="E320" s="12">
        <v>16</v>
      </c>
      <c r="F320" s="12" t="b">
        <v>0</v>
      </c>
      <c r="G320" s="12">
        <v>5</v>
      </c>
      <c r="H320" s="12">
        <v>1</v>
      </c>
      <c r="I320" s="12">
        <v>0.3</v>
      </c>
      <c r="J320" s="12">
        <v>0.28789999999999999</v>
      </c>
      <c r="K320" s="12">
        <v>0.28000000000000003</v>
      </c>
      <c r="L320" s="12">
        <v>0.19400000000000001</v>
      </c>
      <c r="M320" s="12">
        <v>14</v>
      </c>
      <c r="N320" s="12">
        <v>111</v>
      </c>
      <c r="O320" s="12">
        <v>125</v>
      </c>
    </row>
    <row r="321" spans="1:15" x14ac:dyDescent="0.25">
      <c r="A321" s="12">
        <v>939</v>
      </c>
      <c r="B321" s="13">
        <v>40585</v>
      </c>
      <c r="C321" s="12">
        <v>1</v>
      </c>
      <c r="D321" s="12">
        <v>2</v>
      </c>
      <c r="E321" s="12">
        <v>17</v>
      </c>
      <c r="F321" s="12" t="b">
        <v>0</v>
      </c>
      <c r="G321" s="12">
        <v>5</v>
      </c>
      <c r="H321" s="12">
        <v>1</v>
      </c>
      <c r="I321" s="12">
        <v>0.3</v>
      </c>
      <c r="J321" s="12">
        <v>0.33329999999999999</v>
      </c>
      <c r="K321" s="12">
        <v>0.24</v>
      </c>
      <c r="L321" s="12">
        <v>0</v>
      </c>
      <c r="M321" s="12">
        <v>18</v>
      </c>
      <c r="N321" s="12">
        <v>193</v>
      </c>
      <c r="O321" s="12">
        <v>211</v>
      </c>
    </row>
    <row r="322" spans="1:15" x14ac:dyDescent="0.25">
      <c r="A322" s="12">
        <v>940</v>
      </c>
      <c r="B322" s="13">
        <v>40585</v>
      </c>
      <c r="C322" s="12">
        <v>1</v>
      </c>
      <c r="D322" s="12">
        <v>2</v>
      </c>
      <c r="E322" s="12">
        <v>18</v>
      </c>
      <c r="F322" s="12" t="b">
        <v>0</v>
      </c>
      <c r="G322" s="12">
        <v>5</v>
      </c>
      <c r="H322" s="12">
        <v>1</v>
      </c>
      <c r="I322" s="12">
        <v>0.28000000000000003</v>
      </c>
      <c r="J322" s="12">
        <v>0.31819999999999998</v>
      </c>
      <c r="K322" s="12">
        <v>0.28000000000000003</v>
      </c>
      <c r="L322" s="12">
        <v>0</v>
      </c>
      <c r="M322" s="12">
        <v>9</v>
      </c>
      <c r="N322" s="12">
        <v>165</v>
      </c>
      <c r="O322" s="12">
        <v>174</v>
      </c>
    </row>
    <row r="323" spans="1:15" x14ac:dyDescent="0.25">
      <c r="A323" s="12">
        <v>941</v>
      </c>
      <c r="B323" s="13">
        <v>40585</v>
      </c>
      <c r="C323" s="12">
        <v>1</v>
      </c>
      <c r="D323" s="12">
        <v>2</v>
      </c>
      <c r="E323" s="12">
        <v>19</v>
      </c>
      <c r="F323" s="12" t="b">
        <v>0</v>
      </c>
      <c r="G323" s="12">
        <v>5</v>
      </c>
      <c r="H323" s="12">
        <v>1</v>
      </c>
      <c r="I323" s="12">
        <v>0.26</v>
      </c>
      <c r="J323" s="12">
        <v>0.30299999999999999</v>
      </c>
      <c r="K323" s="12">
        <v>0.33</v>
      </c>
      <c r="L323" s="12">
        <v>0</v>
      </c>
      <c r="M323" s="12">
        <v>7</v>
      </c>
      <c r="N323" s="12">
        <v>94</v>
      </c>
      <c r="O323" s="12">
        <v>101</v>
      </c>
    </row>
    <row r="324" spans="1:15" x14ac:dyDescent="0.25">
      <c r="A324" s="12">
        <v>942</v>
      </c>
      <c r="B324" s="13">
        <v>40585</v>
      </c>
      <c r="C324" s="12">
        <v>1</v>
      </c>
      <c r="D324" s="12">
        <v>2</v>
      </c>
      <c r="E324" s="12">
        <v>20</v>
      </c>
      <c r="F324" s="12" t="b">
        <v>0</v>
      </c>
      <c r="G324" s="12">
        <v>5</v>
      </c>
      <c r="H324" s="12">
        <v>1</v>
      </c>
      <c r="I324" s="12">
        <v>0.22</v>
      </c>
      <c r="J324" s="12">
        <v>0.2273</v>
      </c>
      <c r="K324" s="12">
        <v>0.55000000000000004</v>
      </c>
      <c r="L324" s="12">
        <v>0.1343</v>
      </c>
      <c r="M324" s="12">
        <v>2</v>
      </c>
      <c r="N324" s="12">
        <v>61</v>
      </c>
      <c r="O324" s="12">
        <v>63</v>
      </c>
    </row>
    <row r="325" spans="1:15" x14ac:dyDescent="0.25">
      <c r="A325" s="12">
        <v>943</v>
      </c>
      <c r="B325" s="13">
        <v>40585</v>
      </c>
      <c r="C325" s="12">
        <v>1</v>
      </c>
      <c r="D325" s="12">
        <v>2</v>
      </c>
      <c r="E325" s="12">
        <v>21</v>
      </c>
      <c r="F325" s="12" t="b">
        <v>0</v>
      </c>
      <c r="G325" s="12">
        <v>5</v>
      </c>
      <c r="H325" s="12">
        <v>1</v>
      </c>
      <c r="I325" s="12">
        <v>0.2</v>
      </c>
      <c r="J325" s="12">
        <v>0.21210000000000001</v>
      </c>
      <c r="K325" s="12">
        <v>0.59</v>
      </c>
      <c r="L325" s="12">
        <v>0.1343</v>
      </c>
      <c r="M325" s="12">
        <v>1</v>
      </c>
      <c r="N325" s="12">
        <v>46</v>
      </c>
      <c r="O325" s="12">
        <v>47</v>
      </c>
    </row>
    <row r="326" spans="1:15" x14ac:dyDescent="0.25">
      <c r="A326" s="12">
        <v>944</v>
      </c>
      <c r="B326" s="13">
        <v>40585</v>
      </c>
      <c r="C326" s="12">
        <v>1</v>
      </c>
      <c r="D326" s="12">
        <v>2</v>
      </c>
      <c r="E326" s="12">
        <v>22</v>
      </c>
      <c r="F326" s="12" t="b">
        <v>0</v>
      </c>
      <c r="G326" s="12">
        <v>5</v>
      </c>
      <c r="H326" s="12">
        <v>1</v>
      </c>
      <c r="I326" s="12">
        <v>0.2</v>
      </c>
      <c r="J326" s="12">
        <v>0.2273</v>
      </c>
      <c r="K326" s="12">
        <v>0.64</v>
      </c>
      <c r="L326" s="12">
        <v>8.9599999999999999E-2</v>
      </c>
      <c r="M326" s="12">
        <v>2</v>
      </c>
      <c r="N326" s="12">
        <v>41</v>
      </c>
      <c r="O326" s="12">
        <v>43</v>
      </c>
    </row>
    <row r="327" spans="1:15" x14ac:dyDescent="0.25">
      <c r="A327" s="12">
        <v>945</v>
      </c>
      <c r="B327" s="13">
        <v>40585</v>
      </c>
      <c r="C327" s="12">
        <v>1</v>
      </c>
      <c r="D327" s="12">
        <v>2</v>
      </c>
      <c r="E327" s="12">
        <v>23</v>
      </c>
      <c r="F327" s="12" t="b">
        <v>0</v>
      </c>
      <c r="G327" s="12">
        <v>5</v>
      </c>
      <c r="H327" s="12">
        <v>1</v>
      </c>
      <c r="I327" s="12">
        <v>0.18</v>
      </c>
      <c r="J327" s="12">
        <v>0.2424</v>
      </c>
      <c r="K327" s="12">
        <v>0.69</v>
      </c>
      <c r="L327" s="12">
        <v>0</v>
      </c>
      <c r="M327" s="12">
        <v>5</v>
      </c>
      <c r="N327" s="12">
        <v>48</v>
      </c>
      <c r="O327" s="12">
        <v>53</v>
      </c>
    </row>
    <row r="328" spans="1:15" x14ac:dyDescent="0.25">
      <c r="A328" s="12">
        <v>946</v>
      </c>
      <c r="B328" s="13">
        <v>40586</v>
      </c>
      <c r="C328" s="12">
        <v>1</v>
      </c>
      <c r="D328" s="12">
        <v>2</v>
      </c>
      <c r="E328" s="12">
        <v>0</v>
      </c>
      <c r="F328" s="12" t="b">
        <v>0</v>
      </c>
      <c r="G328" s="12">
        <v>6</v>
      </c>
      <c r="H328" s="12">
        <v>1</v>
      </c>
      <c r="I328" s="12">
        <v>0.16</v>
      </c>
      <c r="J328" s="12">
        <v>0.19700000000000001</v>
      </c>
      <c r="K328" s="12">
        <v>0.69</v>
      </c>
      <c r="L328" s="12">
        <v>8.9599999999999999E-2</v>
      </c>
      <c r="M328" s="12">
        <v>3</v>
      </c>
      <c r="N328" s="12">
        <v>27</v>
      </c>
      <c r="O328" s="12">
        <v>30</v>
      </c>
    </row>
    <row r="329" spans="1:15" x14ac:dyDescent="0.25">
      <c r="A329" s="12">
        <v>947</v>
      </c>
      <c r="B329" s="13">
        <v>40586</v>
      </c>
      <c r="C329" s="12">
        <v>1</v>
      </c>
      <c r="D329" s="12">
        <v>2</v>
      </c>
      <c r="E329" s="12">
        <v>1</v>
      </c>
      <c r="F329" s="12" t="b">
        <v>0</v>
      </c>
      <c r="G329" s="12">
        <v>6</v>
      </c>
      <c r="H329" s="12">
        <v>1</v>
      </c>
      <c r="I329" s="12">
        <v>0.14000000000000001</v>
      </c>
      <c r="J329" s="12">
        <v>0.21210000000000001</v>
      </c>
      <c r="K329" s="12">
        <v>0.86</v>
      </c>
      <c r="L329" s="12">
        <v>0</v>
      </c>
      <c r="M329" s="12">
        <v>2</v>
      </c>
      <c r="N329" s="12">
        <v>22</v>
      </c>
      <c r="O329" s="12">
        <v>24</v>
      </c>
    </row>
    <row r="330" spans="1:15" x14ac:dyDescent="0.25">
      <c r="A330" s="12">
        <v>948</v>
      </c>
      <c r="B330" s="13">
        <v>40586</v>
      </c>
      <c r="C330" s="12">
        <v>1</v>
      </c>
      <c r="D330" s="12">
        <v>2</v>
      </c>
      <c r="E330" s="12">
        <v>2</v>
      </c>
      <c r="F330" s="12" t="b">
        <v>0</v>
      </c>
      <c r="G330" s="12">
        <v>6</v>
      </c>
      <c r="H330" s="12">
        <v>1</v>
      </c>
      <c r="I330" s="12">
        <v>0.14000000000000001</v>
      </c>
      <c r="J330" s="12">
        <v>0.21210000000000001</v>
      </c>
      <c r="K330" s="12">
        <v>0.8</v>
      </c>
      <c r="L330" s="12">
        <v>0</v>
      </c>
      <c r="M330" s="12">
        <v>2</v>
      </c>
      <c r="N330" s="12">
        <v>13</v>
      </c>
      <c r="O330" s="12">
        <v>15</v>
      </c>
    </row>
    <row r="331" spans="1:15" x14ac:dyDescent="0.25">
      <c r="A331" s="12">
        <v>949</v>
      </c>
      <c r="B331" s="13">
        <v>40586</v>
      </c>
      <c r="C331" s="12">
        <v>1</v>
      </c>
      <c r="D331" s="12">
        <v>2</v>
      </c>
      <c r="E331" s="12">
        <v>3</v>
      </c>
      <c r="F331" s="12" t="b">
        <v>0</v>
      </c>
      <c r="G331" s="12">
        <v>6</v>
      </c>
      <c r="H331" s="12">
        <v>1</v>
      </c>
      <c r="I331" s="12">
        <v>0.12</v>
      </c>
      <c r="J331" s="12">
        <v>0.19700000000000001</v>
      </c>
      <c r="K331" s="12">
        <v>0.8</v>
      </c>
      <c r="L331" s="12">
        <v>0</v>
      </c>
      <c r="M331" s="12">
        <v>3</v>
      </c>
      <c r="N331" s="12">
        <v>7</v>
      </c>
      <c r="O331" s="12">
        <v>10</v>
      </c>
    </row>
    <row r="332" spans="1:15" x14ac:dyDescent="0.25">
      <c r="A332" s="12">
        <v>950</v>
      </c>
      <c r="B332" s="13">
        <v>40586</v>
      </c>
      <c r="C332" s="12">
        <v>1</v>
      </c>
      <c r="D332" s="12">
        <v>2</v>
      </c>
      <c r="E332" s="12">
        <v>4</v>
      </c>
      <c r="F332" s="12" t="b">
        <v>0</v>
      </c>
      <c r="G332" s="12">
        <v>6</v>
      </c>
      <c r="H332" s="12">
        <v>1</v>
      </c>
      <c r="I332" s="12">
        <v>0.12</v>
      </c>
      <c r="J332" s="12">
        <v>0.16669999999999999</v>
      </c>
      <c r="K332" s="12">
        <v>0.74</v>
      </c>
      <c r="L332" s="12">
        <v>8.9599999999999999E-2</v>
      </c>
      <c r="M332" s="12">
        <v>0</v>
      </c>
      <c r="N332" s="12">
        <v>4</v>
      </c>
      <c r="O332" s="12">
        <v>4</v>
      </c>
    </row>
    <row r="333" spans="1:15" x14ac:dyDescent="0.25">
      <c r="A333" s="12">
        <v>951</v>
      </c>
      <c r="B333" s="13">
        <v>40586</v>
      </c>
      <c r="C333" s="12">
        <v>1</v>
      </c>
      <c r="D333" s="12">
        <v>2</v>
      </c>
      <c r="E333" s="12">
        <v>5</v>
      </c>
      <c r="F333" s="12" t="b">
        <v>0</v>
      </c>
      <c r="G333" s="12">
        <v>6</v>
      </c>
      <c r="H333" s="12">
        <v>1</v>
      </c>
      <c r="I333" s="12">
        <v>0.12</v>
      </c>
      <c r="J333" s="12">
        <v>0.16669999999999999</v>
      </c>
      <c r="K333" s="12">
        <v>0.74</v>
      </c>
      <c r="L333" s="12">
        <v>8.9599999999999999E-2</v>
      </c>
      <c r="M333" s="12">
        <v>0</v>
      </c>
      <c r="N333" s="12">
        <v>1</v>
      </c>
      <c r="O333" s="12">
        <v>1</v>
      </c>
    </row>
    <row r="334" spans="1:15" x14ac:dyDescent="0.25">
      <c r="A334" s="12">
        <v>952</v>
      </c>
      <c r="B334" s="13">
        <v>40586</v>
      </c>
      <c r="C334" s="12">
        <v>1</v>
      </c>
      <c r="D334" s="12">
        <v>2</v>
      </c>
      <c r="E334" s="12">
        <v>6</v>
      </c>
      <c r="F334" s="12" t="b">
        <v>0</v>
      </c>
      <c r="G334" s="12">
        <v>6</v>
      </c>
      <c r="H334" s="12">
        <v>1</v>
      </c>
      <c r="I334" s="12">
        <v>0.12</v>
      </c>
      <c r="J334" s="12">
        <v>0.13639999999999999</v>
      </c>
      <c r="K334" s="12">
        <v>0.93</v>
      </c>
      <c r="L334" s="12">
        <v>0.19400000000000001</v>
      </c>
      <c r="M334" s="12">
        <v>1</v>
      </c>
      <c r="N334" s="12">
        <v>1</v>
      </c>
      <c r="O334" s="12">
        <v>2</v>
      </c>
    </row>
    <row r="335" spans="1:15" x14ac:dyDescent="0.25">
      <c r="A335" s="12">
        <v>953</v>
      </c>
      <c r="B335" s="13">
        <v>40586</v>
      </c>
      <c r="C335" s="12">
        <v>1</v>
      </c>
      <c r="D335" s="12">
        <v>2</v>
      </c>
      <c r="E335" s="12">
        <v>7</v>
      </c>
      <c r="F335" s="12" t="b">
        <v>0</v>
      </c>
      <c r="G335" s="12">
        <v>6</v>
      </c>
      <c r="H335" s="12">
        <v>1</v>
      </c>
      <c r="I335" s="12">
        <v>0.12</v>
      </c>
      <c r="J335" s="12">
        <v>0.1515</v>
      </c>
      <c r="K335" s="12">
        <v>0.8</v>
      </c>
      <c r="L335" s="12">
        <v>0.1045</v>
      </c>
      <c r="M335" s="12">
        <v>2</v>
      </c>
      <c r="N335" s="12">
        <v>9</v>
      </c>
      <c r="O335" s="12">
        <v>11</v>
      </c>
    </row>
    <row r="336" spans="1:15" x14ac:dyDescent="0.25">
      <c r="A336" s="12">
        <v>954</v>
      </c>
      <c r="B336" s="13">
        <v>40586</v>
      </c>
      <c r="C336" s="12">
        <v>1</v>
      </c>
      <c r="D336" s="12">
        <v>2</v>
      </c>
      <c r="E336" s="12">
        <v>8</v>
      </c>
      <c r="F336" s="12" t="b">
        <v>0</v>
      </c>
      <c r="G336" s="12">
        <v>6</v>
      </c>
      <c r="H336" s="12">
        <v>1</v>
      </c>
      <c r="I336" s="12">
        <v>0.14000000000000001</v>
      </c>
      <c r="J336" s="12">
        <v>0.1515</v>
      </c>
      <c r="K336" s="12">
        <v>0.86</v>
      </c>
      <c r="L336" s="12">
        <v>0.1343</v>
      </c>
      <c r="M336" s="12">
        <v>2</v>
      </c>
      <c r="N336" s="12">
        <v>28</v>
      </c>
      <c r="O336" s="12">
        <v>30</v>
      </c>
    </row>
    <row r="337" spans="1:15" x14ac:dyDescent="0.25">
      <c r="A337" s="12">
        <v>955</v>
      </c>
      <c r="B337" s="13">
        <v>40586</v>
      </c>
      <c r="C337" s="12">
        <v>1</v>
      </c>
      <c r="D337" s="12">
        <v>2</v>
      </c>
      <c r="E337" s="12">
        <v>9</v>
      </c>
      <c r="F337" s="12" t="b">
        <v>0</v>
      </c>
      <c r="G337" s="12">
        <v>6</v>
      </c>
      <c r="H337" s="12">
        <v>1</v>
      </c>
      <c r="I337" s="12">
        <v>0.16</v>
      </c>
      <c r="J337" s="12">
        <v>0.18179999999999999</v>
      </c>
      <c r="K337" s="12">
        <v>0.64</v>
      </c>
      <c r="L337" s="12">
        <v>0.1343</v>
      </c>
      <c r="M337" s="12">
        <v>5</v>
      </c>
      <c r="N337" s="12">
        <v>38</v>
      </c>
      <c r="O337" s="12">
        <v>43</v>
      </c>
    </row>
    <row r="338" spans="1:15" x14ac:dyDescent="0.25">
      <c r="A338" s="12">
        <v>956</v>
      </c>
      <c r="B338" s="13">
        <v>40586</v>
      </c>
      <c r="C338" s="12">
        <v>1</v>
      </c>
      <c r="D338" s="12">
        <v>2</v>
      </c>
      <c r="E338" s="12">
        <v>10</v>
      </c>
      <c r="F338" s="12" t="b">
        <v>0</v>
      </c>
      <c r="G338" s="12">
        <v>6</v>
      </c>
      <c r="H338" s="12">
        <v>1</v>
      </c>
      <c r="I338" s="12">
        <v>0.22</v>
      </c>
      <c r="J338" s="12">
        <v>0.21210000000000001</v>
      </c>
      <c r="K338" s="12">
        <v>0.41</v>
      </c>
      <c r="L338" s="12">
        <v>0.25369999999999998</v>
      </c>
      <c r="M338" s="12">
        <v>13</v>
      </c>
      <c r="N338" s="12">
        <v>71</v>
      </c>
      <c r="O338" s="12">
        <v>84</v>
      </c>
    </row>
    <row r="339" spans="1:15" x14ac:dyDescent="0.25">
      <c r="A339" s="12">
        <v>957</v>
      </c>
      <c r="B339" s="13">
        <v>40586</v>
      </c>
      <c r="C339" s="12">
        <v>1</v>
      </c>
      <c r="D339" s="12">
        <v>2</v>
      </c>
      <c r="E339" s="12">
        <v>11</v>
      </c>
      <c r="F339" s="12" t="b">
        <v>0</v>
      </c>
      <c r="G339" s="12">
        <v>6</v>
      </c>
      <c r="H339" s="12">
        <v>1</v>
      </c>
      <c r="I339" s="12">
        <v>0.3</v>
      </c>
      <c r="J339" s="12">
        <v>0.2727</v>
      </c>
      <c r="K339" s="12">
        <v>0.28000000000000003</v>
      </c>
      <c r="L339" s="12">
        <v>0.32840000000000003</v>
      </c>
      <c r="M339" s="12">
        <v>30</v>
      </c>
      <c r="N339" s="12">
        <v>84</v>
      </c>
      <c r="O339" s="12">
        <v>114</v>
      </c>
    </row>
    <row r="340" spans="1:15" x14ac:dyDescent="0.25">
      <c r="A340" s="12">
        <v>958</v>
      </c>
      <c r="B340" s="13">
        <v>40586</v>
      </c>
      <c r="C340" s="12">
        <v>1</v>
      </c>
      <c r="D340" s="12">
        <v>2</v>
      </c>
      <c r="E340" s="12">
        <v>12</v>
      </c>
      <c r="F340" s="12" t="b">
        <v>0</v>
      </c>
      <c r="G340" s="12">
        <v>6</v>
      </c>
      <c r="H340" s="12">
        <v>1</v>
      </c>
      <c r="I340" s="12">
        <v>0.3</v>
      </c>
      <c r="J340" s="12">
        <v>0.2727</v>
      </c>
      <c r="K340" s="12">
        <v>0.39</v>
      </c>
      <c r="L340" s="12">
        <v>0.4627</v>
      </c>
      <c r="M340" s="12">
        <v>27</v>
      </c>
      <c r="N340" s="12">
        <v>93</v>
      </c>
      <c r="O340" s="12">
        <v>120</v>
      </c>
    </row>
    <row r="341" spans="1:15" x14ac:dyDescent="0.25">
      <c r="A341" s="12">
        <v>959</v>
      </c>
      <c r="B341" s="13">
        <v>40586</v>
      </c>
      <c r="C341" s="12">
        <v>1</v>
      </c>
      <c r="D341" s="12">
        <v>2</v>
      </c>
      <c r="E341" s="12">
        <v>13</v>
      </c>
      <c r="F341" s="12" t="b">
        <v>0</v>
      </c>
      <c r="G341" s="12">
        <v>6</v>
      </c>
      <c r="H341" s="12">
        <v>1</v>
      </c>
      <c r="I341" s="12">
        <v>0.3</v>
      </c>
      <c r="J341" s="12">
        <v>0.2727</v>
      </c>
      <c r="K341" s="12">
        <v>0.39</v>
      </c>
      <c r="L341" s="12">
        <v>0.41789999999999999</v>
      </c>
      <c r="M341" s="12">
        <v>32</v>
      </c>
      <c r="N341" s="12">
        <v>103</v>
      </c>
      <c r="O341" s="12">
        <v>135</v>
      </c>
    </row>
    <row r="342" spans="1:15" x14ac:dyDescent="0.25">
      <c r="A342" s="12">
        <v>960</v>
      </c>
      <c r="B342" s="13">
        <v>40586</v>
      </c>
      <c r="C342" s="12">
        <v>1</v>
      </c>
      <c r="D342" s="12">
        <v>2</v>
      </c>
      <c r="E342" s="12">
        <v>14</v>
      </c>
      <c r="F342" s="12" t="b">
        <v>0</v>
      </c>
      <c r="G342" s="12">
        <v>6</v>
      </c>
      <c r="H342" s="12">
        <v>1</v>
      </c>
      <c r="I342" s="12">
        <v>0.34</v>
      </c>
      <c r="J342" s="12">
        <v>0.31819999999999998</v>
      </c>
      <c r="K342" s="12">
        <v>0.31</v>
      </c>
      <c r="L342" s="12">
        <v>0.28360000000000002</v>
      </c>
      <c r="M342" s="12">
        <v>30</v>
      </c>
      <c r="N342" s="12">
        <v>90</v>
      </c>
      <c r="O342" s="12">
        <v>120</v>
      </c>
    </row>
    <row r="343" spans="1:15" x14ac:dyDescent="0.25">
      <c r="A343" s="12">
        <v>961</v>
      </c>
      <c r="B343" s="13">
        <v>40586</v>
      </c>
      <c r="C343" s="12">
        <v>1</v>
      </c>
      <c r="D343" s="12">
        <v>2</v>
      </c>
      <c r="E343" s="12">
        <v>15</v>
      </c>
      <c r="F343" s="12" t="b">
        <v>0</v>
      </c>
      <c r="G343" s="12">
        <v>6</v>
      </c>
      <c r="H343" s="12">
        <v>1</v>
      </c>
      <c r="I343" s="12">
        <v>0.34</v>
      </c>
      <c r="J343" s="12">
        <v>0.30299999999999999</v>
      </c>
      <c r="K343" s="12">
        <v>0.28999999999999998</v>
      </c>
      <c r="L343" s="12">
        <v>0.41789999999999999</v>
      </c>
      <c r="M343" s="12">
        <v>47</v>
      </c>
      <c r="N343" s="12">
        <v>127</v>
      </c>
      <c r="O343" s="12">
        <v>174</v>
      </c>
    </row>
    <row r="344" spans="1:15" x14ac:dyDescent="0.25">
      <c r="A344" s="12">
        <v>962</v>
      </c>
      <c r="B344" s="13">
        <v>40586</v>
      </c>
      <c r="C344" s="12">
        <v>1</v>
      </c>
      <c r="D344" s="12">
        <v>2</v>
      </c>
      <c r="E344" s="12">
        <v>16</v>
      </c>
      <c r="F344" s="12" t="b">
        <v>0</v>
      </c>
      <c r="G344" s="12">
        <v>6</v>
      </c>
      <c r="H344" s="12">
        <v>1</v>
      </c>
      <c r="I344" s="12">
        <v>0.34</v>
      </c>
      <c r="J344" s="12">
        <v>0.30299999999999999</v>
      </c>
      <c r="K344" s="12">
        <v>0.28999999999999998</v>
      </c>
      <c r="L344" s="12">
        <v>0.41789999999999999</v>
      </c>
      <c r="M344" s="12">
        <v>42</v>
      </c>
      <c r="N344" s="12">
        <v>103</v>
      </c>
      <c r="O344" s="12">
        <v>145</v>
      </c>
    </row>
    <row r="345" spans="1:15" x14ac:dyDescent="0.25">
      <c r="A345" s="12">
        <v>963</v>
      </c>
      <c r="B345" s="13">
        <v>40586</v>
      </c>
      <c r="C345" s="12">
        <v>1</v>
      </c>
      <c r="D345" s="12">
        <v>2</v>
      </c>
      <c r="E345" s="12">
        <v>17</v>
      </c>
      <c r="F345" s="12" t="b">
        <v>0</v>
      </c>
      <c r="G345" s="12">
        <v>6</v>
      </c>
      <c r="H345" s="12">
        <v>1</v>
      </c>
      <c r="I345" s="12">
        <v>0.32</v>
      </c>
      <c r="J345" s="12">
        <v>0.28789999999999999</v>
      </c>
      <c r="K345" s="12">
        <v>0.31</v>
      </c>
      <c r="L345" s="12">
        <v>0.52239999999999998</v>
      </c>
      <c r="M345" s="12">
        <v>24</v>
      </c>
      <c r="N345" s="12">
        <v>113</v>
      </c>
      <c r="O345" s="12">
        <v>137</v>
      </c>
    </row>
    <row r="346" spans="1:15" x14ac:dyDescent="0.25">
      <c r="A346" s="12">
        <v>964</v>
      </c>
      <c r="B346" s="13">
        <v>40586</v>
      </c>
      <c r="C346" s="12">
        <v>1</v>
      </c>
      <c r="D346" s="12">
        <v>2</v>
      </c>
      <c r="E346" s="12">
        <v>18</v>
      </c>
      <c r="F346" s="12" t="b">
        <v>0</v>
      </c>
      <c r="G346" s="12">
        <v>6</v>
      </c>
      <c r="H346" s="12">
        <v>1</v>
      </c>
      <c r="I346" s="12">
        <v>0.28000000000000003</v>
      </c>
      <c r="J346" s="12">
        <v>0.2576</v>
      </c>
      <c r="K346" s="12">
        <v>0.38</v>
      </c>
      <c r="L346" s="12">
        <v>0.32840000000000003</v>
      </c>
      <c r="M346" s="12">
        <v>4</v>
      </c>
      <c r="N346" s="12">
        <v>60</v>
      </c>
      <c r="O346" s="12">
        <v>64</v>
      </c>
    </row>
    <row r="347" spans="1:15" x14ac:dyDescent="0.25">
      <c r="A347" s="12">
        <v>965</v>
      </c>
      <c r="B347" s="13">
        <v>40586</v>
      </c>
      <c r="C347" s="12">
        <v>1</v>
      </c>
      <c r="D347" s="12">
        <v>2</v>
      </c>
      <c r="E347" s="12">
        <v>19</v>
      </c>
      <c r="F347" s="12" t="b">
        <v>0</v>
      </c>
      <c r="G347" s="12">
        <v>6</v>
      </c>
      <c r="H347" s="12">
        <v>1</v>
      </c>
      <c r="I347" s="12">
        <v>0.28000000000000003</v>
      </c>
      <c r="J347" s="12">
        <v>0.2727</v>
      </c>
      <c r="K347" s="12">
        <v>0.38</v>
      </c>
      <c r="L347" s="12">
        <v>0.16420000000000001</v>
      </c>
      <c r="M347" s="12">
        <v>2</v>
      </c>
      <c r="N347" s="12">
        <v>39</v>
      </c>
      <c r="O347" s="12">
        <v>41</v>
      </c>
    </row>
    <row r="348" spans="1:15" x14ac:dyDescent="0.25">
      <c r="A348" s="12">
        <v>966</v>
      </c>
      <c r="B348" s="13">
        <v>40586</v>
      </c>
      <c r="C348" s="12">
        <v>1</v>
      </c>
      <c r="D348" s="12">
        <v>2</v>
      </c>
      <c r="E348" s="12">
        <v>20</v>
      </c>
      <c r="F348" s="12" t="b">
        <v>0</v>
      </c>
      <c r="G348" s="12">
        <v>6</v>
      </c>
      <c r="H348" s="12">
        <v>1</v>
      </c>
      <c r="I348" s="12">
        <v>0.26</v>
      </c>
      <c r="J348" s="12">
        <v>0.2576</v>
      </c>
      <c r="K348" s="12">
        <v>0.41</v>
      </c>
      <c r="L348" s="12">
        <v>0.22389999999999999</v>
      </c>
      <c r="M348" s="12">
        <v>1</v>
      </c>
      <c r="N348" s="12">
        <v>39</v>
      </c>
      <c r="O348" s="12">
        <v>40</v>
      </c>
    </row>
    <row r="349" spans="1:15" x14ac:dyDescent="0.25">
      <c r="A349" s="12">
        <v>967</v>
      </c>
      <c r="B349" s="13">
        <v>40586</v>
      </c>
      <c r="C349" s="12">
        <v>1</v>
      </c>
      <c r="D349" s="12">
        <v>2</v>
      </c>
      <c r="E349" s="12">
        <v>21</v>
      </c>
      <c r="F349" s="12" t="b">
        <v>0</v>
      </c>
      <c r="G349" s="12">
        <v>6</v>
      </c>
      <c r="H349" s="12">
        <v>1</v>
      </c>
      <c r="I349" s="12">
        <v>0.26</v>
      </c>
      <c r="J349" s="12">
        <v>0.30299999999999999</v>
      </c>
      <c r="K349" s="12">
        <v>0.41</v>
      </c>
      <c r="L349" s="12">
        <v>0</v>
      </c>
      <c r="M349" s="12">
        <v>9</v>
      </c>
      <c r="N349" s="12">
        <v>42</v>
      </c>
      <c r="O349" s="12">
        <v>51</v>
      </c>
    </row>
    <row r="350" spans="1:15" x14ac:dyDescent="0.25">
      <c r="A350" s="12">
        <v>968</v>
      </c>
      <c r="B350" s="13">
        <v>40586</v>
      </c>
      <c r="C350" s="12">
        <v>1</v>
      </c>
      <c r="D350" s="12">
        <v>2</v>
      </c>
      <c r="E350" s="12">
        <v>22</v>
      </c>
      <c r="F350" s="12" t="b">
        <v>0</v>
      </c>
      <c r="G350" s="12">
        <v>6</v>
      </c>
      <c r="H350" s="12">
        <v>1</v>
      </c>
      <c r="I350" s="12">
        <v>0.24</v>
      </c>
      <c r="J350" s="12">
        <v>0.2576</v>
      </c>
      <c r="K350" s="12">
        <v>0.44</v>
      </c>
      <c r="L350" s="12">
        <v>8.9599999999999999E-2</v>
      </c>
      <c r="M350" s="12">
        <v>6</v>
      </c>
      <c r="N350" s="12">
        <v>39</v>
      </c>
      <c r="O350" s="12">
        <v>45</v>
      </c>
    </row>
    <row r="351" spans="1:15" x14ac:dyDescent="0.25">
      <c r="A351" s="12">
        <v>969</v>
      </c>
      <c r="B351" s="13">
        <v>40586</v>
      </c>
      <c r="C351" s="12">
        <v>1</v>
      </c>
      <c r="D351" s="12">
        <v>2</v>
      </c>
      <c r="E351" s="12">
        <v>23</v>
      </c>
      <c r="F351" s="12" t="b">
        <v>0</v>
      </c>
      <c r="G351" s="12">
        <v>6</v>
      </c>
      <c r="H351" s="12">
        <v>1</v>
      </c>
      <c r="I351" s="12">
        <v>0.22</v>
      </c>
      <c r="J351" s="12">
        <v>0.2273</v>
      </c>
      <c r="K351" s="12">
        <v>0.51</v>
      </c>
      <c r="L351" s="12">
        <v>0.1343</v>
      </c>
      <c r="M351" s="12">
        <v>1</v>
      </c>
      <c r="N351" s="12">
        <v>31</v>
      </c>
      <c r="O351" s="12">
        <v>32</v>
      </c>
    </row>
    <row r="352" spans="1:15" x14ac:dyDescent="0.25">
      <c r="A352" s="12">
        <v>970</v>
      </c>
      <c r="B352" s="13">
        <v>40587</v>
      </c>
      <c r="C352" s="12">
        <v>1</v>
      </c>
      <c r="D352" s="12">
        <v>2</v>
      </c>
      <c r="E352" s="12">
        <v>0</v>
      </c>
      <c r="F352" s="12" t="b">
        <v>0</v>
      </c>
      <c r="G352" s="12">
        <v>0</v>
      </c>
      <c r="H352" s="12">
        <v>1</v>
      </c>
      <c r="I352" s="12">
        <v>0.2</v>
      </c>
      <c r="J352" s="12">
        <v>0.2273</v>
      </c>
      <c r="K352" s="12">
        <v>0.64</v>
      </c>
      <c r="L352" s="12">
        <v>0.1045</v>
      </c>
      <c r="M352" s="12">
        <v>5</v>
      </c>
      <c r="N352" s="12">
        <v>34</v>
      </c>
      <c r="O352" s="12">
        <v>39</v>
      </c>
    </row>
    <row r="353" spans="1:15" x14ac:dyDescent="0.25">
      <c r="A353" s="12">
        <v>971</v>
      </c>
      <c r="B353" s="13">
        <v>40587</v>
      </c>
      <c r="C353" s="12">
        <v>1</v>
      </c>
      <c r="D353" s="12">
        <v>2</v>
      </c>
      <c r="E353" s="12">
        <v>1</v>
      </c>
      <c r="F353" s="12" t="b">
        <v>0</v>
      </c>
      <c r="G353" s="12">
        <v>0</v>
      </c>
      <c r="H353" s="12">
        <v>1</v>
      </c>
      <c r="I353" s="12">
        <v>0.2</v>
      </c>
      <c r="J353" s="12">
        <v>0.2273</v>
      </c>
      <c r="K353" s="12">
        <v>0.59</v>
      </c>
      <c r="L353" s="12">
        <v>8.9599999999999999E-2</v>
      </c>
      <c r="M353" s="12">
        <v>1</v>
      </c>
      <c r="N353" s="12">
        <v>23</v>
      </c>
      <c r="O353" s="12">
        <v>24</v>
      </c>
    </row>
    <row r="354" spans="1:15" x14ac:dyDescent="0.25">
      <c r="A354" s="12">
        <v>972</v>
      </c>
      <c r="B354" s="13">
        <v>40587</v>
      </c>
      <c r="C354" s="12">
        <v>1</v>
      </c>
      <c r="D354" s="12">
        <v>2</v>
      </c>
      <c r="E354" s="12">
        <v>2</v>
      </c>
      <c r="F354" s="12" t="b">
        <v>0</v>
      </c>
      <c r="G354" s="12">
        <v>0</v>
      </c>
      <c r="H354" s="12">
        <v>2</v>
      </c>
      <c r="I354" s="12">
        <v>0.2</v>
      </c>
      <c r="J354" s="12">
        <v>0.2273</v>
      </c>
      <c r="K354" s="12">
        <v>0.75</v>
      </c>
      <c r="L354" s="12">
        <v>8.9599999999999999E-2</v>
      </c>
      <c r="M354" s="12">
        <v>1</v>
      </c>
      <c r="N354" s="12">
        <v>19</v>
      </c>
      <c r="O354" s="12">
        <v>20</v>
      </c>
    </row>
    <row r="355" spans="1:15" x14ac:dyDescent="0.25">
      <c r="A355" s="12">
        <v>973</v>
      </c>
      <c r="B355" s="13">
        <v>40587</v>
      </c>
      <c r="C355" s="12">
        <v>1</v>
      </c>
      <c r="D355" s="12">
        <v>2</v>
      </c>
      <c r="E355" s="12">
        <v>3</v>
      </c>
      <c r="F355" s="12" t="b">
        <v>0</v>
      </c>
      <c r="G355" s="12">
        <v>0</v>
      </c>
      <c r="H355" s="12">
        <v>2</v>
      </c>
      <c r="I355" s="12">
        <v>0.2</v>
      </c>
      <c r="J355" s="12">
        <v>0.2273</v>
      </c>
      <c r="K355" s="12">
        <v>0.69</v>
      </c>
      <c r="L355" s="12">
        <v>0.1045</v>
      </c>
      <c r="M355" s="12">
        <v>4</v>
      </c>
      <c r="N355" s="12">
        <v>8</v>
      </c>
      <c r="O355" s="12">
        <v>12</v>
      </c>
    </row>
    <row r="356" spans="1:15" x14ac:dyDescent="0.25">
      <c r="A356" s="12">
        <v>974</v>
      </c>
      <c r="B356" s="13">
        <v>40587</v>
      </c>
      <c r="C356" s="12">
        <v>1</v>
      </c>
      <c r="D356" s="12">
        <v>2</v>
      </c>
      <c r="E356" s="12">
        <v>4</v>
      </c>
      <c r="F356" s="12" t="b">
        <v>0</v>
      </c>
      <c r="G356" s="12">
        <v>0</v>
      </c>
      <c r="H356" s="12">
        <v>2</v>
      </c>
      <c r="I356" s="12">
        <v>0.2</v>
      </c>
      <c r="J356" s="12">
        <v>0.21210000000000001</v>
      </c>
      <c r="K356" s="12">
        <v>0.69</v>
      </c>
      <c r="L356" s="12">
        <v>0.16420000000000001</v>
      </c>
      <c r="M356" s="12">
        <v>0</v>
      </c>
      <c r="N356" s="12">
        <v>2</v>
      </c>
      <c r="O356" s="12">
        <v>2</v>
      </c>
    </row>
    <row r="357" spans="1:15" x14ac:dyDescent="0.25">
      <c r="A357" s="12">
        <v>975</v>
      </c>
      <c r="B357" s="13">
        <v>40587</v>
      </c>
      <c r="C357" s="12">
        <v>1</v>
      </c>
      <c r="D357" s="12">
        <v>2</v>
      </c>
      <c r="E357" s="12">
        <v>6</v>
      </c>
      <c r="F357" s="12" t="b">
        <v>0</v>
      </c>
      <c r="G357" s="12">
        <v>0</v>
      </c>
      <c r="H357" s="12">
        <v>2</v>
      </c>
      <c r="I357" s="12">
        <v>0.2</v>
      </c>
      <c r="J357" s="12">
        <v>0.21210000000000001</v>
      </c>
      <c r="K357" s="12">
        <v>0.69</v>
      </c>
      <c r="L357" s="12">
        <v>0.1343</v>
      </c>
      <c r="M357" s="12">
        <v>2</v>
      </c>
      <c r="N357" s="12">
        <v>3</v>
      </c>
      <c r="O357" s="12">
        <v>5</v>
      </c>
    </row>
    <row r="358" spans="1:15" x14ac:dyDescent="0.25">
      <c r="A358" s="12">
        <v>976</v>
      </c>
      <c r="B358" s="13">
        <v>40587</v>
      </c>
      <c r="C358" s="12">
        <v>1</v>
      </c>
      <c r="D358" s="12">
        <v>2</v>
      </c>
      <c r="E358" s="12">
        <v>7</v>
      </c>
      <c r="F358" s="12" t="b">
        <v>0</v>
      </c>
      <c r="G358" s="12">
        <v>0</v>
      </c>
      <c r="H358" s="12">
        <v>2</v>
      </c>
      <c r="I358" s="12">
        <v>0.22</v>
      </c>
      <c r="J358" s="12">
        <v>0.2727</v>
      </c>
      <c r="K358" s="12">
        <v>0.55000000000000004</v>
      </c>
      <c r="L358" s="12">
        <v>0</v>
      </c>
      <c r="M358" s="12">
        <v>0</v>
      </c>
      <c r="N358" s="12">
        <v>3</v>
      </c>
      <c r="O358" s="12">
        <v>3</v>
      </c>
    </row>
    <row r="359" spans="1:15" x14ac:dyDescent="0.25">
      <c r="A359" s="12">
        <v>977</v>
      </c>
      <c r="B359" s="13">
        <v>40587</v>
      </c>
      <c r="C359" s="12">
        <v>1</v>
      </c>
      <c r="D359" s="12">
        <v>2</v>
      </c>
      <c r="E359" s="12">
        <v>8</v>
      </c>
      <c r="F359" s="12" t="b">
        <v>0</v>
      </c>
      <c r="G359" s="12">
        <v>0</v>
      </c>
      <c r="H359" s="12">
        <v>2</v>
      </c>
      <c r="I359" s="12">
        <v>0.22</v>
      </c>
      <c r="J359" s="12">
        <v>0.2273</v>
      </c>
      <c r="K359" s="12">
        <v>0.64</v>
      </c>
      <c r="L359" s="12">
        <v>0.19400000000000001</v>
      </c>
      <c r="M359" s="12">
        <v>1</v>
      </c>
      <c r="N359" s="12">
        <v>11</v>
      </c>
      <c r="O359" s="12">
        <v>12</v>
      </c>
    </row>
    <row r="360" spans="1:15" x14ac:dyDescent="0.25">
      <c r="A360" s="12">
        <v>978</v>
      </c>
      <c r="B360" s="13">
        <v>40587</v>
      </c>
      <c r="C360" s="12">
        <v>1</v>
      </c>
      <c r="D360" s="12">
        <v>2</v>
      </c>
      <c r="E360" s="12">
        <v>9</v>
      </c>
      <c r="F360" s="12" t="b">
        <v>0</v>
      </c>
      <c r="G360" s="12">
        <v>0</v>
      </c>
      <c r="H360" s="12">
        <v>2</v>
      </c>
      <c r="I360" s="12">
        <v>0.24</v>
      </c>
      <c r="J360" s="12">
        <v>0.2273</v>
      </c>
      <c r="K360" s="12">
        <v>0.6</v>
      </c>
      <c r="L360" s="12">
        <v>0.22389999999999999</v>
      </c>
      <c r="M360" s="12">
        <v>12</v>
      </c>
      <c r="N360" s="12">
        <v>35</v>
      </c>
      <c r="O360" s="12">
        <v>47</v>
      </c>
    </row>
    <row r="361" spans="1:15" x14ac:dyDescent="0.25">
      <c r="A361" s="12">
        <v>979</v>
      </c>
      <c r="B361" s="13">
        <v>40587</v>
      </c>
      <c r="C361" s="12">
        <v>1</v>
      </c>
      <c r="D361" s="12">
        <v>2</v>
      </c>
      <c r="E361" s="12">
        <v>10</v>
      </c>
      <c r="F361" s="12" t="b">
        <v>0</v>
      </c>
      <c r="G361" s="12">
        <v>0</v>
      </c>
      <c r="H361" s="12">
        <v>1</v>
      </c>
      <c r="I361" s="12">
        <v>0.3</v>
      </c>
      <c r="J361" s="12">
        <v>0.2727</v>
      </c>
      <c r="K361" s="12">
        <v>0.45</v>
      </c>
      <c r="L361" s="12">
        <v>0.32840000000000003</v>
      </c>
      <c r="M361" s="12">
        <v>19</v>
      </c>
      <c r="N361" s="12">
        <v>86</v>
      </c>
      <c r="O361" s="12">
        <v>105</v>
      </c>
    </row>
    <row r="362" spans="1:15" x14ac:dyDescent="0.25">
      <c r="A362" s="12">
        <v>980</v>
      </c>
      <c r="B362" s="13">
        <v>40587</v>
      </c>
      <c r="C362" s="12">
        <v>1</v>
      </c>
      <c r="D362" s="12">
        <v>2</v>
      </c>
      <c r="E362" s="12">
        <v>11</v>
      </c>
      <c r="F362" s="12" t="b">
        <v>0</v>
      </c>
      <c r="G362" s="12">
        <v>0</v>
      </c>
      <c r="H362" s="12">
        <v>1</v>
      </c>
      <c r="I362" s="12">
        <v>0.32</v>
      </c>
      <c r="J362" s="12">
        <v>0.28789999999999999</v>
      </c>
      <c r="K362" s="12">
        <v>0.39</v>
      </c>
      <c r="L362" s="12">
        <v>0.44779999999999998</v>
      </c>
      <c r="M362" s="12">
        <v>26</v>
      </c>
      <c r="N362" s="12">
        <v>86</v>
      </c>
      <c r="O362" s="12">
        <v>112</v>
      </c>
    </row>
    <row r="363" spans="1:15" x14ac:dyDescent="0.25">
      <c r="A363" s="12">
        <v>981</v>
      </c>
      <c r="B363" s="13">
        <v>40587</v>
      </c>
      <c r="C363" s="12">
        <v>1</v>
      </c>
      <c r="D363" s="12">
        <v>2</v>
      </c>
      <c r="E363" s="12">
        <v>12</v>
      </c>
      <c r="F363" s="12" t="b">
        <v>0</v>
      </c>
      <c r="G363" s="12">
        <v>0</v>
      </c>
      <c r="H363" s="12">
        <v>1</v>
      </c>
      <c r="I363" s="12">
        <v>0.36</v>
      </c>
      <c r="J363" s="12">
        <v>0.31819999999999998</v>
      </c>
      <c r="K363" s="12">
        <v>0.32</v>
      </c>
      <c r="L363" s="12">
        <v>0.4627</v>
      </c>
      <c r="M363" s="12">
        <v>58</v>
      </c>
      <c r="N363" s="12">
        <v>94</v>
      </c>
      <c r="O363" s="12">
        <v>152</v>
      </c>
    </row>
    <row r="364" spans="1:15" x14ac:dyDescent="0.25">
      <c r="A364" s="12">
        <v>982</v>
      </c>
      <c r="B364" s="13">
        <v>40587</v>
      </c>
      <c r="C364" s="12">
        <v>1</v>
      </c>
      <c r="D364" s="12">
        <v>2</v>
      </c>
      <c r="E364" s="12">
        <v>13</v>
      </c>
      <c r="F364" s="12" t="b">
        <v>0</v>
      </c>
      <c r="G364" s="12">
        <v>0</v>
      </c>
      <c r="H364" s="12">
        <v>1</v>
      </c>
      <c r="I364" s="12">
        <v>0.38</v>
      </c>
      <c r="J364" s="12">
        <v>0.39389999999999997</v>
      </c>
      <c r="K364" s="12">
        <v>0.28999999999999998</v>
      </c>
      <c r="L364" s="12">
        <v>0.35820000000000002</v>
      </c>
      <c r="M364" s="12">
        <v>62</v>
      </c>
      <c r="N364" s="12">
        <v>92</v>
      </c>
      <c r="O364" s="12">
        <v>154</v>
      </c>
    </row>
    <row r="365" spans="1:15" x14ac:dyDescent="0.25">
      <c r="A365" s="12">
        <v>983</v>
      </c>
      <c r="B365" s="13">
        <v>40587</v>
      </c>
      <c r="C365" s="12">
        <v>1</v>
      </c>
      <c r="D365" s="12">
        <v>2</v>
      </c>
      <c r="E365" s="12">
        <v>14</v>
      </c>
      <c r="F365" s="12" t="b">
        <v>0</v>
      </c>
      <c r="G365" s="12">
        <v>0</v>
      </c>
      <c r="H365" s="12">
        <v>2</v>
      </c>
      <c r="I365" s="12">
        <v>0.4</v>
      </c>
      <c r="J365" s="12">
        <v>0.40910000000000002</v>
      </c>
      <c r="K365" s="12">
        <v>0.3</v>
      </c>
      <c r="L365" s="12">
        <v>0.41789999999999999</v>
      </c>
      <c r="M365" s="12">
        <v>51</v>
      </c>
      <c r="N365" s="12">
        <v>110</v>
      </c>
      <c r="O365" s="12">
        <v>161</v>
      </c>
    </row>
    <row r="366" spans="1:15" x14ac:dyDescent="0.25">
      <c r="A366" s="12">
        <v>984</v>
      </c>
      <c r="B366" s="13">
        <v>40587</v>
      </c>
      <c r="C366" s="12">
        <v>1</v>
      </c>
      <c r="D366" s="12">
        <v>2</v>
      </c>
      <c r="E366" s="12">
        <v>15</v>
      </c>
      <c r="F366" s="12" t="b">
        <v>0</v>
      </c>
      <c r="G366" s="12">
        <v>0</v>
      </c>
      <c r="H366" s="12">
        <v>2</v>
      </c>
      <c r="I366" s="12">
        <v>0.4</v>
      </c>
      <c r="J366" s="12">
        <v>0.40910000000000002</v>
      </c>
      <c r="K366" s="12">
        <v>0.3</v>
      </c>
      <c r="L366" s="12">
        <v>0.29849999999999999</v>
      </c>
      <c r="M366" s="12">
        <v>40</v>
      </c>
      <c r="N366" s="12">
        <v>122</v>
      </c>
      <c r="O366" s="12">
        <v>162</v>
      </c>
    </row>
    <row r="367" spans="1:15" x14ac:dyDescent="0.25">
      <c r="A367" s="12">
        <v>985</v>
      </c>
      <c r="B367" s="13">
        <v>40587</v>
      </c>
      <c r="C367" s="12">
        <v>1</v>
      </c>
      <c r="D367" s="12">
        <v>2</v>
      </c>
      <c r="E367" s="12">
        <v>16</v>
      </c>
      <c r="F367" s="12" t="b">
        <v>0</v>
      </c>
      <c r="G367" s="12">
        <v>0</v>
      </c>
      <c r="H367" s="12">
        <v>2</v>
      </c>
      <c r="I367" s="12">
        <v>0.42</v>
      </c>
      <c r="J367" s="12">
        <v>0.42420000000000002</v>
      </c>
      <c r="K367" s="12">
        <v>0.28000000000000003</v>
      </c>
      <c r="L367" s="12">
        <v>0.32840000000000003</v>
      </c>
      <c r="M367" s="12">
        <v>28</v>
      </c>
      <c r="N367" s="12">
        <v>106</v>
      </c>
      <c r="O367" s="12">
        <v>134</v>
      </c>
    </row>
    <row r="368" spans="1:15" x14ac:dyDescent="0.25">
      <c r="A368" s="12">
        <v>986</v>
      </c>
      <c r="B368" s="13">
        <v>40587</v>
      </c>
      <c r="C368" s="12">
        <v>1</v>
      </c>
      <c r="D368" s="12">
        <v>2</v>
      </c>
      <c r="E368" s="12">
        <v>17</v>
      </c>
      <c r="F368" s="12" t="b">
        <v>0</v>
      </c>
      <c r="G368" s="12">
        <v>0</v>
      </c>
      <c r="H368" s="12">
        <v>1</v>
      </c>
      <c r="I368" s="12">
        <v>0.42</v>
      </c>
      <c r="J368" s="12">
        <v>0.42420000000000002</v>
      </c>
      <c r="K368" s="12">
        <v>0.28000000000000003</v>
      </c>
      <c r="L368" s="12">
        <v>0.32840000000000003</v>
      </c>
      <c r="M368" s="12">
        <v>30</v>
      </c>
      <c r="N368" s="12">
        <v>95</v>
      </c>
      <c r="O368" s="12">
        <v>125</v>
      </c>
    </row>
    <row r="369" spans="1:15" x14ac:dyDescent="0.25">
      <c r="A369" s="12">
        <v>987</v>
      </c>
      <c r="B369" s="13">
        <v>40587</v>
      </c>
      <c r="C369" s="12">
        <v>1</v>
      </c>
      <c r="D369" s="12">
        <v>2</v>
      </c>
      <c r="E369" s="12">
        <v>18</v>
      </c>
      <c r="F369" s="12" t="b">
        <v>0</v>
      </c>
      <c r="G369" s="12">
        <v>0</v>
      </c>
      <c r="H369" s="12">
        <v>1</v>
      </c>
      <c r="I369" s="12">
        <v>0.4</v>
      </c>
      <c r="J369" s="12">
        <v>0.40910000000000002</v>
      </c>
      <c r="K369" s="12">
        <v>0.32</v>
      </c>
      <c r="L369" s="12">
        <v>0.29849999999999999</v>
      </c>
      <c r="M369" s="12">
        <v>17</v>
      </c>
      <c r="N369" s="12">
        <v>78</v>
      </c>
      <c r="O369" s="12">
        <v>95</v>
      </c>
    </row>
    <row r="370" spans="1:15" x14ac:dyDescent="0.25">
      <c r="A370" s="12">
        <v>988</v>
      </c>
      <c r="B370" s="13">
        <v>40587</v>
      </c>
      <c r="C370" s="12">
        <v>1</v>
      </c>
      <c r="D370" s="12">
        <v>2</v>
      </c>
      <c r="E370" s="12">
        <v>19</v>
      </c>
      <c r="F370" s="12" t="b">
        <v>0</v>
      </c>
      <c r="G370" s="12">
        <v>0</v>
      </c>
      <c r="H370" s="12">
        <v>1</v>
      </c>
      <c r="I370" s="12">
        <v>0.4</v>
      </c>
      <c r="J370" s="12">
        <v>0.40910000000000002</v>
      </c>
      <c r="K370" s="12">
        <v>0.35</v>
      </c>
      <c r="L370" s="12">
        <v>0.28360000000000002</v>
      </c>
      <c r="M370" s="12">
        <v>11</v>
      </c>
      <c r="N370" s="12">
        <v>50</v>
      </c>
      <c r="O370" s="12">
        <v>61</v>
      </c>
    </row>
    <row r="371" spans="1:15" x14ac:dyDescent="0.25">
      <c r="A371" s="12">
        <v>989</v>
      </c>
      <c r="B371" s="13">
        <v>40587</v>
      </c>
      <c r="C371" s="12">
        <v>1</v>
      </c>
      <c r="D371" s="12">
        <v>2</v>
      </c>
      <c r="E371" s="12">
        <v>20</v>
      </c>
      <c r="F371" s="12" t="b">
        <v>0</v>
      </c>
      <c r="G371" s="12">
        <v>0</v>
      </c>
      <c r="H371" s="12">
        <v>1</v>
      </c>
      <c r="I371" s="12">
        <v>0.4</v>
      </c>
      <c r="J371" s="12">
        <v>0.40910000000000002</v>
      </c>
      <c r="K371" s="12">
        <v>0.35</v>
      </c>
      <c r="L371" s="12">
        <v>0.32840000000000003</v>
      </c>
      <c r="M371" s="12">
        <v>15</v>
      </c>
      <c r="N371" s="12">
        <v>32</v>
      </c>
      <c r="O371" s="12">
        <v>47</v>
      </c>
    </row>
    <row r="372" spans="1:15" x14ac:dyDescent="0.25">
      <c r="A372" s="12">
        <v>990</v>
      </c>
      <c r="B372" s="13">
        <v>40587</v>
      </c>
      <c r="C372" s="12">
        <v>1</v>
      </c>
      <c r="D372" s="12">
        <v>2</v>
      </c>
      <c r="E372" s="12">
        <v>21</v>
      </c>
      <c r="F372" s="12" t="b">
        <v>0</v>
      </c>
      <c r="G372" s="12">
        <v>0</v>
      </c>
      <c r="H372" s="12">
        <v>1</v>
      </c>
      <c r="I372" s="12">
        <v>0.4</v>
      </c>
      <c r="J372" s="12">
        <v>0.40910000000000002</v>
      </c>
      <c r="K372" s="12">
        <v>0.35</v>
      </c>
      <c r="L372" s="12">
        <v>0.35820000000000002</v>
      </c>
      <c r="M372" s="12">
        <v>6</v>
      </c>
      <c r="N372" s="12">
        <v>45</v>
      </c>
      <c r="O372" s="12">
        <v>51</v>
      </c>
    </row>
    <row r="373" spans="1:15" x14ac:dyDescent="0.25">
      <c r="A373" s="12">
        <v>991</v>
      </c>
      <c r="B373" s="13">
        <v>40587</v>
      </c>
      <c r="C373" s="12">
        <v>1</v>
      </c>
      <c r="D373" s="12">
        <v>2</v>
      </c>
      <c r="E373" s="12">
        <v>22</v>
      </c>
      <c r="F373" s="12" t="b">
        <v>0</v>
      </c>
      <c r="G373" s="12">
        <v>0</v>
      </c>
      <c r="H373" s="12">
        <v>1</v>
      </c>
      <c r="I373" s="12">
        <v>0.4</v>
      </c>
      <c r="J373" s="12">
        <v>0.40910000000000002</v>
      </c>
      <c r="K373" s="12">
        <v>0.35</v>
      </c>
      <c r="L373" s="12">
        <v>0.29849999999999999</v>
      </c>
      <c r="M373" s="12">
        <v>5</v>
      </c>
      <c r="N373" s="12">
        <v>31</v>
      </c>
      <c r="O373" s="12">
        <v>36</v>
      </c>
    </row>
    <row r="374" spans="1:15" x14ac:dyDescent="0.25">
      <c r="A374" s="12">
        <v>992</v>
      </c>
      <c r="B374" s="13">
        <v>40587</v>
      </c>
      <c r="C374" s="12">
        <v>1</v>
      </c>
      <c r="D374" s="12">
        <v>2</v>
      </c>
      <c r="E374" s="12">
        <v>23</v>
      </c>
      <c r="F374" s="12" t="b">
        <v>0</v>
      </c>
      <c r="G374" s="12">
        <v>0</v>
      </c>
      <c r="H374" s="12">
        <v>1</v>
      </c>
      <c r="I374" s="12">
        <v>0.4</v>
      </c>
      <c r="J374" s="12">
        <v>0.40910000000000002</v>
      </c>
      <c r="K374" s="12">
        <v>0.35</v>
      </c>
      <c r="L374" s="12">
        <v>0.35820000000000002</v>
      </c>
      <c r="M374" s="12">
        <v>3</v>
      </c>
      <c r="N374" s="12">
        <v>27</v>
      </c>
      <c r="O374" s="12">
        <v>30</v>
      </c>
    </row>
    <row r="375" spans="1:15" x14ac:dyDescent="0.25">
      <c r="A375" s="12">
        <v>993</v>
      </c>
      <c r="B375" s="13">
        <v>40588</v>
      </c>
      <c r="C375" s="12">
        <v>1</v>
      </c>
      <c r="D375" s="12">
        <v>2</v>
      </c>
      <c r="E375" s="12">
        <v>0</v>
      </c>
      <c r="F375" s="12" t="b">
        <v>0</v>
      </c>
      <c r="G375" s="12">
        <v>1</v>
      </c>
      <c r="H375" s="12">
        <v>1</v>
      </c>
      <c r="I375" s="12">
        <v>0.38</v>
      </c>
      <c r="J375" s="12">
        <v>0.39389999999999997</v>
      </c>
      <c r="K375" s="12">
        <v>0.37</v>
      </c>
      <c r="L375" s="12">
        <v>0.35820000000000002</v>
      </c>
      <c r="M375" s="12">
        <v>3</v>
      </c>
      <c r="N375" s="12">
        <v>8</v>
      </c>
      <c r="O375" s="12">
        <v>11</v>
      </c>
    </row>
    <row r="376" spans="1:15" x14ac:dyDescent="0.25">
      <c r="A376" s="12">
        <v>994</v>
      </c>
      <c r="B376" s="13">
        <v>40588</v>
      </c>
      <c r="C376" s="12">
        <v>1</v>
      </c>
      <c r="D376" s="12">
        <v>2</v>
      </c>
      <c r="E376" s="12">
        <v>1</v>
      </c>
      <c r="F376" s="12" t="b">
        <v>0</v>
      </c>
      <c r="G376" s="12">
        <v>1</v>
      </c>
      <c r="H376" s="12">
        <v>1</v>
      </c>
      <c r="I376" s="12">
        <v>0.38</v>
      </c>
      <c r="J376" s="12">
        <v>0.39389999999999997</v>
      </c>
      <c r="K376" s="12">
        <v>0.37</v>
      </c>
      <c r="L376" s="12">
        <v>0.35820000000000002</v>
      </c>
      <c r="M376" s="12">
        <v>1</v>
      </c>
      <c r="N376" s="12">
        <v>6</v>
      </c>
      <c r="O376" s="12">
        <v>7</v>
      </c>
    </row>
    <row r="377" spans="1:15" x14ac:dyDescent="0.25">
      <c r="A377" s="12">
        <v>995</v>
      </c>
      <c r="B377" s="13">
        <v>40588</v>
      </c>
      <c r="C377" s="12">
        <v>1</v>
      </c>
      <c r="D377" s="12">
        <v>2</v>
      </c>
      <c r="E377" s="12">
        <v>2</v>
      </c>
      <c r="F377" s="12" t="b">
        <v>0</v>
      </c>
      <c r="G377" s="12">
        <v>1</v>
      </c>
      <c r="H377" s="12">
        <v>1</v>
      </c>
      <c r="I377" s="12">
        <v>0.36</v>
      </c>
      <c r="J377" s="12">
        <v>0.33329999999999999</v>
      </c>
      <c r="K377" s="12">
        <v>0.4</v>
      </c>
      <c r="L377" s="12">
        <v>0.29849999999999999</v>
      </c>
      <c r="M377" s="12">
        <v>0</v>
      </c>
      <c r="N377" s="12">
        <v>2</v>
      </c>
      <c r="O377" s="12">
        <v>2</v>
      </c>
    </row>
    <row r="378" spans="1:15" x14ac:dyDescent="0.25">
      <c r="A378" s="12">
        <v>996</v>
      </c>
      <c r="B378" s="13">
        <v>40588</v>
      </c>
      <c r="C378" s="12">
        <v>1</v>
      </c>
      <c r="D378" s="12">
        <v>2</v>
      </c>
      <c r="E378" s="12">
        <v>3</v>
      </c>
      <c r="F378" s="12" t="b">
        <v>0</v>
      </c>
      <c r="G378" s="12">
        <v>1</v>
      </c>
      <c r="H378" s="12">
        <v>1</v>
      </c>
      <c r="I378" s="12">
        <v>0.34</v>
      </c>
      <c r="J378" s="12">
        <v>0.31819999999999998</v>
      </c>
      <c r="K378" s="12">
        <v>0.46</v>
      </c>
      <c r="L378" s="12">
        <v>0.22389999999999999</v>
      </c>
      <c r="M378" s="12">
        <v>1</v>
      </c>
      <c r="N378" s="12">
        <v>1</v>
      </c>
      <c r="O378" s="12">
        <v>2</v>
      </c>
    </row>
    <row r="379" spans="1:15" x14ac:dyDescent="0.25">
      <c r="A379" s="12">
        <v>997</v>
      </c>
      <c r="B379" s="13">
        <v>40588</v>
      </c>
      <c r="C379" s="12">
        <v>1</v>
      </c>
      <c r="D379" s="12">
        <v>2</v>
      </c>
      <c r="E379" s="12">
        <v>4</v>
      </c>
      <c r="F379" s="12" t="b">
        <v>0</v>
      </c>
      <c r="G379" s="12">
        <v>1</v>
      </c>
      <c r="H379" s="12">
        <v>1</v>
      </c>
      <c r="I379" s="12">
        <v>0.32</v>
      </c>
      <c r="J379" s="12">
        <v>0.30299999999999999</v>
      </c>
      <c r="K379" s="12">
        <v>0.53</v>
      </c>
      <c r="L379" s="12">
        <v>0.28360000000000002</v>
      </c>
      <c r="M379" s="12">
        <v>0</v>
      </c>
      <c r="N379" s="12">
        <v>2</v>
      </c>
      <c r="O379" s="12">
        <v>2</v>
      </c>
    </row>
    <row r="380" spans="1:15" x14ac:dyDescent="0.25">
      <c r="A380" s="12">
        <v>998</v>
      </c>
      <c r="B380" s="13">
        <v>40588</v>
      </c>
      <c r="C380" s="12">
        <v>1</v>
      </c>
      <c r="D380" s="12">
        <v>2</v>
      </c>
      <c r="E380" s="12">
        <v>5</v>
      </c>
      <c r="F380" s="12" t="b">
        <v>0</v>
      </c>
      <c r="G380" s="12">
        <v>1</v>
      </c>
      <c r="H380" s="12">
        <v>1</v>
      </c>
      <c r="I380" s="12">
        <v>0.32</v>
      </c>
      <c r="J380" s="12">
        <v>0.30299999999999999</v>
      </c>
      <c r="K380" s="12">
        <v>0.53</v>
      </c>
      <c r="L380" s="12">
        <v>0.28360000000000002</v>
      </c>
      <c r="M380" s="12">
        <v>0</v>
      </c>
      <c r="N380" s="12">
        <v>3</v>
      </c>
      <c r="O380" s="12">
        <v>3</v>
      </c>
    </row>
    <row r="381" spans="1:15" x14ac:dyDescent="0.25">
      <c r="A381" s="12">
        <v>999</v>
      </c>
      <c r="B381" s="13">
        <v>40588</v>
      </c>
      <c r="C381" s="12">
        <v>1</v>
      </c>
      <c r="D381" s="12">
        <v>2</v>
      </c>
      <c r="E381" s="12">
        <v>6</v>
      </c>
      <c r="F381" s="12" t="b">
        <v>0</v>
      </c>
      <c r="G381" s="12">
        <v>1</v>
      </c>
      <c r="H381" s="12">
        <v>1</v>
      </c>
      <c r="I381" s="12">
        <v>0.34</v>
      </c>
      <c r="J381" s="12">
        <v>0.30299999999999999</v>
      </c>
      <c r="K381" s="12">
        <v>0.46</v>
      </c>
      <c r="L381" s="12">
        <v>0.29849999999999999</v>
      </c>
      <c r="M381" s="12">
        <v>1</v>
      </c>
      <c r="N381" s="12">
        <v>25</v>
      </c>
      <c r="O381" s="12">
        <v>26</v>
      </c>
    </row>
    <row r="382" spans="1:15" x14ac:dyDescent="0.25">
      <c r="A382" s="12">
        <v>1000</v>
      </c>
      <c r="B382" s="13">
        <v>40588</v>
      </c>
      <c r="C382" s="12">
        <v>1</v>
      </c>
      <c r="D382" s="12">
        <v>2</v>
      </c>
      <c r="E382" s="12">
        <v>7</v>
      </c>
      <c r="F382" s="12" t="b">
        <v>0</v>
      </c>
      <c r="G382" s="12">
        <v>1</v>
      </c>
      <c r="H382" s="12">
        <v>1</v>
      </c>
      <c r="I382" s="12">
        <v>0.34</v>
      </c>
      <c r="J382" s="12">
        <v>0.30299999999999999</v>
      </c>
      <c r="K382" s="12">
        <v>0.46</v>
      </c>
      <c r="L382" s="12">
        <v>0.29849999999999999</v>
      </c>
      <c r="M382" s="12">
        <v>2</v>
      </c>
      <c r="N382" s="12">
        <v>96</v>
      </c>
      <c r="O382" s="12">
        <v>98</v>
      </c>
    </row>
    <row r="383" spans="1:15" x14ac:dyDescent="0.25">
      <c r="A383" s="12">
        <v>1001</v>
      </c>
      <c r="B383" s="13">
        <v>40571</v>
      </c>
      <c r="C383" s="12">
        <v>1</v>
      </c>
      <c r="D383" s="12">
        <v>1</v>
      </c>
      <c r="E383" s="12">
        <v>16</v>
      </c>
      <c r="F383" s="12" t="b">
        <v>0</v>
      </c>
      <c r="G383" s="12">
        <v>5</v>
      </c>
      <c r="H383" s="12">
        <v>1</v>
      </c>
      <c r="I383" s="12">
        <v>0.22</v>
      </c>
      <c r="J383" s="12">
        <v>0.2727</v>
      </c>
      <c r="K383" s="12">
        <v>0.8</v>
      </c>
      <c r="L383" s="12">
        <v>0</v>
      </c>
      <c r="M383" s="12">
        <v>10</v>
      </c>
      <c r="N383" s="12">
        <v>70</v>
      </c>
      <c r="O383" s="12">
        <v>80</v>
      </c>
    </row>
    <row r="384" spans="1:15" x14ac:dyDescent="0.25">
      <c r="A384" s="12">
        <v>1002</v>
      </c>
      <c r="B384" s="13">
        <v>40571</v>
      </c>
      <c r="C384" s="12">
        <v>1</v>
      </c>
      <c r="D384" s="12">
        <v>1</v>
      </c>
      <c r="E384" s="12">
        <v>17</v>
      </c>
      <c r="F384" s="12" t="b">
        <v>0</v>
      </c>
      <c r="G384" s="12">
        <v>5</v>
      </c>
      <c r="H384" s="12">
        <v>1</v>
      </c>
      <c r="I384" s="12">
        <v>0.24</v>
      </c>
      <c r="J384" s="12">
        <v>0.2424</v>
      </c>
      <c r="K384" s="12">
        <v>0.75</v>
      </c>
      <c r="L384" s="12">
        <v>0.1343</v>
      </c>
      <c r="M384" s="12">
        <v>2</v>
      </c>
      <c r="N384" s="12">
        <v>147</v>
      </c>
      <c r="O384" s="12">
        <v>149</v>
      </c>
    </row>
    <row r="385" spans="1:15" x14ac:dyDescent="0.25">
      <c r="A385" s="12">
        <v>1003</v>
      </c>
      <c r="B385" s="13">
        <v>40571</v>
      </c>
      <c r="C385" s="12">
        <v>1</v>
      </c>
      <c r="D385" s="12">
        <v>1</v>
      </c>
      <c r="E385" s="12">
        <v>18</v>
      </c>
      <c r="F385" s="12" t="b">
        <v>0</v>
      </c>
      <c r="G385" s="12">
        <v>5</v>
      </c>
      <c r="H385" s="12">
        <v>1</v>
      </c>
      <c r="I385" s="12">
        <v>0.24</v>
      </c>
      <c r="J385" s="12">
        <v>0.2273</v>
      </c>
      <c r="K385" s="12">
        <v>0.75</v>
      </c>
      <c r="L385" s="12">
        <v>0.19400000000000001</v>
      </c>
      <c r="M385" s="12">
        <v>2</v>
      </c>
      <c r="N385" s="12">
        <v>107</v>
      </c>
      <c r="O385" s="12">
        <v>109</v>
      </c>
    </row>
    <row r="386" spans="1:15" x14ac:dyDescent="0.25">
      <c r="A386" s="12">
        <v>1004</v>
      </c>
      <c r="B386" s="13">
        <v>40571</v>
      </c>
      <c r="C386" s="12">
        <v>1</v>
      </c>
      <c r="D386" s="12">
        <v>1</v>
      </c>
      <c r="E386" s="12">
        <v>19</v>
      </c>
      <c r="F386" s="12" t="b">
        <v>0</v>
      </c>
      <c r="G386" s="12">
        <v>5</v>
      </c>
      <c r="H386" s="12">
        <v>2</v>
      </c>
      <c r="I386" s="12">
        <v>0.24</v>
      </c>
      <c r="J386" s="12">
        <v>0.2424</v>
      </c>
      <c r="K386" s="12">
        <v>0.75</v>
      </c>
      <c r="L386" s="12">
        <v>0.1343</v>
      </c>
      <c r="M386" s="12">
        <v>5</v>
      </c>
      <c r="N386" s="12">
        <v>84</v>
      </c>
      <c r="O386" s="12">
        <v>89</v>
      </c>
    </row>
    <row r="387" spans="1:15" x14ac:dyDescent="0.25">
      <c r="A387" s="12">
        <v>1005</v>
      </c>
      <c r="B387" s="13">
        <v>40571</v>
      </c>
      <c r="C387" s="12">
        <v>1</v>
      </c>
      <c r="D387" s="12">
        <v>1</v>
      </c>
      <c r="E387" s="12">
        <v>20</v>
      </c>
      <c r="F387" s="12" t="b">
        <v>0</v>
      </c>
      <c r="G387" s="12">
        <v>5</v>
      </c>
      <c r="H387" s="12">
        <v>2</v>
      </c>
      <c r="I387" s="12">
        <v>0.24</v>
      </c>
      <c r="J387" s="12">
        <v>0.2273</v>
      </c>
      <c r="K387" s="12">
        <v>0.7</v>
      </c>
      <c r="L387" s="12">
        <v>0.19400000000000001</v>
      </c>
      <c r="M387" s="12">
        <v>1</v>
      </c>
      <c r="N387" s="12">
        <v>61</v>
      </c>
      <c r="O387" s="12">
        <v>62</v>
      </c>
    </row>
    <row r="388" spans="1:15" x14ac:dyDescent="0.25">
      <c r="A388" s="12">
        <v>1006</v>
      </c>
      <c r="B388" s="13">
        <v>40571</v>
      </c>
      <c r="C388" s="12">
        <v>1</v>
      </c>
      <c r="D388" s="12">
        <v>1</v>
      </c>
      <c r="E388" s="12">
        <v>21</v>
      </c>
      <c r="F388" s="12" t="b">
        <v>0</v>
      </c>
      <c r="G388" s="12">
        <v>5</v>
      </c>
      <c r="H388" s="12">
        <v>2</v>
      </c>
      <c r="I388" s="12">
        <v>0.22</v>
      </c>
      <c r="J388" s="12">
        <v>0.2273</v>
      </c>
      <c r="K388" s="12">
        <v>0.75</v>
      </c>
      <c r="L388" s="12">
        <v>0.1343</v>
      </c>
      <c r="M388" s="12">
        <v>1</v>
      </c>
      <c r="N388" s="12">
        <v>57</v>
      </c>
      <c r="O388" s="12">
        <v>58</v>
      </c>
    </row>
    <row r="389" spans="1:15" x14ac:dyDescent="0.25">
      <c r="A389" s="12">
        <v>1007</v>
      </c>
      <c r="B389" s="13">
        <v>40571</v>
      </c>
      <c r="C389" s="12">
        <v>1</v>
      </c>
      <c r="D389" s="12">
        <v>1</v>
      </c>
      <c r="E389" s="12">
        <v>22</v>
      </c>
      <c r="F389" s="12" t="b">
        <v>0</v>
      </c>
      <c r="G389" s="12">
        <v>5</v>
      </c>
      <c r="H389" s="12">
        <v>1</v>
      </c>
      <c r="I389" s="12">
        <v>0.24</v>
      </c>
      <c r="J389" s="12">
        <v>0.21210000000000001</v>
      </c>
      <c r="K389" s="12">
        <v>0.65</v>
      </c>
      <c r="L389" s="12">
        <v>0.35820000000000002</v>
      </c>
      <c r="M389" s="12">
        <v>0</v>
      </c>
      <c r="N389" s="12">
        <v>26</v>
      </c>
      <c r="O389" s="12">
        <v>26</v>
      </c>
    </row>
    <row r="390" spans="1:15" x14ac:dyDescent="0.25">
      <c r="A390" s="12">
        <v>1008</v>
      </c>
      <c r="B390" s="13">
        <v>40571</v>
      </c>
      <c r="C390" s="12">
        <v>1</v>
      </c>
      <c r="D390" s="12">
        <v>1</v>
      </c>
      <c r="E390" s="12">
        <v>23</v>
      </c>
      <c r="F390" s="12" t="b">
        <v>0</v>
      </c>
      <c r="G390" s="12">
        <v>5</v>
      </c>
      <c r="H390" s="12">
        <v>1</v>
      </c>
      <c r="I390" s="12">
        <v>0.24</v>
      </c>
      <c r="J390" s="12">
        <v>0.2273</v>
      </c>
      <c r="K390" s="12">
        <v>0.6</v>
      </c>
      <c r="L390" s="12">
        <v>0.22389999999999999</v>
      </c>
      <c r="M390" s="12">
        <v>1</v>
      </c>
      <c r="N390" s="12">
        <v>22</v>
      </c>
      <c r="O390" s="12">
        <v>23</v>
      </c>
    </row>
    <row r="391" spans="1:15" x14ac:dyDescent="0.25">
      <c r="A391" s="12">
        <v>1009</v>
      </c>
      <c r="B391" s="13">
        <v>40572</v>
      </c>
      <c r="C391" s="12">
        <v>1</v>
      </c>
      <c r="D391" s="12">
        <v>1</v>
      </c>
      <c r="E391" s="12">
        <v>0</v>
      </c>
      <c r="F391" s="12" t="b">
        <v>0</v>
      </c>
      <c r="G391" s="12">
        <v>6</v>
      </c>
      <c r="H391" s="12">
        <v>1</v>
      </c>
      <c r="I391" s="12">
        <v>0.22</v>
      </c>
      <c r="J391" s="12">
        <v>0.19700000000000001</v>
      </c>
      <c r="K391" s="12">
        <v>0.64</v>
      </c>
      <c r="L391" s="12">
        <v>0.35820000000000002</v>
      </c>
      <c r="M391" s="12">
        <v>2</v>
      </c>
      <c r="N391" s="12">
        <v>26</v>
      </c>
      <c r="O391" s="12">
        <v>28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0DAFA-1CE6-4F5B-B74F-9FA48391C9F6}">
  <dimension ref="A1:S1612"/>
  <sheetViews>
    <sheetView workbookViewId="0">
      <selection activeCell="T10" sqref="T10"/>
    </sheetView>
  </sheetViews>
  <sheetFormatPr defaultRowHeight="13.2" x14ac:dyDescent="0.25"/>
  <cols>
    <col min="1" max="1" width="10.21875" customWidth="1"/>
    <col min="2" max="2" width="10.77734375" style="19" customWidth="1"/>
    <col min="3" max="3" width="10.5546875" customWidth="1"/>
    <col min="4" max="4" width="8.44140625" customWidth="1"/>
    <col min="5" max="5" width="6.21875" customWidth="1"/>
    <col min="6" max="6" width="10.88671875" customWidth="1"/>
    <col min="7" max="7" width="10.77734375" bestFit="1" customWidth="1"/>
    <col min="8" max="8" width="13.33203125" customWidth="1"/>
    <col min="9" max="9" width="11.21875" customWidth="1"/>
    <col min="10" max="10" width="13.6640625" bestFit="1" customWidth="1"/>
    <col min="11" max="11" width="10.77734375" customWidth="1"/>
    <col min="12" max="12" width="9.88671875" customWidth="1"/>
    <col min="13" max="13" width="12.5546875" bestFit="1" customWidth="1"/>
    <col min="14" max="14" width="8.77734375" bestFit="1" customWidth="1"/>
    <col min="15" max="15" width="12.109375" bestFit="1" customWidth="1"/>
    <col min="16" max="16" width="8.88671875" customWidth="1"/>
    <col min="17" max="17" width="20.88671875" customWidth="1"/>
    <col min="18" max="18" width="12.5546875" style="17" customWidth="1"/>
    <col min="19" max="19" width="16.77734375" style="9" customWidth="1"/>
  </cols>
  <sheetData>
    <row r="1" spans="1:19" x14ac:dyDescent="0.25">
      <c r="A1" t="s">
        <v>0</v>
      </c>
      <c r="B1" s="19" t="s">
        <v>1</v>
      </c>
      <c r="C1" t="s">
        <v>2</v>
      </c>
      <c r="D1" t="s">
        <v>4</v>
      </c>
      <c r="E1" t="s">
        <v>5</v>
      </c>
      <c r="F1" t="s">
        <v>6</v>
      </c>
      <c r="G1" t="s">
        <v>7</v>
      </c>
      <c r="H1" t="s">
        <v>8</v>
      </c>
      <c r="I1" t="s">
        <v>9</v>
      </c>
      <c r="J1" t="s">
        <v>10</v>
      </c>
      <c r="K1" t="s">
        <v>11</v>
      </c>
      <c r="L1" t="s">
        <v>12</v>
      </c>
      <c r="M1" t="s">
        <v>13</v>
      </c>
      <c r="N1" t="s">
        <v>14</v>
      </c>
      <c r="O1" t="s">
        <v>15</v>
      </c>
      <c r="P1" t="s">
        <v>16</v>
      </c>
      <c r="Q1" s="16" t="s">
        <v>22</v>
      </c>
      <c r="R1" s="20" t="s">
        <v>31</v>
      </c>
      <c r="S1" s="21" t="s">
        <v>35</v>
      </c>
    </row>
    <row r="2" spans="1:19" x14ac:dyDescent="0.25">
      <c r="A2">
        <v>1</v>
      </c>
      <c r="B2" s="19">
        <v>40544</v>
      </c>
      <c r="C2">
        <v>1</v>
      </c>
      <c r="D2">
        <v>1</v>
      </c>
      <c r="E2">
        <v>0</v>
      </c>
      <c r="F2" t="b">
        <v>0</v>
      </c>
      <c r="G2">
        <v>6</v>
      </c>
      <c r="H2">
        <v>1</v>
      </c>
      <c r="I2">
        <v>0.24</v>
      </c>
      <c r="J2">
        <v>0</v>
      </c>
      <c r="K2">
        <v>0.28789999999999999</v>
      </c>
      <c r="L2">
        <v>0.81</v>
      </c>
      <c r="M2">
        <v>0</v>
      </c>
      <c r="N2">
        <v>3</v>
      </c>
      <c r="O2">
        <v>13</v>
      </c>
      <c r="P2">
        <v>16</v>
      </c>
      <c r="Q2" s="17" t="str">
        <f>IF(G2&gt;=5,"Weekends","Weekdays")</f>
        <v>Weekends</v>
      </c>
      <c r="R2" s="17" t="str">
        <f t="shared" ref="R2:R65" si="0">IF(E2&lt;12,"Morning",IF(E2&lt;16,"Afternoon",IF(E2&lt;21,"Evening","Night")))</f>
        <v>Morning</v>
      </c>
      <c r="S2" s="9" t="str">
        <f t="shared" ref="S2:S65" si="1">IF(H2=1,"Clear",IF(H2=2,"Mist",IF(H2=3,"Light Snow/Rain","Heavy Rain/Snow")))</f>
        <v>Clear</v>
      </c>
    </row>
    <row r="3" spans="1:19" x14ac:dyDescent="0.25">
      <c r="A3">
        <v>2</v>
      </c>
      <c r="B3" s="19">
        <v>40544</v>
      </c>
      <c r="C3">
        <v>1</v>
      </c>
      <c r="D3">
        <v>1</v>
      </c>
      <c r="E3">
        <v>1</v>
      </c>
      <c r="F3" t="b">
        <v>0</v>
      </c>
      <c r="G3">
        <v>6</v>
      </c>
      <c r="H3">
        <v>1</v>
      </c>
      <c r="I3">
        <v>0.22</v>
      </c>
      <c r="J3">
        <v>0</v>
      </c>
      <c r="K3">
        <v>0.28789999999999999</v>
      </c>
      <c r="L3">
        <v>0.81</v>
      </c>
      <c r="M3">
        <v>0</v>
      </c>
      <c r="N3">
        <v>3</v>
      </c>
      <c r="O3">
        <v>13</v>
      </c>
      <c r="P3">
        <v>16</v>
      </c>
      <c r="Q3" s="17" t="str">
        <f t="shared" ref="Q3:Q66" si="2">IF(G3&gt;=5,"Weekends","Weekdays")</f>
        <v>Weekends</v>
      </c>
      <c r="R3" s="17" t="str">
        <f t="shared" si="0"/>
        <v>Morning</v>
      </c>
      <c r="S3" s="9" t="str">
        <f t="shared" si="1"/>
        <v>Clear</v>
      </c>
    </row>
    <row r="4" spans="1:19" x14ac:dyDescent="0.25">
      <c r="A4">
        <v>3</v>
      </c>
      <c r="B4" s="19">
        <v>40544</v>
      </c>
      <c r="C4">
        <v>1</v>
      </c>
      <c r="D4">
        <v>1</v>
      </c>
      <c r="E4">
        <v>2</v>
      </c>
      <c r="F4" t="b">
        <v>0</v>
      </c>
      <c r="G4">
        <v>6</v>
      </c>
      <c r="H4">
        <v>1</v>
      </c>
      <c r="I4">
        <v>0.22</v>
      </c>
      <c r="J4">
        <v>0</v>
      </c>
      <c r="K4">
        <v>0.28789999999999999</v>
      </c>
      <c r="L4">
        <v>0.81</v>
      </c>
      <c r="M4">
        <v>0</v>
      </c>
      <c r="N4">
        <v>3</v>
      </c>
      <c r="O4">
        <v>13</v>
      </c>
      <c r="P4">
        <v>16</v>
      </c>
      <c r="Q4" s="17" t="str">
        <f t="shared" si="2"/>
        <v>Weekends</v>
      </c>
      <c r="R4" s="17" t="str">
        <f t="shared" si="0"/>
        <v>Morning</v>
      </c>
      <c r="S4" s="9" t="str">
        <f t="shared" si="1"/>
        <v>Clear</v>
      </c>
    </row>
    <row r="5" spans="1:19" x14ac:dyDescent="0.25">
      <c r="A5">
        <v>4</v>
      </c>
      <c r="B5" s="19">
        <v>40544</v>
      </c>
      <c r="C5">
        <v>1</v>
      </c>
      <c r="D5">
        <v>1</v>
      </c>
      <c r="E5">
        <v>3</v>
      </c>
      <c r="F5" t="b">
        <v>0</v>
      </c>
      <c r="G5">
        <v>6</v>
      </c>
      <c r="H5">
        <v>1</v>
      </c>
      <c r="I5">
        <v>0.24</v>
      </c>
      <c r="J5">
        <v>0</v>
      </c>
      <c r="K5">
        <v>0.28789999999999999</v>
      </c>
      <c r="L5">
        <v>0.81</v>
      </c>
      <c r="M5">
        <v>0</v>
      </c>
      <c r="N5">
        <v>3</v>
      </c>
      <c r="O5">
        <v>13</v>
      </c>
      <c r="P5">
        <v>16</v>
      </c>
      <c r="Q5" s="17" t="str">
        <f t="shared" si="2"/>
        <v>Weekends</v>
      </c>
      <c r="R5" s="17" t="str">
        <f t="shared" si="0"/>
        <v>Morning</v>
      </c>
      <c r="S5" s="9" t="str">
        <f t="shared" si="1"/>
        <v>Clear</v>
      </c>
    </row>
    <row r="6" spans="1:19" x14ac:dyDescent="0.25">
      <c r="A6">
        <v>5</v>
      </c>
      <c r="B6" s="19">
        <v>40544</v>
      </c>
      <c r="C6">
        <v>1</v>
      </c>
      <c r="D6">
        <v>1</v>
      </c>
      <c r="E6">
        <v>4</v>
      </c>
      <c r="F6" t="b">
        <v>0</v>
      </c>
      <c r="G6">
        <v>6</v>
      </c>
      <c r="H6">
        <v>1</v>
      </c>
      <c r="I6">
        <v>0.24</v>
      </c>
      <c r="J6">
        <v>0</v>
      </c>
      <c r="K6">
        <v>0.28789999999999999</v>
      </c>
      <c r="L6">
        <v>0.81</v>
      </c>
      <c r="M6">
        <v>0</v>
      </c>
      <c r="N6">
        <v>3</v>
      </c>
      <c r="O6">
        <v>13</v>
      </c>
      <c r="P6">
        <v>16</v>
      </c>
      <c r="Q6" s="17" t="str">
        <f t="shared" si="2"/>
        <v>Weekends</v>
      </c>
      <c r="R6" s="17" t="str">
        <f t="shared" si="0"/>
        <v>Morning</v>
      </c>
      <c r="S6" s="9" t="str">
        <f t="shared" si="1"/>
        <v>Clear</v>
      </c>
    </row>
    <row r="7" spans="1:19" x14ac:dyDescent="0.25">
      <c r="A7">
        <v>6</v>
      </c>
      <c r="B7" s="19">
        <v>40544</v>
      </c>
      <c r="C7">
        <v>1</v>
      </c>
      <c r="D7">
        <v>1</v>
      </c>
      <c r="E7">
        <v>5</v>
      </c>
      <c r="F7" t="b">
        <v>0</v>
      </c>
      <c r="G7">
        <v>6</v>
      </c>
      <c r="H7">
        <v>2</v>
      </c>
      <c r="I7">
        <v>0.24</v>
      </c>
      <c r="J7">
        <v>0</v>
      </c>
      <c r="K7">
        <v>0.28789999999999999</v>
      </c>
      <c r="L7">
        <v>0.81</v>
      </c>
      <c r="M7">
        <v>0</v>
      </c>
      <c r="N7">
        <v>3</v>
      </c>
      <c r="O7">
        <v>13</v>
      </c>
      <c r="P7">
        <v>16</v>
      </c>
      <c r="Q7" s="17" t="str">
        <f t="shared" si="2"/>
        <v>Weekends</v>
      </c>
      <c r="R7" s="17" t="str">
        <f t="shared" si="0"/>
        <v>Morning</v>
      </c>
      <c r="S7" s="9" t="str">
        <f t="shared" si="1"/>
        <v>Mist</v>
      </c>
    </row>
    <row r="8" spans="1:19" x14ac:dyDescent="0.25">
      <c r="A8">
        <v>7</v>
      </c>
      <c r="B8" s="19">
        <v>40544</v>
      </c>
      <c r="C8">
        <v>1</v>
      </c>
      <c r="D8">
        <v>1</v>
      </c>
      <c r="E8">
        <v>6</v>
      </c>
      <c r="F8" t="b">
        <v>0</v>
      </c>
      <c r="G8">
        <v>6</v>
      </c>
      <c r="H8">
        <v>1</v>
      </c>
      <c r="I8">
        <v>0.22</v>
      </c>
      <c r="J8">
        <v>0</v>
      </c>
      <c r="K8">
        <v>0.28789999999999999</v>
      </c>
      <c r="L8">
        <v>0.81</v>
      </c>
      <c r="M8">
        <v>0</v>
      </c>
      <c r="N8">
        <v>3</v>
      </c>
      <c r="O8">
        <v>13</v>
      </c>
      <c r="P8">
        <v>16</v>
      </c>
      <c r="Q8" s="17" t="str">
        <f t="shared" si="2"/>
        <v>Weekends</v>
      </c>
      <c r="R8" s="17" t="str">
        <f t="shared" si="0"/>
        <v>Morning</v>
      </c>
      <c r="S8" s="9" t="str">
        <f t="shared" si="1"/>
        <v>Clear</v>
      </c>
    </row>
    <row r="9" spans="1:19" x14ac:dyDescent="0.25">
      <c r="A9">
        <v>8</v>
      </c>
      <c r="B9" s="19">
        <v>40544</v>
      </c>
      <c r="C9">
        <v>1</v>
      </c>
      <c r="D9">
        <v>1</v>
      </c>
      <c r="E9">
        <v>7</v>
      </c>
      <c r="F9" t="b">
        <v>0</v>
      </c>
      <c r="G9">
        <v>6</v>
      </c>
      <c r="H9">
        <v>1</v>
      </c>
      <c r="I9">
        <v>0.2</v>
      </c>
      <c r="J9">
        <v>0</v>
      </c>
      <c r="K9">
        <v>0.28789999999999999</v>
      </c>
      <c r="L9">
        <v>0.81</v>
      </c>
      <c r="M9">
        <v>0</v>
      </c>
      <c r="N9">
        <v>3</v>
      </c>
      <c r="O9">
        <v>13</v>
      </c>
      <c r="P9">
        <v>16</v>
      </c>
      <c r="Q9" s="17" t="str">
        <f t="shared" si="2"/>
        <v>Weekends</v>
      </c>
      <c r="R9" s="17" t="str">
        <f t="shared" si="0"/>
        <v>Morning</v>
      </c>
      <c r="S9" s="9" t="str">
        <f t="shared" si="1"/>
        <v>Clear</v>
      </c>
    </row>
    <row r="10" spans="1:19" x14ac:dyDescent="0.25">
      <c r="A10">
        <v>9</v>
      </c>
      <c r="B10" s="19">
        <v>40544</v>
      </c>
      <c r="C10">
        <v>1</v>
      </c>
      <c r="D10">
        <v>1</v>
      </c>
      <c r="E10">
        <v>8</v>
      </c>
      <c r="F10" t="b">
        <v>0</v>
      </c>
      <c r="G10">
        <v>6</v>
      </c>
      <c r="H10">
        <v>1</v>
      </c>
      <c r="I10">
        <v>0.24</v>
      </c>
      <c r="J10">
        <v>0</v>
      </c>
      <c r="K10">
        <v>0.28789999999999999</v>
      </c>
      <c r="L10">
        <v>0.81</v>
      </c>
      <c r="M10">
        <v>0</v>
      </c>
      <c r="N10">
        <v>3</v>
      </c>
      <c r="O10">
        <v>13</v>
      </c>
      <c r="P10">
        <v>16</v>
      </c>
      <c r="Q10" s="17" t="str">
        <f t="shared" si="2"/>
        <v>Weekends</v>
      </c>
      <c r="R10" s="17" t="str">
        <f t="shared" si="0"/>
        <v>Morning</v>
      </c>
      <c r="S10" s="9" t="str">
        <f t="shared" si="1"/>
        <v>Clear</v>
      </c>
    </row>
    <row r="11" spans="1:19" x14ac:dyDescent="0.25">
      <c r="A11">
        <v>10</v>
      </c>
      <c r="B11" s="19">
        <v>40544</v>
      </c>
      <c r="C11">
        <v>1</v>
      </c>
      <c r="D11">
        <v>1</v>
      </c>
      <c r="E11">
        <v>9</v>
      </c>
      <c r="F11" t="b">
        <v>0</v>
      </c>
      <c r="G11">
        <v>6</v>
      </c>
      <c r="H11">
        <v>1</v>
      </c>
      <c r="I11">
        <v>0.32</v>
      </c>
      <c r="J11">
        <v>0</v>
      </c>
      <c r="K11">
        <v>0.28789999999999999</v>
      </c>
      <c r="L11">
        <v>0.81</v>
      </c>
      <c r="M11">
        <v>0</v>
      </c>
      <c r="N11">
        <v>3</v>
      </c>
      <c r="O11">
        <v>13</v>
      </c>
      <c r="P11">
        <v>16</v>
      </c>
      <c r="Q11" s="17" t="str">
        <f t="shared" si="2"/>
        <v>Weekends</v>
      </c>
      <c r="R11" s="17" t="str">
        <f t="shared" si="0"/>
        <v>Morning</v>
      </c>
      <c r="S11" s="9" t="str">
        <f t="shared" si="1"/>
        <v>Clear</v>
      </c>
    </row>
    <row r="12" spans="1:19" x14ac:dyDescent="0.25">
      <c r="A12">
        <v>11</v>
      </c>
      <c r="B12" s="19">
        <v>40544</v>
      </c>
      <c r="C12">
        <v>1</v>
      </c>
      <c r="D12">
        <v>1</v>
      </c>
      <c r="E12">
        <v>10</v>
      </c>
      <c r="F12" t="b">
        <v>0</v>
      </c>
      <c r="G12">
        <v>6</v>
      </c>
      <c r="H12">
        <v>1</v>
      </c>
      <c r="I12">
        <v>0.38</v>
      </c>
      <c r="J12">
        <v>0</v>
      </c>
      <c r="K12">
        <v>0.28789999999999999</v>
      </c>
      <c r="L12">
        <v>0.81</v>
      </c>
      <c r="M12">
        <v>0</v>
      </c>
      <c r="N12">
        <v>3</v>
      </c>
      <c r="O12">
        <v>13</v>
      </c>
      <c r="P12">
        <v>16</v>
      </c>
      <c r="Q12" s="17" t="str">
        <f t="shared" si="2"/>
        <v>Weekends</v>
      </c>
      <c r="R12" s="17" t="str">
        <f t="shared" si="0"/>
        <v>Morning</v>
      </c>
      <c r="S12" s="9" t="str">
        <f t="shared" si="1"/>
        <v>Clear</v>
      </c>
    </row>
    <row r="13" spans="1:19" x14ac:dyDescent="0.25">
      <c r="A13">
        <v>12</v>
      </c>
      <c r="B13" s="19">
        <v>40544</v>
      </c>
      <c r="C13">
        <v>1</v>
      </c>
      <c r="D13">
        <v>1</v>
      </c>
      <c r="E13">
        <v>11</v>
      </c>
      <c r="F13" t="b">
        <v>0</v>
      </c>
      <c r="G13">
        <v>6</v>
      </c>
      <c r="H13">
        <v>1</v>
      </c>
      <c r="I13">
        <v>0.36</v>
      </c>
      <c r="J13">
        <v>0</v>
      </c>
      <c r="K13">
        <v>0.28789999999999999</v>
      </c>
      <c r="L13">
        <v>0.81</v>
      </c>
      <c r="M13">
        <v>0</v>
      </c>
      <c r="N13">
        <v>3</v>
      </c>
      <c r="O13">
        <v>13</v>
      </c>
      <c r="P13">
        <v>16</v>
      </c>
      <c r="Q13" s="17" t="str">
        <f t="shared" si="2"/>
        <v>Weekends</v>
      </c>
      <c r="R13" s="17" t="str">
        <f t="shared" si="0"/>
        <v>Morning</v>
      </c>
      <c r="S13" s="9" t="str">
        <f t="shared" si="1"/>
        <v>Clear</v>
      </c>
    </row>
    <row r="14" spans="1:19" x14ac:dyDescent="0.25">
      <c r="A14">
        <v>13</v>
      </c>
      <c r="B14" s="19">
        <v>40544</v>
      </c>
      <c r="C14">
        <v>1</v>
      </c>
      <c r="D14">
        <v>1</v>
      </c>
      <c r="E14">
        <v>12</v>
      </c>
      <c r="F14" t="b">
        <v>0</v>
      </c>
      <c r="G14">
        <v>6</v>
      </c>
      <c r="H14">
        <v>1</v>
      </c>
      <c r="I14">
        <v>0.42</v>
      </c>
      <c r="J14">
        <v>0</v>
      </c>
      <c r="K14">
        <v>0.28789999999999999</v>
      </c>
      <c r="L14">
        <v>0.81</v>
      </c>
      <c r="M14">
        <v>0</v>
      </c>
      <c r="N14">
        <v>3</v>
      </c>
      <c r="O14">
        <v>13</v>
      </c>
      <c r="P14">
        <v>16</v>
      </c>
      <c r="Q14" s="17" t="str">
        <f t="shared" si="2"/>
        <v>Weekends</v>
      </c>
      <c r="R14" s="17" t="str">
        <f t="shared" si="0"/>
        <v>Afternoon</v>
      </c>
      <c r="S14" s="9" t="str">
        <f t="shared" si="1"/>
        <v>Clear</v>
      </c>
    </row>
    <row r="15" spans="1:19" x14ac:dyDescent="0.25">
      <c r="A15">
        <v>14</v>
      </c>
      <c r="B15" s="19">
        <v>40544</v>
      </c>
      <c r="C15">
        <v>1</v>
      </c>
      <c r="D15">
        <v>1</v>
      </c>
      <c r="E15">
        <v>13</v>
      </c>
      <c r="F15" t="b">
        <v>0</v>
      </c>
      <c r="G15">
        <v>6</v>
      </c>
      <c r="H15">
        <v>2</v>
      </c>
      <c r="I15">
        <v>0.46</v>
      </c>
      <c r="J15">
        <v>0</v>
      </c>
      <c r="K15">
        <v>0.28789999999999999</v>
      </c>
      <c r="L15">
        <v>0.81</v>
      </c>
      <c r="M15">
        <v>0</v>
      </c>
      <c r="N15">
        <v>3</v>
      </c>
      <c r="O15">
        <v>13</v>
      </c>
      <c r="P15">
        <v>16</v>
      </c>
      <c r="Q15" s="17" t="str">
        <f t="shared" si="2"/>
        <v>Weekends</v>
      </c>
      <c r="R15" s="17" t="str">
        <f t="shared" si="0"/>
        <v>Afternoon</v>
      </c>
      <c r="S15" s="9" t="str">
        <f t="shared" si="1"/>
        <v>Mist</v>
      </c>
    </row>
    <row r="16" spans="1:19" x14ac:dyDescent="0.25">
      <c r="A16">
        <v>15</v>
      </c>
      <c r="B16" s="19">
        <v>40544</v>
      </c>
      <c r="C16">
        <v>1</v>
      </c>
      <c r="D16">
        <v>1</v>
      </c>
      <c r="E16">
        <v>14</v>
      </c>
      <c r="F16" t="b">
        <v>0</v>
      </c>
      <c r="G16">
        <v>6</v>
      </c>
      <c r="H16">
        <v>2</v>
      </c>
      <c r="I16">
        <v>0.46</v>
      </c>
      <c r="J16">
        <v>0</v>
      </c>
      <c r="K16">
        <v>0.28789999999999999</v>
      </c>
      <c r="L16">
        <v>0.81</v>
      </c>
      <c r="M16">
        <v>0</v>
      </c>
      <c r="N16">
        <v>3</v>
      </c>
      <c r="O16">
        <v>13</v>
      </c>
      <c r="P16">
        <v>16</v>
      </c>
      <c r="Q16" s="17" t="str">
        <f t="shared" si="2"/>
        <v>Weekends</v>
      </c>
      <c r="R16" s="17" t="str">
        <f t="shared" si="0"/>
        <v>Afternoon</v>
      </c>
      <c r="S16" s="9" t="str">
        <f t="shared" si="1"/>
        <v>Mist</v>
      </c>
    </row>
    <row r="17" spans="1:19" x14ac:dyDescent="0.25">
      <c r="A17">
        <v>16</v>
      </c>
      <c r="B17" s="19">
        <v>40544</v>
      </c>
      <c r="C17">
        <v>1</v>
      </c>
      <c r="D17">
        <v>1</v>
      </c>
      <c r="E17">
        <v>15</v>
      </c>
      <c r="F17" t="b">
        <v>0</v>
      </c>
      <c r="G17">
        <v>6</v>
      </c>
      <c r="H17">
        <v>2</v>
      </c>
      <c r="I17">
        <v>0.44</v>
      </c>
      <c r="J17">
        <v>0</v>
      </c>
      <c r="K17">
        <v>0.28789999999999999</v>
      </c>
      <c r="L17">
        <v>0.81</v>
      </c>
      <c r="M17">
        <v>0</v>
      </c>
      <c r="N17">
        <v>3</v>
      </c>
      <c r="O17">
        <v>13</v>
      </c>
      <c r="P17">
        <v>16</v>
      </c>
      <c r="Q17" s="17" t="str">
        <f t="shared" si="2"/>
        <v>Weekends</v>
      </c>
      <c r="R17" s="17" t="str">
        <f t="shared" si="0"/>
        <v>Afternoon</v>
      </c>
      <c r="S17" s="9" t="str">
        <f t="shared" si="1"/>
        <v>Mist</v>
      </c>
    </row>
    <row r="18" spans="1:19" x14ac:dyDescent="0.25">
      <c r="A18">
        <v>17</v>
      </c>
      <c r="B18" s="19">
        <v>40544</v>
      </c>
      <c r="C18">
        <v>1</v>
      </c>
      <c r="D18">
        <v>1</v>
      </c>
      <c r="E18">
        <v>16</v>
      </c>
      <c r="F18" t="b">
        <v>0</v>
      </c>
      <c r="G18">
        <v>6</v>
      </c>
      <c r="H18">
        <v>2</v>
      </c>
      <c r="I18">
        <v>0.42</v>
      </c>
      <c r="J18">
        <v>0</v>
      </c>
      <c r="K18">
        <v>0.28789999999999999</v>
      </c>
      <c r="L18">
        <v>0.81</v>
      </c>
      <c r="M18">
        <v>0</v>
      </c>
      <c r="N18">
        <v>3</v>
      </c>
      <c r="O18">
        <v>13</v>
      </c>
      <c r="P18">
        <v>16</v>
      </c>
      <c r="Q18" s="17" t="str">
        <f t="shared" si="2"/>
        <v>Weekends</v>
      </c>
      <c r="R18" s="17" t="str">
        <f t="shared" si="0"/>
        <v>Evening</v>
      </c>
      <c r="S18" s="9" t="str">
        <f t="shared" si="1"/>
        <v>Mist</v>
      </c>
    </row>
    <row r="19" spans="1:19" x14ac:dyDescent="0.25">
      <c r="A19">
        <v>18</v>
      </c>
      <c r="B19" s="19">
        <v>40544</v>
      </c>
      <c r="C19">
        <v>1</v>
      </c>
      <c r="D19">
        <v>1</v>
      </c>
      <c r="E19">
        <v>17</v>
      </c>
      <c r="F19" t="b">
        <v>0</v>
      </c>
      <c r="G19">
        <v>6</v>
      </c>
      <c r="H19">
        <v>2</v>
      </c>
      <c r="I19">
        <v>0.44</v>
      </c>
      <c r="J19">
        <v>0</v>
      </c>
      <c r="K19">
        <v>0.28789999999999999</v>
      </c>
      <c r="L19">
        <v>0.81</v>
      </c>
      <c r="M19">
        <v>0</v>
      </c>
      <c r="N19">
        <v>3</v>
      </c>
      <c r="O19">
        <v>13</v>
      </c>
      <c r="P19">
        <v>16</v>
      </c>
      <c r="Q19" s="17" t="str">
        <f t="shared" si="2"/>
        <v>Weekends</v>
      </c>
      <c r="R19" s="17" t="str">
        <f t="shared" si="0"/>
        <v>Evening</v>
      </c>
      <c r="S19" s="9" t="str">
        <f t="shared" si="1"/>
        <v>Mist</v>
      </c>
    </row>
    <row r="20" spans="1:19" x14ac:dyDescent="0.25">
      <c r="A20">
        <v>19</v>
      </c>
      <c r="B20" s="19">
        <v>40544</v>
      </c>
      <c r="C20">
        <v>1</v>
      </c>
      <c r="D20">
        <v>1</v>
      </c>
      <c r="E20">
        <v>18</v>
      </c>
      <c r="F20" t="b">
        <v>0</v>
      </c>
      <c r="G20">
        <v>6</v>
      </c>
      <c r="H20">
        <v>3</v>
      </c>
      <c r="I20">
        <v>0.42</v>
      </c>
      <c r="J20">
        <v>0</v>
      </c>
      <c r="K20">
        <v>0.28789999999999999</v>
      </c>
      <c r="L20">
        <v>0.81</v>
      </c>
      <c r="M20">
        <v>0</v>
      </c>
      <c r="N20">
        <v>3</v>
      </c>
      <c r="O20">
        <v>13</v>
      </c>
      <c r="P20">
        <v>16</v>
      </c>
      <c r="Q20" s="17" t="str">
        <f t="shared" si="2"/>
        <v>Weekends</v>
      </c>
      <c r="R20" s="17" t="str">
        <f t="shared" si="0"/>
        <v>Evening</v>
      </c>
      <c r="S20" s="9" t="str">
        <f t="shared" si="1"/>
        <v>Light Snow/Rain</v>
      </c>
    </row>
    <row r="21" spans="1:19" x14ac:dyDescent="0.25">
      <c r="A21">
        <v>20</v>
      </c>
      <c r="B21" s="19">
        <v>40544</v>
      </c>
      <c r="C21">
        <v>1</v>
      </c>
      <c r="D21">
        <v>1</v>
      </c>
      <c r="E21">
        <v>19</v>
      </c>
      <c r="F21" t="b">
        <v>0</v>
      </c>
      <c r="G21">
        <v>6</v>
      </c>
      <c r="H21">
        <v>3</v>
      </c>
      <c r="I21">
        <v>0.42</v>
      </c>
      <c r="J21">
        <v>0</v>
      </c>
      <c r="K21">
        <v>0.28789999999999999</v>
      </c>
      <c r="L21">
        <v>0.81</v>
      </c>
      <c r="M21">
        <v>0</v>
      </c>
      <c r="N21">
        <v>3</v>
      </c>
      <c r="O21">
        <v>13</v>
      </c>
      <c r="P21">
        <v>16</v>
      </c>
      <c r="Q21" s="17" t="str">
        <f t="shared" si="2"/>
        <v>Weekends</v>
      </c>
      <c r="R21" s="17" t="str">
        <f t="shared" si="0"/>
        <v>Evening</v>
      </c>
      <c r="S21" s="9" t="str">
        <f t="shared" si="1"/>
        <v>Light Snow/Rain</v>
      </c>
    </row>
    <row r="22" spans="1:19" x14ac:dyDescent="0.25">
      <c r="A22">
        <v>21</v>
      </c>
      <c r="B22" s="19">
        <v>40544</v>
      </c>
      <c r="C22">
        <v>1</v>
      </c>
      <c r="D22">
        <v>1</v>
      </c>
      <c r="E22">
        <v>20</v>
      </c>
      <c r="F22" t="b">
        <v>0</v>
      </c>
      <c r="G22">
        <v>6</v>
      </c>
      <c r="H22">
        <v>2</v>
      </c>
      <c r="I22">
        <v>0.4</v>
      </c>
      <c r="J22">
        <v>0</v>
      </c>
      <c r="K22">
        <v>0.28789999999999999</v>
      </c>
      <c r="L22">
        <v>0.81</v>
      </c>
      <c r="M22">
        <v>0</v>
      </c>
      <c r="N22">
        <v>3</v>
      </c>
      <c r="O22">
        <v>13</v>
      </c>
      <c r="P22">
        <v>16</v>
      </c>
      <c r="Q22" s="17" t="str">
        <f t="shared" si="2"/>
        <v>Weekends</v>
      </c>
      <c r="R22" s="17" t="str">
        <f t="shared" si="0"/>
        <v>Evening</v>
      </c>
      <c r="S22" s="9" t="str">
        <f t="shared" si="1"/>
        <v>Mist</v>
      </c>
    </row>
    <row r="23" spans="1:19" x14ac:dyDescent="0.25">
      <c r="A23">
        <v>22</v>
      </c>
      <c r="B23" s="19">
        <v>40544</v>
      </c>
      <c r="C23">
        <v>1</v>
      </c>
      <c r="D23">
        <v>1</v>
      </c>
      <c r="E23">
        <v>21</v>
      </c>
      <c r="F23" t="b">
        <v>0</v>
      </c>
      <c r="G23">
        <v>6</v>
      </c>
      <c r="H23">
        <v>2</v>
      </c>
      <c r="I23">
        <v>0.4</v>
      </c>
      <c r="J23">
        <v>0</v>
      </c>
      <c r="K23">
        <v>0.28789999999999999</v>
      </c>
      <c r="L23">
        <v>0.81</v>
      </c>
      <c r="M23">
        <v>0</v>
      </c>
      <c r="N23">
        <v>3</v>
      </c>
      <c r="O23">
        <v>13</v>
      </c>
      <c r="P23">
        <v>16</v>
      </c>
      <c r="Q23" s="17" t="str">
        <f t="shared" si="2"/>
        <v>Weekends</v>
      </c>
      <c r="R23" s="17" t="str">
        <f t="shared" si="0"/>
        <v>Night</v>
      </c>
      <c r="S23" s="9" t="str">
        <f t="shared" si="1"/>
        <v>Mist</v>
      </c>
    </row>
    <row r="24" spans="1:19" x14ac:dyDescent="0.25">
      <c r="A24">
        <v>23</v>
      </c>
      <c r="B24" s="19">
        <v>40544</v>
      </c>
      <c r="C24">
        <v>1</v>
      </c>
      <c r="D24">
        <v>1</v>
      </c>
      <c r="E24">
        <v>22</v>
      </c>
      <c r="F24" t="b">
        <v>0</v>
      </c>
      <c r="G24">
        <v>6</v>
      </c>
      <c r="H24">
        <v>2</v>
      </c>
      <c r="I24">
        <v>0.4</v>
      </c>
      <c r="J24">
        <v>0</v>
      </c>
      <c r="K24">
        <v>0.28789999999999999</v>
      </c>
      <c r="L24">
        <v>0.81</v>
      </c>
      <c r="M24">
        <v>0</v>
      </c>
      <c r="N24">
        <v>3</v>
      </c>
      <c r="O24">
        <v>13</v>
      </c>
      <c r="P24">
        <v>16</v>
      </c>
      <c r="Q24" s="17" t="str">
        <f t="shared" si="2"/>
        <v>Weekends</v>
      </c>
      <c r="R24" s="17" t="str">
        <f t="shared" si="0"/>
        <v>Night</v>
      </c>
      <c r="S24" s="9" t="str">
        <f t="shared" si="1"/>
        <v>Mist</v>
      </c>
    </row>
    <row r="25" spans="1:19" x14ac:dyDescent="0.25">
      <c r="A25">
        <v>24</v>
      </c>
      <c r="B25" s="19">
        <v>40544</v>
      </c>
      <c r="C25">
        <v>1</v>
      </c>
      <c r="D25">
        <v>1</v>
      </c>
      <c r="E25">
        <v>23</v>
      </c>
      <c r="F25" t="b">
        <v>0</v>
      </c>
      <c r="G25">
        <v>6</v>
      </c>
      <c r="H25">
        <v>2</v>
      </c>
      <c r="I25">
        <v>0.46</v>
      </c>
      <c r="J25">
        <v>0</v>
      </c>
      <c r="K25">
        <v>0.28789999999999999</v>
      </c>
      <c r="L25">
        <v>0.81</v>
      </c>
      <c r="M25">
        <v>0</v>
      </c>
      <c r="N25">
        <v>3</v>
      </c>
      <c r="O25">
        <v>13</v>
      </c>
      <c r="P25">
        <v>16</v>
      </c>
      <c r="Q25" s="17" t="str">
        <f t="shared" si="2"/>
        <v>Weekends</v>
      </c>
      <c r="R25" s="17" t="str">
        <f t="shared" si="0"/>
        <v>Night</v>
      </c>
      <c r="S25" s="9" t="str">
        <f t="shared" si="1"/>
        <v>Mist</v>
      </c>
    </row>
    <row r="26" spans="1:19" x14ac:dyDescent="0.25">
      <c r="A26">
        <v>25</v>
      </c>
      <c r="B26" s="19">
        <v>40545</v>
      </c>
      <c r="C26">
        <v>1</v>
      </c>
      <c r="D26">
        <v>1</v>
      </c>
      <c r="E26">
        <v>0</v>
      </c>
      <c r="F26" t="b">
        <v>0</v>
      </c>
      <c r="G26">
        <v>0</v>
      </c>
      <c r="H26">
        <v>2</v>
      </c>
      <c r="I26">
        <v>0.46</v>
      </c>
      <c r="J26">
        <v>0</v>
      </c>
      <c r="K26">
        <v>0.28789999999999999</v>
      </c>
      <c r="L26">
        <v>0.81</v>
      </c>
      <c r="M26">
        <v>0</v>
      </c>
      <c r="N26">
        <v>3</v>
      </c>
      <c r="O26">
        <v>13</v>
      </c>
      <c r="P26">
        <v>16</v>
      </c>
      <c r="Q26" s="17" t="str">
        <f t="shared" si="2"/>
        <v>Weekdays</v>
      </c>
      <c r="R26" s="17" t="str">
        <f t="shared" si="0"/>
        <v>Morning</v>
      </c>
      <c r="S26" s="9" t="str">
        <f t="shared" si="1"/>
        <v>Mist</v>
      </c>
    </row>
    <row r="27" spans="1:19" x14ac:dyDescent="0.25">
      <c r="A27">
        <v>26</v>
      </c>
      <c r="B27" s="19">
        <v>40545</v>
      </c>
      <c r="C27">
        <v>1</v>
      </c>
      <c r="D27">
        <v>1</v>
      </c>
      <c r="E27">
        <v>1</v>
      </c>
      <c r="F27" t="b">
        <v>0</v>
      </c>
      <c r="G27">
        <v>0</v>
      </c>
      <c r="H27">
        <v>2</v>
      </c>
      <c r="I27">
        <v>0.44</v>
      </c>
      <c r="J27">
        <v>0</v>
      </c>
      <c r="K27">
        <v>0.28789999999999999</v>
      </c>
      <c r="L27">
        <v>0.81</v>
      </c>
      <c r="M27">
        <v>0</v>
      </c>
      <c r="N27">
        <v>3</v>
      </c>
      <c r="O27">
        <v>13</v>
      </c>
      <c r="P27">
        <v>16</v>
      </c>
      <c r="Q27" s="17" t="str">
        <f t="shared" si="2"/>
        <v>Weekdays</v>
      </c>
      <c r="R27" s="17" t="str">
        <f t="shared" si="0"/>
        <v>Morning</v>
      </c>
      <c r="S27" s="9" t="str">
        <f t="shared" si="1"/>
        <v>Mist</v>
      </c>
    </row>
    <row r="28" spans="1:19" x14ac:dyDescent="0.25">
      <c r="A28">
        <v>27</v>
      </c>
      <c r="B28" s="19">
        <v>40545</v>
      </c>
      <c r="C28">
        <v>1</v>
      </c>
      <c r="D28">
        <v>1</v>
      </c>
      <c r="E28">
        <v>2</v>
      </c>
      <c r="F28" t="b">
        <v>0</v>
      </c>
      <c r="G28">
        <v>0</v>
      </c>
      <c r="H28">
        <v>2</v>
      </c>
      <c r="I28">
        <v>0.42</v>
      </c>
      <c r="J28">
        <v>0</v>
      </c>
      <c r="K28">
        <v>0.28789999999999999</v>
      </c>
      <c r="L28">
        <v>0.81</v>
      </c>
      <c r="M28">
        <v>0</v>
      </c>
      <c r="N28">
        <v>3</v>
      </c>
      <c r="O28">
        <v>13</v>
      </c>
      <c r="P28">
        <v>16</v>
      </c>
      <c r="Q28" s="17" t="str">
        <f t="shared" si="2"/>
        <v>Weekdays</v>
      </c>
      <c r="R28" s="17" t="str">
        <f t="shared" si="0"/>
        <v>Morning</v>
      </c>
      <c r="S28" s="9" t="str">
        <f t="shared" si="1"/>
        <v>Mist</v>
      </c>
    </row>
    <row r="29" spans="1:19" x14ac:dyDescent="0.25">
      <c r="A29">
        <v>28</v>
      </c>
      <c r="B29" s="19">
        <v>40545</v>
      </c>
      <c r="C29">
        <v>1</v>
      </c>
      <c r="D29">
        <v>1</v>
      </c>
      <c r="E29">
        <v>3</v>
      </c>
      <c r="F29" t="b">
        <v>0</v>
      </c>
      <c r="G29">
        <v>0</v>
      </c>
      <c r="H29">
        <v>2</v>
      </c>
      <c r="I29">
        <v>0.46</v>
      </c>
      <c r="J29">
        <v>0</v>
      </c>
      <c r="K29">
        <v>0.28789999999999999</v>
      </c>
      <c r="L29">
        <v>0.81</v>
      </c>
      <c r="M29">
        <v>0</v>
      </c>
      <c r="N29">
        <v>3</v>
      </c>
      <c r="O29">
        <v>13</v>
      </c>
      <c r="P29">
        <v>16</v>
      </c>
      <c r="Q29" s="17" t="str">
        <f t="shared" si="2"/>
        <v>Weekdays</v>
      </c>
      <c r="R29" s="17" t="str">
        <f t="shared" si="0"/>
        <v>Morning</v>
      </c>
      <c r="S29" s="9" t="str">
        <f t="shared" si="1"/>
        <v>Mist</v>
      </c>
    </row>
    <row r="30" spans="1:19" x14ac:dyDescent="0.25">
      <c r="A30">
        <v>29</v>
      </c>
      <c r="B30" s="19">
        <v>40545</v>
      </c>
      <c r="C30">
        <v>1</v>
      </c>
      <c r="D30">
        <v>1</v>
      </c>
      <c r="E30">
        <v>4</v>
      </c>
      <c r="F30" t="b">
        <v>0</v>
      </c>
      <c r="G30">
        <v>0</v>
      </c>
      <c r="H30">
        <v>2</v>
      </c>
      <c r="I30">
        <v>0.46</v>
      </c>
      <c r="J30">
        <v>0</v>
      </c>
      <c r="K30">
        <v>0.28789999999999999</v>
      </c>
      <c r="L30">
        <v>0.81</v>
      </c>
      <c r="M30">
        <v>0</v>
      </c>
      <c r="N30">
        <v>3</v>
      </c>
      <c r="O30">
        <v>13</v>
      </c>
      <c r="P30">
        <v>16</v>
      </c>
      <c r="Q30" s="17" t="str">
        <f t="shared" si="2"/>
        <v>Weekdays</v>
      </c>
      <c r="R30" s="17" t="str">
        <f t="shared" si="0"/>
        <v>Morning</v>
      </c>
      <c r="S30" s="9" t="str">
        <f t="shared" si="1"/>
        <v>Mist</v>
      </c>
    </row>
    <row r="31" spans="1:19" x14ac:dyDescent="0.25">
      <c r="A31">
        <v>30</v>
      </c>
      <c r="B31" s="19">
        <v>40545</v>
      </c>
      <c r="C31">
        <v>1</v>
      </c>
      <c r="D31">
        <v>1</v>
      </c>
      <c r="E31">
        <v>6</v>
      </c>
      <c r="F31" t="b">
        <v>0</v>
      </c>
      <c r="G31">
        <v>0</v>
      </c>
      <c r="H31">
        <v>3</v>
      </c>
      <c r="I31">
        <v>0.42</v>
      </c>
      <c r="J31">
        <v>0</v>
      </c>
      <c r="K31">
        <v>0.28789999999999999</v>
      </c>
      <c r="L31">
        <v>0.81</v>
      </c>
      <c r="M31">
        <v>0</v>
      </c>
      <c r="N31">
        <v>3</v>
      </c>
      <c r="O31">
        <v>13</v>
      </c>
      <c r="P31">
        <v>16</v>
      </c>
      <c r="Q31" s="17" t="str">
        <f t="shared" si="2"/>
        <v>Weekdays</v>
      </c>
      <c r="R31" s="17" t="str">
        <f t="shared" si="0"/>
        <v>Morning</v>
      </c>
      <c r="S31" s="9" t="str">
        <f t="shared" si="1"/>
        <v>Light Snow/Rain</v>
      </c>
    </row>
    <row r="32" spans="1:19" x14ac:dyDescent="0.25">
      <c r="A32">
        <v>31</v>
      </c>
      <c r="B32" s="19">
        <v>40545</v>
      </c>
      <c r="C32">
        <v>1</v>
      </c>
      <c r="D32">
        <v>1</v>
      </c>
      <c r="E32">
        <v>7</v>
      </c>
      <c r="F32" t="b">
        <v>0</v>
      </c>
      <c r="G32">
        <v>0</v>
      </c>
      <c r="H32">
        <v>2</v>
      </c>
      <c r="I32">
        <v>0.4</v>
      </c>
      <c r="J32">
        <v>0</v>
      </c>
      <c r="K32">
        <v>0.28789999999999999</v>
      </c>
      <c r="L32">
        <v>0.81</v>
      </c>
      <c r="M32">
        <v>0</v>
      </c>
      <c r="N32">
        <v>3</v>
      </c>
      <c r="O32">
        <v>13</v>
      </c>
      <c r="P32">
        <v>16</v>
      </c>
      <c r="Q32" s="17" t="str">
        <f t="shared" si="2"/>
        <v>Weekdays</v>
      </c>
      <c r="R32" s="17" t="str">
        <f t="shared" si="0"/>
        <v>Morning</v>
      </c>
      <c r="S32" s="9" t="str">
        <f t="shared" si="1"/>
        <v>Mist</v>
      </c>
    </row>
    <row r="33" spans="1:19" x14ac:dyDescent="0.25">
      <c r="A33">
        <v>32</v>
      </c>
      <c r="B33" s="19">
        <v>40545</v>
      </c>
      <c r="C33">
        <v>1</v>
      </c>
      <c r="D33">
        <v>1</v>
      </c>
      <c r="E33">
        <v>8</v>
      </c>
      <c r="F33" t="b">
        <v>0</v>
      </c>
      <c r="G33">
        <v>0</v>
      </c>
      <c r="H33">
        <v>3</v>
      </c>
      <c r="I33">
        <v>0.4</v>
      </c>
      <c r="J33">
        <v>0</v>
      </c>
      <c r="K33">
        <v>0.28789999999999999</v>
      </c>
      <c r="L33">
        <v>0.81</v>
      </c>
      <c r="M33">
        <v>0</v>
      </c>
      <c r="N33">
        <v>3</v>
      </c>
      <c r="O33">
        <v>13</v>
      </c>
      <c r="P33">
        <v>16</v>
      </c>
      <c r="Q33" s="17" t="str">
        <f t="shared" si="2"/>
        <v>Weekdays</v>
      </c>
      <c r="R33" s="17" t="str">
        <f t="shared" si="0"/>
        <v>Morning</v>
      </c>
      <c r="S33" s="9" t="str">
        <f t="shared" si="1"/>
        <v>Light Snow/Rain</v>
      </c>
    </row>
    <row r="34" spans="1:19" x14ac:dyDescent="0.25">
      <c r="A34">
        <v>33</v>
      </c>
      <c r="B34" s="19">
        <v>40545</v>
      </c>
      <c r="C34">
        <v>1</v>
      </c>
      <c r="D34">
        <v>1</v>
      </c>
      <c r="E34">
        <v>9</v>
      </c>
      <c r="F34" t="b">
        <v>0</v>
      </c>
      <c r="G34">
        <v>0</v>
      </c>
      <c r="H34">
        <v>2</v>
      </c>
      <c r="I34">
        <v>0.38</v>
      </c>
      <c r="J34">
        <v>0</v>
      </c>
      <c r="K34">
        <v>0.28789999999999999</v>
      </c>
      <c r="L34">
        <v>0.81</v>
      </c>
      <c r="M34">
        <v>0</v>
      </c>
      <c r="N34">
        <v>3</v>
      </c>
      <c r="O34">
        <v>13</v>
      </c>
      <c r="P34">
        <v>16</v>
      </c>
      <c r="Q34" s="17" t="str">
        <f t="shared" si="2"/>
        <v>Weekdays</v>
      </c>
      <c r="R34" s="17" t="str">
        <f t="shared" si="0"/>
        <v>Morning</v>
      </c>
      <c r="S34" s="9" t="str">
        <f t="shared" si="1"/>
        <v>Mist</v>
      </c>
    </row>
    <row r="35" spans="1:19" x14ac:dyDescent="0.25">
      <c r="A35">
        <v>34</v>
      </c>
      <c r="B35" s="19">
        <v>40545</v>
      </c>
      <c r="C35">
        <v>1</v>
      </c>
      <c r="D35">
        <v>1</v>
      </c>
      <c r="E35">
        <v>10</v>
      </c>
      <c r="F35" t="b">
        <v>0</v>
      </c>
      <c r="G35">
        <v>0</v>
      </c>
      <c r="H35">
        <v>2</v>
      </c>
      <c r="I35">
        <v>0.36</v>
      </c>
      <c r="J35">
        <v>0</v>
      </c>
      <c r="K35">
        <v>0.28789999999999999</v>
      </c>
      <c r="L35">
        <v>0.81</v>
      </c>
      <c r="M35">
        <v>0</v>
      </c>
      <c r="N35">
        <v>3</v>
      </c>
      <c r="O35">
        <v>13</v>
      </c>
      <c r="P35">
        <v>16</v>
      </c>
      <c r="Q35" s="17" t="str">
        <f t="shared" si="2"/>
        <v>Weekdays</v>
      </c>
      <c r="R35" s="17" t="str">
        <f t="shared" si="0"/>
        <v>Morning</v>
      </c>
      <c r="S35" s="9" t="str">
        <f t="shared" si="1"/>
        <v>Mist</v>
      </c>
    </row>
    <row r="36" spans="1:19" x14ac:dyDescent="0.25">
      <c r="A36">
        <v>35</v>
      </c>
      <c r="B36" s="19">
        <v>40545</v>
      </c>
      <c r="C36">
        <v>1</v>
      </c>
      <c r="D36">
        <v>1</v>
      </c>
      <c r="E36">
        <v>11</v>
      </c>
      <c r="F36" t="b">
        <v>0</v>
      </c>
      <c r="G36">
        <v>0</v>
      </c>
      <c r="H36">
        <v>2</v>
      </c>
      <c r="I36">
        <v>0.36</v>
      </c>
      <c r="J36">
        <v>0</v>
      </c>
      <c r="K36">
        <v>0.28789999999999999</v>
      </c>
      <c r="L36">
        <v>0.81</v>
      </c>
      <c r="M36">
        <v>0</v>
      </c>
      <c r="N36">
        <v>3</v>
      </c>
      <c r="O36">
        <v>13</v>
      </c>
      <c r="P36">
        <v>16</v>
      </c>
      <c r="Q36" s="17" t="str">
        <f t="shared" si="2"/>
        <v>Weekdays</v>
      </c>
      <c r="R36" s="17" t="str">
        <f t="shared" si="0"/>
        <v>Morning</v>
      </c>
      <c r="S36" s="9" t="str">
        <f t="shared" si="1"/>
        <v>Mist</v>
      </c>
    </row>
    <row r="37" spans="1:19" x14ac:dyDescent="0.25">
      <c r="A37">
        <v>36</v>
      </c>
      <c r="B37" s="19">
        <v>40545</v>
      </c>
      <c r="C37">
        <v>1</v>
      </c>
      <c r="D37">
        <v>1</v>
      </c>
      <c r="E37">
        <v>12</v>
      </c>
      <c r="F37" t="b">
        <v>0</v>
      </c>
      <c r="G37">
        <v>0</v>
      </c>
      <c r="H37">
        <v>2</v>
      </c>
      <c r="I37">
        <v>0.36</v>
      </c>
      <c r="J37">
        <v>0</v>
      </c>
      <c r="K37">
        <v>0.28789999999999999</v>
      </c>
      <c r="L37">
        <v>0.81</v>
      </c>
      <c r="M37">
        <v>0</v>
      </c>
      <c r="N37">
        <v>3</v>
      </c>
      <c r="O37">
        <v>13</v>
      </c>
      <c r="P37">
        <v>16</v>
      </c>
      <c r="Q37" s="17" t="str">
        <f t="shared" si="2"/>
        <v>Weekdays</v>
      </c>
      <c r="R37" s="17" t="str">
        <f t="shared" si="0"/>
        <v>Afternoon</v>
      </c>
      <c r="S37" s="9" t="str">
        <f t="shared" si="1"/>
        <v>Mist</v>
      </c>
    </row>
    <row r="38" spans="1:19" x14ac:dyDescent="0.25">
      <c r="A38">
        <v>37</v>
      </c>
      <c r="B38" s="19">
        <v>40545</v>
      </c>
      <c r="C38">
        <v>1</v>
      </c>
      <c r="D38">
        <v>1</v>
      </c>
      <c r="E38">
        <v>13</v>
      </c>
      <c r="F38" t="b">
        <v>0</v>
      </c>
      <c r="G38">
        <v>0</v>
      </c>
      <c r="H38">
        <v>2</v>
      </c>
      <c r="I38">
        <v>0.36</v>
      </c>
      <c r="J38">
        <v>0</v>
      </c>
      <c r="K38">
        <v>0.28789999999999999</v>
      </c>
      <c r="L38">
        <v>0.81</v>
      </c>
      <c r="M38">
        <v>0</v>
      </c>
      <c r="N38">
        <v>3</v>
      </c>
      <c r="O38">
        <v>13</v>
      </c>
      <c r="P38">
        <v>16</v>
      </c>
      <c r="Q38" s="17" t="str">
        <f t="shared" si="2"/>
        <v>Weekdays</v>
      </c>
      <c r="R38" s="17" t="str">
        <f t="shared" si="0"/>
        <v>Afternoon</v>
      </c>
      <c r="S38" s="9" t="str">
        <f t="shared" si="1"/>
        <v>Mist</v>
      </c>
    </row>
    <row r="39" spans="1:19" x14ac:dyDescent="0.25">
      <c r="A39">
        <v>38</v>
      </c>
      <c r="B39" s="19">
        <v>40545</v>
      </c>
      <c r="C39">
        <v>1</v>
      </c>
      <c r="D39">
        <v>1</v>
      </c>
      <c r="E39">
        <v>14</v>
      </c>
      <c r="F39" t="b">
        <v>0</v>
      </c>
      <c r="G39">
        <v>0</v>
      </c>
      <c r="H39">
        <v>3</v>
      </c>
      <c r="I39">
        <v>0.36</v>
      </c>
      <c r="J39">
        <v>0</v>
      </c>
      <c r="K39">
        <v>0.28789999999999999</v>
      </c>
      <c r="L39">
        <v>0.81</v>
      </c>
      <c r="M39">
        <v>0</v>
      </c>
      <c r="N39">
        <v>3</v>
      </c>
      <c r="O39">
        <v>13</v>
      </c>
      <c r="P39">
        <v>16</v>
      </c>
      <c r="Q39" s="17" t="str">
        <f t="shared" si="2"/>
        <v>Weekdays</v>
      </c>
      <c r="R39" s="17" t="str">
        <f t="shared" si="0"/>
        <v>Afternoon</v>
      </c>
      <c r="S39" s="9" t="str">
        <f t="shared" si="1"/>
        <v>Light Snow/Rain</v>
      </c>
    </row>
    <row r="40" spans="1:19" x14ac:dyDescent="0.25">
      <c r="A40">
        <v>39</v>
      </c>
      <c r="B40" s="19">
        <v>40545</v>
      </c>
      <c r="C40">
        <v>1</v>
      </c>
      <c r="D40">
        <v>1</v>
      </c>
      <c r="E40">
        <v>15</v>
      </c>
      <c r="F40" t="b">
        <v>0</v>
      </c>
      <c r="G40">
        <v>0</v>
      </c>
      <c r="H40">
        <v>3</v>
      </c>
      <c r="I40">
        <v>0.34</v>
      </c>
      <c r="J40">
        <v>0</v>
      </c>
      <c r="K40">
        <v>0.28789999999999999</v>
      </c>
      <c r="L40">
        <v>0.81</v>
      </c>
      <c r="M40">
        <v>0</v>
      </c>
      <c r="N40">
        <v>3</v>
      </c>
      <c r="O40">
        <v>13</v>
      </c>
      <c r="P40">
        <v>16</v>
      </c>
      <c r="Q40" s="17" t="str">
        <f t="shared" si="2"/>
        <v>Weekdays</v>
      </c>
      <c r="R40" s="17" t="str">
        <f t="shared" si="0"/>
        <v>Afternoon</v>
      </c>
      <c r="S40" s="9" t="str">
        <f t="shared" si="1"/>
        <v>Light Snow/Rain</v>
      </c>
    </row>
    <row r="41" spans="1:19" x14ac:dyDescent="0.25">
      <c r="A41">
        <v>40</v>
      </c>
      <c r="B41" s="19">
        <v>40545</v>
      </c>
      <c r="C41">
        <v>1</v>
      </c>
      <c r="D41">
        <v>1</v>
      </c>
      <c r="E41">
        <v>16</v>
      </c>
      <c r="F41" t="b">
        <v>0</v>
      </c>
      <c r="G41">
        <v>0</v>
      </c>
      <c r="H41">
        <v>3</v>
      </c>
      <c r="I41">
        <v>0.34</v>
      </c>
      <c r="J41">
        <v>0</v>
      </c>
      <c r="K41">
        <v>0.28789999999999999</v>
      </c>
      <c r="L41">
        <v>0.81</v>
      </c>
      <c r="M41">
        <v>0</v>
      </c>
      <c r="N41">
        <v>3</v>
      </c>
      <c r="O41">
        <v>13</v>
      </c>
      <c r="P41">
        <v>16</v>
      </c>
      <c r="Q41" s="17" t="str">
        <f t="shared" si="2"/>
        <v>Weekdays</v>
      </c>
      <c r="R41" s="17" t="str">
        <f t="shared" si="0"/>
        <v>Evening</v>
      </c>
      <c r="S41" s="9" t="str">
        <f t="shared" si="1"/>
        <v>Light Snow/Rain</v>
      </c>
    </row>
    <row r="42" spans="1:19" x14ac:dyDescent="0.25">
      <c r="A42">
        <v>41</v>
      </c>
      <c r="B42" s="19">
        <v>40545</v>
      </c>
      <c r="C42">
        <v>1</v>
      </c>
      <c r="D42">
        <v>1</v>
      </c>
      <c r="E42">
        <v>17</v>
      </c>
      <c r="F42" t="b">
        <v>0</v>
      </c>
      <c r="G42">
        <v>0</v>
      </c>
      <c r="H42">
        <v>1</v>
      </c>
      <c r="I42">
        <v>0.34</v>
      </c>
      <c r="J42">
        <v>0</v>
      </c>
      <c r="K42">
        <v>0.28789999999999999</v>
      </c>
      <c r="L42">
        <v>0.81</v>
      </c>
      <c r="M42">
        <v>0</v>
      </c>
      <c r="N42">
        <v>3</v>
      </c>
      <c r="O42">
        <v>13</v>
      </c>
      <c r="P42">
        <v>16</v>
      </c>
      <c r="Q42" s="17" t="str">
        <f t="shared" si="2"/>
        <v>Weekdays</v>
      </c>
      <c r="R42" s="17" t="str">
        <f t="shared" si="0"/>
        <v>Evening</v>
      </c>
      <c r="S42" s="9" t="str">
        <f t="shared" si="1"/>
        <v>Clear</v>
      </c>
    </row>
    <row r="43" spans="1:19" x14ac:dyDescent="0.25">
      <c r="A43">
        <v>42</v>
      </c>
      <c r="B43" s="19">
        <v>40545</v>
      </c>
      <c r="C43">
        <v>1</v>
      </c>
      <c r="D43">
        <v>1</v>
      </c>
      <c r="E43">
        <v>18</v>
      </c>
      <c r="F43" t="b">
        <v>0</v>
      </c>
      <c r="G43">
        <v>0</v>
      </c>
      <c r="H43">
        <v>2</v>
      </c>
      <c r="I43">
        <v>0.36</v>
      </c>
      <c r="J43">
        <v>0</v>
      </c>
      <c r="K43">
        <v>0.28789999999999999</v>
      </c>
      <c r="L43">
        <v>0.81</v>
      </c>
      <c r="M43">
        <v>0</v>
      </c>
      <c r="N43">
        <v>3</v>
      </c>
      <c r="O43">
        <v>13</v>
      </c>
      <c r="P43">
        <v>16</v>
      </c>
      <c r="Q43" s="17" t="str">
        <f t="shared" si="2"/>
        <v>Weekdays</v>
      </c>
      <c r="R43" s="17" t="str">
        <f t="shared" si="0"/>
        <v>Evening</v>
      </c>
      <c r="S43" s="9" t="str">
        <f t="shared" si="1"/>
        <v>Mist</v>
      </c>
    </row>
    <row r="44" spans="1:19" x14ac:dyDescent="0.25">
      <c r="A44">
        <v>43</v>
      </c>
      <c r="B44" s="19">
        <v>40545</v>
      </c>
      <c r="C44">
        <v>1</v>
      </c>
      <c r="D44">
        <v>1</v>
      </c>
      <c r="E44">
        <v>19</v>
      </c>
      <c r="F44" t="b">
        <v>0</v>
      </c>
      <c r="G44">
        <v>0</v>
      </c>
      <c r="H44">
        <v>1</v>
      </c>
      <c r="I44">
        <v>0.32</v>
      </c>
      <c r="J44">
        <v>0</v>
      </c>
      <c r="K44">
        <v>0.28789999999999999</v>
      </c>
      <c r="L44">
        <v>0.81</v>
      </c>
      <c r="M44">
        <v>0</v>
      </c>
      <c r="N44">
        <v>3</v>
      </c>
      <c r="O44">
        <v>13</v>
      </c>
      <c r="P44">
        <v>16</v>
      </c>
      <c r="Q44" s="17" t="str">
        <f t="shared" si="2"/>
        <v>Weekdays</v>
      </c>
      <c r="R44" s="17" t="str">
        <f t="shared" si="0"/>
        <v>Evening</v>
      </c>
      <c r="S44" s="9" t="str">
        <f t="shared" si="1"/>
        <v>Clear</v>
      </c>
    </row>
    <row r="45" spans="1:19" x14ac:dyDescent="0.25">
      <c r="A45">
        <v>44</v>
      </c>
      <c r="B45" s="19">
        <v>40545</v>
      </c>
      <c r="C45">
        <v>1</v>
      </c>
      <c r="D45">
        <v>1</v>
      </c>
      <c r="E45">
        <v>20</v>
      </c>
      <c r="F45" t="b">
        <v>0</v>
      </c>
      <c r="G45">
        <v>0</v>
      </c>
      <c r="H45">
        <v>1</v>
      </c>
      <c r="I45">
        <v>0.3</v>
      </c>
      <c r="J45">
        <v>0</v>
      </c>
      <c r="K45">
        <v>0.28789999999999999</v>
      </c>
      <c r="L45">
        <v>0.81</v>
      </c>
      <c r="M45">
        <v>0</v>
      </c>
      <c r="N45">
        <v>3</v>
      </c>
      <c r="O45">
        <v>13</v>
      </c>
      <c r="P45">
        <v>16</v>
      </c>
      <c r="Q45" s="17" t="str">
        <f t="shared" si="2"/>
        <v>Weekdays</v>
      </c>
      <c r="R45" s="17" t="str">
        <f t="shared" si="0"/>
        <v>Evening</v>
      </c>
      <c r="S45" s="9" t="str">
        <f t="shared" si="1"/>
        <v>Clear</v>
      </c>
    </row>
    <row r="46" spans="1:19" x14ac:dyDescent="0.25">
      <c r="A46">
        <v>45</v>
      </c>
      <c r="B46" s="19">
        <v>40545</v>
      </c>
      <c r="C46">
        <v>1</v>
      </c>
      <c r="D46">
        <v>1</v>
      </c>
      <c r="E46">
        <v>21</v>
      </c>
      <c r="F46" t="b">
        <v>0</v>
      </c>
      <c r="G46">
        <v>0</v>
      </c>
      <c r="H46">
        <v>1</v>
      </c>
      <c r="I46">
        <v>0.26</v>
      </c>
      <c r="J46">
        <v>0</v>
      </c>
      <c r="K46">
        <v>0.28789999999999999</v>
      </c>
      <c r="L46">
        <v>0.81</v>
      </c>
      <c r="M46">
        <v>0</v>
      </c>
      <c r="N46">
        <v>3</v>
      </c>
      <c r="O46">
        <v>13</v>
      </c>
      <c r="P46">
        <v>16</v>
      </c>
      <c r="Q46" s="17" t="str">
        <f t="shared" si="2"/>
        <v>Weekdays</v>
      </c>
      <c r="R46" s="17" t="str">
        <f t="shared" si="0"/>
        <v>Night</v>
      </c>
      <c r="S46" s="9" t="str">
        <f t="shared" si="1"/>
        <v>Clear</v>
      </c>
    </row>
    <row r="47" spans="1:19" x14ac:dyDescent="0.25">
      <c r="A47">
        <v>46</v>
      </c>
      <c r="B47" s="19">
        <v>40545</v>
      </c>
      <c r="C47">
        <v>1</v>
      </c>
      <c r="D47">
        <v>1</v>
      </c>
      <c r="E47">
        <v>22</v>
      </c>
      <c r="F47" t="b">
        <v>0</v>
      </c>
      <c r="G47">
        <v>0</v>
      </c>
      <c r="H47">
        <v>1</v>
      </c>
      <c r="I47">
        <v>0.24</v>
      </c>
      <c r="J47">
        <v>0</v>
      </c>
      <c r="K47">
        <v>0.28789999999999999</v>
      </c>
      <c r="L47">
        <v>0.81</v>
      </c>
      <c r="M47">
        <v>0</v>
      </c>
      <c r="N47">
        <v>3</v>
      </c>
      <c r="O47">
        <v>13</v>
      </c>
      <c r="P47">
        <v>16</v>
      </c>
      <c r="Q47" s="17" t="str">
        <f t="shared" si="2"/>
        <v>Weekdays</v>
      </c>
      <c r="R47" s="17" t="str">
        <f t="shared" si="0"/>
        <v>Night</v>
      </c>
      <c r="S47" s="9" t="str">
        <f t="shared" si="1"/>
        <v>Clear</v>
      </c>
    </row>
    <row r="48" spans="1:19" x14ac:dyDescent="0.25">
      <c r="A48">
        <v>47</v>
      </c>
      <c r="B48" s="19">
        <v>40545</v>
      </c>
      <c r="C48">
        <v>1</v>
      </c>
      <c r="D48">
        <v>1</v>
      </c>
      <c r="E48">
        <v>23</v>
      </c>
      <c r="F48" t="b">
        <v>0</v>
      </c>
      <c r="G48">
        <v>0</v>
      </c>
      <c r="H48">
        <v>1</v>
      </c>
      <c r="I48">
        <v>0.22</v>
      </c>
      <c r="J48">
        <v>0</v>
      </c>
      <c r="K48">
        <v>0.28789999999999999</v>
      </c>
      <c r="L48">
        <v>0.81</v>
      </c>
      <c r="M48">
        <v>0</v>
      </c>
      <c r="N48">
        <v>3</v>
      </c>
      <c r="O48">
        <v>13</v>
      </c>
      <c r="P48">
        <v>16</v>
      </c>
      <c r="Q48" s="17" t="str">
        <f t="shared" si="2"/>
        <v>Weekdays</v>
      </c>
      <c r="R48" s="17" t="str">
        <f t="shared" si="0"/>
        <v>Night</v>
      </c>
      <c r="S48" s="9" t="str">
        <f t="shared" si="1"/>
        <v>Clear</v>
      </c>
    </row>
    <row r="49" spans="1:19" x14ac:dyDescent="0.25">
      <c r="A49">
        <v>48</v>
      </c>
      <c r="B49" s="19">
        <v>40546</v>
      </c>
      <c r="C49">
        <v>1</v>
      </c>
      <c r="D49">
        <v>1</v>
      </c>
      <c r="E49">
        <v>0</v>
      </c>
      <c r="F49" t="b">
        <v>0</v>
      </c>
      <c r="G49">
        <v>1</v>
      </c>
      <c r="H49">
        <v>1</v>
      </c>
      <c r="I49">
        <v>0.22</v>
      </c>
      <c r="J49">
        <v>0</v>
      </c>
      <c r="K49">
        <v>0.28789999999999999</v>
      </c>
      <c r="L49">
        <v>0.81</v>
      </c>
      <c r="M49">
        <v>0</v>
      </c>
      <c r="N49">
        <v>3</v>
      </c>
      <c r="O49">
        <v>13</v>
      </c>
      <c r="P49">
        <v>16</v>
      </c>
      <c r="Q49" s="17" t="str">
        <f t="shared" si="2"/>
        <v>Weekdays</v>
      </c>
      <c r="R49" s="17" t="str">
        <f t="shared" si="0"/>
        <v>Morning</v>
      </c>
      <c r="S49" s="9" t="str">
        <f t="shared" si="1"/>
        <v>Clear</v>
      </c>
    </row>
    <row r="50" spans="1:19" x14ac:dyDescent="0.25">
      <c r="A50">
        <v>49</v>
      </c>
      <c r="B50" s="19">
        <v>40546</v>
      </c>
      <c r="C50">
        <v>1</v>
      </c>
      <c r="D50">
        <v>1</v>
      </c>
      <c r="E50">
        <v>1</v>
      </c>
      <c r="F50" t="b">
        <v>0</v>
      </c>
      <c r="G50">
        <v>1</v>
      </c>
      <c r="H50">
        <v>1</v>
      </c>
      <c r="I50">
        <v>0.2</v>
      </c>
      <c r="J50">
        <v>0</v>
      </c>
      <c r="K50">
        <v>0.28789999999999999</v>
      </c>
      <c r="L50">
        <v>0.81</v>
      </c>
      <c r="M50">
        <v>0</v>
      </c>
      <c r="N50">
        <v>3</v>
      </c>
      <c r="O50">
        <v>13</v>
      </c>
      <c r="P50">
        <v>16</v>
      </c>
      <c r="Q50" s="17" t="str">
        <f t="shared" si="2"/>
        <v>Weekdays</v>
      </c>
      <c r="R50" s="17" t="str">
        <f t="shared" si="0"/>
        <v>Morning</v>
      </c>
      <c r="S50" s="9" t="str">
        <f t="shared" si="1"/>
        <v>Clear</v>
      </c>
    </row>
    <row r="51" spans="1:19" x14ac:dyDescent="0.25">
      <c r="A51">
        <v>50</v>
      </c>
      <c r="B51" s="19">
        <v>40546</v>
      </c>
      <c r="C51">
        <v>1</v>
      </c>
      <c r="D51">
        <v>1</v>
      </c>
      <c r="E51">
        <v>4</v>
      </c>
      <c r="F51" t="b">
        <v>0</v>
      </c>
      <c r="G51">
        <v>1</v>
      </c>
      <c r="H51">
        <v>1</v>
      </c>
      <c r="I51">
        <v>0.16</v>
      </c>
      <c r="J51">
        <v>0</v>
      </c>
      <c r="K51">
        <v>0.28789999999999999</v>
      </c>
      <c r="L51">
        <v>0.81</v>
      </c>
      <c r="M51">
        <v>0</v>
      </c>
      <c r="N51">
        <v>3</v>
      </c>
      <c r="O51">
        <v>13</v>
      </c>
      <c r="P51">
        <v>16</v>
      </c>
      <c r="Q51" s="17" t="str">
        <f t="shared" si="2"/>
        <v>Weekdays</v>
      </c>
      <c r="R51" s="17" t="str">
        <f t="shared" si="0"/>
        <v>Morning</v>
      </c>
      <c r="S51" s="9" t="str">
        <f t="shared" si="1"/>
        <v>Clear</v>
      </c>
    </row>
    <row r="52" spans="1:19" x14ac:dyDescent="0.25">
      <c r="A52">
        <v>51</v>
      </c>
      <c r="B52" s="19">
        <v>40546</v>
      </c>
      <c r="C52">
        <v>1</v>
      </c>
      <c r="D52">
        <v>1</v>
      </c>
      <c r="E52">
        <v>5</v>
      </c>
      <c r="F52" t="b">
        <v>0</v>
      </c>
      <c r="G52">
        <v>1</v>
      </c>
      <c r="H52">
        <v>1</v>
      </c>
      <c r="I52">
        <v>0.16</v>
      </c>
      <c r="J52">
        <v>0</v>
      </c>
      <c r="K52">
        <v>0.28789999999999999</v>
      </c>
      <c r="L52">
        <v>0.81</v>
      </c>
      <c r="M52">
        <v>0</v>
      </c>
      <c r="N52">
        <v>3</v>
      </c>
      <c r="O52">
        <v>13</v>
      </c>
      <c r="P52">
        <v>16</v>
      </c>
      <c r="Q52" s="17" t="str">
        <f t="shared" si="2"/>
        <v>Weekdays</v>
      </c>
      <c r="R52" s="17" t="str">
        <f t="shared" si="0"/>
        <v>Morning</v>
      </c>
      <c r="S52" s="9" t="str">
        <f t="shared" si="1"/>
        <v>Clear</v>
      </c>
    </row>
    <row r="53" spans="1:19" x14ac:dyDescent="0.25">
      <c r="A53">
        <v>52</v>
      </c>
      <c r="B53" s="19">
        <v>40546</v>
      </c>
      <c r="C53">
        <v>1</v>
      </c>
      <c r="D53">
        <v>1</v>
      </c>
      <c r="E53">
        <v>6</v>
      </c>
      <c r="F53" t="b">
        <v>0</v>
      </c>
      <c r="G53">
        <v>1</v>
      </c>
      <c r="H53">
        <v>1</v>
      </c>
      <c r="I53">
        <v>0.14000000000000001</v>
      </c>
      <c r="J53">
        <v>0</v>
      </c>
      <c r="K53">
        <v>0.28789999999999999</v>
      </c>
      <c r="L53">
        <v>0.81</v>
      </c>
      <c r="M53">
        <v>0</v>
      </c>
      <c r="N53">
        <v>3</v>
      </c>
      <c r="O53">
        <v>13</v>
      </c>
      <c r="P53">
        <v>16</v>
      </c>
      <c r="Q53" s="17" t="str">
        <f t="shared" si="2"/>
        <v>Weekdays</v>
      </c>
      <c r="R53" s="17" t="str">
        <f t="shared" si="0"/>
        <v>Morning</v>
      </c>
      <c r="S53" s="9" t="str">
        <f t="shared" si="1"/>
        <v>Clear</v>
      </c>
    </row>
    <row r="54" spans="1:19" x14ac:dyDescent="0.25">
      <c r="A54">
        <v>53</v>
      </c>
      <c r="B54" s="19">
        <v>40546</v>
      </c>
      <c r="C54">
        <v>1</v>
      </c>
      <c r="D54">
        <v>1</v>
      </c>
      <c r="E54">
        <v>7</v>
      </c>
      <c r="F54" t="b">
        <v>0</v>
      </c>
      <c r="G54">
        <v>1</v>
      </c>
      <c r="H54">
        <v>1</v>
      </c>
      <c r="I54">
        <v>0.14000000000000001</v>
      </c>
      <c r="J54">
        <v>0</v>
      </c>
      <c r="K54">
        <v>0.28789999999999999</v>
      </c>
      <c r="L54">
        <v>0.81</v>
      </c>
      <c r="M54">
        <v>0</v>
      </c>
      <c r="N54">
        <v>3</v>
      </c>
      <c r="O54">
        <v>13</v>
      </c>
      <c r="P54">
        <v>16</v>
      </c>
      <c r="Q54" s="17" t="str">
        <f t="shared" si="2"/>
        <v>Weekdays</v>
      </c>
      <c r="R54" s="17" t="str">
        <f t="shared" si="0"/>
        <v>Morning</v>
      </c>
      <c r="S54" s="9" t="str">
        <f t="shared" si="1"/>
        <v>Clear</v>
      </c>
    </row>
    <row r="55" spans="1:19" x14ac:dyDescent="0.25">
      <c r="A55">
        <v>54</v>
      </c>
      <c r="B55" s="19">
        <v>40546</v>
      </c>
      <c r="C55">
        <v>1</v>
      </c>
      <c r="D55">
        <v>1</v>
      </c>
      <c r="E55">
        <v>8</v>
      </c>
      <c r="F55" t="b">
        <v>0</v>
      </c>
      <c r="G55">
        <v>1</v>
      </c>
      <c r="H55">
        <v>1</v>
      </c>
      <c r="I55">
        <v>0.14000000000000001</v>
      </c>
      <c r="J55">
        <v>0</v>
      </c>
      <c r="K55">
        <v>0.28789999999999999</v>
      </c>
      <c r="L55">
        <v>0.81</v>
      </c>
      <c r="M55">
        <v>0</v>
      </c>
      <c r="N55">
        <v>3</v>
      </c>
      <c r="O55">
        <v>13</v>
      </c>
      <c r="P55">
        <v>16</v>
      </c>
      <c r="Q55" s="17" t="str">
        <f t="shared" si="2"/>
        <v>Weekdays</v>
      </c>
      <c r="R55" s="17" t="str">
        <f t="shared" si="0"/>
        <v>Morning</v>
      </c>
      <c r="S55" s="9" t="str">
        <f t="shared" si="1"/>
        <v>Clear</v>
      </c>
    </row>
    <row r="56" spans="1:19" x14ac:dyDescent="0.25">
      <c r="A56">
        <v>55</v>
      </c>
      <c r="B56" s="19">
        <v>40546</v>
      </c>
      <c r="C56">
        <v>1</v>
      </c>
      <c r="D56">
        <v>1</v>
      </c>
      <c r="E56">
        <v>9</v>
      </c>
      <c r="F56" t="b">
        <v>0</v>
      </c>
      <c r="G56">
        <v>1</v>
      </c>
      <c r="H56">
        <v>1</v>
      </c>
      <c r="I56">
        <v>0.16</v>
      </c>
      <c r="J56">
        <v>0</v>
      </c>
      <c r="K56">
        <v>0.28789999999999999</v>
      </c>
      <c r="L56">
        <v>0.81</v>
      </c>
      <c r="M56">
        <v>0</v>
      </c>
      <c r="N56">
        <v>3</v>
      </c>
      <c r="O56">
        <v>13</v>
      </c>
      <c r="P56">
        <v>16</v>
      </c>
      <c r="Q56" s="17" t="str">
        <f t="shared" si="2"/>
        <v>Weekdays</v>
      </c>
      <c r="R56" s="17" t="str">
        <f t="shared" si="0"/>
        <v>Morning</v>
      </c>
      <c r="S56" s="9" t="str">
        <f t="shared" si="1"/>
        <v>Clear</v>
      </c>
    </row>
    <row r="57" spans="1:19" x14ac:dyDescent="0.25">
      <c r="A57">
        <v>56</v>
      </c>
      <c r="B57" s="19">
        <v>40546</v>
      </c>
      <c r="C57">
        <v>1</v>
      </c>
      <c r="D57">
        <v>1</v>
      </c>
      <c r="E57">
        <v>10</v>
      </c>
      <c r="F57" t="b">
        <v>0</v>
      </c>
      <c r="G57">
        <v>1</v>
      </c>
      <c r="H57">
        <v>1</v>
      </c>
      <c r="I57">
        <v>0.18</v>
      </c>
      <c r="J57">
        <v>0</v>
      </c>
      <c r="K57">
        <v>0.28789999999999999</v>
      </c>
      <c r="L57">
        <v>0.81</v>
      </c>
      <c r="M57">
        <v>0</v>
      </c>
      <c r="N57">
        <v>3</v>
      </c>
      <c r="O57">
        <v>13</v>
      </c>
      <c r="P57">
        <v>16</v>
      </c>
      <c r="Q57" s="17" t="str">
        <f t="shared" si="2"/>
        <v>Weekdays</v>
      </c>
      <c r="R57" s="17" t="str">
        <f t="shared" si="0"/>
        <v>Morning</v>
      </c>
      <c r="S57" s="9" t="str">
        <f t="shared" si="1"/>
        <v>Clear</v>
      </c>
    </row>
    <row r="58" spans="1:19" x14ac:dyDescent="0.25">
      <c r="A58">
        <v>57</v>
      </c>
      <c r="B58" s="19">
        <v>40546</v>
      </c>
      <c r="C58">
        <v>1</v>
      </c>
      <c r="D58">
        <v>1</v>
      </c>
      <c r="E58">
        <v>11</v>
      </c>
      <c r="F58" t="b">
        <v>0</v>
      </c>
      <c r="G58">
        <v>1</v>
      </c>
      <c r="H58">
        <v>1</v>
      </c>
      <c r="I58">
        <v>0.2</v>
      </c>
      <c r="J58">
        <v>0</v>
      </c>
      <c r="K58">
        <v>0.28789999999999999</v>
      </c>
      <c r="L58">
        <v>0.81</v>
      </c>
      <c r="M58">
        <v>0</v>
      </c>
      <c r="N58">
        <v>3</v>
      </c>
      <c r="O58">
        <v>13</v>
      </c>
      <c r="P58">
        <v>16</v>
      </c>
      <c r="Q58" s="17" t="str">
        <f t="shared" si="2"/>
        <v>Weekdays</v>
      </c>
      <c r="R58" s="17" t="str">
        <f t="shared" si="0"/>
        <v>Morning</v>
      </c>
      <c r="S58" s="9" t="str">
        <f t="shared" si="1"/>
        <v>Clear</v>
      </c>
    </row>
    <row r="59" spans="1:19" x14ac:dyDescent="0.25">
      <c r="A59">
        <v>58</v>
      </c>
      <c r="B59" s="19">
        <v>40546</v>
      </c>
      <c r="C59">
        <v>1</v>
      </c>
      <c r="D59">
        <v>1</v>
      </c>
      <c r="E59">
        <v>12</v>
      </c>
      <c r="F59" t="b">
        <v>0</v>
      </c>
      <c r="G59">
        <v>1</v>
      </c>
      <c r="H59">
        <v>1</v>
      </c>
      <c r="I59">
        <v>0.22</v>
      </c>
      <c r="J59">
        <v>0</v>
      </c>
      <c r="K59">
        <v>0.28789999999999999</v>
      </c>
      <c r="L59">
        <v>0.81</v>
      </c>
      <c r="M59">
        <v>0</v>
      </c>
      <c r="N59">
        <v>3</v>
      </c>
      <c r="O59">
        <v>13</v>
      </c>
      <c r="P59">
        <v>16</v>
      </c>
      <c r="Q59" s="17" t="str">
        <f t="shared" si="2"/>
        <v>Weekdays</v>
      </c>
      <c r="R59" s="17" t="str">
        <f t="shared" si="0"/>
        <v>Afternoon</v>
      </c>
      <c r="S59" s="9" t="str">
        <f t="shared" si="1"/>
        <v>Clear</v>
      </c>
    </row>
    <row r="60" spans="1:19" x14ac:dyDescent="0.25">
      <c r="A60">
        <v>59</v>
      </c>
      <c r="B60" s="19">
        <v>40546</v>
      </c>
      <c r="C60">
        <v>1</v>
      </c>
      <c r="D60">
        <v>1</v>
      </c>
      <c r="E60">
        <v>13</v>
      </c>
      <c r="F60" t="b">
        <v>0</v>
      </c>
      <c r="G60">
        <v>1</v>
      </c>
      <c r="H60">
        <v>1</v>
      </c>
      <c r="I60">
        <v>0.24</v>
      </c>
      <c r="J60">
        <v>0</v>
      </c>
      <c r="K60">
        <v>0.28789999999999999</v>
      </c>
      <c r="L60">
        <v>0.81</v>
      </c>
      <c r="M60">
        <v>0</v>
      </c>
      <c r="N60">
        <v>3</v>
      </c>
      <c r="O60">
        <v>13</v>
      </c>
      <c r="P60">
        <v>16</v>
      </c>
      <c r="Q60" s="17" t="str">
        <f t="shared" si="2"/>
        <v>Weekdays</v>
      </c>
      <c r="R60" s="17" t="str">
        <f t="shared" si="0"/>
        <v>Afternoon</v>
      </c>
      <c r="S60" s="9" t="str">
        <f t="shared" si="1"/>
        <v>Clear</v>
      </c>
    </row>
    <row r="61" spans="1:19" x14ac:dyDescent="0.25">
      <c r="A61">
        <v>60</v>
      </c>
      <c r="B61" s="19">
        <v>40546</v>
      </c>
      <c r="C61">
        <v>1</v>
      </c>
      <c r="D61">
        <v>1</v>
      </c>
      <c r="E61">
        <v>14</v>
      </c>
      <c r="F61" t="b">
        <v>0</v>
      </c>
      <c r="G61">
        <v>1</v>
      </c>
      <c r="H61">
        <v>1</v>
      </c>
      <c r="I61">
        <v>0.26</v>
      </c>
      <c r="J61">
        <v>0</v>
      </c>
      <c r="K61">
        <v>0.28789999999999999</v>
      </c>
      <c r="L61">
        <v>0.81</v>
      </c>
      <c r="M61">
        <v>0</v>
      </c>
      <c r="N61">
        <v>3</v>
      </c>
      <c r="O61">
        <v>13</v>
      </c>
      <c r="P61">
        <v>16</v>
      </c>
      <c r="Q61" s="17" t="str">
        <f t="shared" si="2"/>
        <v>Weekdays</v>
      </c>
      <c r="R61" s="17" t="str">
        <f t="shared" si="0"/>
        <v>Afternoon</v>
      </c>
      <c r="S61" s="9" t="str">
        <f t="shared" si="1"/>
        <v>Clear</v>
      </c>
    </row>
    <row r="62" spans="1:19" x14ac:dyDescent="0.25">
      <c r="A62">
        <v>61</v>
      </c>
      <c r="B62" s="19">
        <v>40546</v>
      </c>
      <c r="C62">
        <v>1</v>
      </c>
      <c r="D62">
        <v>1</v>
      </c>
      <c r="E62">
        <v>15</v>
      </c>
      <c r="F62" t="b">
        <v>0</v>
      </c>
      <c r="G62">
        <v>1</v>
      </c>
      <c r="H62">
        <v>1</v>
      </c>
      <c r="I62">
        <v>0.26</v>
      </c>
      <c r="J62">
        <v>0</v>
      </c>
      <c r="K62">
        <v>0.28789999999999999</v>
      </c>
      <c r="L62">
        <v>0.81</v>
      </c>
      <c r="M62">
        <v>0</v>
      </c>
      <c r="N62">
        <v>3</v>
      </c>
      <c r="O62">
        <v>13</v>
      </c>
      <c r="P62">
        <v>16</v>
      </c>
      <c r="Q62" s="17" t="str">
        <f t="shared" si="2"/>
        <v>Weekdays</v>
      </c>
      <c r="R62" s="17" t="str">
        <f t="shared" si="0"/>
        <v>Afternoon</v>
      </c>
      <c r="S62" s="9" t="str">
        <f t="shared" si="1"/>
        <v>Clear</v>
      </c>
    </row>
    <row r="63" spans="1:19" x14ac:dyDescent="0.25">
      <c r="A63">
        <v>62</v>
      </c>
      <c r="B63" s="19">
        <v>40546</v>
      </c>
      <c r="C63">
        <v>1</v>
      </c>
      <c r="D63">
        <v>1</v>
      </c>
      <c r="E63">
        <v>16</v>
      </c>
      <c r="F63" t="b">
        <v>0</v>
      </c>
      <c r="G63">
        <v>1</v>
      </c>
      <c r="H63">
        <v>1</v>
      </c>
      <c r="I63">
        <v>0.26</v>
      </c>
      <c r="J63">
        <v>0</v>
      </c>
      <c r="K63">
        <v>0.28789999999999999</v>
      </c>
      <c r="L63">
        <v>0.81</v>
      </c>
      <c r="M63">
        <v>0</v>
      </c>
      <c r="N63">
        <v>3</v>
      </c>
      <c r="O63">
        <v>13</v>
      </c>
      <c r="P63">
        <v>16</v>
      </c>
      <c r="Q63" s="17" t="str">
        <f t="shared" si="2"/>
        <v>Weekdays</v>
      </c>
      <c r="R63" s="17" t="str">
        <f t="shared" si="0"/>
        <v>Evening</v>
      </c>
      <c r="S63" s="9" t="str">
        <f t="shared" si="1"/>
        <v>Clear</v>
      </c>
    </row>
    <row r="64" spans="1:19" x14ac:dyDescent="0.25">
      <c r="A64">
        <v>63</v>
      </c>
      <c r="B64" s="19">
        <v>40546</v>
      </c>
      <c r="C64">
        <v>1</v>
      </c>
      <c r="D64">
        <v>1</v>
      </c>
      <c r="E64">
        <v>17</v>
      </c>
      <c r="F64" t="b">
        <v>0</v>
      </c>
      <c r="G64">
        <v>1</v>
      </c>
      <c r="H64">
        <v>1</v>
      </c>
      <c r="I64">
        <v>0.24</v>
      </c>
      <c r="J64">
        <v>0</v>
      </c>
      <c r="K64">
        <v>0.28789999999999999</v>
      </c>
      <c r="L64">
        <v>0.81</v>
      </c>
      <c r="M64">
        <v>0</v>
      </c>
      <c r="N64">
        <v>3</v>
      </c>
      <c r="O64">
        <v>13</v>
      </c>
      <c r="P64">
        <v>16</v>
      </c>
      <c r="Q64" s="17" t="str">
        <f t="shared" si="2"/>
        <v>Weekdays</v>
      </c>
      <c r="R64" s="17" t="str">
        <f t="shared" si="0"/>
        <v>Evening</v>
      </c>
      <c r="S64" s="9" t="str">
        <f t="shared" si="1"/>
        <v>Clear</v>
      </c>
    </row>
    <row r="65" spans="1:19" x14ac:dyDescent="0.25">
      <c r="A65">
        <v>64</v>
      </c>
      <c r="B65" s="19">
        <v>40546</v>
      </c>
      <c r="C65">
        <v>1</v>
      </c>
      <c r="D65">
        <v>1</v>
      </c>
      <c r="E65">
        <v>18</v>
      </c>
      <c r="F65" t="b">
        <v>0</v>
      </c>
      <c r="G65">
        <v>1</v>
      </c>
      <c r="H65">
        <v>1</v>
      </c>
      <c r="I65">
        <v>0.24</v>
      </c>
      <c r="J65">
        <v>0</v>
      </c>
      <c r="K65">
        <v>0.28789999999999999</v>
      </c>
      <c r="L65">
        <v>0.81</v>
      </c>
      <c r="M65">
        <v>0</v>
      </c>
      <c r="N65">
        <v>3</v>
      </c>
      <c r="O65">
        <v>13</v>
      </c>
      <c r="P65">
        <v>16</v>
      </c>
      <c r="Q65" s="17" t="str">
        <f t="shared" si="2"/>
        <v>Weekdays</v>
      </c>
      <c r="R65" s="17" t="str">
        <f t="shared" si="0"/>
        <v>Evening</v>
      </c>
      <c r="S65" s="9" t="str">
        <f t="shared" si="1"/>
        <v>Clear</v>
      </c>
    </row>
    <row r="66" spans="1:19" x14ac:dyDescent="0.25">
      <c r="A66">
        <v>65</v>
      </c>
      <c r="B66" s="19">
        <v>40546</v>
      </c>
      <c r="C66">
        <v>1</v>
      </c>
      <c r="D66">
        <v>1</v>
      </c>
      <c r="E66">
        <v>19</v>
      </c>
      <c r="F66" t="b">
        <v>0</v>
      </c>
      <c r="G66">
        <v>1</v>
      </c>
      <c r="H66">
        <v>1</v>
      </c>
      <c r="I66">
        <v>0.2</v>
      </c>
      <c r="J66">
        <v>0</v>
      </c>
      <c r="K66">
        <v>0.28789999999999999</v>
      </c>
      <c r="L66">
        <v>0.81</v>
      </c>
      <c r="M66">
        <v>0</v>
      </c>
      <c r="N66">
        <v>3</v>
      </c>
      <c r="O66">
        <v>13</v>
      </c>
      <c r="P66">
        <v>16</v>
      </c>
      <c r="Q66" s="17" t="str">
        <f t="shared" si="2"/>
        <v>Weekdays</v>
      </c>
      <c r="R66" s="17" t="str">
        <f t="shared" ref="R66:R129" si="3">IF(E66&lt;12,"Morning",IF(E66&lt;16,"Afternoon",IF(E66&lt;21,"Evening","Night")))</f>
        <v>Evening</v>
      </c>
      <c r="S66" s="9" t="str">
        <f t="shared" ref="S66:S129" si="4">IF(H66=1,"Clear",IF(H66=2,"Mist",IF(H66=3,"Light Snow/Rain","Heavy Rain/Snow")))</f>
        <v>Clear</v>
      </c>
    </row>
    <row r="67" spans="1:19" x14ac:dyDescent="0.25">
      <c r="A67">
        <v>66</v>
      </c>
      <c r="B67" s="19">
        <v>40546</v>
      </c>
      <c r="C67">
        <v>1</v>
      </c>
      <c r="D67">
        <v>1</v>
      </c>
      <c r="E67">
        <v>20</v>
      </c>
      <c r="F67" t="b">
        <v>0</v>
      </c>
      <c r="G67">
        <v>1</v>
      </c>
      <c r="H67">
        <v>1</v>
      </c>
      <c r="I67">
        <v>0.2</v>
      </c>
      <c r="J67">
        <v>0</v>
      </c>
      <c r="K67">
        <v>0.28789999999999999</v>
      </c>
      <c r="L67">
        <v>0.81</v>
      </c>
      <c r="M67">
        <v>0</v>
      </c>
      <c r="N67">
        <v>3</v>
      </c>
      <c r="O67">
        <v>13</v>
      </c>
      <c r="P67">
        <v>16</v>
      </c>
      <c r="Q67" s="17" t="str">
        <f t="shared" ref="Q67:Q130" si="5">IF(G67&gt;=5,"Weekends","Weekdays")</f>
        <v>Weekdays</v>
      </c>
      <c r="R67" s="17" t="str">
        <f t="shared" si="3"/>
        <v>Evening</v>
      </c>
      <c r="S67" s="9" t="str">
        <f t="shared" si="4"/>
        <v>Clear</v>
      </c>
    </row>
    <row r="68" spans="1:19" x14ac:dyDescent="0.25">
      <c r="A68">
        <v>67</v>
      </c>
      <c r="B68" s="19">
        <v>40546</v>
      </c>
      <c r="C68">
        <v>1</v>
      </c>
      <c r="D68">
        <v>1</v>
      </c>
      <c r="E68">
        <v>21</v>
      </c>
      <c r="F68" t="b">
        <v>0</v>
      </c>
      <c r="G68">
        <v>1</v>
      </c>
      <c r="H68">
        <v>1</v>
      </c>
      <c r="I68">
        <v>0.18</v>
      </c>
      <c r="J68">
        <v>0</v>
      </c>
      <c r="K68">
        <v>0.28789999999999999</v>
      </c>
      <c r="L68">
        <v>0.81</v>
      </c>
      <c r="M68">
        <v>0</v>
      </c>
      <c r="N68">
        <v>3</v>
      </c>
      <c r="O68">
        <v>13</v>
      </c>
      <c r="P68">
        <v>16</v>
      </c>
      <c r="Q68" s="17" t="str">
        <f t="shared" si="5"/>
        <v>Weekdays</v>
      </c>
      <c r="R68" s="17" t="str">
        <f t="shared" si="3"/>
        <v>Night</v>
      </c>
      <c r="S68" s="9" t="str">
        <f t="shared" si="4"/>
        <v>Clear</v>
      </c>
    </row>
    <row r="69" spans="1:19" x14ac:dyDescent="0.25">
      <c r="A69">
        <v>68</v>
      </c>
      <c r="B69" s="19">
        <v>40546</v>
      </c>
      <c r="C69">
        <v>1</v>
      </c>
      <c r="D69">
        <v>1</v>
      </c>
      <c r="E69">
        <v>22</v>
      </c>
      <c r="F69" t="b">
        <v>0</v>
      </c>
      <c r="G69">
        <v>1</v>
      </c>
      <c r="H69">
        <v>1</v>
      </c>
      <c r="I69">
        <v>0.14000000000000001</v>
      </c>
      <c r="J69">
        <v>0</v>
      </c>
      <c r="K69">
        <v>0.28789999999999999</v>
      </c>
      <c r="L69">
        <v>0.81</v>
      </c>
      <c r="M69">
        <v>0</v>
      </c>
      <c r="N69">
        <v>3</v>
      </c>
      <c r="O69">
        <v>13</v>
      </c>
      <c r="P69">
        <v>16</v>
      </c>
      <c r="Q69" s="17" t="str">
        <f t="shared" si="5"/>
        <v>Weekdays</v>
      </c>
      <c r="R69" s="17" t="str">
        <f t="shared" si="3"/>
        <v>Night</v>
      </c>
      <c r="S69" s="9" t="str">
        <f t="shared" si="4"/>
        <v>Clear</v>
      </c>
    </row>
    <row r="70" spans="1:19" x14ac:dyDescent="0.25">
      <c r="A70">
        <v>69</v>
      </c>
      <c r="B70" s="19">
        <v>40546</v>
      </c>
      <c r="C70">
        <v>1</v>
      </c>
      <c r="D70">
        <v>1</v>
      </c>
      <c r="E70">
        <v>23</v>
      </c>
      <c r="F70" t="b">
        <v>0</v>
      </c>
      <c r="G70">
        <v>1</v>
      </c>
      <c r="H70">
        <v>1</v>
      </c>
      <c r="I70">
        <v>0.18</v>
      </c>
      <c r="J70">
        <v>0</v>
      </c>
      <c r="K70">
        <v>0.28789999999999999</v>
      </c>
      <c r="L70">
        <v>0.81</v>
      </c>
      <c r="M70">
        <v>0</v>
      </c>
      <c r="N70">
        <v>3</v>
      </c>
      <c r="O70">
        <v>13</v>
      </c>
      <c r="P70">
        <v>16</v>
      </c>
      <c r="Q70" s="17" t="str">
        <f t="shared" si="5"/>
        <v>Weekdays</v>
      </c>
      <c r="R70" s="17" t="str">
        <f t="shared" si="3"/>
        <v>Night</v>
      </c>
      <c r="S70" s="9" t="str">
        <f t="shared" si="4"/>
        <v>Clear</v>
      </c>
    </row>
    <row r="71" spans="1:19" x14ac:dyDescent="0.25">
      <c r="A71">
        <v>70</v>
      </c>
      <c r="B71" s="19">
        <v>40547</v>
      </c>
      <c r="C71">
        <v>1</v>
      </c>
      <c r="D71">
        <v>1</v>
      </c>
      <c r="E71">
        <v>0</v>
      </c>
      <c r="F71" t="b">
        <v>0</v>
      </c>
      <c r="G71">
        <v>2</v>
      </c>
      <c r="H71">
        <v>1</v>
      </c>
      <c r="I71">
        <v>0.16</v>
      </c>
      <c r="J71">
        <v>0</v>
      </c>
      <c r="K71">
        <v>0.28789999999999999</v>
      </c>
      <c r="L71">
        <v>0.81</v>
      </c>
      <c r="M71">
        <v>0</v>
      </c>
      <c r="N71">
        <v>3</v>
      </c>
      <c r="O71">
        <v>13</v>
      </c>
      <c r="P71">
        <v>16</v>
      </c>
      <c r="Q71" s="17" t="str">
        <f t="shared" si="5"/>
        <v>Weekdays</v>
      </c>
      <c r="R71" s="17" t="str">
        <f t="shared" si="3"/>
        <v>Morning</v>
      </c>
      <c r="S71" s="9" t="str">
        <f t="shared" si="4"/>
        <v>Clear</v>
      </c>
    </row>
    <row r="72" spans="1:19" x14ac:dyDescent="0.25">
      <c r="A72">
        <v>71</v>
      </c>
      <c r="B72" s="19">
        <v>40547</v>
      </c>
      <c r="C72">
        <v>1</v>
      </c>
      <c r="D72">
        <v>1</v>
      </c>
      <c r="E72">
        <v>1</v>
      </c>
      <c r="F72" t="b">
        <v>0</v>
      </c>
      <c r="G72">
        <v>2</v>
      </c>
      <c r="H72">
        <v>1</v>
      </c>
      <c r="I72">
        <v>0.16</v>
      </c>
      <c r="J72">
        <v>0</v>
      </c>
      <c r="K72">
        <v>0.28789999999999999</v>
      </c>
      <c r="L72">
        <v>0.81</v>
      </c>
      <c r="M72">
        <v>0</v>
      </c>
      <c r="N72">
        <v>3</v>
      </c>
      <c r="O72">
        <v>13</v>
      </c>
      <c r="P72">
        <v>16</v>
      </c>
      <c r="Q72" s="17" t="str">
        <f t="shared" si="5"/>
        <v>Weekdays</v>
      </c>
      <c r="R72" s="17" t="str">
        <f t="shared" si="3"/>
        <v>Morning</v>
      </c>
      <c r="S72" s="9" t="str">
        <f t="shared" si="4"/>
        <v>Clear</v>
      </c>
    </row>
    <row r="73" spans="1:19" x14ac:dyDescent="0.25">
      <c r="A73">
        <v>72</v>
      </c>
      <c r="B73" s="19">
        <v>40547</v>
      </c>
      <c r="C73">
        <v>1</v>
      </c>
      <c r="D73">
        <v>1</v>
      </c>
      <c r="E73">
        <v>2</v>
      </c>
      <c r="F73" t="b">
        <v>0</v>
      </c>
      <c r="G73">
        <v>2</v>
      </c>
      <c r="H73">
        <v>1</v>
      </c>
      <c r="I73">
        <v>0.14000000000000001</v>
      </c>
      <c r="J73">
        <v>0</v>
      </c>
      <c r="K73">
        <v>0.28789999999999999</v>
      </c>
      <c r="L73">
        <v>0.81</v>
      </c>
      <c r="M73">
        <v>0</v>
      </c>
      <c r="N73">
        <v>3</v>
      </c>
      <c r="O73">
        <v>13</v>
      </c>
      <c r="P73">
        <v>16</v>
      </c>
      <c r="Q73" s="17" t="str">
        <f t="shared" si="5"/>
        <v>Weekdays</v>
      </c>
      <c r="R73" s="17" t="str">
        <f t="shared" si="3"/>
        <v>Morning</v>
      </c>
      <c r="S73" s="9" t="str">
        <f t="shared" si="4"/>
        <v>Clear</v>
      </c>
    </row>
    <row r="74" spans="1:19" x14ac:dyDescent="0.25">
      <c r="A74">
        <v>73</v>
      </c>
      <c r="B74" s="19">
        <v>40547</v>
      </c>
      <c r="C74">
        <v>1</v>
      </c>
      <c r="D74">
        <v>1</v>
      </c>
      <c r="E74">
        <v>4</v>
      </c>
      <c r="F74" t="b">
        <v>0</v>
      </c>
      <c r="G74">
        <v>2</v>
      </c>
      <c r="H74">
        <v>1</v>
      </c>
      <c r="I74">
        <v>0.14000000000000001</v>
      </c>
      <c r="J74">
        <v>0</v>
      </c>
      <c r="K74">
        <v>0.28789999999999999</v>
      </c>
      <c r="L74">
        <v>0.81</v>
      </c>
      <c r="M74">
        <v>0</v>
      </c>
      <c r="N74">
        <v>3</v>
      </c>
      <c r="O74">
        <v>13</v>
      </c>
      <c r="P74">
        <v>16</v>
      </c>
      <c r="Q74" s="17" t="str">
        <f t="shared" si="5"/>
        <v>Weekdays</v>
      </c>
      <c r="R74" s="17" t="str">
        <f t="shared" si="3"/>
        <v>Morning</v>
      </c>
      <c r="S74" s="9" t="str">
        <f t="shared" si="4"/>
        <v>Clear</v>
      </c>
    </row>
    <row r="75" spans="1:19" x14ac:dyDescent="0.25">
      <c r="A75">
        <v>74</v>
      </c>
      <c r="B75" s="19">
        <v>40547</v>
      </c>
      <c r="C75">
        <v>1</v>
      </c>
      <c r="D75">
        <v>1</v>
      </c>
      <c r="E75">
        <v>5</v>
      </c>
      <c r="F75" t="b">
        <v>0</v>
      </c>
      <c r="G75">
        <v>2</v>
      </c>
      <c r="H75">
        <v>1</v>
      </c>
      <c r="I75">
        <v>0.12</v>
      </c>
      <c r="J75">
        <v>0</v>
      </c>
      <c r="K75">
        <v>0.28789999999999999</v>
      </c>
      <c r="L75">
        <v>0.81</v>
      </c>
      <c r="M75">
        <v>0</v>
      </c>
      <c r="N75">
        <v>3</v>
      </c>
      <c r="O75">
        <v>13</v>
      </c>
      <c r="P75">
        <v>16</v>
      </c>
      <c r="Q75" s="17" t="str">
        <f t="shared" si="5"/>
        <v>Weekdays</v>
      </c>
      <c r="R75" s="17" t="str">
        <f t="shared" si="3"/>
        <v>Morning</v>
      </c>
      <c r="S75" s="9" t="str">
        <f t="shared" si="4"/>
        <v>Clear</v>
      </c>
    </row>
    <row r="76" spans="1:19" x14ac:dyDescent="0.25">
      <c r="A76">
        <v>75</v>
      </c>
      <c r="B76" s="19">
        <v>40547</v>
      </c>
      <c r="C76">
        <v>1</v>
      </c>
      <c r="D76">
        <v>1</v>
      </c>
      <c r="E76">
        <v>6</v>
      </c>
      <c r="F76" t="b">
        <v>0</v>
      </c>
      <c r="G76">
        <v>2</v>
      </c>
      <c r="H76">
        <v>1</v>
      </c>
      <c r="I76">
        <v>0.12</v>
      </c>
      <c r="J76">
        <v>0</v>
      </c>
      <c r="K76">
        <v>0.28789999999999999</v>
      </c>
      <c r="L76">
        <v>0.81</v>
      </c>
      <c r="M76">
        <v>0</v>
      </c>
      <c r="N76">
        <v>3</v>
      </c>
      <c r="O76">
        <v>13</v>
      </c>
      <c r="P76">
        <v>16</v>
      </c>
      <c r="Q76" s="17" t="str">
        <f t="shared" si="5"/>
        <v>Weekdays</v>
      </c>
      <c r="R76" s="17" t="str">
        <f t="shared" si="3"/>
        <v>Morning</v>
      </c>
      <c r="S76" s="9" t="str">
        <f t="shared" si="4"/>
        <v>Clear</v>
      </c>
    </row>
    <row r="77" spans="1:19" x14ac:dyDescent="0.25">
      <c r="A77">
        <v>76</v>
      </c>
      <c r="B77" s="19">
        <v>40547</v>
      </c>
      <c r="C77">
        <v>1</v>
      </c>
      <c r="D77">
        <v>1</v>
      </c>
      <c r="E77">
        <v>7</v>
      </c>
      <c r="F77" t="b">
        <v>0</v>
      </c>
      <c r="G77">
        <v>2</v>
      </c>
      <c r="H77">
        <v>1</v>
      </c>
      <c r="I77">
        <v>0.12</v>
      </c>
      <c r="J77">
        <v>0</v>
      </c>
      <c r="K77">
        <v>0.28789999999999999</v>
      </c>
      <c r="L77">
        <v>0.81</v>
      </c>
      <c r="M77">
        <v>0</v>
      </c>
      <c r="N77">
        <v>3</v>
      </c>
      <c r="O77">
        <v>13</v>
      </c>
      <c r="P77">
        <v>16</v>
      </c>
      <c r="Q77" s="17" t="str">
        <f t="shared" si="5"/>
        <v>Weekdays</v>
      </c>
      <c r="R77" s="17" t="str">
        <f t="shared" si="3"/>
        <v>Morning</v>
      </c>
      <c r="S77" s="9" t="str">
        <f t="shared" si="4"/>
        <v>Clear</v>
      </c>
    </row>
    <row r="78" spans="1:19" x14ac:dyDescent="0.25">
      <c r="A78">
        <v>77</v>
      </c>
      <c r="B78" s="19">
        <v>40547</v>
      </c>
      <c r="C78">
        <v>1</v>
      </c>
      <c r="D78">
        <v>1</v>
      </c>
      <c r="E78">
        <v>8</v>
      </c>
      <c r="F78" t="b">
        <v>0</v>
      </c>
      <c r="G78">
        <v>2</v>
      </c>
      <c r="H78">
        <v>1</v>
      </c>
      <c r="I78">
        <v>0.14000000000000001</v>
      </c>
      <c r="J78">
        <v>0</v>
      </c>
      <c r="K78">
        <v>0.28789999999999999</v>
      </c>
      <c r="L78">
        <v>0.81</v>
      </c>
      <c r="M78">
        <v>0</v>
      </c>
      <c r="N78">
        <v>3</v>
      </c>
      <c r="O78">
        <v>13</v>
      </c>
      <c r="P78">
        <v>16</v>
      </c>
      <c r="Q78" s="17" t="str">
        <f t="shared" si="5"/>
        <v>Weekdays</v>
      </c>
      <c r="R78" s="17" t="str">
        <f t="shared" si="3"/>
        <v>Morning</v>
      </c>
      <c r="S78" s="9" t="str">
        <f t="shared" si="4"/>
        <v>Clear</v>
      </c>
    </row>
    <row r="79" spans="1:19" x14ac:dyDescent="0.25">
      <c r="A79">
        <v>78</v>
      </c>
      <c r="B79" s="19">
        <v>40547</v>
      </c>
      <c r="C79">
        <v>1</v>
      </c>
      <c r="D79">
        <v>1</v>
      </c>
      <c r="E79">
        <v>9</v>
      </c>
      <c r="F79" t="b">
        <v>0</v>
      </c>
      <c r="G79">
        <v>2</v>
      </c>
      <c r="H79">
        <v>1</v>
      </c>
      <c r="I79">
        <v>0.16</v>
      </c>
      <c r="J79">
        <v>0</v>
      </c>
      <c r="K79">
        <v>0.28789999999999999</v>
      </c>
      <c r="L79">
        <v>0.81</v>
      </c>
      <c r="M79">
        <v>0</v>
      </c>
      <c r="N79">
        <v>3</v>
      </c>
      <c r="O79">
        <v>13</v>
      </c>
      <c r="P79">
        <v>16</v>
      </c>
      <c r="Q79" s="17" t="str">
        <f t="shared" si="5"/>
        <v>Weekdays</v>
      </c>
      <c r="R79" s="17" t="str">
        <f t="shared" si="3"/>
        <v>Morning</v>
      </c>
      <c r="S79" s="9" t="str">
        <f t="shared" si="4"/>
        <v>Clear</v>
      </c>
    </row>
    <row r="80" spans="1:19" x14ac:dyDescent="0.25">
      <c r="A80">
        <v>79</v>
      </c>
      <c r="B80" s="19">
        <v>40547</v>
      </c>
      <c r="C80">
        <v>1</v>
      </c>
      <c r="D80">
        <v>1</v>
      </c>
      <c r="E80">
        <v>10</v>
      </c>
      <c r="F80" t="b">
        <v>0</v>
      </c>
      <c r="G80">
        <v>2</v>
      </c>
      <c r="H80">
        <v>2</v>
      </c>
      <c r="I80">
        <v>0.16</v>
      </c>
      <c r="J80">
        <v>0</v>
      </c>
      <c r="K80">
        <v>0.28789999999999999</v>
      </c>
      <c r="L80">
        <v>0.81</v>
      </c>
      <c r="M80">
        <v>0</v>
      </c>
      <c r="N80">
        <v>3</v>
      </c>
      <c r="O80">
        <v>13</v>
      </c>
      <c r="P80">
        <v>16</v>
      </c>
      <c r="Q80" s="17" t="str">
        <f t="shared" si="5"/>
        <v>Weekdays</v>
      </c>
      <c r="R80" s="17" t="str">
        <f t="shared" si="3"/>
        <v>Morning</v>
      </c>
      <c r="S80" s="9" t="str">
        <f t="shared" si="4"/>
        <v>Mist</v>
      </c>
    </row>
    <row r="81" spans="1:19" x14ac:dyDescent="0.25">
      <c r="A81">
        <v>80</v>
      </c>
      <c r="B81" s="19">
        <v>40547</v>
      </c>
      <c r="C81">
        <v>1</v>
      </c>
      <c r="D81">
        <v>1</v>
      </c>
      <c r="E81">
        <v>11</v>
      </c>
      <c r="F81" t="b">
        <v>0</v>
      </c>
      <c r="G81">
        <v>2</v>
      </c>
      <c r="H81">
        <v>1</v>
      </c>
      <c r="I81">
        <v>0.22</v>
      </c>
      <c r="J81">
        <v>0</v>
      </c>
      <c r="K81">
        <v>0.28789999999999999</v>
      </c>
      <c r="L81">
        <v>0.81</v>
      </c>
      <c r="M81">
        <v>0</v>
      </c>
      <c r="N81">
        <v>3</v>
      </c>
      <c r="O81">
        <v>13</v>
      </c>
      <c r="P81">
        <v>16</v>
      </c>
      <c r="Q81" s="17" t="str">
        <f t="shared" si="5"/>
        <v>Weekdays</v>
      </c>
      <c r="R81" s="17" t="str">
        <f t="shared" si="3"/>
        <v>Morning</v>
      </c>
      <c r="S81" s="9" t="str">
        <f t="shared" si="4"/>
        <v>Clear</v>
      </c>
    </row>
    <row r="82" spans="1:19" x14ac:dyDescent="0.25">
      <c r="A82">
        <v>81</v>
      </c>
      <c r="B82" s="19">
        <v>40547</v>
      </c>
      <c r="C82">
        <v>1</v>
      </c>
      <c r="D82">
        <v>1</v>
      </c>
      <c r="E82">
        <v>12</v>
      </c>
      <c r="F82" t="b">
        <v>0</v>
      </c>
      <c r="G82">
        <v>2</v>
      </c>
      <c r="H82">
        <v>1</v>
      </c>
      <c r="I82">
        <v>0.22</v>
      </c>
      <c r="J82">
        <v>0</v>
      </c>
      <c r="K82">
        <v>0.28789999999999999</v>
      </c>
      <c r="L82">
        <v>0.81</v>
      </c>
      <c r="M82">
        <v>0</v>
      </c>
      <c r="N82">
        <v>3</v>
      </c>
      <c r="O82">
        <v>13</v>
      </c>
      <c r="P82">
        <v>16</v>
      </c>
      <c r="Q82" s="17" t="str">
        <f t="shared" si="5"/>
        <v>Weekdays</v>
      </c>
      <c r="R82" s="17" t="str">
        <f t="shared" si="3"/>
        <v>Afternoon</v>
      </c>
      <c r="S82" s="9" t="str">
        <f t="shared" si="4"/>
        <v>Clear</v>
      </c>
    </row>
    <row r="83" spans="1:19" x14ac:dyDescent="0.25">
      <c r="A83">
        <v>82</v>
      </c>
      <c r="B83" s="19">
        <v>40547</v>
      </c>
      <c r="C83">
        <v>1</v>
      </c>
      <c r="D83">
        <v>1</v>
      </c>
      <c r="E83">
        <v>13</v>
      </c>
      <c r="F83" t="b">
        <v>0</v>
      </c>
      <c r="G83">
        <v>2</v>
      </c>
      <c r="H83">
        <v>1</v>
      </c>
      <c r="I83">
        <v>0.24</v>
      </c>
      <c r="J83">
        <v>0</v>
      </c>
      <c r="K83">
        <v>0.28789999999999999</v>
      </c>
      <c r="L83">
        <v>0.81</v>
      </c>
      <c r="M83">
        <v>0</v>
      </c>
      <c r="N83">
        <v>3</v>
      </c>
      <c r="O83">
        <v>13</v>
      </c>
      <c r="P83">
        <v>16</v>
      </c>
      <c r="Q83" s="17" t="str">
        <f t="shared" si="5"/>
        <v>Weekdays</v>
      </c>
      <c r="R83" s="17" t="str">
        <f t="shared" si="3"/>
        <v>Afternoon</v>
      </c>
      <c r="S83" s="9" t="str">
        <f t="shared" si="4"/>
        <v>Clear</v>
      </c>
    </row>
    <row r="84" spans="1:19" x14ac:dyDescent="0.25">
      <c r="A84">
        <v>83</v>
      </c>
      <c r="B84" s="19">
        <v>40547</v>
      </c>
      <c r="C84">
        <v>1</v>
      </c>
      <c r="D84">
        <v>1</v>
      </c>
      <c r="E84">
        <v>14</v>
      </c>
      <c r="F84" t="b">
        <v>0</v>
      </c>
      <c r="G84">
        <v>2</v>
      </c>
      <c r="H84">
        <v>1</v>
      </c>
      <c r="I84">
        <v>0.26</v>
      </c>
      <c r="J84">
        <v>0</v>
      </c>
      <c r="K84">
        <v>0.28789999999999999</v>
      </c>
      <c r="L84">
        <v>0.81</v>
      </c>
      <c r="M84">
        <v>0</v>
      </c>
      <c r="N84">
        <v>3</v>
      </c>
      <c r="O84">
        <v>13</v>
      </c>
      <c r="P84">
        <v>16</v>
      </c>
      <c r="Q84" s="17" t="str">
        <f t="shared" si="5"/>
        <v>Weekdays</v>
      </c>
      <c r="R84" s="17" t="str">
        <f t="shared" si="3"/>
        <v>Afternoon</v>
      </c>
      <c r="S84" s="9" t="str">
        <f t="shared" si="4"/>
        <v>Clear</v>
      </c>
    </row>
    <row r="85" spans="1:19" x14ac:dyDescent="0.25">
      <c r="A85">
        <v>84</v>
      </c>
      <c r="B85" s="19">
        <v>40547</v>
      </c>
      <c r="C85">
        <v>1</v>
      </c>
      <c r="D85">
        <v>1</v>
      </c>
      <c r="E85">
        <v>15</v>
      </c>
      <c r="F85" t="b">
        <v>0</v>
      </c>
      <c r="G85">
        <v>2</v>
      </c>
      <c r="H85">
        <v>1</v>
      </c>
      <c r="I85">
        <v>0.28000000000000003</v>
      </c>
      <c r="J85">
        <v>0</v>
      </c>
      <c r="K85">
        <v>0.28789999999999999</v>
      </c>
      <c r="L85">
        <v>0.81</v>
      </c>
      <c r="M85">
        <v>0</v>
      </c>
      <c r="N85">
        <v>3</v>
      </c>
      <c r="O85">
        <v>13</v>
      </c>
      <c r="P85">
        <v>16</v>
      </c>
      <c r="Q85" s="17" t="str">
        <f t="shared" si="5"/>
        <v>Weekdays</v>
      </c>
      <c r="R85" s="17" t="str">
        <f t="shared" si="3"/>
        <v>Afternoon</v>
      </c>
      <c r="S85" s="9" t="str">
        <f t="shared" si="4"/>
        <v>Clear</v>
      </c>
    </row>
    <row r="86" spans="1:19" x14ac:dyDescent="0.25">
      <c r="A86">
        <v>85</v>
      </c>
      <c r="B86" s="19">
        <v>40547</v>
      </c>
      <c r="C86">
        <v>1</v>
      </c>
      <c r="D86">
        <v>1</v>
      </c>
      <c r="E86">
        <v>16</v>
      </c>
      <c r="F86" t="b">
        <v>0</v>
      </c>
      <c r="G86">
        <v>2</v>
      </c>
      <c r="H86">
        <v>1</v>
      </c>
      <c r="I86">
        <v>0.3</v>
      </c>
      <c r="J86">
        <v>0</v>
      </c>
      <c r="K86">
        <v>0.28789999999999999</v>
      </c>
      <c r="L86">
        <v>0.81</v>
      </c>
      <c r="M86">
        <v>0</v>
      </c>
      <c r="N86">
        <v>3</v>
      </c>
      <c r="O86">
        <v>13</v>
      </c>
      <c r="P86">
        <v>16</v>
      </c>
      <c r="Q86" s="17" t="str">
        <f t="shared" si="5"/>
        <v>Weekdays</v>
      </c>
      <c r="R86" s="17" t="str">
        <f t="shared" si="3"/>
        <v>Evening</v>
      </c>
      <c r="S86" s="9" t="str">
        <f t="shared" si="4"/>
        <v>Clear</v>
      </c>
    </row>
    <row r="87" spans="1:19" x14ac:dyDescent="0.25">
      <c r="A87">
        <v>86</v>
      </c>
      <c r="B87" s="19">
        <v>40547</v>
      </c>
      <c r="C87">
        <v>1</v>
      </c>
      <c r="D87">
        <v>1</v>
      </c>
      <c r="E87">
        <v>17</v>
      </c>
      <c r="F87" t="b">
        <v>0</v>
      </c>
      <c r="G87">
        <v>2</v>
      </c>
      <c r="H87">
        <v>1</v>
      </c>
      <c r="I87">
        <v>0.28000000000000003</v>
      </c>
      <c r="J87">
        <v>0</v>
      </c>
      <c r="K87">
        <v>0.28789999999999999</v>
      </c>
      <c r="L87">
        <v>0.81</v>
      </c>
      <c r="M87">
        <v>0</v>
      </c>
      <c r="N87">
        <v>3</v>
      </c>
      <c r="O87">
        <v>13</v>
      </c>
      <c r="P87">
        <v>16</v>
      </c>
      <c r="Q87" s="17" t="str">
        <f t="shared" si="5"/>
        <v>Weekdays</v>
      </c>
      <c r="R87" s="17" t="str">
        <f t="shared" si="3"/>
        <v>Evening</v>
      </c>
      <c r="S87" s="9" t="str">
        <f t="shared" si="4"/>
        <v>Clear</v>
      </c>
    </row>
    <row r="88" spans="1:19" x14ac:dyDescent="0.25">
      <c r="A88">
        <v>87</v>
      </c>
      <c r="B88" s="19">
        <v>40547</v>
      </c>
      <c r="C88">
        <v>1</v>
      </c>
      <c r="D88">
        <v>1</v>
      </c>
      <c r="E88">
        <v>18</v>
      </c>
      <c r="F88" t="b">
        <v>0</v>
      </c>
      <c r="G88">
        <v>2</v>
      </c>
      <c r="H88">
        <v>1</v>
      </c>
      <c r="I88">
        <v>0.26</v>
      </c>
      <c r="J88">
        <v>0</v>
      </c>
      <c r="K88">
        <v>0.28789999999999999</v>
      </c>
      <c r="L88">
        <v>0.81</v>
      </c>
      <c r="M88">
        <v>0</v>
      </c>
      <c r="N88">
        <v>3</v>
      </c>
      <c r="O88">
        <v>13</v>
      </c>
      <c r="P88">
        <v>16</v>
      </c>
      <c r="Q88" s="17" t="str">
        <f t="shared" si="5"/>
        <v>Weekdays</v>
      </c>
      <c r="R88" s="17" t="str">
        <f t="shared" si="3"/>
        <v>Evening</v>
      </c>
      <c r="S88" s="9" t="str">
        <f t="shared" si="4"/>
        <v>Clear</v>
      </c>
    </row>
    <row r="89" spans="1:19" x14ac:dyDescent="0.25">
      <c r="A89">
        <v>88</v>
      </c>
      <c r="B89" s="19">
        <v>40547</v>
      </c>
      <c r="C89">
        <v>1</v>
      </c>
      <c r="D89">
        <v>1</v>
      </c>
      <c r="E89">
        <v>19</v>
      </c>
      <c r="F89" t="b">
        <v>0</v>
      </c>
      <c r="G89">
        <v>2</v>
      </c>
      <c r="H89">
        <v>1</v>
      </c>
      <c r="I89">
        <v>0.24</v>
      </c>
      <c r="J89">
        <v>0</v>
      </c>
      <c r="K89">
        <v>0.28789999999999999</v>
      </c>
      <c r="L89">
        <v>0.81</v>
      </c>
      <c r="M89">
        <v>0</v>
      </c>
      <c r="N89">
        <v>3</v>
      </c>
      <c r="O89">
        <v>13</v>
      </c>
      <c r="P89">
        <v>16</v>
      </c>
      <c r="Q89" s="17" t="str">
        <f t="shared" si="5"/>
        <v>Weekdays</v>
      </c>
      <c r="R89" s="17" t="str">
        <f t="shared" si="3"/>
        <v>Evening</v>
      </c>
      <c r="S89" s="9" t="str">
        <f t="shared" si="4"/>
        <v>Clear</v>
      </c>
    </row>
    <row r="90" spans="1:19" x14ac:dyDescent="0.25">
      <c r="A90">
        <v>89</v>
      </c>
      <c r="B90" s="19">
        <v>40547</v>
      </c>
      <c r="C90">
        <v>1</v>
      </c>
      <c r="D90">
        <v>1</v>
      </c>
      <c r="E90">
        <v>20</v>
      </c>
      <c r="F90" t="b">
        <v>0</v>
      </c>
      <c r="G90">
        <v>2</v>
      </c>
      <c r="H90">
        <v>1</v>
      </c>
      <c r="I90">
        <v>0.24</v>
      </c>
      <c r="J90">
        <v>0</v>
      </c>
      <c r="K90">
        <v>0.28789999999999999</v>
      </c>
      <c r="L90">
        <v>0.81</v>
      </c>
      <c r="M90">
        <v>0</v>
      </c>
      <c r="N90">
        <v>3</v>
      </c>
      <c r="O90">
        <v>13</v>
      </c>
      <c r="P90">
        <v>16</v>
      </c>
      <c r="Q90" s="17" t="str">
        <f t="shared" si="5"/>
        <v>Weekdays</v>
      </c>
      <c r="R90" s="17" t="str">
        <f t="shared" si="3"/>
        <v>Evening</v>
      </c>
      <c r="S90" s="9" t="str">
        <f t="shared" si="4"/>
        <v>Clear</v>
      </c>
    </row>
    <row r="91" spans="1:19" x14ac:dyDescent="0.25">
      <c r="A91">
        <v>90</v>
      </c>
      <c r="B91" s="19">
        <v>40547</v>
      </c>
      <c r="C91">
        <v>1</v>
      </c>
      <c r="D91">
        <v>1</v>
      </c>
      <c r="E91">
        <v>21</v>
      </c>
      <c r="F91" t="b">
        <v>0</v>
      </c>
      <c r="G91">
        <v>2</v>
      </c>
      <c r="H91">
        <v>1</v>
      </c>
      <c r="I91">
        <v>0.22</v>
      </c>
      <c r="J91">
        <v>0</v>
      </c>
      <c r="K91">
        <v>0.28789999999999999</v>
      </c>
      <c r="L91">
        <v>0.81</v>
      </c>
      <c r="M91">
        <v>0</v>
      </c>
      <c r="N91">
        <v>3</v>
      </c>
      <c r="O91">
        <v>13</v>
      </c>
      <c r="P91">
        <v>16</v>
      </c>
      <c r="Q91" s="17" t="str">
        <f t="shared" si="5"/>
        <v>Weekdays</v>
      </c>
      <c r="R91" s="17" t="str">
        <f t="shared" si="3"/>
        <v>Night</v>
      </c>
      <c r="S91" s="9" t="str">
        <f t="shared" si="4"/>
        <v>Clear</v>
      </c>
    </row>
    <row r="92" spans="1:19" x14ac:dyDescent="0.25">
      <c r="A92">
        <v>91</v>
      </c>
      <c r="B92" s="19">
        <v>40547</v>
      </c>
      <c r="C92">
        <v>1</v>
      </c>
      <c r="D92">
        <v>1</v>
      </c>
      <c r="E92">
        <v>22</v>
      </c>
      <c r="F92" t="b">
        <v>0</v>
      </c>
      <c r="G92">
        <v>2</v>
      </c>
      <c r="H92">
        <v>1</v>
      </c>
      <c r="I92">
        <v>0.22</v>
      </c>
      <c r="J92">
        <v>0</v>
      </c>
      <c r="K92">
        <v>0.28789999999999999</v>
      </c>
      <c r="L92">
        <v>0.81</v>
      </c>
      <c r="M92">
        <v>0</v>
      </c>
      <c r="N92">
        <v>3</v>
      </c>
      <c r="O92">
        <v>13</v>
      </c>
      <c r="P92">
        <v>16</v>
      </c>
      <c r="Q92" s="17" t="str">
        <f t="shared" si="5"/>
        <v>Weekdays</v>
      </c>
      <c r="R92" s="17" t="str">
        <f t="shared" si="3"/>
        <v>Night</v>
      </c>
      <c r="S92" s="9" t="str">
        <f t="shared" si="4"/>
        <v>Clear</v>
      </c>
    </row>
    <row r="93" spans="1:19" x14ac:dyDescent="0.25">
      <c r="A93">
        <v>92</v>
      </c>
      <c r="B93" s="19">
        <v>40547</v>
      </c>
      <c r="C93">
        <v>1</v>
      </c>
      <c r="D93">
        <v>1</v>
      </c>
      <c r="E93">
        <v>23</v>
      </c>
      <c r="F93" t="b">
        <v>0</v>
      </c>
      <c r="G93">
        <v>2</v>
      </c>
      <c r="H93">
        <v>1</v>
      </c>
      <c r="I93">
        <v>0.2</v>
      </c>
      <c r="J93">
        <v>0</v>
      </c>
      <c r="K93">
        <v>0.28789999999999999</v>
      </c>
      <c r="L93">
        <v>0.81</v>
      </c>
      <c r="M93">
        <v>0</v>
      </c>
      <c r="N93">
        <v>3</v>
      </c>
      <c r="O93">
        <v>13</v>
      </c>
      <c r="P93">
        <v>16</v>
      </c>
      <c r="Q93" s="17" t="str">
        <f t="shared" si="5"/>
        <v>Weekdays</v>
      </c>
      <c r="R93" s="17" t="str">
        <f t="shared" si="3"/>
        <v>Night</v>
      </c>
      <c r="S93" s="9" t="str">
        <f t="shared" si="4"/>
        <v>Clear</v>
      </c>
    </row>
    <row r="94" spans="1:19" x14ac:dyDescent="0.25">
      <c r="A94">
        <v>93</v>
      </c>
      <c r="B94" s="19">
        <v>40548</v>
      </c>
      <c r="C94">
        <v>1</v>
      </c>
      <c r="D94">
        <v>1</v>
      </c>
      <c r="E94">
        <v>0</v>
      </c>
      <c r="F94" t="b">
        <v>0</v>
      </c>
      <c r="G94">
        <v>3</v>
      </c>
      <c r="H94">
        <v>1</v>
      </c>
      <c r="I94">
        <v>0.2</v>
      </c>
      <c r="J94">
        <v>0</v>
      </c>
      <c r="K94">
        <v>0.28789999999999999</v>
      </c>
      <c r="L94">
        <v>0.81</v>
      </c>
      <c r="M94">
        <v>0</v>
      </c>
      <c r="N94">
        <v>3</v>
      </c>
      <c r="O94">
        <v>13</v>
      </c>
      <c r="P94">
        <v>16</v>
      </c>
      <c r="Q94" s="17" t="str">
        <f t="shared" si="5"/>
        <v>Weekdays</v>
      </c>
      <c r="R94" s="17" t="str">
        <f t="shared" si="3"/>
        <v>Morning</v>
      </c>
      <c r="S94" s="9" t="str">
        <f t="shared" si="4"/>
        <v>Clear</v>
      </c>
    </row>
    <row r="95" spans="1:19" x14ac:dyDescent="0.25">
      <c r="A95">
        <v>94</v>
      </c>
      <c r="B95" s="19">
        <v>40548</v>
      </c>
      <c r="C95">
        <v>1</v>
      </c>
      <c r="D95">
        <v>1</v>
      </c>
      <c r="E95">
        <v>1</v>
      </c>
      <c r="F95" t="b">
        <v>0</v>
      </c>
      <c r="G95">
        <v>3</v>
      </c>
      <c r="H95">
        <v>1</v>
      </c>
      <c r="I95">
        <v>0.16</v>
      </c>
      <c r="J95">
        <v>0</v>
      </c>
      <c r="K95">
        <v>0.28789999999999999</v>
      </c>
      <c r="L95">
        <v>0.81</v>
      </c>
      <c r="M95">
        <v>0</v>
      </c>
      <c r="N95">
        <v>3</v>
      </c>
      <c r="O95">
        <v>13</v>
      </c>
      <c r="P95">
        <v>16</v>
      </c>
      <c r="Q95" s="17" t="str">
        <f t="shared" si="5"/>
        <v>Weekdays</v>
      </c>
      <c r="R95" s="17" t="str">
        <f t="shared" si="3"/>
        <v>Morning</v>
      </c>
      <c r="S95" s="9" t="str">
        <f t="shared" si="4"/>
        <v>Clear</v>
      </c>
    </row>
    <row r="96" spans="1:19" x14ac:dyDescent="0.25">
      <c r="A96">
        <v>95</v>
      </c>
      <c r="B96" s="19">
        <v>40548</v>
      </c>
      <c r="C96">
        <v>1</v>
      </c>
      <c r="D96">
        <v>1</v>
      </c>
      <c r="E96">
        <v>2</v>
      </c>
      <c r="F96" t="b">
        <v>0</v>
      </c>
      <c r="G96">
        <v>3</v>
      </c>
      <c r="H96">
        <v>1</v>
      </c>
      <c r="I96">
        <v>0.16</v>
      </c>
      <c r="J96">
        <v>0</v>
      </c>
      <c r="K96">
        <v>0.28789999999999999</v>
      </c>
      <c r="L96">
        <v>0.81</v>
      </c>
      <c r="M96">
        <v>0</v>
      </c>
      <c r="N96">
        <v>3</v>
      </c>
      <c r="O96">
        <v>13</v>
      </c>
      <c r="P96">
        <v>16</v>
      </c>
      <c r="Q96" s="17" t="str">
        <f t="shared" si="5"/>
        <v>Weekdays</v>
      </c>
      <c r="R96" s="17" t="str">
        <f t="shared" si="3"/>
        <v>Morning</v>
      </c>
      <c r="S96" s="9" t="str">
        <f t="shared" si="4"/>
        <v>Clear</v>
      </c>
    </row>
    <row r="97" spans="1:19" x14ac:dyDescent="0.25">
      <c r="A97">
        <v>96</v>
      </c>
      <c r="B97" s="19">
        <v>40548</v>
      </c>
      <c r="C97">
        <v>1</v>
      </c>
      <c r="D97">
        <v>1</v>
      </c>
      <c r="E97">
        <v>4</v>
      </c>
      <c r="F97" t="b">
        <v>0</v>
      </c>
      <c r="G97">
        <v>3</v>
      </c>
      <c r="H97">
        <v>1</v>
      </c>
      <c r="I97">
        <v>0.24</v>
      </c>
      <c r="J97">
        <v>0</v>
      </c>
      <c r="K97">
        <v>0.28789999999999999</v>
      </c>
      <c r="L97">
        <v>0.81</v>
      </c>
      <c r="M97">
        <v>0</v>
      </c>
      <c r="N97">
        <v>3</v>
      </c>
      <c r="O97">
        <v>13</v>
      </c>
      <c r="P97">
        <v>16</v>
      </c>
      <c r="Q97" s="17" t="str">
        <f t="shared" si="5"/>
        <v>Weekdays</v>
      </c>
      <c r="R97" s="17" t="str">
        <f t="shared" si="3"/>
        <v>Morning</v>
      </c>
      <c r="S97" s="9" t="str">
        <f t="shared" si="4"/>
        <v>Clear</v>
      </c>
    </row>
    <row r="98" spans="1:19" x14ac:dyDescent="0.25">
      <c r="A98">
        <v>97</v>
      </c>
      <c r="B98" s="19">
        <v>40548</v>
      </c>
      <c r="C98">
        <v>1</v>
      </c>
      <c r="D98">
        <v>1</v>
      </c>
      <c r="E98">
        <v>5</v>
      </c>
      <c r="F98" t="b">
        <v>0</v>
      </c>
      <c r="G98">
        <v>3</v>
      </c>
      <c r="H98">
        <v>1</v>
      </c>
      <c r="I98">
        <v>0.22</v>
      </c>
      <c r="J98">
        <v>0</v>
      </c>
      <c r="K98">
        <v>0.28789999999999999</v>
      </c>
      <c r="L98">
        <v>0.81</v>
      </c>
      <c r="M98">
        <v>0</v>
      </c>
      <c r="N98">
        <v>3</v>
      </c>
      <c r="O98">
        <v>13</v>
      </c>
      <c r="P98">
        <v>16</v>
      </c>
      <c r="Q98" s="17" t="str">
        <f t="shared" si="5"/>
        <v>Weekdays</v>
      </c>
      <c r="R98" s="17" t="str">
        <f t="shared" si="3"/>
        <v>Morning</v>
      </c>
      <c r="S98" s="9" t="str">
        <f t="shared" si="4"/>
        <v>Clear</v>
      </c>
    </row>
    <row r="99" spans="1:19" x14ac:dyDescent="0.25">
      <c r="A99">
        <v>98</v>
      </c>
      <c r="B99" s="19">
        <v>40548</v>
      </c>
      <c r="C99">
        <v>1</v>
      </c>
      <c r="D99">
        <v>1</v>
      </c>
      <c r="E99">
        <v>6</v>
      </c>
      <c r="F99" t="b">
        <v>0</v>
      </c>
      <c r="G99">
        <v>3</v>
      </c>
      <c r="H99">
        <v>1</v>
      </c>
      <c r="I99">
        <v>0.2</v>
      </c>
      <c r="J99">
        <v>0</v>
      </c>
      <c r="K99">
        <v>0.28789999999999999</v>
      </c>
      <c r="L99">
        <v>0.81</v>
      </c>
      <c r="M99">
        <v>0</v>
      </c>
      <c r="N99">
        <v>3</v>
      </c>
      <c r="O99">
        <v>13</v>
      </c>
      <c r="P99">
        <v>16</v>
      </c>
      <c r="Q99" s="17" t="str">
        <f t="shared" si="5"/>
        <v>Weekdays</v>
      </c>
      <c r="R99" s="17" t="str">
        <f t="shared" si="3"/>
        <v>Morning</v>
      </c>
      <c r="S99" s="9" t="str">
        <f t="shared" si="4"/>
        <v>Clear</v>
      </c>
    </row>
    <row r="100" spans="1:19" x14ac:dyDescent="0.25">
      <c r="A100">
        <v>99</v>
      </c>
      <c r="B100" s="19">
        <v>40548</v>
      </c>
      <c r="C100">
        <v>1</v>
      </c>
      <c r="D100">
        <v>1</v>
      </c>
      <c r="E100">
        <v>7</v>
      </c>
      <c r="F100" t="b">
        <v>0</v>
      </c>
      <c r="G100">
        <v>3</v>
      </c>
      <c r="H100">
        <v>1</v>
      </c>
      <c r="I100">
        <v>0.18</v>
      </c>
      <c r="J100">
        <v>0</v>
      </c>
      <c r="K100">
        <v>0.28789999999999999</v>
      </c>
      <c r="L100">
        <v>0.81</v>
      </c>
      <c r="M100">
        <v>0</v>
      </c>
      <c r="N100">
        <v>3</v>
      </c>
      <c r="O100">
        <v>13</v>
      </c>
      <c r="P100">
        <v>16</v>
      </c>
      <c r="Q100" s="17" t="str">
        <f t="shared" si="5"/>
        <v>Weekdays</v>
      </c>
      <c r="R100" s="17" t="str">
        <f t="shared" si="3"/>
        <v>Morning</v>
      </c>
      <c r="S100" s="9" t="str">
        <f t="shared" si="4"/>
        <v>Clear</v>
      </c>
    </row>
    <row r="101" spans="1:19" x14ac:dyDescent="0.25">
      <c r="A101">
        <v>100</v>
      </c>
      <c r="B101" s="19">
        <v>40548</v>
      </c>
      <c r="C101">
        <v>1</v>
      </c>
      <c r="D101">
        <v>1</v>
      </c>
      <c r="E101">
        <v>8</v>
      </c>
      <c r="F101" t="b">
        <v>0</v>
      </c>
      <c r="G101">
        <v>3</v>
      </c>
      <c r="H101">
        <v>1</v>
      </c>
      <c r="I101">
        <v>0.2</v>
      </c>
      <c r="J101">
        <v>0</v>
      </c>
      <c r="K101">
        <v>0.28789999999999999</v>
      </c>
      <c r="L101">
        <v>0.81</v>
      </c>
      <c r="M101">
        <v>0</v>
      </c>
      <c r="N101">
        <v>3</v>
      </c>
      <c r="O101">
        <v>13</v>
      </c>
      <c r="P101">
        <v>16</v>
      </c>
      <c r="Q101" s="17" t="str">
        <f t="shared" si="5"/>
        <v>Weekdays</v>
      </c>
      <c r="R101" s="17" t="str">
        <f t="shared" si="3"/>
        <v>Morning</v>
      </c>
      <c r="S101" s="9" t="str">
        <f t="shared" si="4"/>
        <v>Clear</v>
      </c>
    </row>
    <row r="102" spans="1:19" x14ac:dyDescent="0.25">
      <c r="A102">
        <v>101</v>
      </c>
      <c r="B102" s="19">
        <v>40548</v>
      </c>
      <c r="C102">
        <v>1</v>
      </c>
      <c r="D102">
        <v>1</v>
      </c>
      <c r="E102">
        <v>9</v>
      </c>
      <c r="F102" t="b">
        <v>0</v>
      </c>
      <c r="G102">
        <v>3</v>
      </c>
      <c r="H102">
        <v>1</v>
      </c>
      <c r="I102">
        <v>0.22</v>
      </c>
      <c r="J102">
        <v>0</v>
      </c>
      <c r="K102">
        <v>0.28789999999999999</v>
      </c>
      <c r="L102">
        <v>0.81</v>
      </c>
      <c r="M102">
        <v>0</v>
      </c>
      <c r="N102">
        <v>3</v>
      </c>
      <c r="O102">
        <v>13</v>
      </c>
      <c r="P102">
        <v>16</v>
      </c>
      <c r="Q102" s="17" t="str">
        <f t="shared" si="5"/>
        <v>Weekdays</v>
      </c>
      <c r="R102" s="17" t="str">
        <f t="shared" si="3"/>
        <v>Morning</v>
      </c>
      <c r="S102" s="9" t="str">
        <f t="shared" si="4"/>
        <v>Clear</v>
      </c>
    </row>
    <row r="103" spans="1:19" x14ac:dyDescent="0.25">
      <c r="A103">
        <v>102</v>
      </c>
      <c r="B103" s="19">
        <v>40548</v>
      </c>
      <c r="C103">
        <v>1</v>
      </c>
      <c r="D103">
        <v>1</v>
      </c>
      <c r="E103">
        <v>10</v>
      </c>
      <c r="F103" t="b">
        <v>0</v>
      </c>
      <c r="G103">
        <v>3</v>
      </c>
      <c r="H103">
        <v>1</v>
      </c>
      <c r="I103">
        <v>0.22</v>
      </c>
      <c r="J103">
        <v>0</v>
      </c>
      <c r="K103">
        <v>0.28789999999999999</v>
      </c>
      <c r="L103">
        <v>0.81</v>
      </c>
      <c r="M103">
        <v>0</v>
      </c>
      <c r="N103">
        <v>3</v>
      </c>
      <c r="O103">
        <v>13</v>
      </c>
      <c r="P103">
        <v>16</v>
      </c>
      <c r="Q103" s="17" t="str">
        <f t="shared" si="5"/>
        <v>Weekdays</v>
      </c>
      <c r="R103" s="17" t="str">
        <f t="shared" si="3"/>
        <v>Morning</v>
      </c>
      <c r="S103" s="9" t="str">
        <f t="shared" si="4"/>
        <v>Clear</v>
      </c>
    </row>
    <row r="104" spans="1:19" x14ac:dyDescent="0.25">
      <c r="A104">
        <v>103</v>
      </c>
      <c r="B104" s="19">
        <v>40548</v>
      </c>
      <c r="C104">
        <v>1</v>
      </c>
      <c r="D104">
        <v>1</v>
      </c>
      <c r="E104">
        <v>11</v>
      </c>
      <c r="F104" t="b">
        <v>0</v>
      </c>
      <c r="G104">
        <v>3</v>
      </c>
      <c r="H104">
        <v>1</v>
      </c>
      <c r="I104">
        <v>0.26</v>
      </c>
      <c r="J104">
        <v>0</v>
      </c>
      <c r="K104">
        <v>0.28789999999999999</v>
      </c>
      <c r="L104">
        <v>0.81</v>
      </c>
      <c r="M104">
        <v>0</v>
      </c>
      <c r="N104">
        <v>3</v>
      </c>
      <c r="O104">
        <v>13</v>
      </c>
      <c r="P104">
        <v>16</v>
      </c>
      <c r="Q104" s="17" t="str">
        <f t="shared" si="5"/>
        <v>Weekdays</v>
      </c>
      <c r="R104" s="17" t="str">
        <f t="shared" si="3"/>
        <v>Morning</v>
      </c>
      <c r="S104" s="9" t="str">
        <f t="shared" si="4"/>
        <v>Clear</v>
      </c>
    </row>
    <row r="105" spans="1:19" x14ac:dyDescent="0.25">
      <c r="A105">
        <v>104</v>
      </c>
      <c r="B105" s="19">
        <v>40548</v>
      </c>
      <c r="C105">
        <v>1</v>
      </c>
      <c r="D105">
        <v>1</v>
      </c>
      <c r="E105">
        <v>12</v>
      </c>
      <c r="F105" t="b">
        <v>0</v>
      </c>
      <c r="G105">
        <v>3</v>
      </c>
      <c r="H105">
        <v>1</v>
      </c>
      <c r="I105">
        <v>0.26</v>
      </c>
      <c r="J105">
        <v>0</v>
      </c>
      <c r="K105">
        <v>0.28789999999999999</v>
      </c>
      <c r="L105">
        <v>0.81</v>
      </c>
      <c r="M105">
        <v>0</v>
      </c>
      <c r="N105">
        <v>3</v>
      </c>
      <c r="O105">
        <v>13</v>
      </c>
      <c r="P105">
        <v>16</v>
      </c>
      <c r="Q105" s="17" t="str">
        <f t="shared" si="5"/>
        <v>Weekdays</v>
      </c>
      <c r="R105" s="17" t="str">
        <f t="shared" si="3"/>
        <v>Afternoon</v>
      </c>
      <c r="S105" s="9" t="str">
        <f t="shared" si="4"/>
        <v>Clear</v>
      </c>
    </row>
    <row r="106" spans="1:19" x14ac:dyDescent="0.25">
      <c r="A106">
        <v>105</v>
      </c>
      <c r="B106" s="19">
        <v>40548</v>
      </c>
      <c r="C106">
        <v>1</v>
      </c>
      <c r="D106">
        <v>1</v>
      </c>
      <c r="E106">
        <v>13</v>
      </c>
      <c r="F106" t="b">
        <v>0</v>
      </c>
      <c r="G106">
        <v>3</v>
      </c>
      <c r="H106">
        <v>1</v>
      </c>
      <c r="I106">
        <v>0.28000000000000003</v>
      </c>
      <c r="J106">
        <v>0</v>
      </c>
      <c r="K106">
        <v>0.28789999999999999</v>
      </c>
      <c r="L106">
        <v>0.81</v>
      </c>
      <c r="M106">
        <v>0</v>
      </c>
      <c r="N106">
        <v>3</v>
      </c>
      <c r="O106">
        <v>13</v>
      </c>
      <c r="P106">
        <v>16</v>
      </c>
      <c r="Q106" s="17" t="str">
        <f t="shared" si="5"/>
        <v>Weekdays</v>
      </c>
      <c r="R106" s="17" t="str">
        <f t="shared" si="3"/>
        <v>Afternoon</v>
      </c>
      <c r="S106" s="9" t="str">
        <f t="shared" si="4"/>
        <v>Clear</v>
      </c>
    </row>
    <row r="107" spans="1:19" x14ac:dyDescent="0.25">
      <c r="A107">
        <v>106</v>
      </c>
      <c r="B107" s="19">
        <v>40548</v>
      </c>
      <c r="C107">
        <v>1</v>
      </c>
      <c r="D107">
        <v>1</v>
      </c>
      <c r="E107">
        <v>14</v>
      </c>
      <c r="F107" t="b">
        <v>0</v>
      </c>
      <c r="G107">
        <v>3</v>
      </c>
      <c r="H107">
        <v>1</v>
      </c>
      <c r="I107">
        <v>0.3</v>
      </c>
      <c r="J107">
        <v>0</v>
      </c>
      <c r="K107">
        <v>0.28789999999999999</v>
      </c>
      <c r="L107">
        <v>0.81</v>
      </c>
      <c r="M107">
        <v>0</v>
      </c>
      <c r="N107">
        <v>3</v>
      </c>
      <c r="O107">
        <v>13</v>
      </c>
      <c r="P107">
        <v>16</v>
      </c>
      <c r="Q107" s="17" t="str">
        <f t="shared" si="5"/>
        <v>Weekdays</v>
      </c>
      <c r="R107" s="17" t="str">
        <f t="shared" si="3"/>
        <v>Afternoon</v>
      </c>
      <c r="S107" s="9" t="str">
        <f t="shared" si="4"/>
        <v>Clear</v>
      </c>
    </row>
    <row r="108" spans="1:19" x14ac:dyDescent="0.25">
      <c r="A108">
        <v>107</v>
      </c>
      <c r="B108" s="19">
        <v>40548</v>
      </c>
      <c r="C108">
        <v>1</v>
      </c>
      <c r="D108">
        <v>1</v>
      </c>
      <c r="E108">
        <v>15</v>
      </c>
      <c r="F108" t="b">
        <v>0</v>
      </c>
      <c r="G108">
        <v>3</v>
      </c>
      <c r="H108">
        <v>1</v>
      </c>
      <c r="I108">
        <v>0.3</v>
      </c>
      <c r="J108">
        <v>0</v>
      </c>
      <c r="K108">
        <v>0.28789999999999999</v>
      </c>
      <c r="L108">
        <v>0.81</v>
      </c>
      <c r="M108">
        <v>0</v>
      </c>
      <c r="N108">
        <v>3</v>
      </c>
      <c r="O108">
        <v>13</v>
      </c>
      <c r="P108">
        <v>16</v>
      </c>
      <c r="Q108" s="17" t="str">
        <f t="shared" si="5"/>
        <v>Weekdays</v>
      </c>
      <c r="R108" s="17" t="str">
        <f t="shared" si="3"/>
        <v>Afternoon</v>
      </c>
      <c r="S108" s="9" t="str">
        <f t="shared" si="4"/>
        <v>Clear</v>
      </c>
    </row>
    <row r="109" spans="1:19" x14ac:dyDescent="0.25">
      <c r="A109">
        <v>108</v>
      </c>
      <c r="B109" s="19">
        <v>40548</v>
      </c>
      <c r="C109">
        <v>1</v>
      </c>
      <c r="D109">
        <v>1</v>
      </c>
      <c r="E109">
        <v>16</v>
      </c>
      <c r="F109" t="b">
        <v>0</v>
      </c>
      <c r="G109">
        <v>3</v>
      </c>
      <c r="H109">
        <v>1</v>
      </c>
      <c r="I109">
        <v>0.3</v>
      </c>
      <c r="J109">
        <v>0</v>
      </c>
      <c r="K109">
        <v>0.28789999999999999</v>
      </c>
      <c r="L109">
        <v>0.81</v>
      </c>
      <c r="M109">
        <v>0</v>
      </c>
      <c r="N109">
        <v>3</v>
      </c>
      <c r="O109">
        <v>13</v>
      </c>
      <c r="P109">
        <v>16</v>
      </c>
      <c r="Q109" s="17" t="str">
        <f t="shared" si="5"/>
        <v>Weekdays</v>
      </c>
      <c r="R109" s="17" t="str">
        <f t="shared" si="3"/>
        <v>Evening</v>
      </c>
      <c r="S109" s="9" t="str">
        <f t="shared" si="4"/>
        <v>Clear</v>
      </c>
    </row>
    <row r="110" spans="1:19" x14ac:dyDescent="0.25">
      <c r="A110">
        <v>109</v>
      </c>
      <c r="B110" s="19">
        <v>40548</v>
      </c>
      <c r="C110">
        <v>1</v>
      </c>
      <c r="D110">
        <v>1</v>
      </c>
      <c r="E110">
        <v>17</v>
      </c>
      <c r="F110" t="b">
        <v>0</v>
      </c>
      <c r="G110">
        <v>3</v>
      </c>
      <c r="H110">
        <v>1</v>
      </c>
      <c r="I110">
        <v>0.24</v>
      </c>
      <c r="J110">
        <v>0</v>
      </c>
      <c r="K110">
        <v>0.28789999999999999</v>
      </c>
      <c r="L110">
        <v>0.81</v>
      </c>
      <c r="M110">
        <v>0</v>
      </c>
      <c r="N110">
        <v>3</v>
      </c>
      <c r="O110">
        <v>13</v>
      </c>
      <c r="P110">
        <v>16</v>
      </c>
      <c r="Q110" s="17" t="str">
        <f t="shared" si="5"/>
        <v>Weekdays</v>
      </c>
      <c r="R110" s="17" t="str">
        <f t="shared" si="3"/>
        <v>Evening</v>
      </c>
      <c r="S110" s="9" t="str">
        <f t="shared" si="4"/>
        <v>Clear</v>
      </c>
    </row>
    <row r="111" spans="1:19" x14ac:dyDescent="0.25">
      <c r="A111">
        <v>110</v>
      </c>
      <c r="B111" s="19">
        <v>40548</v>
      </c>
      <c r="C111">
        <v>1</v>
      </c>
      <c r="D111">
        <v>1</v>
      </c>
      <c r="E111">
        <v>18</v>
      </c>
      <c r="F111" t="b">
        <v>0</v>
      </c>
      <c r="G111">
        <v>3</v>
      </c>
      <c r="H111">
        <v>1</v>
      </c>
      <c r="I111">
        <v>0.24</v>
      </c>
      <c r="J111">
        <v>0</v>
      </c>
      <c r="K111">
        <v>0.28789999999999999</v>
      </c>
      <c r="L111">
        <v>0.81</v>
      </c>
      <c r="M111">
        <v>0</v>
      </c>
      <c r="N111">
        <v>3</v>
      </c>
      <c r="O111">
        <v>13</v>
      </c>
      <c r="P111">
        <v>16</v>
      </c>
      <c r="Q111" s="17" t="str">
        <f t="shared" si="5"/>
        <v>Weekdays</v>
      </c>
      <c r="R111" s="17" t="str">
        <f t="shared" si="3"/>
        <v>Evening</v>
      </c>
      <c r="S111" s="9" t="str">
        <f t="shared" si="4"/>
        <v>Clear</v>
      </c>
    </row>
    <row r="112" spans="1:19" x14ac:dyDescent="0.25">
      <c r="A112">
        <v>111</v>
      </c>
      <c r="B112" s="19">
        <v>40548</v>
      </c>
      <c r="C112">
        <v>1</v>
      </c>
      <c r="D112">
        <v>1</v>
      </c>
      <c r="E112">
        <v>19</v>
      </c>
      <c r="F112" t="b">
        <v>0</v>
      </c>
      <c r="G112">
        <v>3</v>
      </c>
      <c r="H112">
        <v>1</v>
      </c>
      <c r="I112">
        <v>0.24</v>
      </c>
      <c r="J112">
        <v>0</v>
      </c>
      <c r="K112">
        <v>0.28789999999999999</v>
      </c>
      <c r="L112">
        <v>0.81</v>
      </c>
      <c r="M112">
        <v>0</v>
      </c>
      <c r="N112">
        <v>3</v>
      </c>
      <c r="O112">
        <v>13</v>
      </c>
      <c r="P112">
        <v>16</v>
      </c>
      <c r="Q112" s="17" t="str">
        <f t="shared" si="5"/>
        <v>Weekdays</v>
      </c>
      <c r="R112" s="17" t="str">
        <f t="shared" si="3"/>
        <v>Evening</v>
      </c>
      <c r="S112" s="9" t="str">
        <f t="shared" si="4"/>
        <v>Clear</v>
      </c>
    </row>
    <row r="113" spans="1:19" x14ac:dyDescent="0.25">
      <c r="A113">
        <v>112</v>
      </c>
      <c r="B113" s="19">
        <v>40548</v>
      </c>
      <c r="C113">
        <v>1</v>
      </c>
      <c r="D113">
        <v>1</v>
      </c>
      <c r="E113">
        <v>20</v>
      </c>
      <c r="F113" t="b">
        <v>0</v>
      </c>
      <c r="G113">
        <v>3</v>
      </c>
      <c r="H113">
        <v>1</v>
      </c>
      <c r="I113">
        <v>0.22</v>
      </c>
      <c r="J113">
        <v>0</v>
      </c>
      <c r="K113">
        <v>0.28789999999999999</v>
      </c>
      <c r="L113">
        <v>0.81</v>
      </c>
      <c r="M113">
        <v>0</v>
      </c>
      <c r="N113">
        <v>3</v>
      </c>
      <c r="O113">
        <v>13</v>
      </c>
      <c r="P113">
        <v>16</v>
      </c>
      <c r="Q113" s="17" t="str">
        <f t="shared" si="5"/>
        <v>Weekdays</v>
      </c>
      <c r="R113" s="17" t="str">
        <f t="shared" si="3"/>
        <v>Evening</v>
      </c>
      <c r="S113" s="9" t="str">
        <f t="shared" si="4"/>
        <v>Clear</v>
      </c>
    </row>
    <row r="114" spans="1:19" x14ac:dyDescent="0.25">
      <c r="A114">
        <v>113</v>
      </c>
      <c r="B114" s="19">
        <v>40548</v>
      </c>
      <c r="C114">
        <v>1</v>
      </c>
      <c r="D114">
        <v>1</v>
      </c>
      <c r="E114">
        <v>21</v>
      </c>
      <c r="F114" t="b">
        <v>0</v>
      </c>
      <c r="G114">
        <v>3</v>
      </c>
      <c r="H114">
        <v>1</v>
      </c>
      <c r="I114">
        <v>0.2</v>
      </c>
      <c r="J114">
        <v>0</v>
      </c>
      <c r="K114">
        <v>0.28789999999999999</v>
      </c>
      <c r="L114">
        <v>0.81</v>
      </c>
      <c r="M114">
        <v>0</v>
      </c>
      <c r="N114">
        <v>3</v>
      </c>
      <c r="O114">
        <v>13</v>
      </c>
      <c r="P114">
        <v>16</v>
      </c>
      <c r="Q114" s="17" t="str">
        <f t="shared" si="5"/>
        <v>Weekdays</v>
      </c>
      <c r="R114" s="17" t="str">
        <f t="shared" si="3"/>
        <v>Night</v>
      </c>
      <c r="S114" s="9" t="str">
        <f t="shared" si="4"/>
        <v>Clear</v>
      </c>
    </row>
    <row r="115" spans="1:19" x14ac:dyDescent="0.25">
      <c r="A115">
        <v>114</v>
      </c>
      <c r="B115" s="19">
        <v>40548</v>
      </c>
      <c r="C115">
        <v>1</v>
      </c>
      <c r="D115">
        <v>1</v>
      </c>
      <c r="E115">
        <v>22</v>
      </c>
      <c r="F115" t="b">
        <v>0</v>
      </c>
      <c r="G115">
        <v>3</v>
      </c>
      <c r="H115">
        <v>1</v>
      </c>
      <c r="I115">
        <v>0.18</v>
      </c>
      <c r="J115">
        <v>0</v>
      </c>
      <c r="K115">
        <v>0.28789999999999999</v>
      </c>
      <c r="L115">
        <v>0.81</v>
      </c>
      <c r="M115">
        <v>0</v>
      </c>
      <c r="N115">
        <v>3</v>
      </c>
      <c r="O115">
        <v>13</v>
      </c>
      <c r="P115">
        <v>16</v>
      </c>
      <c r="Q115" s="17" t="str">
        <f t="shared" si="5"/>
        <v>Weekdays</v>
      </c>
      <c r="R115" s="17" t="str">
        <f t="shared" si="3"/>
        <v>Night</v>
      </c>
      <c r="S115" s="9" t="str">
        <f t="shared" si="4"/>
        <v>Clear</v>
      </c>
    </row>
    <row r="116" spans="1:19" x14ac:dyDescent="0.25">
      <c r="A116">
        <v>115</v>
      </c>
      <c r="B116" s="19">
        <v>40548</v>
      </c>
      <c r="C116">
        <v>1</v>
      </c>
      <c r="D116">
        <v>1</v>
      </c>
      <c r="E116">
        <v>23</v>
      </c>
      <c r="F116" t="b">
        <v>0</v>
      </c>
      <c r="G116">
        <v>3</v>
      </c>
      <c r="H116">
        <v>1</v>
      </c>
      <c r="I116">
        <v>0.2</v>
      </c>
      <c r="J116">
        <v>0</v>
      </c>
      <c r="K116">
        <v>0.28789999999999999</v>
      </c>
      <c r="L116">
        <v>0.81</v>
      </c>
      <c r="M116">
        <v>0</v>
      </c>
      <c r="N116">
        <v>3</v>
      </c>
      <c r="O116">
        <v>13</v>
      </c>
      <c r="P116">
        <v>16</v>
      </c>
      <c r="Q116" s="17" t="str">
        <f t="shared" si="5"/>
        <v>Weekdays</v>
      </c>
      <c r="R116" s="17" t="str">
        <f t="shared" si="3"/>
        <v>Night</v>
      </c>
      <c r="S116" s="9" t="str">
        <f t="shared" si="4"/>
        <v>Clear</v>
      </c>
    </row>
    <row r="117" spans="1:19" x14ac:dyDescent="0.25">
      <c r="A117">
        <v>116</v>
      </c>
      <c r="B117" s="19">
        <v>40549</v>
      </c>
      <c r="C117">
        <v>1</v>
      </c>
      <c r="D117">
        <v>1</v>
      </c>
      <c r="E117">
        <v>0</v>
      </c>
      <c r="F117" t="b">
        <v>0</v>
      </c>
      <c r="G117">
        <v>4</v>
      </c>
      <c r="H117">
        <v>1</v>
      </c>
      <c r="I117">
        <v>0.18</v>
      </c>
      <c r="J117">
        <v>0</v>
      </c>
      <c r="K117">
        <v>0.28789999999999999</v>
      </c>
      <c r="L117">
        <v>0.81</v>
      </c>
      <c r="M117">
        <v>0</v>
      </c>
      <c r="N117">
        <v>3</v>
      </c>
      <c r="O117">
        <v>13</v>
      </c>
      <c r="P117">
        <v>16</v>
      </c>
      <c r="Q117" s="17" t="str">
        <f t="shared" si="5"/>
        <v>Weekdays</v>
      </c>
      <c r="R117" s="17" t="str">
        <f t="shared" si="3"/>
        <v>Morning</v>
      </c>
      <c r="S117" s="9" t="str">
        <f t="shared" si="4"/>
        <v>Clear</v>
      </c>
    </row>
    <row r="118" spans="1:19" x14ac:dyDescent="0.25">
      <c r="A118">
        <v>117</v>
      </c>
      <c r="B118" s="19">
        <v>40549</v>
      </c>
      <c r="C118">
        <v>1</v>
      </c>
      <c r="D118">
        <v>1</v>
      </c>
      <c r="E118">
        <v>1</v>
      </c>
      <c r="F118" t="b">
        <v>0</v>
      </c>
      <c r="G118">
        <v>4</v>
      </c>
      <c r="H118">
        <v>1</v>
      </c>
      <c r="I118">
        <v>0.16</v>
      </c>
      <c r="J118">
        <v>0</v>
      </c>
      <c r="K118">
        <v>0.28789999999999999</v>
      </c>
      <c r="L118">
        <v>0.81</v>
      </c>
      <c r="M118">
        <v>0</v>
      </c>
      <c r="N118">
        <v>3</v>
      </c>
      <c r="O118">
        <v>13</v>
      </c>
      <c r="P118">
        <v>16</v>
      </c>
      <c r="Q118" s="17" t="str">
        <f t="shared" si="5"/>
        <v>Weekdays</v>
      </c>
      <c r="R118" s="17" t="str">
        <f t="shared" si="3"/>
        <v>Morning</v>
      </c>
      <c r="S118" s="9" t="str">
        <f t="shared" si="4"/>
        <v>Clear</v>
      </c>
    </row>
    <row r="119" spans="1:19" x14ac:dyDescent="0.25">
      <c r="A119">
        <v>118</v>
      </c>
      <c r="B119" s="19">
        <v>40549</v>
      </c>
      <c r="C119">
        <v>1</v>
      </c>
      <c r="D119">
        <v>1</v>
      </c>
      <c r="E119">
        <v>2</v>
      </c>
      <c r="F119" t="b">
        <v>0</v>
      </c>
      <c r="G119">
        <v>4</v>
      </c>
      <c r="H119">
        <v>1</v>
      </c>
      <c r="I119">
        <v>0.16</v>
      </c>
      <c r="J119">
        <v>0</v>
      </c>
      <c r="K119">
        <v>0.28789999999999999</v>
      </c>
      <c r="L119">
        <v>0.81</v>
      </c>
      <c r="M119">
        <v>0</v>
      </c>
      <c r="N119">
        <v>3</v>
      </c>
      <c r="O119">
        <v>13</v>
      </c>
      <c r="P119">
        <v>16</v>
      </c>
      <c r="Q119" s="17" t="str">
        <f t="shared" si="5"/>
        <v>Weekdays</v>
      </c>
      <c r="R119" s="17" t="str">
        <f t="shared" si="3"/>
        <v>Morning</v>
      </c>
      <c r="S119" s="9" t="str">
        <f t="shared" si="4"/>
        <v>Clear</v>
      </c>
    </row>
    <row r="120" spans="1:19" x14ac:dyDescent="0.25">
      <c r="A120">
        <v>119</v>
      </c>
      <c r="B120" s="19">
        <v>40549</v>
      </c>
      <c r="C120">
        <v>1</v>
      </c>
      <c r="D120">
        <v>1</v>
      </c>
      <c r="E120">
        <v>4</v>
      </c>
      <c r="F120" t="b">
        <v>0</v>
      </c>
      <c r="G120">
        <v>4</v>
      </c>
      <c r="H120">
        <v>2</v>
      </c>
      <c r="I120">
        <v>0.16</v>
      </c>
      <c r="J120">
        <v>0</v>
      </c>
      <c r="K120">
        <v>0.28789999999999999</v>
      </c>
      <c r="L120">
        <v>0.81</v>
      </c>
      <c r="M120">
        <v>0</v>
      </c>
      <c r="N120">
        <v>3</v>
      </c>
      <c r="O120">
        <v>13</v>
      </c>
      <c r="P120">
        <v>16</v>
      </c>
      <c r="Q120" s="17" t="str">
        <f t="shared" si="5"/>
        <v>Weekdays</v>
      </c>
      <c r="R120" s="17" t="str">
        <f t="shared" si="3"/>
        <v>Morning</v>
      </c>
      <c r="S120" s="9" t="str">
        <f t="shared" si="4"/>
        <v>Mist</v>
      </c>
    </row>
    <row r="121" spans="1:19" x14ac:dyDescent="0.25">
      <c r="A121">
        <v>120</v>
      </c>
      <c r="B121" s="19">
        <v>40549</v>
      </c>
      <c r="C121">
        <v>1</v>
      </c>
      <c r="D121">
        <v>1</v>
      </c>
      <c r="E121">
        <v>5</v>
      </c>
      <c r="F121" t="b">
        <v>0</v>
      </c>
      <c r="G121">
        <v>4</v>
      </c>
      <c r="H121">
        <v>2</v>
      </c>
      <c r="I121">
        <v>0.14000000000000001</v>
      </c>
      <c r="J121">
        <v>0</v>
      </c>
      <c r="K121">
        <v>0.28789999999999999</v>
      </c>
      <c r="L121">
        <v>0.81</v>
      </c>
      <c r="M121">
        <v>0</v>
      </c>
      <c r="N121">
        <v>3</v>
      </c>
      <c r="O121">
        <v>13</v>
      </c>
      <c r="P121">
        <v>16</v>
      </c>
      <c r="Q121" s="17" t="str">
        <f t="shared" si="5"/>
        <v>Weekdays</v>
      </c>
      <c r="R121" s="17" t="str">
        <f t="shared" si="3"/>
        <v>Morning</v>
      </c>
      <c r="S121" s="9" t="str">
        <f t="shared" si="4"/>
        <v>Mist</v>
      </c>
    </row>
    <row r="122" spans="1:19" x14ac:dyDescent="0.25">
      <c r="A122">
        <v>121</v>
      </c>
      <c r="B122" s="19">
        <v>40549</v>
      </c>
      <c r="C122">
        <v>1</v>
      </c>
      <c r="D122">
        <v>1</v>
      </c>
      <c r="E122">
        <v>6</v>
      </c>
      <c r="F122" t="b">
        <v>0</v>
      </c>
      <c r="G122">
        <v>4</v>
      </c>
      <c r="H122">
        <v>2</v>
      </c>
      <c r="I122">
        <v>0.14000000000000001</v>
      </c>
      <c r="J122">
        <v>0</v>
      </c>
      <c r="K122">
        <v>0.28789999999999999</v>
      </c>
      <c r="L122">
        <v>0.81</v>
      </c>
      <c r="M122">
        <v>0</v>
      </c>
      <c r="N122">
        <v>3</v>
      </c>
      <c r="O122">
        <v>13</v>
      </c>
      <c r="P122">
        <v>16</v>
      </c>
      <c r="Q122" s="17" t="str">
        <f t="shared" si="5"/>
        <v>Weekdays</v>
      </c>
      <c r="R122" s="17" t="str">
        <f t="shared" si="3"/>
        <v>Morning</v>
      </c>
      <c r="S122" s="9" t="str">
        <f t="shared" si="4"/>
        <v>Mist</v>
      </c>
    </row>
    <row r="123" spans="1:19" x14ac:dyDescent="0.25">
      <c r="A123">
        <v>122</v>
      </c>
      <c r="B123" s="19">
        <v>40549</v>
      </c>
      <c r="C123">
        <v>1</v>
      </c>
      <c r="D123">
        <v>1</v>
      </c>
      <c r="E123">
        <v>7</v>
      </c>
      <c r="F123" t="b">
        <v>0</v>
      </c>
      <c r="G123">
        <v>4</v>
      </c>
      <c r="H123">
        <v>2</v>
      </c>
      <c r="I123">
        <v>0.16</v>
      </c>
      <c r="J123">
        <v>0</v>
      </c>
      <c r="K123">
        <v>0.28789999999999999</v>
      </c>
      <c r="L123">
        <v>0.81</v>
      </c>
      <c r="M123">
        <v>0</v>
      </c>
      <c r="N123">
        <v>3</v>
      </c>
      <c r="O123">
        <v>13</v>
      </c>
      <c r="P123">
        <v>16</v>
      </c>
      <c r="Q123" s="17" t="str">
        <f t="shared" si="5"/>
        <v>Weekdays</v>
      </c>
      <c r="R123" s="17" t="str">
        <f t="shared" si="3"/>
        <v>Morning</v>
      </c>
      <c r="S123" s="9" t="str">
        <f t="shared" si="4"/>
        <v>Mist</v>
      </c>
    </row>
    <row r="124" spans="1:19" x14ac:dyDescent="0.25">
      <c r="A124">
        <v>123</v>
      </c>
      <c r="B124" s="19">
        <v>40549</v>
      </c>
      <c r="C124">
        <v>1</v>
      </c>
      <c r="D124">
        <v>1</v>
      </c>
      <c r="E124">
        <v>8</v>
      </c>
      <c r="F124" t="b">
        <v>0</v>
      </c>
      <c r="G124">
        <v>4</v>
      </c>
      <c r="H124">
        <v>1</v>
      </c>
      <c r="I124">
        <v>0.16</v>
      </c>
      <c r="J124">
        <v>0</v>
      </c>
      <c r="K124">
        <v>0.28789999999999999</v>
      </c>
      <c r="L124">
        <v>0.81</v>
      </c>
      <c r="M124">
        <v>0</v>
      </c>
      <c r="N124">
        <v>3</v>
      </c>
      <c r="O124">
        <v>13</v>
      </c>
      <c r="P124">
        <v>16</v>
      </c>
      <c r="Q124" s="17" t="str">
        <f t="shared" si="5"/>
        <v>Weekdays</v>
      </c>
      <c r="R124" s="17" t="str">
        <f t="shared" si="3"/>
        <v>Morning</v>
      </c>
      <c r="S124" s="9" t="str">
        <f t="shared" si="4"/>
        <v>Clear</v>
      </c>
    </row>
    <row r="125" spans="1:19" x14ac:dyDescent="0.25">
      <c r="A125">
        <v>124</v>
      </c>
      <c r="B125" s="19">
        <v>40549</v>
      </c>
      <c r="C125">
        <v>1</v>
      </c>
      <c r="D125">
        <v>1</v>
      </c>
      <c r="E125">
        <v>9</v>
      </c>
      <c r="F125" t="b">
        <v>0</v>
      </c>
      <c r="G125">
        <v>4</v>
      </c>
      <c r="H125">
        <v>2</v>
      </c>
      <c r="I125">
        <v>0.18</v>
      </c>
      <c r="J125">
        <v>0</v>
      </c>
      <c r="K125">
        <v>0.28789999999999999</v>
      </c>
      <c r="L125">
        <v>0.81</v>
      </c>
      <c r="M125">
        <v>0</v>
      </c>
      <c r="N125">
        <v>3</v>
      </c>
      <c r="O125">
        <v>13</v>
      </c>
      <c r="P125">
        <v>16</v>
      </c>
      <c r="Q125" s="17" t="str">
        <f t="shared" si="5"/>
        <v>Weekdays</v>
      </c>
      <c r="R125" s="17" t="str">
        <f t="shared" si="3"/>
        <v>Morning</v>
      </c>
      <c r="S125" s="9" t="str">
        <f t="shared" si="4"/>
        <v>Mist</v>
      </c>
    </row>
    <row r="126" spans="1:19" x14ac:dyDescent="0.25">
      <c r="A126">
        <v>125</v>
      </c>
      <c r="B126" s="19">
        <v>40549</v>
      </c>
      <c r="C126">
        <v>1</v>
      </c>
      <c r="D126">
        <v>1</v>
      </c>
      <c r="E126">
        <v>10</v>
      </c>
      <c r="F126" t="b">
        <v>0</v>
      </c>
      <c r="G126">
        <v>4</v>
      </c>
      <c r="H126">
        <v>1</v>
      </c>
      <c r="I126">
        <v>0.2</v>
      </c>
      <c r="J126">
        <v>0</v>
      </c>
      <c r="K126">
        <v>0.28789999999999999</v>
      </c>
      <c r="L126">
        <v>0.81</v>
      </c>
      <c r="M126">
        <v>0</v>
      </c>
      <c r="N126">
        <v>3</v>
      </c>
      <c r="O126">
        <v>13</v>
      </c>
      <c r="P126">
        <v>16</v>
      </c>
      <c r="Q126" s="17" t="str">
        <f t="shared" si="5"/>
        <v>Weekdays</v>
      </c>
      <c r="R126" s="17" t="str">
        <f t="shared" si="3"/>
        <v>Morning</v>
      </c>
      <c r="S126" s="9" t="str">
        <f t="shared" si="4"/>
        <v>Clear</v>
      </c>
    </row>
    <row r="127" spans="1:19" x14ac:dyDescent="0.25">
      <c r="A127">
        <v>126</v>
      </c>
      <c r="B127" s="19">
        <v>40549</v>
      </c>
      <c r="C127">
        <v>1</v>
      </c>
      <c r="D127">
        <v>1</v>
      </c>
      <c r="E127">
        <v>11</v>
      </c>
      <c r="F127" t="b">
        <v>0</v>
      </c>
      <c r="G127">
        <v>4</v>
      </c>
      <c r="H127">
        <v>1</v>
      </c>
      <c r="I127">
        <v>0.22</v>
      </c>
      <c r="J127">
        <v>0</v>
      </c>
      <c r="K127">
        <v>0.28789999999999999</v>
      </c>
      <c r="L127">
        <v>0.81</v>
      </c>
      <c r="M127">
        <v>0</v>
      </c>
      <c r="N127">
        <v>3</v>
      </c>
      <c r="O127">
        <v>13</v>
      </c>
      <c r="P127">
        <v>16</v>
      </c>
      <c r="Q127" s="17" t="str">
        <f t="shared" si="5"/>
        <v>Weekdays</v>
      </c>
      <c r="R127" s="17" t="str">
        <f t="shared" si="3"/>
        <v>Morning</v>
      </c>
      <c r="S127" s="9" t="str">
        <f t="shared" si="4"/>
        <v>Clear</v>
      </c>
    </row>
    <row r="128" spans="1:19" x14ac:dyDescent="0.25">
      <c r="A128">
        <v>127</v>
      </c>
      <c r="B128" s="19">
        <v>40549</v>
      </c>
      <c r="C128">
        <v>1</v>
      </c>
      <c r="D128">
        <v>1</v>
      </c>
      <c r="E128">
        <v>12</v>
      </c>
      <c r="F128" t="b">
        <v>0</v>
      </c>
      <c r="G128">
        <v>4</v>
      </c>
      <c r="H128">
        <v>1</v>
      </c>
      <c r="I128">
        <v>0.26</v>
      </c>
      <c r="J128">
        <v>0</v>
      </c>
      <c r="K128">
        <v>0.28789999999999999</v>
      </c>
      <c r="L128">
        <v>0.81</v>
      </c>
      <c r="M128">
        <v>0</v>
      </c>
      <c r="N128">
        <v>3</v>
      </c>
      <c r="O128">
        <v>13</v>
      </c>
      <c r="P128">
        <v>16</v>
      </c>
      <c r="Q128" s="17" t="str">
        <f t="shared" si="5"/>
        <v>Weekdays</v>
      </c>
      <c r="R128" s="17" t="str">
        <f t="shared" si="3"/>
        <v>Afternoon</v>
      </c>
      <c r="S128" s="9" t="str">
        <f t="shared" si="4"/>
        <v>Clear</v>
      </c>
    </row>
    <row r="129" spans="1:19" x14ac:dyDescent="0.25">
      <c r="A129">
        <v>128</v>
      </c>
      <c r="B129" s="19">
        <v>40549</v>
      </c>
      <c r="C129">
        <v>1</v>
      </c>
      <c r="D129">
        <v>1</v>
      </c>
      <c r="E129">
        <v>13</v>
      </c>
      <c r="F129" t="b">
        <v>0</v>
      </c>
      <c r="G129">
        <v>4</v>
      </c>
      <c r="H129">
        <v>1</v>
      </c>
      <c r="I129">
        <v>0.26</v>
      </c>
      <c r="J129">
        <v>0</v>
      </c>
      <c r="K129">
        <v>0.28789999999999999</v>
      </c>
      <c r="L129">
        <v>0.81</v>
      </c>
      <c r="M129">
        <v>0</v>
      </c>
      <c r="N129">
        <v>3</v>
      </c>
      <c r="O129">
        <v>13</v>
      </c>
      <c r="P129">
        <v>16</v>
      </c>
      <c r="Q129" s="17" t="str">
        <f t="shared" si="5"/>
        <v>Weekdays</v>
      </c>
      <c r="R129" s="17" t="str">
        <f t="shared" si="3"/>
        <v>Afternoon</v>
      </c>
      <c r="S129" s="9" t="str">
        <f t="shared" si="4"/>
        <v>Clear</v>
      </c>
    </row>
    <row r="130" spans="1:19" x14ac:dyDescent="0.25">
      <c r="A130">
        <v>129</v>
      </c>
      <c r="B130" s="19">
        <v>40549</v>
      </c>
      <c r="C130">
        <v>1</v>
      </c>
      <c r="D130">
        <v>1</v>
      </c>
      <c r="E130">
        <v>14</v>
      </c>
      <c r="F130" t="b">
        <v>0</v>
      </c>
      <c r="G130">
        <v>4</v>
      </c>
      <c r="H130">
        <v>1</v>
      </c>
      <c r="I130">
        <v>0.28000000000000003</v>
      </c>
      <c r="J130">
        <v>0</v>
      </c>
      <c r="K130">
        <v>0.28789999999999999</v>
      </c>
      <c r="L130">
        <v>0.81</v>
      </c>
      <c r="M130">
        <v>0</v>
      </c>
      <c r="N130">
        <v>3</v>
      </c>
      <c r="O130">
        <v>13</v>
      </c>
      <c r="P130">
        <v>16</v>
      </c>
      <c r="Q130" s="17" t="str">
        <f t="shared" si="5"/>
        <v>Weekdays</v>
      </c>
      <c r="R130" s="17" t="str">
        <f t="shared" ref="R130:R193" si="6">IF(E130&lt;12,"Morning",IF(E130&lt;16,"Afternoon",IF(E130&lt;21,"Evening","Night")))</f>
        <v>Afternoon</v>
      </c>
      <c r="S130" s="9" t="str">
        <f t="shared" ref="S130:S193" si="7">IF(H130=1,"Clear",IF(H130=2,"Mist",IF(H130=3,"Light Snow/Rain","Heavy Rain/Snow")))</f>
        <v>Clear</v>
      </c>
    </row>
    <row r="131" spans="1:19" x14ac:dyDescent="0.25">
      <c r="A131">
        <v>130</v>
      </c>
      <c r="B131" s="19">
        <v>40549</v>
      </c>
      <c r="C131">
        <v>1</v>
      </c>
      <c r="D131">
        <v>1</v>
      </c>
      <c r="E131">
        <v>15</v>
      </c>
      <c r="F131" t="b">
        <v>0</v>
      </c>
      <c r="G131">
        <v>4</v>
      </c>
      <c r="H131">
        <v>1</v>
      </c>
      <c r="I131">
        <v>0.28000000000000003</v>
      </c>
      <c r="J131">
        <v>0</v>
      </c>
      <c r="K131">
        <v>0.28789999999999999</v>
      </c>
      <c r="L131">
        <v>0.81</v>
      </c>
      <c r="M131">
        <v>0</v>
      </c>
      <c r="N131">
        <v>3</v>
      </c>
      <c r="O131">
        <v>13</v>
      </c>
      <c r="P131">
        <v>16</v>
      </c>
      <c r="Q131" s="17" t="str">
        <f t="shared" ref="Q131:Q194" si="8">IF(G131&gt;=5,"Weekends","Weekdays")</f>
        <v>Weekdays</v>
      </c>
      <c r="R131" s="17" t="str">
        <f t="shared" si="6"/>
        <v>Afternoon</v>
      </c>
      <c r="S131" s="9" t="str">
        <f t="shared" si="7"/>
        <v>Clear</v>
      </c>
    </row>
    <row r="132" spans="1:19" x14ac:dyDescent="0.25">
      <c r="A132">
        <v>131</v>
      </c>
      <c r="B132" s="19">
        <v>40549</v>
      </c>
      <c r="C132">
        <v>1</v>
      </c>
      <c r="D132">
        <v>1</v>
      </c>
      <c r="E132">
        <v>16</v>
      </c>
      <c r="F132" t="b">
        <v>0</v>
      </c>
      <c r="G132">
        <v>4</v>
      </c>
      <c r="H132">
        <v>1</v>
      </c>
      <c r="I132">
        <v>0.26</v>
      </c>
      <c r="J132">
        <v>0</v>
      </c>
      <c r="K132">
        <v>0.28789999999999999</v>
      </c>
      <c r="L132">
        <v>0.81</v>
      </c>
      <c r="M132">
        <v>0</v>
      </c>
      <c r="N132">
        <v>3</v>
      </c>
      <c r="O132">
        <v>13</v>
      </c>
      <c r="P132">
        <v>16</v>
      </c>
      <c r="Q132" s="17" t="str">
        <f t="shared" si="8"/>
        <v>Weekdays</v>
      </c>
      <c r="R132" s="17" t="str">
        <f t="shared" si="6"/>
        <v>Evening</v>
      </c>
      <c r="S132" s="9" t="str">
        <f t="shared" si="7"/>
        <v>Clear</v>
      </c>
    </row>
    <row r="133" spans="1:19" x14ac:dyDescent="0.25">
      <c r="A133">
        <v>132</v>
      </c>
      <c r="B133" s="19">
        <v>40549</v>
      </c>
      <c r="C133">
        <v>1</v>
      </c>
      <c r="D133">
        <v>1</v>
      </c>
      <c r="E133">
        <v>17</v>
      </c>
      <c r="F133" t="b">
        <v>0</v>
      </c>
      <c r="G133">
        <v>4</v>
      </c>
      <c r="H133">
        <v>1</v>
      </c>
      <c r="I133">
        <v>0.22</v>
      </c>
      <c r="J133">
        <v>0</v>
      </c>
      <c r="K133">
        <v>0.28789999999999999</v>
      </c>
      <c r="L133">
        <v>0.81</v>
      </c>
      <c r="M133">
        <v>0</v>
      </c>
      <c r="N133">
        <v>3</v>
      </c>
      <c r="O133">
        <v>13</v>
      </c>
      <c r="P133">
        <v>16</v>
      </c>
      <c r="Q133" s="17" t="str">
        <f t="shared" si="8"/>
        <v>Weekdays</v>
      </c>
      <c r="R133" s="17" t="str">
        <f t="shared" si="6"/>
        <v>Evening</v>
      </c>
      <c r="S133" s="9" t="str">
        <f t="shared" si="7"/>
        <v>Clear</v>
      </c>
    </row>
    <row r="134" spans="1:19" x14ac:dyDescent="0.25">
      <c r="A134">
        <v>133</v>
      </c>
      <c r="B134" s="19">
        <v>40549</v>
      </c>
      <c r="C134">
        <v>1</v>
      </c>
      <c r="D134">
        <v>1</v>
      </c>
      <c r="E134">
        <v>18</v>
      </c>
      <c r="F134" t="b">
        <v>0</v>
      </c>
      <c r="G134">
        <v>4</v>
      </c>
      <c r="H134">
        <v>1</v>
      </c>
      <c r="I134">
        <v>0.22</v>
      </c>
      <c r="J134">
        <v>0</v>
      </c>
      <c r="K134">
        <v>0.28789999999999999</v>
      </c>
      <c r="L134">
        <v>0.81</v>
      </c>
      <c r="M134">
        <v>0</v>
      </c>
      <c r="N134">
        <v>3</v>
      </c>
      <c r="O134">
        <v>13</v>
      </c>
      <c r="P134">
        <v>16</v>
      </c>
      <c r="Q134" s="17" t="str">
        <f t="shared" si="8"/>
        <v>Weekdays</v>
      </c>
      <c r="R134" s="17" t="str">
        <f t="shared" si="6"/>
        <v>Evening</v>
      </c>
      <c r="S134" s="9" t="str">
        <f t="shared" si="7"/>
        <v>Clear</v>
      </c>
    </row>
    <row r="135" spans="1:19" x14ac:dyDescent="0.25">
      <c r="A135">
        <v>134</v>
      </c>
      <c r="B135" s="19">
        <v>40549</v>
      </c>
      <c r="C135">
        <v>1</v>
      </c>
      <c r="D135">
        <v>1</v>
      </c>
      <c r="E135">
        <v>19</v>
      </c>
      <c r="F135" t="b">
        <v>0</v>
      </c>
      <c r="G135">
        <v>4</v>
      </c>
      <c r="H135">
        <v>1</v>
      </c>
      <c r="I135">
        <v>0.22</v>
      </c>
      <c r="J135">
        <v>0</v>
      </c>
      <c r="K135">
        <v>0.28789999999999999</v>
      </c>
      <c r="L135">
        <v>0.81</v>
      </c>
      <c r="M135">
        <v>0</v>
      </c>
      <c r="N135">
        <v>3</v>
      </c>
      <c r="O135">
        <v>13</v>
      </c>
      <c r="P135">
        <v>16</v>
      </c>
      <c r="Q135" s="17" t="str">
        <f t="shared" si="8"/>
        <v>Weekdays</v>
      </c>
      <c r="R135" s="17" t="str">
        <f t="shared" si="6"/>
        <v>Evening</v>
      </c>
      <c r="S135" s="9" t="str">
        <f t="shared" si="7"/>
        <v>Clear</v>
      </c>
    </row>
    <row r="136" spans="1:19" x14ac:dyDescent="0.25">
      <c r="A136">
        <v>135</v>
      </c>
      <c r="B136" s="19">
        <v>40549</v>
      </c>
      <c r="C136">
        <v>1</v>
      </c>
      <c r="D136">
        <v>1</v>
      </c>
      <c r="E136">
        <v>20</v>
      </c>
      <c r="F136" t="b">
        <v>0</v>
      </c>
      <c r="G136">
        <v>4</v>
      </c>
      <c r="H136">
        <v>1</v>
      </c>
      <c r="I136">
        <v>0.2</v>
      </c>
      <c r="J136">
        <v>0</v>
      </c>
      <c r="K136">
        <v>0.28789999999999999</v>
      </c>
      <c r="L136">
        <v>0.81</v>
      </c>
      <c r="M136">
        <v>0</v>
      </c>
      <c r="N136">
        <v>3</v>
      </c>
      <c r="O136">
        <v>13</v>
      </c>
      <c r="P136">
        <v>16</v>
      </c>
      <c r="Q136" s="17" t="str">
        <f t="shared" si="8"/>
        <v>Weekdays</v>
      </c>
      <c r="R136" s="17" t="str">
        <f t="shared" si="6"/>
        <v>Evening</v>
      </c>
      <c r="S136" s="9" t="str">
        <f t="shared" si="7"/>
        <v>Clear</v>
      </c>
    </row>
    <row r="137" spans="1:19" x14ac:dyDescent="0.25">
      <c r="A137">
        <v>136</v>
      </c>
      <c r="B137" s="19">
        <v>40549</v>
      </c>
      <c r="C137">
        <v>1</v>
      </c>
      <c r="D137">
        <v>1</v>
      </c>
      <c r="E137">
        <v>21</v>
      </c>
      <c r="F137" t="b">
        <v>0</v>
      </c>
      <c r="G137">
        <v>4</v>
      </c>
      <c r="H137">
        <v>2</v>
      </c>
      <c r="I137">
        <v>0.22</v>
      </c>
      <c r="J137">
        <v>0</v>
      </c>
      <c r="K137">
        <v>0.28789999999999999</v>
      </c>
      <c r="L137">
        <v>0.81</v>
      </c>
      <c r="M137">
        <v>0</v>
      </c>
      <c r="N137">
        <v>3</v>
      </c>
      <c r="O137">
        <v>13</v>
      </c>
      <c r="P137">
        <v>16</v>
      </c>
      <c r="Q137" s="17" t="str">
        <f t="shared" si="8"/>
        <v>Weekdays</v>
      </c>
      <c r="R137" s="17" t="str">
        <f t="shared" si="6"/>
        <v>Night</v>
      </c>
      <c r="S137" s="9" t="str">
        <f t="shared" si="7"/>
        <v>Mist</v>
      </c>
    </row>
    <row r="138" spans="1:19" x14ac:dyDescent="0.25">
      <c r="A138">
        <v>137</v>
      </c>
      <c r="B138" s="19">
        <v>40549</v>
      </c>
      <c r="C138">
        <v>1</v>
      </c>
      <c r="D138">
        <v>1</v>
      </c>
      <c r="E138">
        <v>22</v>
      </c>
      <c r="F138" t="b">
        <v>0</v>
      </c>
      <c r="G138">
        <v>4</v>
      </c>
      <c r="H138">
        <v>2</v>
      </c>
      <c r="I138">
        <v>0.22</v>
      </c>
      <c r="J138">
        <v>0</v>
      </c>
      <c r="K138">
        <v>0.28789999999999999</v>
      </c>
      <c r="L138">
        <v>0.81</v>
      </c>
      <c r="M138">
        <v>0</v>
      </c>
      <c r="N138">
        <v>3</v>
      </c>
      <c r="O138">
        <v>13</v>
      </c>
      <c r="P138">
        <v>16</v>
      </c>
      <c r="Q138" s="17" t="str">
        <f t="shared" si="8"/>
        <v>Weekdays</v>
      </c>
      <c r="R138" s="17" t="str">
        <f t="shared" si="6"/>
        <v>Night</v>
      </c>
      <c r="S138" s="9" t="str">
        <f t="shared" si="7"/>
        <v>Mist</v>
      </c>
    </row>
    <row r="139" spans="1:19" x14ac:dyDescent="0.25">
      <c r="A139">
        <v>138</v>
      </c>
      <c r="B139" s="19">
        <v>40549</v>
      </c>
      <c r="C139">
        <v>1</v>
      </c>
      <c r="D139">
        <v>1</v>
      </c>
      <c r="E139">
        <v>23</v>
      </c>
      <c r="F139" t="b">
        <v>0</v>
      </c>
      <c r="G139">
        <v>4</v>
      </c>
      <c r="H139">
        <v>2</v>
      </c>
      <c r="I139">
        <v>0.2</v>
      </c>
      <c r="J139">
        <v>0</v>
      </c>
      <c r="K139">
        <v>0.28789999999999999</v>
      </c>
      <c r="L139">
        <v>0.81</v>
      </c>
      <c r="M139">
        <v>0</v>
      </c>
      <c r="N139">
        <v>3</v>
      </c>
      <c r="O139">
        <v>13</v>
      </c>
      <c r="P139">
        <v>16</v>
      </c>
      <c r="Q139" s="17" t="str">
        <f t="shared" si="8"/>
        <v>Weekdays</v>
      </c>
      <c r="R139" s="17" t="str">
        <f t="shared" si="6"/>
        <v>Night</v>
      </c>
      <c r="S139" s="9" t="str">
        <f t="shared" si="7"/>
        <v>Mist</v>
      </c>
    </row>
    <row r="140" spans="1:19" x14ac:dyDescent="0.25">
      <c r="A140">
        <v>139</v>
      </c>
      <c r="B140" s="19">
        <v>40550</v>
      </c>
      <c r="C140">
        <v>1</v>
      </c>
      <c r="D140">
        <v>1</v>
      </c>
      <c r="E140">
        <v>0</v>
      </c>
      <c r="F140" t="b">
        <v>0</v>
      </c>
      <c r="G140">
        <v>5</v>
      </c>
      <c r="H140">
        <v>2</v>
      </c>
      <c r="I140">
        <v>0.2</v>
      </c>
      <c r="J140">
        <v>0</v>
      </c>
      <c r="K140">
        <v>0.28789999999999999</v>
      </c>
      <c r="L140">
        <v>0.81</v>
      </c>
      <c r="M140">
        <v>0</v>
      </c>
      <c r="N140">
        <v>3</v>
      </c>
      <c r="O140">
        <v>13</v>
      </c>
      <c r="P140">
        <v>16</v>
      </c>
      <c r="Q140" s="17" t="str">
        <f t="shared" si="8"/>
        <v>Weekends</v>
      </c>
      <c r="R140" s="17" t="str">
        <f t="shared" si="6"/>
        <v>Morning</v>
      </c>
      <c r="S140" s="9" t="str">
        <f t="shared" si="7"/>
        <v>Mist</v>
      </c>
    </row>
    <row r="141" spans="1:19" x14ac:dyDescent="0.25">
      <c r="A141">
        <v>140</v>
      </c>
      <c r="B141" s="19">
        <v>40550</v>
      </c>
      <c r="C141">
        <v>1</v>
      </c>
      <c r="D141">
        <v>1</v>
      </c>
      <c r="E141">
        <v>1</v>
      </c>
      <c r="F141" t="b">
        <v>0</v>
      </c>
      <c r="G141">
        <v>5</v>
      </c>
      <c r="H141">
        <v>2</v>
      </c>
      <c r="I141">
        <v>0.2</v>
      </c>
      <c r="J141">
        <v>0</v>
      </c>
      <c r="K141">
        <v>0.28789999999999999</v>
      </c>
      <c r="L141">
        <v>0.81</v>
      </c>
      <c r="M141">
        <v>0</v>
      </c>
      <c r="N141">
        <v>3</v>
      </c>
      <c r="O141">
        <v>13</v>
      </c>
      <c r="P141">
        <v>16</v>
      </c>
      <c r="Q141" s="17" t="str">
        <f t="shared" si="8"/>
        <v>Weekends</v>
      </c>
      <c r="R141" s="17" t="str">
        <f t="shared" si="6"/>
        <v>Morning</v>
      </c>
      <c r="S141" s="9" t="str">
        <f t="shared" si="7"/>
        <v>Mist</v>
      </c>
    </row>
    <row r="142" spans="1:19" x14ac:dyDescent="0.25">
      <c r="A142">
        <v>141</v>
      </c>
      <c r="B142" s="19">
        <v>40550</v>
      </c>
      <c r="C142">
        <v>1</v>
      </c>
      <c r="D142">
        <v>1</v>
      </c>
      <c r="E142">
        <v>2</v>
      </c>
      <c r="F142" t="b">
        <v>0</v>
      </c>
      <c r="G142">
        <v>5</v>
      </c>
      <c r="H142">
        <v>2</v>
      </c>
      <c r="I142">
        <v>0.2</v>
      </c>
      <c r="J142">
        <v>0</v>
      </c>
      <c r="K142">
        <v>0.28789999999999999</v>
      </c>
      <c r="L142">
        <v>0.81</v>
      </c>
      <c r="M142">
        <v>0</v>
      </c>
      <c r="N142">
        <v>3</v>
      </c>
      <c r="O142">
        <v>13</v>
      </c>
      <c r="P142">
        <v>16</v>
      </c>
      <c r="Q142" s="17" t="str">
        <f t="shared" si="8"/>
        <v>Weekends</v>
      </c>
      <c r="R142" s="17" t="str">
        <f t="shared" si="6"/>
        <v>Morning</v>
      </c>
      <c r="S142" s="9" t="str">
        <f t="shared" si="7"/>
        <v>Mist</v>
      </c>
    </row>
    <row r="143" spans="1:19" x14ac:dyDescent="0.25">
      <c r="A143">
        <v>142</v>
      </c>
      <c r="B143" s="19">
        <v>40550</v>
      </c>
      <c r="C143">
        <v>1</v>
      </c>
      <c r="D143">
        <v>1</v>
      </c>
      <c r="E143">
        <v>4</v>
      </c>
      <c r="F143" t="b">
        <v>0</v>
      </c>
      <c r="G143">
        <v>5</v>
      </c>
      <c r="H143">
        <v>2</v>
      </c>
      <c r="I143">
        <v>0.2</v>
      </c>
      <c r="J143">
        <v>0</v>
      </c>
      <c r="K143">
        <v>0.28789999999999999</v>
      </c>
      <c r="L143">
        <v>0.81</v>
      </c>
      <c r="M143">
        <v>0</v>
      </c>
      <c r="N143">
        <v>3</v>
      </c>
      <c r="O143">
        <v>13</v>
      </c>
      <c r="P143">
        <v>16</v>
      </c>
      <c r="Q143" s="17" t="str">
        <f t="shared" si="8"/>
        <v>Weekends</v>
      </c>
      <c r="R143" s="17" t="str">
        <f t="shared" si="6"/>
        <v>Morning</v>
      </c>
      <c r="S143" s="9" t="str">
        <f t="shared" si="7"/>
        <v>Mist</v>
      </c>
    </row>
    <row r="144" spans="1:19" x14ac:dyDescent="0.25">
      <c r="A144">
        <v>143</v>
      </c>
      <c r="B144" s="19">
        <v>40550</v>
      </c>
      <c r="C144">
        <v>1</v>
      </c>
      <c r="D144">
        <v>1</v>
      </c>
      <c r="E144">
        <v>5</v>
      </c>
      <c r="F144" t="b">
        <v>0</v>
      </c>
      <c r="G144">
        <v>5</v>
      </c>
      <c r="H144">
        <v>3</v>
      </c>
      <c r="I144">
        <v>0.22</v>
      </c>
      <c r="J144">
        <v>0</v>
      </c>
      <c r="K144">
        <v>0.28789999999999999</v>
      </c>
      <c r="L144">
        <v>0.81</v>
      </c>
      <c r="M144">
        <v>0</v>
      </c>
      <c r="N144">
        <v>3</v>
      </c>
      <c r="O144">
        <v>13</v>
      </c>
      <c r="P144">
        <v>16</v>
      </c>
      <c r="Q144" s="17" t="str">
        <f t="shared" si="8"/>
        <v>Weekends</v>
      </c>
      <c r="R144" s="17" t="str">
        <f t="shared" si="6"/>
        <v>Morning</v>
      </c>
      <c r="S144" s="9" t="str">
        <f t="shared" si="7"/>
        <v>Light Snow/Rain</v>
      </c>
    </row>
    <row r="145" spans="1:19" x14ac:dyDescent="0.25">
      <c r="A145">
        <v>144</v>
      </c>
      <c r="B145" s="19">
        <v>40550</v>
      </c>
      <c r="C145">
        <v>1</v>
      </c>
      <c r="D145">
        <v>1</v>
      </c>
      <c r="E145">
        <v>6</v>
      </c>
      <c r="F145" t="b">
        <v>0</v>
      </c>
      <c r="G145">
        <v>5</v>
      </c>
      <c r="H145">
        <v>2</v>
      </c>
      <c r="I145">
        <v>0.2</v>
      </c>
      <c r="J145">
        <v>0</v>
      </c>
      <c r="K145">
        <v>0.28789999999999999</v>
      </c>
      <c r="L145">
        <v>0.81</v>
      </c>
      <c r="M145">
        <v>0</v>
      </c>
      <c r="N145">
        <v>3</v>
      </c>
      <c r="O145">
        <v>13</v>
      </c>
      <c r="P145">
        <v>16</v>
      </c>
      <c r="Q145" s="17" t="str">
        <f t="shared" si="8"/>
        <v>Weekends</v>
      </c>
      <c r="R145" s="17" t="str">
        <f t="shared" si="6"/>
        <v>Morning</v>
      </c>
      <c r="S145" s="9" t="str">
        <f t="shared" si="7"/>
        <v>Mist</v>
      </c>
    </row>
    <row r="146" spans="1:19" x14ac:dyDescent="0.25">
      <c r="A146">
        <v>145</v>
      </c>
      <c r="B146" s="19">
        <v>40550</v>
      </c>
      <c r="C146">
        <v>1</v>
      </c>
      <c r="D146">
        <v>1</v>
      </c>
      <c r="E146">
        <v>7</v>
      </c>
      <c r="F146" t="b">
        <v>0</v>
      </c>
      <c r="G146">
        <v>5</v>
      </c>
      <c r="H146">
        <v>1</v>
      </c>
      <c r="I146">
        <v>0.2</v>
      </c>
      <c r="J146">
        <v>0</v>
      </c>
      <c r="K146">
        <v>0.28789999999999999</v>
      </c>
      <c r="L146">
        <v>0.81</v>
      </c>
      <c r="M146">
        <v>0</v>
      </c>
      <c r="N146">
        <v>3</v>
      </c>
      <c r="O146">
        <v>13</v>
      </c>
      <c r="P146">
        <v>16</v>
      </c>
      <c r="Q146" s="17" t="str">
        <f t="shared" si="8"/>
        <v>Weekends</v>
      </c>
      <c r="R146" s="17" t="str">
        <f t="shared" si="6"/>
        <v>Morning</v>
      </c>
      <c r="S146" s="9" t="str">
        <f t="shared" si="7"/>
        <v>Clear</v>
      </c>
    </row>
    <row r="147" spans="1:19" x14ac:dyDescent="0.25">
      <c r="A147">
        <v>146</v>
      </c>
      <c r="B147" s="19">
        <v>40550</v>
      </c>
      <c r="C147">
        <v>1</v>
      </c>
      <c r="D147">
        <v>1</v>
      </c>
      <c r="E147">
        <v>8</v>
      </c>
      <c r="F147" t="b">
        <v>0</v>
      </c>
      <c r="G147">
        <v>5</v>
      </c>
      <c r="H147">
        <v>1</v>
      </c>
      <c r="I147">
        <v>0.2</v>
      </c>
      <c r="J147">
        <v>0</v>
      </c>
      <c r="K147">
        <v>0.28789999999999999</v>
      </c>
      <c r="L147">
        <v>0.81</v>
      </c>
      <c r="M147">
        <v>0</v>
      </c>
      <c r="N147">
        <v>3</v>
      </c>
      <c r="O147">
        <v>13</v>
      </c>
      <c r="P147">
        <v>16</v>
      </c>
      <c r="Q147" s="17" t="str">
        <f t="shared" si="8"/>
        <v>Weekends</v>
      </c>
      <c r="R147" s="17" t="str">
        <f t="shared" si="6"/>
        <v>Morning</v>
      </c>
      <c r="S147" s="9" t="str">
        <f t="shared" si="7"/>
        <v>Clear</v>
      </c>
    </row>
    <row r="148" spans="1:19" x14ac:dyDescent="0.25">
      <c r="A148">
        <v>147</v>
      </c>
      <c r="B148" s="19">
        <v>40550</v>
      </c>
      <c r="C148">
        <v>1</v>
      </c>
      <c r="D148">
        <v>1</v>
      </c>
      <c r="E148">
        <v>9</v>
      </c>
      <c r="F148" t="b">
        <v>0</v>
      </c>
      <c r="G148">
        <v>5</v>
      </c>
      <c r="H148">
        <v>1</v>
      </c>
      <c r="I148">
        <v>0.2</v>
      </c>
      <c r="J148">
        <v>0</v>
      </c>
      <c r="K148">
        <v>0.28789999999999999</v>
      </c>
      <c r="L148">
        <v>0.81</v>
      </c>
      <c r="M148">
        <v>0</v>
      </c>
      <c r="N148">
        <v>3</v>
      </c>
      <c r="O148">
        <v>13</v>
      </c>
      <c r="P148">
        <v>16</v>
      </c>
      <c r="Q148" s="17" t="str">
        <f t="shared" si="8"/>
        <v>Weekends</v>
      </c>
      <c r="R148" s="17" t="str">
        <f t="shared" si="6"/>
        <v>Morning</v>
      </c>
      <c r="S148" s="9" t="str">
        <f t="shared" si="7"/>
        <v>Clear</v>
      </c>
    </row>
    <row r="149" spans="1:19" x14ac:dyDescent="0.25">
      <c r="A149">
        <v>148</v>
      </c>
      <c r="B149" s="19">
        <v>40550</v>
      </c>
      <c r="C149">
        <v>1</v>
      </c>
      <c r="D149">
        <v>1</v>
      </c>
      <c r="E149">
        <v>10</v>
      </c>
      <c r="F149" t="b">
        <v>0</v>
      </c>
      <c r="G149">
        <v>5</v>
      </c>
      <c r="H149">
        <v>1</v>
      </c>
      <c r="I149">
        <v>0.22</v>
      </c>
      <c r="J149">
        <v>0</v>
      </c>
      <c r="K149">
        <v>0.28789999999999999</v>
      </c>
      <c r="L149">
        <v>0.81</v>
      </c>
      <c r="M149">
        <v>0</v>
      </c>
      <c r="N149">
        <v>3</v>
      </c>
      <c r="O149">
        <v>13</v>
      </c>
      <c r="P149">
        <v>16</v>
      </c>
      <c r="Q149" s="17" t="str">
        <f t="shared" si="8"/>
        <v>Weekends</v>
      </c>
      <c r="R149" s="17" t="str">
        <f t="shared" si="6"/>
        <v>Morning</v>
      </c>
      <c r="S149" s="9" t="str">
        <f t="shared" si="7"/>
        <v>Clear</v>
      </c>
    </row>
    <row r="150" spans="1:19" x14ac:dyDescent="0.25">
      <c r="A150">
        <v>149</v>
      </c>
      <c r="B150" s="19">
        <v>40550</v>
      </c>
      <c r="C150">
        <v>1</v>
      </c>
      <c r="D150">
        <v>1</v>
      </c>
      <c r="E150">
        <v>11</v>
      </c>
      <c r="F150" t="b">
        <v>0</v>
      </c>
      <c r="G150">
        <v>5</v>
      </c>
      <c r="H150">
        <v>2</v>
      </c>
      <c r="I150">
        <v>0.2</v>
      </c>
      <c r="J150">
        <v>0</v>
      </c>
      <c r="K150">
        <v>0.28789999999999999</v>
      </c>
      <c r="L150">
        <v>0.81</v>
      </c>
      <c r="M150">
        <v>0</v>
      </c>
      <c r="N150">
        <v>3</v>
      </c>
      <c r="O150">
        <v>13</v>
      </c>
      <c r="P150">
        <v>16</v>
      </c>
      <c r="Q150" s="17" t="str">
        <f t="shared" si="8"/>
        <v>Weekends</v>
      </c>
      <c r="R150" s="17" t="str">
        <f t="shared" si="6"/>
        <v>Morning</v>
      </c>
      <c r="S150" s="9" t="str">
        <f t="shared" si="7"/>
        <v>Mist</v>
      </c>
    </row>
    <row r="151" spans="1:19" x14ac:dyDescent="0.25">
      <c r="A151">
        <v>150</v>
      </c>
      <c r="B151" s="19">
        <v>40550</v>
      </c>
      <c r="C151">
        <v>1</v>
      </c>
      <c r="D151">
        <v>1</v>
      </c>
      <c r="E151">
        <v>12</v>
      </c>
      <c r="F151" t="b">
        <v>0</v>
      </c>
      <c r="G151">
        <v>5</v>
      </c>
      <c r="H151">
        <v>2</v>
      </c>
      <c r="I151">
        <v>0.2</v>
      </c>
      <c r="J151">
        <v>0</v>
      </c>
      <c r="K151">
        <v>0.28789999999999999</v>
      </c>
      <c r="L151">
        <v>0.81</v>
      </c>
      <c r="M151">
        <v>0</v>
      </c>
      <c r="N151">
        <v>3</v>
      </c>
      <c r="O151">
        <v>13</v>
      </c>
      <c r="P151">
        <v>16</v>
      </c>
      <c r="Q151" s="17" t="str">
        <f t="shared" si="8"/>
        <v>Weekends</v>
      </c>
      <c r="R151" s="17" t="str">
        <f t="shared" si="6"/>
        <v>Afternoon</v>
      </c>
      <c r="S151" s="9" t="str">
        <f t="shared" si="7"/>
        <v>Mist</v>
      </c>
    </row>
    <row r="152" spans="1:19" x14ac:dyDescent="0.25">
      <c r="A152">
        <v>151</v>
      </c>
      <c r="B152" s="19">
        <v>40550</v>
      </c>
      <c r="C152">
        <v>1</v>
      </c>
      <c r="D152">
        <v>1</v>
      </c>
      <c r="E152">
        <v>13</v>
      </c>
      <c r="F152" t="b">
        <v>0</v>
      </c>
      <c r="G152">
        <v>5</v>
      </c>
      <c r="H152">
        <v>2</v>
      </c>
      <c r="I152">
        <v>0.2</v>
      </c>
      <c r="J152">
        <v>0</v>
      </c>
      <c r="K152">
        <v>0.28789999999999999</v>
      </c>
      <c r="L152">
        <v>0.81</v>
      </c>
      <c r="M152">
        <v>0</v>
      </c>
      <c r="N152">
        <v>3</v>
      </c>
      <c r="O152">
        <v>13</v>
      </c>
      <c r="P152">
        <v>16</v>
      </c>
      <c r="Q152" s="17" t="str">
        <f t="shared" si="8"/>
        <v>Weekends</v>
      </c>
      <c r="R152" s="17" t="str">
        <f t="shared" si="6"/>
        <v>Afternoon</v>
      </c>
      <c r="S152" s="9" t="str">
        <f t="shared" si="7"/>
        <v>Mist</v>
      </c>
    </row>
    <row r="153" spans="1:19" x14ac:dyDescent="0.25">
      <c r="A153">
        <v>152</v>
      </c>
      <c r="B153" s="19">
        <v>40550</v>
      </c>
      <c r="C153">
        <v>1</v>
      </c>
      <c r="D153">
        <v>1</v>
      </c>
      <c r="E153">
        <v>14</v>
      </c>
      <c r="F153" t="b">
        <v>0</v>
      </c>
      <c r="G153">
        <v>5</v>
      </c>
      <c r="H153">
        <v>2</v>
      </c>
      <c r="I153">
        <v>0.2</v>
      </c>
      <c r="J153">
        <v>0</v>
      </c>
      <c r="K153">
        <v>0.28789999999999999</v>
      </c>
      <c r="L153">
        <v>0.81</v>
      </c>
      <c r="M153">
        <v>0</v>
      </c>
      <c r="N153">
        <v>3</v>
      </c>
      <c r="O153">
        <v>13</v>
      </c>
      <c r="P153">
        <v>16</v>
      </c>
      <c r="Q153" s="17" t="str">
        <f t="shared" si="8"/>
        <v>Weekends</v>
      </c>
      <c r="R153" s="17" t="str">
        <f t="shared" si="6"/>
        <v>Afternoon</v>
      </c>
      <c r="S153" s="9" t="str">
        <f t="shared" si="7"/>
        <v>Mist</v>
      </c>
    </row>
    <row r="154" spans="1:19" x14ac:dyDescent="0.25">
      <c r="A154">
        <v>153</v>
      </c>
      <c r="B154" s="19">
        <v>40550</v>
      </c>
      <c r="C154">
        <v>1</v>
      </c>
      <c r="D154">
        <v>1</v>
      </c>
      <c r="E154">
        <v>15</v>
      </c>
      <c r="F154" t="b">
        <v>0</v>
      </c>
      <c r="G154">
        <v>5</v>
      </c>
      <c r="H154">
        <v>2</v>
      </c>
      <c r="I154">
        <v>0.2</v>
      </c>
      <c r="J154">
        <v>0</v>
      </c>
      <c r="K154">
        <v>0.28789999999999999</v>
      </c>
      <c r="L154">
        <v>0.81</v>
      </c>
      <c r="M154">
        <v>0</v>
      </c>
      <c r="N154">
        <v>3</v>
      </c>
      <c r="O154">
        <v>13</v>
      </c>
      <c r="P154">
        <v>16</v>
      </c>
      <c r="Q154" s="17" t="str">
        <f t="shared" si="8"/>
        <v>Weekends</v>
      </c>
      <c r="R154" s="17" t="str">
        <f t="shared" si="6"/>
        <v>Afternoon</v>
      </c>
      <c r="S154" s="9" t="str">
        <f t="shared" si="7"/>
        <v>Mist</v>
      </c>
    </row>
    <row r="155" spans="1:19" x14ac:dyDescent="0.25">
      <c r="A155">
        <v>154</v>
      </c>
      <c r="B155" s="19">
        <v>40550</v>
      </c>
      <c r="C155">
        <v>1</v>
      </c>
      <c r="D155">
        <v>1</v>
      </c>
      <c r="E155">
        <v>16</v>
      </c>
      <c r="F155" t="b">
        <v>0</v>
      </c>
      <c r="G155">
        <v>5</v>
      </c>
      <c r="H155">
        <v>2</v>
      </c>
      <c r="I155">
        <v>0.2</v>
      </c>
      <c r="J155">
        <v>0</v>
      </c>
      <c r="K155">
        <v>0.28789999999999999</v>
      </c>
      <c r="L155">
        <v>0.81</v>
      </c>
      <c r="M155">
        <v>0</v>
      </c>
      <c r="N155">
        <v>3</v>
      </c>
      <c r="O155">
        <v>13</v>
      </c>
      <c r="P155">
        <v>16</v>
      </c>
      <c r="Q155" s="17" t="str">
        <f t="shared" si="8"/>
        <v>Weekends</v>
      </c>
      <c r="R155" s="17" t="str">
        <f t="shared" si="6"/>
        <v>Evening</v>
      </c>
      <c r="S155" s="9" t="str">
        <f t="shared" si="7"/>
        <v>Mist</v>
      </c>
    </row>
    <row r="156" spans="1:19" x14ac:dyDescent="0.25">
      <c r="A156">
        <v>155</v>
      </c>
      <c r="B156" s="19">
        <v>40550</v>
      </c>
      <c r="C156">
        <v>1</v>
      </c>
      <c r="D156">
        <v>1</v>
      </c>
      <c r="E156">
        <v>17</v>
      </c>
      <c r="F156" t="b">
        <v>0</v>
      </c>
      <c r="G156">
        <v>5</v>
      </c>
      <c r="H156">
        <v>2</v>
      </c>
      <c r="I156">
        <v>0.2</v>
      </c>
      <c r="J156">
        <v>0</v>
      </c>
      <c r="K156">
        <v>0.28789999999999999</v>
      </c>
      <c r="L156">
        <v>0.81</v>
      </c>
      <c r="M156">
        <v>0</v>
      </c>
      <c r="N156">
        <v>3</v>
      </c>
      <c r="O156">
        <v>13</v>
      </c>
      <c r="P156">
        <v>16</v>
      </c>
      <c r="Q156" s="17" t="str">
        <f t="shared" si="8"/>
        <v>Weekends</v>
      </c>
      <c r="R156" s="17" t="str">
        <f t="shared" si="6"/>
        <v>Evening</v>
      </c>
      <c r="S156" s="9" t="str">
        <f t="shared" si="7"/>
        <v>Mist</v>
      </c>
    </row>
    <row r="157" spans="1:19" x14ac:dyDescent="0.25">
      <c r="A157">
        <v>156</v>
      </c>
      <c r="B157" s="19">
        <v>40550</v>
      </c>
      <c r="C157">
        <v>1</v>
      </c>
      <c r="D157">
        <v>1</v>
      </c>
      <c r="E157">
        <v>18</v>
      </c>
      <c r="F157" t="b">
        <v>0</v>
      </c>
      <c r="G157">
        <v>5</v>
      </c>
      <c r="H157">
        <v>1</v>
      </c>
      <c r="I157">
        <v>0.2</v>
      </c>
      <c r="J157">
        <v>0</v>
      </c>
      <c r="K157">
        <v>0.28789999999999999</v>
      </c>
      <c r="L157">
        <v>0.81</v>
      </c>
      <c r="M157">
        <v>0</v>
      </c>
      <c r="N157">
        <v>3</v>
      </c>
      <c r="O157">
        <v>13</v>
      </c>
      <c r="P157">
        <v>16</v>
      </c>
      <c r="Q157" s="17" t="str">
        <f t="shared" si="8"/>
        <v>Weekends</v>
      </c>
      <c r="R157" s="17" t="str">
        <f t="shared" si="6"/>
        <v>Evening</v>
      </c>
      <c r="S157" s="9" t="str">
        <f t="shared" si="7"/>
        <v>Clear</v>
      </c>
    </row>
    <row r="158" spans="1:19" x14ac:dyDescent="0.25">
      <c r="A158">
        <v>157</v>
      </c>
      <c r="B158" s="19">
        <v>40550</v>
      </c>
      <c r="C158">
        <v>1</v>
      </c>
      <c r="D158">
        <v>1</v>
      </c>
      <c r="E158">
        <v>19</v>
      </c>
      <c r="F158" t="b">
        <v>0</v>
      </c>
      <c r="G158">
        <v>5</v>
      </c>
      <c r="H158">
        <v>1</v>
      </c>
      <c r="I158">
        <v>0.16</v>
      </c>
      <c r="J158">
        <v>0</v>
      </c>
      <c r="K158">
        <v>0.28789999999999999</v>
      </c>
      <c r="L158">
        <v>0.81</v>
      </c>
      <c r="M158">
        <v>0</v>
      </c>
      <c r="N158">
        <v>3</v>
      </c>
      <c r="O158">
        <v>13</v>
      </c>
      <c r="P158">
        <v>16</v>
      </c>
      <c r="Q158" s="17" t="str">
        <f t="shared" si="8"/>
        <v>Weekends</v>
      </c>
      <c r="R158" s="17" t="str">
        <f t="shared" si="6"/>
        <v>Evening</v>
      </c>
      <c r="S158" s="9" t="str">
        <f t="shared" si="7"/>
        <v>Clear</v>
      </c>
    </row>
    <row r="159" spans="1:19" x14ac:dyDescent="0.25">
      <c r="A159">
        <v>158</v>
      </c>
      <c r="B159" s="19">
        <v>40550</v>
      </c>
      <c r="C159">
        <v>1</v>
      </c>
      <c r="D159">
        <v>1</v>
      </c>
      <c r="E159">
        <v>20</v>
      </c>
      <c r="F159" t="b">
        <v>0</v>
      </c>
      <c r="G159">
        <v>5</v>
      </c>
      <c r="H159">
        <v>1</v>
      </c>
      <c r="I159">
        <v>0.18</v>
      </c>
      <c r="J159">
        <v>0</v>
      </c>
      <c r="K159">
        <v>0.28789999999999999</v>
      </c>
      <c r="L159">
        <v>0.81</v>
      </c>
      <c r="M159">
        <v>0</v>
      </c>
      <c r="N159">
        <v>3</v>
      </c>
      <c r="O159">
        <v>13</v>
      </c>
      <c r="P159">
        <v>16</v>
      </c>
      <c r="Q159" s="17" t="str">
        <f t="shared" si="8"/>
        <v>Weekends</v>
      </c>
      <c r="R159" s="17" t="str">
        <f t="shared" si="6"/>
        <v>Evening</v>
      </c>
      <c r="S159" s="9" t="str">
        <f t="shared" si="7"/>
        <v>Clear</v>
      </c>
    </row>
    <row r="160" spans="1:19" x14ac:dyDescent="0.25">
      <c r="A160">
        <v>159</v>
      </c>
      <c r="B160" s="19">
        <v>40550</v>
      </c>
      <c r="C160">
        <v>1</v>
      </c>
      <c r="D160">
        <v>1</v>
      </c>
      <c r="E160">
        <v>21</v>
      </c>
      <c r="F160" t="b">
        <v>0</v>
      </c>
      <c r="G160">
        <v>5</v>
      </c>
      <c r="H160">
        <v>1</v>
      </c>
      <c r="I160">
        <v>0.18</v>
      </c>
      <c r="J160">
        <v>0</v>
      </c>
      <c r="K160">
        <v>0.28789999999999999</v>
      </c>
      <c r="L160">
        <v>0.81</v>
      </c>
      <c r="M160">
        <v>0</v>
      </c>
      <c r="N160">
        <v>3</v>
      </c>
      <c r="O160">
        <v>13</v>
      </c>
      <c r="P160">
        <v>16</v>
      </c>
      <c r="Q160" s="17" t="str">
        <f t="shared" si="8"/>
        <v>Weekends</v>
      </c>
      <c r="R160" s="17" t="str">
        <f t="shared" si="6"/>
        <v>Night</v>
      </c>
      <c r="S160" s="9" t="str">
        <f t="shared" si="7"/>
        <v>Clear</v>
      </c>
    </row>
    <row r="161" spans="1:19" x14ac:dyDescent="0.25">
      <c r="A161">
        <v>160</v>
      </c>
      <c r="B161" s="19">
        <v>40550</v>
      </c>
      <c r="C161">
        <v>1</v>
      </c>
      <c r="D161">
        <v>1</v>
      </c>
      <c r="E161">
        <v>22</v>
      </c>
      <c r="F161" t="b">
        <v>0</v>
      </c>
      <c r="G161">
        <v>5</v>
      </c>
      <c r="H161">
        <v>2</v>
      </c>
      <c r="I161">
        <v>0.18</v>
      </c>
      <c r="J161">
        <v>0</v>
      </c>
      <c r="K161">
        <v>0.28789999999999999</v>
      </c>
      <c r="L161">
        <v>0.81</v>
      </c>
      <c r="M161">
        <v>0</v>
      </c>
      <c r="N161">
        <v>3</v>
      </c>
      <c r="O161">
        <v>13</v>
      </c>
      <c r="P161">
        <v>16</v>
      </c>
      <c r="Q161" s="17" t="str">
        <f t="shared" si="8"/>
        <v>Weekends</v>
      </c>
      <c r="R161" s="17" t="str">
        <f t="shared" si="6"/>
        <v>Night</v>
      </c>
      <c r="S161" s="9" t="str">
        <f t="shared" si="7"/>
        <v>Mist</v>
      </c>
    </row>
    <row r="162" spans="1:19" x14ac:dyDescent="0.25">
      <c r="A162">
        <v>161</v>
      </c>
      <c r="B162" s="19">
        <v>40550</v>
      </c>
      <c r="C162">
        <v>1</v>
      </c>
      <c r="D162">
        <v>1</v>
      </c>
      <c r="E162">
        <v>23</v>
      </c>
      <c r="F162" t="b">
        <v>0</v>
      </c>
      <c r="G162">
        <v>5</v>
      </c>
      <c r="H162">
        <v>2</v>
      </c>
      <c r="I162">
        <v>0.18</v>
      </c>
      <c r="J162">
        <v>0</v>
      </c>
      <c r="K162">
        <v>0.28789999999999999</v>
      </c>
      <c r="L162">
        <v>0.81</v>
      </c>
      <c r="M162">
        <v>0</v>
      </c>
      <c r="N162">
        <v>3</v>
      </c>
      <c r="O162">
        <v>13</v>
      </c>
      <c r="P162">
        <v>16</v>
      </c>
      <c r="Q162" s="17" t="str">
        <f t="shared" si="8"/>
        <v>Weekends</v>
      </c>
      <c r="R162" s="17" t="str">
        <f t="shared" si="6"/>
        <v>Night</v>
      </c>
      <c r="S162" s="9" t="str">
        <f t="shared" si="7"/>
        <v>Mist</v>
      </c>
    </row>
    <row r="163" spans="1:19" x14ac:dyDescent="0.25">
      <c r="A163">
        <v>162</v>
      </c>
      <c r="B163" s="19">
        <v>40551</v>
      </c>
      <c r="C163">
        <v>1</v>
      </c>
      <c r="D163">
        <v>1</v>
      </c>
      <c r="E163">
        <v>0</v>
      </c>
      <c r="F163" t="b">
        <v>0</v>
      </c>
      <c r="G163">
        <v>6</v>
      </c>
      <c r="H163">
        <v>2</v>
      </c>
      <c r="I163">
        <v>0.18</v>
      </c>
      <c r="J163">
        <v>0</v>
      </c>
      <c r="K163">
        <v>0.28789999999999999</v>
      </c>
      <c r="L163">
        <v>0.81</v>
      </c>
      <c r="M163">
        <v>0</v>
      </c>
      <c r="N163">
        <v>3</v>
      </c>
      <c r="O163">
        <v>13</v>
      </c>
      <c r="P163">
        <v>16</v>
      </c>
      <c r="Q163" s="17" t="str">
        <f t="shared" si="8"/>
        <v>Weekends</v>
      </c>
      <c r="R163" s="17" t="str">
        <f t="shared" si="6"/>
        <v>Morning</v>
      </c>
      <c r="S163" s="9" t="str">
        <f t="shared" si="7"/>
        <v>Mist</v>
      </c>
    </row>
    <row r="164" spans="1:19" x14ac:dyDescent="0.25">
      <c r="A164">
        <v>163</v>
      </c>
      <c r="B164" s="19">
        <v>40551</v>
      </c>
      <c r="C164">
        <v>1</v>
      </c>
      <c r="D164">
        <v>1</v>
      </c>
      <c r="E164">
        <v>1</v>
      </c>
      <c r="F164" t="b">
        <v>0</v>
      </c>
      <c r="G164">
        <v>6</v>
      </c>
      <c r="H164">
        <v>2</v>
      </c>
      <c r="I164">
        <v>0.18</v>
      </c>
      <c r="J164">
        <v>0</v>
      </c>
      <c r="K164">
        <v>0.28789999999999999</v>
      </c>
      <c r="L164">
        <v>0.81</v>
      </c>
      <c r="M164">
        <v>0</v>
      </c>
      <c r="N164">
        <v>3</v>
      </c>
      <c r="O164">
        <v>13</v>
      </c>
      <c r="P164">
        <v>16</v>
      </c>
      <c r="Q164" s="17" t="str">
        <f t="shared" si="8"/>
        <v>Weekends</v>
      </c>
      <c r="R164" s="17" t="str">
        <f t="shared" si="6"/>
        <v>Morning</v>
      </c>
      <c r="S164" s="9" t="str">
        <f t="shared" si="7"/>
        <v>Mist</v>
      </c>
    </row>
    <row r="165" spans="1:19" x14ac:dyDescent="0.25">
      <c r="A165">
        <v>164</v>
      </c>
      <c r="B165" s="19">
        <v>40551</v>
      </c>
      <c r="C165">
        <v>1</v>
      </c>
      <c r="D165">
        <v>1</v>
      </c>
      <c r="E165">
        <v>2</v>
      </c>
      <c r="F165" t="b">
        <v>0</v>
      </c>
      <c r="G165">
        <v>6</v>
      </c>
      <c r="H165">
        <v>2</v>
      </c>
      <c r="I165">
        <v>0.18</v>
      </c>
      <c r="J165">
        <v>0</v>
      </c>
      <c r="K165">
        <v>0.28789999999999999</v>
      </c>
      <c r="L165">
        <v>0.81</v>
      </c>
      <c r="M165">
        <v>0</v>
      </c>
      <c r="N165">
        <v>3</v>
      </c>
      <c r="O165">
        <v>13</v>
      </c>
      <c r="P165">
        <v>16</v>
      </c>
      <c r="Q165" s="17" t="str">
        <f t="shared" si="8"/>
        <v>Weekends</v>
      </c>
      <c r="R165" s="17" t="str">
        <f t="shared" si="6"/>
        <v>Morning</v>
      </c>
      <c r="S165" s="9" t="str">
        <f t="shared" si="7"/>
        <v>Mist</v>
      </c>
    </row>
    <row r="166" spans="1:19" x14ac:dyDescent="0.25">
      <c r="A166">
        <v>165</v>
      </c>
      <c r="B166" s="19">
        <v>40551</v>
      </c>
      <c r="C166">
        <v>1</v>
      </c>
      <c r="D166">
        <v>1</v>
      </c>
      <c r="E166">
        <v>3</v>
      </c>
      <c r="F166" t="b">
        <v>0</v>
      </c>
      <c r="G166">
        <v>6</v>
      </c>
      <c r="H166">
        <v>3</v>
      </c>
      <c r="I166">
        <v>0.18</v>
      </c>
      <c r="J166">
        <v>0</v>
      </c>
      <c r="K166">
        <v>0.28789999999999999</v>
      </c>
      <c r="L166">
        <v>0.81</v>
      </c>
      <c r="M166">
        <v>0</v>
      </c>
      <c r="N166">
        <v>3</v>
      </c>
      <c r="O166">
        <v>13</v>
      </c>
      <c r="P166">
        <v>16</v>
      </c>
      <c r="Q166" s="17" t="str">
        <f t="shared" si="8"/>
        <v>Weekends</v>
      </c>
      <c r="R166" s="17" t="str">
        <f t="shared" si="6"/>
        <v>Morning</v>
      </c>
      <c r="S166" s="9" t="str">
        <f t="shared" si="7"/>
        <v>Light Snow/Rain</v>
      </c>
    </row>
    <row r="167" spans="1:19" x14ac:dyDescent="0.25">
      <c r="A167">
        <v>166</v>
      </c>
      <c r="B167" s="19">
        <v>40551</v>
      </c>
      <c r="C167">
        <v>1</v>
      </c>
      <c r="D167">
        <v>1</v>
      </c>
      <c r="E167">
        <v>4</v>
      </c>
      <c r="F167" t="b">
        <v>0</v>
      </c>
      <c r="G167">
        <v>6</v>
      </c>
      <c r="H167">
        <v>3</v>
      </c>
      <c r="I167">
        <v>0.18</v>
      </c>
      <c r="J167">
        <v>0</v>
      </c>
      <c r="K167">
        <v>0.28789999999999999</v>
      </c>
      <c r="L167">
        <v>0.81</v>
      </c>
      <c r="M167">
        <v>0</v>
      </c>
      <c r="N167">
        <v>3</v>
      </c>
      <c r="O167">
        <v>13</v>
      </c>
      <c r="P167">
        <v>16</v>
      </c>
      <c r="Q167" s="17" t="str">
        <f t="shared" si="8"/>
        <v>Weekends</v>
      </c>
      <c r="R167" s="17" t="str">
        <f t="shared" si="6"/>
        <v>Morning</v>
      </c>
      <c r="S167" s="9" t="str">
        <f t="shared" si="7"/>
        <v>Light Snow/Rain</v>
      </c>
    </row>
    <row r="168" spans="1:19" x14ac:dyDescent="0.25">
      <c r="A168">
        <v>167</v>
      </c>
      <c r="B168" s="19">
        <v>40551</v>
      </c>
      <c r="C168">
        <v>1</v>
      </c>
      <c r="D168">
        <v>1</v>
      </c>
      <c r="E168">
        <v>5</v>
      </c>
      <c r="F168" t="b">
        <v>0</v>
      </c>
      <c r="G168">
        <v>6</v>
      </c>
      <c r="H168">
        <v>2</v>
      </c>
      <c r="I168">
        <v>0.16</v>
      </c>
      <c r="J168">
        <v>0</v>
      </c>
      <c r="K168">
        <v>0.28789999999999999</v>
      </c>
      <c r="L168">
        <v>0.81</v>
      </c>
      <c r="M168">
        <v>0</v>
      </c>
      <c r="N168">
        <v>3</v>
      </c>
      <c r="O168">
        <v>13</v>
      </c>
      <c r="P168">
        <v>16</v>
      </c>
      <c r="Q168" s="17" t="str">
        <f t="shared" si="8"/>
        <v>Weekends</v>
      </c>
      <c r="R168" s="17" t="str">
        <f t="shared" si="6"/>
        <v>Morning</v>
      </c>
      <c r="S168" s="9" t="str">
        <f t="shared" si="7"/>
        <v>Mist</v>
      </c>
    </row>
    <row r="169" spans="1:19" x14ac:dyDescent="0.25">
      <c r="A169">
        <v>168</v>
      </c>
      <c r="B169" s="19">
        <v>40551</v>
      </c>
      <c r="C169">
        <v>1</v>
      </c>
      <c r="D169">
        <v>1</v>
      </c>
      <c r="E169">
        <v>6</v>
      </c>
      <c r="F169" t="b">
        <v>0</v>
      </c>
      <c r="G169">
        <v>6</v>
      </c>
      <c r="H169">
        <v>2</v>
      </c>
      <c r="I169">
        <v>0.16</v>
      </c>
      <c r="J169">
        <v>0</v>
      </c>
      <c r="K169">
        <v>0.28789999999999999</v>
      </c>
      <c r="L169">
        <v>0.81</v>
      </c>
      <c r="M169">
        <v>0</v>
      </c>
      <c r="N169">
        <v>3</v>
      </c>
      <c r="O169">
        <v>13</v>
      </c>
      <c r="P169">
        <v>16</v>
      </c>
      <c r="Q169" s="17" t="str">
        <f t="shared" si="8"/>
        <v>Weekends</v>
      </c>
      <c r="R169" s="17" t="str">
        <f t="shared" si="6"/>
        <v>Morning</v>
      </c>
      <c r="S169" s="9" t="str">
        <f t="shared" si="7"/>
        <v>Mist</v>
      </c>
    </row>
    <row r="170" spans="1:19" x14ac:dyDescent="0.25">
      <c r="A170">
        <v>169</v>
      </c>
      <c r="B170" s="19">
        <v>40551</v>
      </c>
      <c r="C170">
        <v>1</v>
      </c>
      <c r="D170">
        <v>1</v>
      </c>
      <c r="E170">
        <v>7</v>
      </c>
      <c r="F170" t="b">
        <v>0</v>
      </c>
      <c r="G170">
        <v>6</v>
      </c>
      <c r="H170">
        <v>2</v>
      </c>
      <c r="I170">
        <v>0.16</v>
      </c>
      <c r="J170">
        <v>0</v>
      </c>
      <c r="K170">
        <v>0.28789999999999999</v>
      </c>
      <c r="L170">
        <v>0.81</v>
      </c>
      <c r="M170">
        <v>0</v>
      </c>
      <c r="N170">
        <v>3</v>
      </c>
      <c r="O170">
        <v>13</v>
      </c>
      <c r="P170">
        <v>16</v>
      </c>
      <c r="Q170" s="17" t="str">
        <f t="shared" si="8"/>
        <v>Weekends</v>
      </c>
      <c r="R170" s="17" t="str">
        <f t="shared" si="6"/>
        <v>Morning</v>
      </c>
      <c r="S170" s="9" t="str">
        <f t="shared" si="7"/>
        <v>Mist</v>
      </c>
    </row>
    <row r="171" spans="1:19" x14ac:dyDescent="0.25">
      <c r="A171">
        <v>170</v>
      </c>
      <c r="B171" s="19">
        <v>40551</v>
      </c>
      <c r="C171">
        <v>1</v>
      </c>
      <c r="D171">
        <v>1</v>
      </c>
      <c r="E171">
        <v>8</v>
      </c>
      <c r="F171" t="b">
        <v>0</v>
      </c>
      <c r="G171">
        <v>6</v>
      </c>
      <c r="H171">
        <v>3</v>
      </c>
      <c r="I171">
        <v>0.16</v>
      </c>
      <c r="J171">
        <v>0</v>
      </c>
      <c r="K171">
        <v>0.28789999999999999</v>
      </c>
      <c r="L171">
        <v>0.81</v>
      </c>
      <c r="M171">
        <v>0</v>
      </c>
      <c r="N171">
        <v>3</v>
      </c>
      <c r="O171">
        <v>13</v>
      </c>
      <c r="P171">
        <v>16</v>
      </c>
      <c r="Q171" s="17" t="str">
        <f t="shared" si="8"/>
        <v>Weekends</v>
      </c>
      <c r="R171" s="17" t="str">
        <f t="shared" si="6"/>
        <v>Morning</v>
      </c>
      <c r="S171" s="9" t="str">
        <f t="shared" si="7"/>
        <v>Light Snow/Rain</v>
      </c>
    </row>
    <row r="172" spans="1:19" x14ac:dyDescent="0.25">
      <c r="A172">
        <v>171</v>
      </c>
      <c r="B172" s="19">
        <v>40551</v>
      </c>
      <c r="C172">
        <v>1</v>
      </c>
      <c r="D172">
        <v>1</v>
      </c>
      <c r="E172">
        <v>9</v>
      </c>
      <c r="F172" t="b">
        <v>0</v>
      </c>
      <c r="G172">
        <v>6</v>
      </c>
      <c r="H172">
        <v>3</v>
      </c>
      <c r="I172">
        <v>0.16</v>
      </c>
      <c r="J172">
        <v>0</v>
      </c>
      <c r="K172">
        <v>0.28789999999999999</v>
      </c>
      <c r="L172">
        <v>0.81</v>
      </c>
      <c r="M172">
        <v>0</v>
      </c>
      <c r="N172">
        <v>3</v>
      </c>
      <c r="O172">
        <v>13</v>
      </c>
      <c r="P172">
        <v>16</v>
      </c>
      <c r="Q172" s="17" t="str">
        <f t="shared" si="8"/>
        <v>Weekends</v>
      </c>
      <c r="R172" s="17" t="str">
        <f t="shared" si="6"/>
        <v>Morning</v>
      </c>
      <c r="S172" s="9" t="str">
        <f t="shared" si="7"/>
        <v>Light Snow/Rain</v>
      </c>
    </row>
    <row r="173" spans="1:19" x14ac:dyDescent="0.25">
      <c r="A173">
        <v>172</v>
      </c>
      <c r="B173" s="19">
        <v>40551</v>
      </c>
      <c r="C173">
        <v>1</v>
      </c>
      <c r="D173">
        <v>1</v>
      </c>
      <c r="E173">
        <v>10</v>
      </c>
      <c r="F173" t="b">
        <v>0</v>
      </c>
      <c r="G173">
        <v>6</v>
      </c>
      <c r="H173">
        <v>2</v>
      </c>
      <c r="I173">
        <v>0.18</v>
      </c>
      <c r="J173">
        <v>0</v>
      </c>
      <c r="K173">
        <v>0.28789999999999999</v>
      </c>
      <c r="L173">
        <v>0.81</v>
      </c>
      <c r="M173">
        <v>0</v>
      </c>
      <c r="N173">
        <v>3</v>
      </c>
      <c r="O173">
        <v>13</v>
      </c>
      <c r="P173">
        <v>16</v>
      </c>
      <c r="Q173" s="17" t="str">
        <f t="shared" si="8"/>
        <v>Weekends</v>
      </c>
      <c r="R173" s="17" t="str">
        <f t="shared" si="6"/>
        <v>Morning</v>
      </c>
      <c r="S173" s="9" t="str">
        <f t="shared" si="7"/>
        <v>Mist</v>
      </c>
    </row>
    <row r="174" spans="1:19" x14ac:dyDescent="0.25">
      <c r="A174">
        <v>173</v>
      </c>
      <c r="B174" s="19">
        <v>40551</v>
      </c>
      <c r="C174">
        <v>1</v>
      </c>
      <c r="D174">
        <v>1</v>
      </c>
      <c r="E174">
        <v>11</v>
      </c>
      <c r="F174" t="b">
        <v>0</v>
      </c>
      <c r="G174">
        <v>6</v>
      </c>
      <c r="H174">
        <v>2</v>
      </c>
      <c r="I174">
        <v>0.2</v>
      </c>
      <c r="J174">
        <v>0</v>
      </c>
      <c r="K174">
        <v>0.28789999999999999</v>
      </c>
      <c r="L174">
        <v>0.81</v>
      </c>
      <c r="M174">
        <v>0</v>
      </c>
      <c r="N174">
        <v>3</v>
      </c>
      <c r="O174">
        <v>13</v>
      </c>
      <c r="P174">
        <v>16</v>
      </c>
      <c r="Q174" s="17" t="str">
        <f t="shared" si="8"/>
        <v>Weekends</v>
      </c>
      <c r="R174" s="17" t="str">
        <f t="shared" si="6"/>
        <v>Morning</v>
      </c>
      <c r="S174" s="9" t="str">
        <f t="shared" si="7"/>
        <v>Mist</v>
      </c>
    </row>
    <row r="175" spans="1:19" x14ac:dyDescent="0.25">
      <c r="A175">
        <v>174</v>
      </c>
      <c r="B175" s="19">
        <v>40551</v>
      </c>
      <c r="C175">
        <v>1</v>
      </c>
      <c r="D175">
        <v>1</v>
      </c>
      <c r="E175">
        <v>12</v>
      </c>
      <c r="F175" t="b">
        <v>0</v>
      </c>
      <c r="G175">
        <v>6</v>
      </c>
      <c r="H175">
        <v>2</v>
      </c>
      <c r="I175">
        <v>0.2</v>
      </c>
      <c r="J175">
        <v>0</v>
      </c>
      <c r="K175">
        <v>0.28789999999999999</v>
      </c>
      <c r="L175">
        <v>0.81</v>
      </c>
      <c r="M175">
        <v>0</v>
      </c>
      <c r="N175">
        <v>3</v>
      </c>
      <c r="O175">
        <v>13</v>
      </c>
      <c r="P175">
        <v>16</v>
      </c>
      <c r="Q175" s="17" t="str">
        <f t="shared" si="8"/>
        <v>Weekends</v>
      </c>
      <c r="R175" s="17" t="str">
        <f t="shared" si="6"/>
        <v>Afternoon</v>
      </c>
      <c r="S175" s="9" t="str">
        <f t="shared" si="7"/>
        <v>Mist</v>
      </c>
    </row>
    <row r="176" spans="1:19" x14ac:dyDescent="0.25">
      <c r="A176">
        <v>175</v>
      </c>
      <c r="B176" s="19">
        <v>40551</v>
      </c>
      <c r="C176">
        <v>1</v>
      </c>
      <c r="D176">
        <v>1</v>
      </c>
      <c r="E176">
        <v>13</v>
      </c>
      <c r="F176" t="b">
        <v>0</v>
      </c>
      <c r="G176">
        <v>6</v>
      </c>
      <c r="H176">
        <v>1</v>
      </c>
      <c r="I176">
        <v>0.2</v>
      </c>
      <c r="J176">
        <v>0</v>
      </c>
      <c r="K176">
        <v>0.28789999999999999</v>
      </c>
      <c r="L176">
        <v>0.81</v>
      </c>
      <c r="M176">
        <v>0</v>
      </c>
      <c r="N176">
        <v>3</v>
      </c>
      <c r="O176">
        <v>13</v>
      </c>
      <c r="P176">
        <v>16</v>
      </c>
      <c r="Q176" s="17" t="str">
        <f t="shared" si="8"/>
        <v>Weekends</v>
      </c>
      <c r="R176" s="17" t="str">
        <f t="shared" si="6"/>
        <v>Afternoon</v>
      </c>
      <c r="S176" s="9" t="str">
        <f t="shared" si="7"/>
        <v>Clear</v>
      </c>
    </row>
    <row r="177" spans="1:19" x14ac:dyDescent="0.25">
      <c r="A177">
        <v>176</v>
      </c>
      <c r="B177" s="19">
        <v>40551</v>
      </c>
      <c r="C177">
        <v>1</v>
      </c>
      <c r="D177">
        <v>1</v>
      </c>
      <c r="E177">
        <v>14</v>
      </c>
      <c r="F177" t="b">
        <v>0</v>
      </c>
      <c r="G177">
        <v>6</v>
      </c>
      <c r="H177">
        <v>1</v>
      </c>
      <c r="I177">
        <v>0.2</v>
      </c>
      <c r="J177">
        <v>0</v>
      </c>
      <c r="K177">
        <v>0.28789999999999999</v>
      </c>
      <c r="L177">
        <v>0.81</v>
      </c>
      <c r="M177">
        <v>0</v>
      </c>
      <c r="N177">
        <v>3</v>
      </c>
      <c r="O177">
        <v>13</v>
      </c>
      <c r="P177">
        <v>16</v>
      </c>
      <c r="Q177" s="17" t="str">
        <f t="shared" si="8"/>
        <v>Weekends</v>
      </c>
      <c r="R177" s="17" t="str">
        <f t="shared" si="6"/>
        <v>Afternoon</v>
      </c>
      <c r="S177" s="9" t="str">
        <f t="shared" si="7"/>
        <v>Clear</v>
      </c>
    </row>
    <row r="178" spans="1:19" x14ac:dyDescent="0.25">
      <c r="A178">
        <v>177</v>
      </c>
      <c r="B178" s="19">
        <v>40551</v>
      </c>
      <c r="C178">
        <v>1</v>
      </c>
      <c r="D178">
        <v>1</v>
      </c>
      <c r="E178">
        <v>15</v>
      </c>
      <c r="F178" t="b">
        <v>0</v>
      </c>
      <c r="G178">
        <v>6</v>
      </c>
      <c r="H178">
        <v>1</v>
      </c>
      <c r="I178">
        <v>0.2</v>
      </c>
      <c r="J178">
        <v>0</v>
      </c>
      <c r="K178">
        <v>0.28789999999999999</v>
      </c>
      <c r="L178">
        <v>0.81</v>
      </c>
      <c r="M178">
        <v>0</v>
      </c>
      <c r="N178">
        <v>3</v>
      </c>
      <c r="O178">
        <v>13</v>
      </c>
      <c r="P178">
        <v>16</v>
      </c>
      <c r="Q178" s="17" t="str">
        <f t="shared" si="8"/>
        <v>Weekends</v>
      </c>
      <c r="R178" s="17" t="str">
        <f t="shared" si="6"/>
        <v>Afternoon</v>
      </c>
      <c r="S178" s="9" t="str">
        <f t="shared" si="7"/>
        <v>Clear</v>
      </c>
    </row>
    <row r="179" spans="1:19" x14ac:dyDescent="0.25">
      <c r="A179">
        <v>178</v>
      </c>
      <c r="B179" s="19">
        <v>40551</v>
      </c>
      <c r="C179">
        <v>1</v>
      </c>
      <c r="D179">
        <v>1</v>
      </c>
      <c r="E179">
        <v>16</v>
      </c>
      <c r="F179" t="b">
        <v>0</v>
      </c>
      <c r="G179">
        <v>6</v>
      </c>
      <c r="H179">
        <v>1</v>
      </c>
      <c r="I179">
        <v>0.18</v>
      </c>
      <c r="J179">
        <v>0</v>
      </c>
      <c r="K179">
        <v>0.28789999999999999</v>
      </c>
      <c r="L179">
        <v>0.81</v>
      </c>
      <c r="M179">
        <v>0</v>
      </c>
      <c r="N179">
        <v>3</v>
      </c>
      <c r="O179">
        <v>13</v>
      </c>
      <c r="P179">
        <v>16</v>
      </c>
      <c r="Q179" s="17" t="str">
        <f t="shared" si="8"/>
        <v>Weekends</v>
      </c>
      <c r="R179" s="17" t="str">
        <f t="shared" si="6"/>
        <v>Evening</v>
      </c>
      <c r="S179" s="9" t="str">
        <f t="shared" si="7"/>
        <v>Clear</v>
      </c>
    </row>
    <row r="180" spans="1:19" x14ac:dyDescent="0.25">
      <c r="A180">
        <v>179</v>
      </c>
      <c r="B180" s="19">
        <v>40551</v>
      </c>
      <c r="C180">
        <v>1</v>
      </c>
      <c r="D180">
        <v>1</v>
      </c>
      <c r="E180">
        <v>17</v>
      </c>
      <c r="F180" t="b">
        <v>0</v>
      </c>
      <c r="G180">
        <v>6</v>
      </c>
      <c r="H180">
        <v>1</v>
      </c>
      <c r="I180">
        <v>0.16</v>
      </c>
      <c r="J180">
        <v>0</v>
      </c>
      <c r="K180">
        <v>0.28789999999999999</v>
      </c>
      <c r="L180">
        <v>0.81</v>
      </c>
      <c r="M180">
        <v>0</v>
      </c>
      <c r="N180">
        <v>3</v>
      </c>
      <c r="O180">
        <v>13</v>
      </c>
      <c r="P180">
        <v>16</v>
      </c>
      <c r="Q180" s="17" t="str">
        <f t="shared" si="8"/>
        <v>Weekends</v>
      </c>
      <c r="R180" s="17" t="str">
        <f t="shared" si="6"/>
        <v>Evening</v>
      </c>
      <c r="S180" s="9" t="str">
        <f t="shared" si="7"/>
        <v>Clear</v>
      </c>
    </row>
    <row r="181" spans="1:19" x14ac:dyDescent="0.25">
      <c r="A181">
        <v>180</v>
      </c>
      <c r="B181" s="19">
        <v>40551</v>
      </c>
      <c r="C181">
        <v>1</v>
      </c>
      <c r="D181">
        <v>1</v>
      </c>
      <c r="E181">
        <v>18</v>
      </c>
      <c r="F181" t="b">
        <v>0</v>
      </c>
      <c r="G181">
        <v>6</v>
      </c>
      <c r="H181">
        <v>1</v>
      </c>
      <c r="I181">
        <v>0.14000000000000001</v>
      </c>
      <c r="J181">
        <v>0</v>
      </c>
      <c r="K181">
        <v>0.28789999999999999</v>
      </c>
      <c r="L181">
        <v>0.81</v>
      </c>
      <c r="M181">
        <v>0</v>
      </c>
      <c r="N181">
        <v>3</v>
      </c>
      <c r="O181">
        <v>13</v>
      </c>
      <c r="P181">
        <v>16</v>
      </c>
      <c r="Q181" s="17" t="str">
        <f t="shared" si="8"/>
        <v>Weekends</v>
      </c>
      <c r="R181" s="17" t="str">
        <f t="shared" si="6"/>
        <v>Evening</v>
      </c>
      <c r="S181" s="9" t="str">
        <f t="shared" si="7"/>
        <v>Clear</v>
      </c>
    </row>
    <row r="182" spans="1:19" x14ac:dyDescent="0.25">
      <c r="A182">
        <v>181</v>
      </c>
      <c r="B182" s="19">
        <v>40551</v>
      </c>
      <c r="C182">
        <v>1</v>
      </c>
      <c r="D182">
        <v>1</v>
      </c>
      <c r="E182">
        <v>19</v>
      </c>
      <c r="F182" t="b">
        <v>0</v>
      </c>
      <c r="G182">
        <v>6</v>
      </c>
      <c r="H182">
        <v>1</v>
      </c>
      <c r="I182">
        <v>0.14000000000000001</v>
      </c>
      <c r="J182">
        <v>0</v>
      </c>
      <c r="K182">
        <v>0.28789999999999999</v>
      </c>
      <c r="L182">
        <v>0.81</v>
      </c>
      <c r="M182">
        <v>0</v>
      </c>
      <c r="N182">
        <v>3</v>
      </c>
      <c r="O182">
        <v>13</v>
      </c>
      <c r="P182">
        <v>16</v>
      </c>
      <c r="Q182" s="17" t="str">
        <f t="shared" si="8"/>
        <v>Weekends</v>
      </c>
      <c r="R182" s="17" t="str">
        <f t="shared" si="6"/>
        <v>Evening</v>
      </c>
      <c r="S182" s="9" t="str">
        <f t="shared" si="7"/>
        <v>Clear</v>
      </c>
    </row>
    <row r="183" spans="1:19" x14ac:dyDescent="0.25">
      <c r="A183">
        <v>182</v>
      </c>
      <c r="B183" s="19">
        <v>40551</v>
      </c>
      <c r="C183">
        <v>1</v>
      </c>
      <c r="D183">
        <v>1</v>
      </c>
      <c r="E183">
        <v>20</v>
      </c>
      <c r="F183" t="b">
        <v>0</v>
      </c>
      <c r="G183">
        <v>6</v>
      </c>
      <c r="H183">
        <v>1</v>
      </c>
      <c r="I183">
        <v>0.12</v>
      </c>
      <c r="J183">
        <v>0</v>
      </c>
      <c r="K183">
        <v>0.28789999999999999</v>
      </c>
      <c r="L183">
        <v>0.81</v>
      </c>
      <c r="M183">
        <v>0</v>
      </c>
      <c r="N183">
        <v>3</v>
      </c>
      <c r="O183">
        <v>13</v>
      </c>
      <c r="P183">
        <v>16</v>
      </c>
      <c r="Q183" s="17" t="str">
        <f t="shared" si="8"/>
        <v>Weekends</v>
      </c>
      <c r="R183" s="17" t="str">
        <f t="shared" si="6"/>
        <v>Evening</v>
      </c>
      <c r="S183" s="9" t="str">
        <f t="shared" si="7"/>
        <v>Clear</v>
      </c>
    </row>
    <row r="184" spans="1:19" x14ac:dyDescent="0.25">
      <c r="A184">
        <v>183</v>
      </c>
      <c r="B184" s="19">
        <v>40551</v>
      </c>
      <c r="C184">
        <v>1</v>
      </c>
      <c r="D184">
        <v>1</v>
      </c>
      <c r="E184">
        <v>21</v>
      </c>
      <c r="F184" t="b">
        <v>0</v>
      </c>
      <c r="G184">
        <v>6</v>
      </c>
      <c r="H184">
        <v>1</v>
      </c>
      <c r="I184">
        <v>0.12</v>
      </c>
      <c r="J184">
        <v>0</v>
      </c>
      <c r="K184">
        <v>0.28789999999999999</v>
      </c>
      <c r="L184">
        <v>0.81</v>
      </c>
      <c r="M184">
        <v>0</v>
      </c>
      <c r="N184">
        <v>3</v>
      </c>
      <c r="O184">
        <v>13</v>
      </c>
      <c r="P184">
        <v>16</v>
      </c>
      <c r="Q184" s="17" t="str">
        <f t="shared" si="8"/>
        <v>Weekends</v>
      </c>
      <c r="R184" s="17" t="str">
        <f t="shared" si="6"/>
        <v>Night</v>
      </c>
      <c r="S184" s="9" t="str">
        <f t="shared" si="7"/>
        <v>Clear</v>
      </c>
    </row>
    <row r="185" spans="1:19" x14ac:dyDescent="0.25">
      <c r="A185">
        <v>184</v>
      </c>
      <c r="B185" s="19">
        <v>40551</v>
      </c>
      <c r="C185">
        <v>1</v>
      </c>
      <c r="D185">
        <v>1</v>
      </c>
      <c r="E185">
        <v>22</v>
      </c>
      <c r="F185" t="b">
        <v>0</v>
      </c>
      <c r="G185">
        <v>6</v>
      </c>
      <c r="H185">
        <v>1</v>
      </c>
      <c r="I185">
        <v>0.12</v>
      </c>
      <c r="J185">
        <v>0</v>
      </c>
      <c r="K185">
        <v>0.28789999999999999</v>
      </c>
      <c r="L185">
        <v>0.81</v>
      </c>
      <c r="M185">
        <v>0</v>
      </c>
      <c r="N185">
        <v>3</v>
      </c>
      <c r="O185">
        <v>13</v>
      </c>
      <c r="P185">
        <v>16</v>
      </c>
      <c r="Q185" s="17" t="str">
        <f t="shared" si="8"/>
        <v>Weekends</v>
      </c>
      <c r="R185" s="17" t="str">
        <f t="shared" si="6"/>
        <v>Night</v>
      </c>
      <c r="S185" s="9" t="str">
        <f t="shared" si="7"/>
        <v>Clear</v>
      </c>
    </row>
    <row r="186" spans="1:19" x14ac:dyDescent="0.25">
      <c r="A186">
        <v>185</v>
      </c>
      <c r="B186" s="19">
        <v>40551</v>
      </c>
      <c r="C186">
        <v>1</v>
      </c>
      <c r="D186">
        <v>1</v>
      </c>
      <c r="E186">
        <v>23</v>
      </c>
      <c r="F186" t="b">
        <v>0</v>
      </c>
      <c r="G186">
        <v>6</v>
      </c>
      <c r="H186">
        <v>1</v>
      </c>
      <c r="I186">
        <v>0.1</v>
      </c>
      <c r="J186">
        <v>0</v>
      </c>
      <c r="K186">
        <v>0.28789999999999999</v>
      </c>
      <c r="L186">
        <v>0.81</v>
      </c>
      <c r="M186">
        <v>0</v>
      </c>
      <c r="N186">
        <v>3</v>
      </c>
      <c r="O186">
        <v>13</v>
      </c>
      <c r="P186">
        <v>16</v>
      </c>
      <c r="Q186" s="17" t="str">
        <f t="shared" si="8"/>
        <v>Weekends</v>
      </c>
      <c r="R186" s="17" t="str">
        <f t="shared" si="6"/>
        <v>Night</v>
      </c>
      <c r="S186" s="9" t="str">
        <f t="shared" si="7"/>
        <v>Clear</v>
      </c>
    </row>
    <row r="187" spans="1:19" x14ac:dyDescent="0.25">
      <c r="A187">
        <v>186</v>
      </c>
      <c r="B187" s="19">
        <v>40552</v>
      </c>
      <c r="C187">
        <v>1</v>
      </c>
      <c r="D187">
        <v>1</v>
      </c>
      <c r="E187">
        <v>0</v>
      </c>
      <c r="F187" t="b">
        <v>0</v>
      </c>
      <c r="G187">
        <v>0</v>
      </c>
      <c r="H187">
        <v>1</v>
      </c>
      <c r="I187">
        <v>0.1</v>
      </c>
      <c r="J187">
        <v>0</v>
      </c>
      <c r="K187">
        <v>0.28789999999999999</v>
      </c>
      <c r="L187">
        <v>0.81</v>
      </c>
      <c r="M187">
        <v>0</v>
      </c>
      <c r="N187">
        <v>3</v>
      </c>
      <c r="O187">
        <v>13</v>
      </c>
      <c r="P187">
        <v>16</v>
      </c>
      <c r="Q187" s="17" t="str">
        <f t="shared" si="8"/>
        <v>Weekdays</v>
      </c>
      <c r="R187" s="17" t="str">
        <f t="shared" si="6"/>
        <v>Morning</v>
      </c>
      <c r="S187" s="9" t="str">
        <f t="shared" si="7"/>
        <v>Clear</v>
      </c>
    </row>
    <row r="188" spans="1:19" x14ac:dyDescent="0.25">
      <c r="A188">
        <v>187</v>
      </c>
      <c r="B188" s="19">
        <v>40552</v>
      </c>
      <c r="C188">
        <v>1</v>
      </c>
      <c r="D188">
        <v>1</v>
      </c>
      <c r="E188">
        <v>1</v>
      </c>
      <c r="F188" t="b">
        <v>0</v>
      </c>
      <c r="G188">
        <v>0</v>
      </c>
      <c r="H188">
        <v>1</v>
      </c>
      <c r="I188">
        <v>0.1</v>
      </c>
      <c r="J188">
        <v>0</v>
      </c>
      <c r="K188">
        <v>0.28789999999999999</v>
      </c>
      <c r="L188">
        <v>0.81</v>
      </c>
      <c r="M188">
        <v>0</v>
      </c>
      <c r="N188">
        <v>3</v>
      </c>
      <c r="O188">
        <v>13</v>
      </c>
      <c r="P188">
        <v>16</v>
      </c>
      <c r="Q188" s="17" t="str">
        <f t="shared" si="8"/>
        <v>Weekdays</v>
      </c>
      <c r="R188" s="17" t="str">
        <f t="shared" si="6"/>
        <v>Morning</v>
      </c>
      <c r="S188" s="9" t="str">
        <f t="shared" si="7"/>
        <v>Clear</v>
      </c>
    </row>
    <row r="189" spans="1:19" x14ac:dyDescent="0.25">
      <c r="A189">
        <v>188</v>
      </c>
      <c r="B189" s="19">
        <v>40552</v>
      </c>
      <c r="C189">
        <v>1</v>
      </c>
      <c r="D189">
        <v>1</v>
      </c>
      <c r="E189">
        <v>2</v>
      </c>
      <c r="F189" t="b">
        <v>0</v>
      </c>
      <c r="G189">
        <v>0</v>
      </c>
      <c r="H189">
        <v>1</v>
      </c>
      <c r="I189">
        <v>0.1</v>
      </c>
      <c r="J189">
        <v>0</v>
      </c>
      <c r="K189">
        <v>0.28789999999999999</v>
      </c>
      <c r="L189">
        <v>0.81</v>
      </c>
      <c r="M189">
        <v>0</v>
      </c>
      <c r="N189">
        <v>3</v>
      </c>
      <c r="O189">
        <v>13</v>
      </c>
      <c r="P189">
        <v>16</v>
      </c>
      <c r="Q189" s="17" t="str">
        <f t="shared" si="8"/>
        <v>Weekdays</v>
      </c>
      <c r="R189" s="17" t="str">
        <f t="shared" si="6"/>
        <v>Morning</v>
      </c>
      <c r="S189" s="9" t="str">
        <f t="shared" si="7"/>
        <v>Clear</v>
      </c>
    </row>
    <row r="190" spans="1:19" x14ac:dyDescent="0.25">
      <c r="A190">
        <v>189</v>
      </c>
      <c r="B190" s="19">
        <v>40552</v>
      </c>
      <c r="C190">
        <v>1</v>
      </c>
      <c r="D190">
        <v>1</v>
      </c>
      <c r="E190">
        <v>3</v>
      </c>
      <c r="F190" t="b">
        <v>0</v>
      </c>
      <c r="G190">
        <v>0</v>
      </c>
      <c r="H190">
        <v>1</v>
      </c>
      <c r="I190">
        <v>0.1</v>
      </c>
      <c r="J190">
        <v>0</v>
      </c>
      <c r="K190">
        <v>0.28789999999999999</v>
      </c>
      <c r="L190">
        <v>0.81</v>
      </c>
      <c r="M190">
        <v>0</v>
      </c>
      <c r="N190">
        <v>3</v>
      </c>
      <c r="O190">
        <v>13</v>
      </c>
      <c r="P190">
        <v>16</v>
      </c>
      <c r="Q190" s="17" t="str">
        <f t="shared" si="8"/>
        <v>Weekdays</v>
      </c>
      <c r="R190" s="17" t="str">
        <f t="shared" si="6"/>
        <v>Morning</v>
      </c>
      <c r="S190" s="9" t="str">
        <f t="shared" si="7"/>
        <v>Clear</v>
      </c>
    </row>
    <row r="191" spans="1:19" x14ac:dyDescent="0.25">
      <c r="A191">
        <v>190</v>
      </c>
      <c r="B191" s="19">
        <v>40552</v>
      </c>
      <c r="C191">
        <v>1</v>
      </c>
      <c r="D191">
        <v>1</v>
      </c>
      <c r="E191">
        <v>4</v>
      </c>
      <c r="F191" t="b">
        <v>0</v>
      </c>
      <c r="G191">
        <v>0</v>
      </c>
      <c r="H191">
        <v>1</v>
      </c>
      <c r="I191">
        <v>0.08</v>
      </c>
      <c r="J191">
        <v>0</v>
      </c>
      <c r="K191">
        <v>0.28789999999999999</v>
      </c>
      <c r="L191">
        <v>0.81</v>
      </c>
      <c r="M191">
        <v>0</v>
      </c>
      <c r="N191">
        <v>3</v>
      </c>
      <c r="O191">
        <v>13</v>
      </c>
      <c r="P191">
        <v>16</v>
      </c>
      <c r="Q191" s="17" t="str">
        <f t="shared" si="8"/>
        <v>Weekdays</v>
      </c>
      <c r="R191" s="17" t="str">
        <f t="shared" si="6"/>
        <v>Morning</v>
      </c>
      <c r="S191" s="9" t="str">
        <f t="shared" si="7"/>
        <v>Clear</v>
      </c>
    </row>
    <row r="192" spans="1:19" x14ac:dyDescent="0.25">
      <c r="A192">
        <v>191</v>
      </c>
      <c r="B192" s="19">
        <v>40552</v>
      </c>
      <c r="C192">
        <v>1</v>
      </c>
      <c r="D192">
        <v>1</v>
      </c>
      <c r="E192">
        <v>5</v>
      </c>
      <c r="F192" t="b">
        <v>0</v>
      </c>
      <c r="G192">
        <v>0</v>
      </c>
      <c r="H192">
        <v>1</v>
      </c>
      <c r="I192">
        <v>0.08</v>
      </c>
      <c r="J192">
        <v>0</v>
      </c>
      <c r="K192">
        <v>0.28789999999999999</v>
      </c>
      <c r="L192">
        <v>0.81</v>
      </c>
      <c r="M192">
        <v>0</v>
      </c>
      <c r="N192">
        <v>3</v>
      </c>
      <c r="O192">
        <v>13</v>
      </c>
      <c r="P192">
        <v>16</v>
      </c>
      <c r="Q192" s="17" t="str">
        <f t="shared" si="8"/>
        <v>Weekdays</v>
      </c>
      <c r="R192" s="17" t="str">
        <f t="shared" si="6"/>
        <v>Morning</v>
      </c>
      <c r="S192" s="9" t="str">
        <f t="shared" si="7"/>
        <v>Clear</v>
      </c>
    </row>
    <row r="193" spans="1:19" x14ac:dyDescent="0.25">
      <c r="A193">
        <v>192</v>
      </c>
      <c r="B193" s="19">
        <v>40552</v>
      </c>
      <c r="C193">
        <v>1</v>
      </c>
      <c r="D193">
        <v>1</v>
      </c>
      <c r="E193">
        <v>6</v>
      </c>
      <c r="F193" t="b">
        <v>0</v>
      </c>
      <c r="G193">
        <v>0</v>
      </c>
      <c r="H193">
        <v>1</v>
      </c>
      <c r="I193">
        <v>0.1</v>
      </c>
      <c r="J193">
        <v>0</v>
      </c>
      <c r="K193">
        <v>0.28789999999999999</v>
      </c>
      <c r="L193">
        <v>0.81</v>
      </c>
      <c r="M193">
        <v>0</v>
      </c>
      <c r="N193">
        <v>3</v>
      </c>
      <c r="O193">
        <v>13</v>
      </c>
      <c r="P193">
        <v>16</v>
      </c>
      <c r="Q193" s="17" t="str">
        <f t="shared" si="8"/>
        <v>Weekdays</v>
      </c>
      <c r="R193" s="17" t="str">
        <f t="shared" si="6"/>
        <v>Morning</v>
      </c>
      <c r="S193" s="9" t="str">
        <f t="shared" si="7"/>
        <v>Clear</v>
      </c>
    </row>
    <row r="194" spans="1:19" x14ac:dyDescent="0.25">
      <c r="A194">
        <v>193</v>
      </c>
      <c r="B194" s="19">
        <v>40552</v>
      </c>
      <c r="C194">
        <v>1</v>
      </c>
      <c r="D194">
        <v>1</v>
      </c>
      <c r="E194">
        <v>7</v>
      </c>
      <c r="F194" t="b">
        <v>0</v>
      </c>
      <c r="G194">
        <v>0</v>
      </c>
      <c r="H194">
        <v>1</v>
      </c>
      <c r="I194">
        <v>0.08</v>
      </c>
      <c r="J194">
        <v>0</v>
      </c>
      <c r="K194">
        <v>0.28789999999999999</v>
      </c>
      <c r="L194">
        <v>0.81</v>
      </c>
      <c r="M194">
        <v>0</v>
      </c>
      <c r="N194">
        <v>3</v>
      </c>
      <c r="O194">
        <v>13</v>
      </c>
      <c r="P194">
        <v>16</v>
      </c>
      <c r="Q194" s="17" t="str">
        <f t="shared" si="8"/>
        <v>Weekdays</v>
      </c>
      <c r="R194" s="17" t="str">
        <f t="shared" ref="R194:R257" si="9">IF(E194&lt;12,"Morning",IF(E194&lt;16,"Afternoon",IF(E194&lt;21,"Evening","Night")))</f>
        <v>Morning</v>
      </c>
      <c r="S194" s="9" t="str">
        <f t="shared" ref="S194:S257" si="10">IF(H194=1,"Clear",IF(H194=2,"Mist",IF(H194=3,"Light Snow/Rain","Heavy Rain/Snow")))</f>
        <v>Clear</v>
      </c>
    </row>
    <row r="195" spans="1:19" x14ac:dyDescent="0.25">
      <c r="A195">
        <v>194</v>
      </c>
      <c r="B195" s="19">
        <v>40552</v>
      </c>
      <c r="C195">
        <v>1</v>
      </c>
      <c r="D195">
        <v>1</v>
      </c>
      <c r="E195">
        <v>8</v>
      </c>
      <c r="F195" t="b">
        <v>0</v>
      </c>
      <c r="G195">
        <v>0</v>
      </c>
      <c r="H195">
        <v>1</v>
      </c>
      <c r="I195">
        <v>0.1</v>
      </c>
      <c r="J195">
        <v>0</v>
      </c>
      <c r="K195">
        <v>0.28789999999999999</v>
      </c>
      <c r="L195">
        <v>0.81</v>
      </c>
      <c r="M195">
        <v>0</v>
      </c>
      <c r="N195">
        <v>3</v>
      </c>
      <c r="O195">
        <v>13</v>
      </c>
      <c r="P195">
        <v>16</v>
      </c>
      <c r="Q195" s="17" t="str">
        <f t="shared" ref="Q195:Q258" si="11">IF(G195&gt;=5,"Weekends","Weekdays")</f>
        <v>Weekdays</v>
      </c>
      <c r="R195" s="17" t="str">
        <f t="shared" si="9"/>
        <v>Morning</v>
      </c>
      <c r="S195" s="9" t="str">
        <f t="shared" si="10"/>
        <v>Clear</v>
      </c>
    </row>
    <row r="196" spans="1:19" x14ac:dyDescent="0.25">
      <c r="A196">
        <v>195</v>
      </c>
      <c r="B196" s="19">
        <v>40552</v>
      </c>
      <c r="C196">
        <v>1</v>
      </c>
      <c r="D196">
        <v>1</v>
      </c>
      <c r="E196">
        <v>9</v>
      </c>
      <c r="F196" t="b">
        <v>0</v>
      </c>
      <c r="G196">
        <v>0</v>
      </c>
      <c r="H196">
        <v>1</v>
      </c>
      <c r="I196">
        <v>0.12</v>
      </c>
      <c r="J196">
        <v>0</v>
      </c>
      <c r="K196">
        <v>0.28789999999999999</v>
      </c>
      <c r="L196">
        <v>0.81</v>
      </c>
      <c r="M196">
        <v>0</v>
      </c>
      <c r="N196">
        <v>3</v>
      </c>
      <c r="O196">
        <v>13</v>
      </c>
      <c r="P196">
        <v>16</v>
      </c>
      <c r="Q196" s="17" t="str">
        <f t="shared" si="11"/>
        <v>Weekdays</v>
      </c>
      <c r="R196" s="17" t="str">
        <f t="shared" si="9"/>
        <v>Morning</v>
      </c>
      <c r="S196" s="9" t="str">
        <f t="shared" si="10"/>
        <v>Clear</v>
      </c>
    </row>
    <row r="197" spans="1:19" x14ac:dyDescent="0.25">
      <c r="A197">
        <v>196</v>
      </c>
      <c r="B197" s="19">
        <v>40552</v>
      </c>
      <c r="C197">
        <v>1</v>
      </c>
      <c r="D197">
        <v>1</v>
      </c>
      <c r="E197">
        <v>10</v>
      </c>
      <c r="F197" t="b">
        <v>0</v>
      </c>
      <c r="G197">
        <v>0</v>
      </c>
      <c r="H197">
        <v>1</v>
      </c>
      <c r="I197">
        <v>0.14000000000000001</v>
      </c>
      <c r="J197">
        <v>0</v>
      </c>
      <c r="K197">
        <v>0.28789999999999999</v>
      </c>
      <c r="L197">
        <v>0.81</v>
      </c>
      <c r="M197">
        <v>0</v>
      </c>
      <c r="N197">
        <v>3</v>
      </c>
      <c r="O197">
        <v>13</v>
      </c>
      <c r="P197">
        <v>16</v>
      </c>
      <c r="Q197" s="17" t="str">
        <f t="shared" si="11"/>
        <v>Weekdays</v>
      </c>
      <c r="R197" s="17" t="str">
        <f t="shared" si="9"/>
        <v>Morning</v>
      </c>
      <c r="S197" s="9" t="str">
        <f t="shared" si="10"/>
        <v>Clear</v>
      </c>
    </row>
    <row r="198" spans="1:19" x14ac:dyDescent="0.25">
      <c r="A198">
        <v>197</v>
      </c>
      <c r="B198" s="19">
        <v>40552</v>
      </c>
      <c r="C198">
        <v>1</v>
      </c>
      <c r="D198">
        <v>1</v>
      </c>
      <c r="E198">
        <v>11</v>
      </c>
      <c r="F198" t="b">
        <v>0</v>
      </c>
      <c r="G198">
        <v>0</v>
      </c>
      <c r="H198">
        <v>1</v>
      </c>
      <c r="I198">
        <v>0.16</v>
      </c>
      <c r="J198">
        <v>0</v>
      </c>
      <c r="K198">
        <v>0.28789999999999999</v>
      </c>
      <c r="L198">
        <v>0.81</v>
      </c>
      <c r="M198">
        <v>0</v>
      </c>
      <c r="N198">
        <v>3</v>
      </c>
      <c r="O198">
        <v>13</v>
      </c>
      <c r="P198">
        <v>16</v>
      </c>
      <c r="Q198" s="17" t="str">
        <f t="shared" si="11"/>
        <v>Weekdays</v>
      </c>
      <c r="R198" s="17" t="str">
        <f t="shared" si="9"/>
        <v>Morning</v>
      </c>
      <c r="S198" s="9" t="str">
        <f t="shared" si="10"/>
        <v>Clear</v>
      </c>
    </row>
    <row r="199" spans="1:19" x14ac:dyDescent="0.25">
      <c r="A199">
        <v>198</v>
      </c>
      <c r="B199" s="19">
        <v>40552</v>
      </c>
      <c r="C199">
        <v>1</v>
      </c>
      <c r="D199">
        <v>1</v>
      </c>
      <c r="E199">
        <v>12</v>
      </c>
      <c r="F199" t="b">
        <v>0</v>
      </c>
      <c r="G199">
        <v>0</v>
      </c>
      <c r="H199">
        <v>1</v>
      </c>
      <c r="I199">
        <v>0.18</v>
      </c>
      <c r="J199">
        <v>0</v>
      </c>
      <c r="K199">
        <v>0.28789999999999999</v>
      </c>
      <c r="L199">
        <v>0.81</v>
      </c>
      <c r="M199">
        <v>0</v>
      </c>
      <c r="N199">
        <v>3</v>
      </c>
      <c r="O199">
        <v>13</v>
      </c>
      <c r="P199">
        <v>16</v>
      </c>
      <c r="Q199" s="17" t="str">
        <f t="shared" si="11"/>
        <v>Weekdays</v>
      </c>
      <c r="R199" s="17" t="str">
        <f t="shared" si="9"/>
        <v>Afternoon</v>
      </c>
      <c r="S199" s="9" t="str">
        <f t="shared" si="10"/>
        <v>Clear</v>
      </c>
    </row>
    <row r="200" spans="1:19" x14ac:dyDescent="0.25">
      <c r="A200">
        <v>199</v>
      </c>
      <c r="B200" s="19">
        <v>40552</v>
      </c>
      <c r="C200">
        <v>1</v>
      </c>
      <c r="D200">
        <v>1</v>
      </c>
      <c r="E200">
        <v>13</v>
      </c>
      <c r="F200" t="b">
        <v>0</v>
      </c>
      <c r="G200">
        <v>0</v>
      </c>
      <c r="H200">
        <v>1</v>
      </c>
      <c r="I200">
        <v>0.2</v>
      </c>
      <c r="J200">
        <v>0</v>
      </c>
      <c r="K200">
        <v>0.28789999999999999</v>
      </c>
      <c r="L200">
        <v>0.81</v>
      </c>
      <c r="M200">
        <v>0</v>
      </c>
      <c r="N200">
        <v>3</v>
      </c>
      <c r="O200">
        <v>13</v>
      </c>
      <c r="P200">
        <v>16</v>
      </c>
      <c r="Q200" s="17" t="str">
        <f t="shared" si="11"/>
        <v>Weekdays</v>
      </c>
      <c r="R200" s="17" t="str">
        <f t="shared" si="9"/>
        <v>Afternoon</v>
      </c>
      <c r="S200" s="9" t="str">
        <f t="shared" si="10"/>
        <v>Clear</v>
      </c>
    </row>
    <row r="201" spans="1:19" x14ac:dyDescent="0.25">
      <c r="A201">
        <v>200</v>
      </c>
      <c r="B201" s="19">
        <v>40552</v>
      </c>
      <c r="C201">
        <v>1</v>
      </c>
      <c r="D201">
        <v>1</v>
      </c>
      <c r="E201">
        <v>14</v>
      </c>
      <c r="F201" t="b">
        <v>0</v>
      </c>
      <c r="G201">
        <v>0</v>
      </c>
      <c r="H201">
        <v>1</v>
      </c>
      <c r="I201">
        <v>0.22</v>
      </c>
      <c r="J201">
        <v>0</v>
      </c>
      <c r="K201">
        <v>0.28789999999999999</v>
      </c>
      <c r="L201">
        <v>0.81</v>
      </c>
      <c r="M201">
        <v>0</v>
      </c>
      <c r="N201">
        <v>3</v>
      </c>
      <c r="O201">
        <v>13</v>
      </c>
      <c r="P201">
        <v>16</v>
      </c>
      <c r="Q201" s="17" t="str">
        <f t="shared" si="11"/>
        <v>Weekdays</v>
      </c>
      <c r="R201" s="17" t="str">
        <f t="shared" si="9"/>
        <v>Afternoon</v>
      </c>
      <c r="S201" s="9" t="str">
        <f t="shared" si="10"/>
        <v>Clear</v>
      </c>
    </row>
    <row r="202" spans="1:19" x14ac:dyDescent="0.25">
      <c r="A202">
        <v>201</v>
      </c>
      <c r="B202" s="19">
        <v>40552</v>
      </c>
      <c r="C202">
        <v>1</v>
      </c>
      <c r="D202">
        <v>1</v>
      </c>
      <c r="E202">
        <v>15</v>
      </c>
      <c r="F202" t="b">
        <v>0</v>
      </c>
      <c r="G202">
        <v>0</v>
      </c>
      <c r="H202">
        <v>1</v>
      </c>
      <c r="I202">
        <v>0.22</v>
      </c>
      <c r="J202">
        <v>0</v>
      </c>
      <c r="K202">
        <v>0.28789999999999999</v>
      </c>
      <c r="L202">
        <v>0.81</v>
      </c>
      <c r="M202">
        <v>0</v>
      </c>
      <c r="N202">
        <v>3</v>
      </c>
      <c r="O202">
        <v>13</v>
      </c>
      <c r="P202">
        <v>16</v>
      </c>
      <c r="Q202" s="17" t="str">
        <f t="shared" si="11"/>
        <v>Weekdays</v>
      </c>
      <c r="R202" s="17" t="str">
        <f t="shared" si="9"/>
        <v>Afternoon</v>
      </c>
      <c r="S202" s="9" t="str">
        <f t="shared" si="10"/>
        <v>Clear</v>
      </c>
    </row>
    <row r="203" spans="1:19" x14ac:dyDescent="0.25">
      <c r="A203">
        <v>202</v>
      </c>
      <c r="B203" s="19">
        <v>40552</v>
      </c>
      <c r="C203">
        <v>1</v>
      </c>
      <c r="D203">
        <v>1</v>
      </c>
      <c r="E203">
        <v>16</v>
      </c>
      <c r="F203" t="b">
        <v>0</v>
      </c>
      <c r="G203">
        <v>0</v>
      </c>
      <c r="H203">
        <v>1</v>
      </c>
      <c r="I203">
        <v>0.2</v>
      </c>
      <c r="J203">
        <v>0</v>
      </c>
      <c r="K203">
        <v>0.28789999999999999</v>
      </c>
      <c r="L203">
        <v>0.81</v>
      </c>
      <c r="M203">
        <v>0</v>
      </c>
      <c r="N203">
        <v>3</v>
      </c>
      <c r="O203">
        <v>13</v>
      </c>
      <c r="P203">
        <v>16</v>
      </c>
      <c r="Q203" s="17" t="str">
        <f t="shared" si="11"/>
        <v>Weekdays</v>
      </c>
      <c r="R203" s="17" t="str">
        <f t="shared" si="9"/>
        <v>Evening</v>
      </c>
      <c r="S203" s="9" t="str">
        <f t="shared" si="10"/>
        <v>Clear</v>
      </c>
    </row>
    <row r="204" spans="1:19" x14ac:dyDescent="0.25">
      <c r="A204">
        <v>203</v>
      </c>
      <c r="B204" s="19">
        <v>40552</v>
      </c>
      <c r="C204">
        <v>1</v>
      </c>
      <c r="D204">
        <v>1</v>
      </c>
      <c r="E204">
        <v>17</v>
      </c>
      <c r="F204" t="b">
        <v>0</v>
      </c>
      <c r="G204">
        <v>0</v>
      </c>
      <c r="H204">
        <v>1</v>
      </c>
      <c r="I204">
        <v>0.18</v>
      </c>
      <c r="J204">
        <v>0</v>
      </c>
      <c r="K204">
        <v>0.28789999999999999</v>
      </c>
      <c r="L204">
        <v>0.81</v>
      </c>
      <c r="M204">
        <v>0</v>
      </c>
      <c r="N204">
        <v>3</v>
      </c>
      <c r="O204">
        <v>13</v>
      </c>
      <c r="P204">
        <v>16</v>
      </c>
      <c r="Q204" s="17" t="str">
        <f t="shared" si="11"/>
        <v>Weekdays</v>
      </c>
      <c r="R204" s="17" t="str">
        <f t="shared" si="9"/>
        <v>Evening</v>
      </c>
      <c r="S204" s="9" t="str">
        <f t="shared" si="10"/>
        <v>Clear</v>
      </c>
    </row>
    <row r="205" spans="1:19" x14ac:dyDescent="0.25">
      <c r="A205">
        <v>204</v>
      </c>
      <c r="B205" s="19">
        <v>40552</v>
      </c>
      <c r="C205">
        <v>1</v>
      </c>
      <c r="D205">
        <v>1</v>
      </c>
      <c r="E205">
        <v>18</v>
      </c>
      <c r="F205" t="b">
        <v>0</v>
      </c>
      <c r="G205">
        <v>0</v>
      </c>
      <c r="H205">
        <v>1</v>
      </c>
      <c r="I205">
        <v>0.16</v>
      </c>
      <c r="J205">
        <v>0</v>
      </c>
      <c r="K205">
        <v>0.28789999999999999</v>
      </c>
      <c r="L205">
        <v>0.81</v>
      </c>
      <c r="M205">
        <v>0</v>
      </c>
      <c r="N205">
        <v>3</v>
      </c>
      <c r="O205">
        <v>13</v>
      </c>
      <c r="P205">
        <v>16</v>
      </c>
      <c r="Q205" s="17" t="str">
        <f t="shared" si="11"/>
        <v>Weekdays</v>
      </c>
      <c r="R205" s="17" t="str">
        <f t="shared" si="9"/>
        <v>Evening</v>
      </c>
      <c r="S205" s="9" t="str">
        <f t="shared" si="10"/>
        <v>Clear</v>
      </c>
    </row>
    <row r="206" spans="1:19" x14ac:dyDescent="0.25">
      <c r="A206">
        <v>205</v>
      </c>
      <c r="B206" s="19">
        <v>40552</v>
      </c>
      <c r="C206">
        <v>1</v>
      </c>
      <c r="D206">
        <v>1</v>
      </c>
      <c r="E206">
        <v>19</v>
      </c>
      <c r="F206" t="b">
        <v>0</v>
      </c>
      <c r="G206">
        <v>0</v>
      </c>
      <c r="H206">
        <v>1</v>
      </c>
      <c r="I206">
        <v>0.16</v>
      </c>
      <c r="J206">
        <v>0</v>
      </c>
      <c r="K206">
        <v>0.28789999999999999</v>
      </c>
      <c r="L206">
        <v>0.81</v>
      </c>
      <c r="M206">
        <v>0</v>
      </c>
      <c r="N206">
        <v>3</v>
      </c>
      <c r="O206">
        <v>13</v>
      </c>
      <c r="P206">
        <v>16</v>
      </c>
      <c r="Q206" s="17" t="str">
        <f t="shared" si="11"/>
        <v>Weekdays</v>
      </c>
      <c r="R206" s="17" t="str">
        <f t="shared" si="9"/>
        <v>Evening</v>
      </c>
      <c r="S206" s="9" t="str">
        <f t="shared" si="10"/>
        <v>Clear</v>
      </c>
    </row>
    <row r="207" spans="1:19" x14ac:dyDescent="0.25">
      <c r="A207">
        <v>206</v>
      </c>
      <c r="B207" s="19">
        <v>40552</v>
      </c>
      <c r="C207">
        <v>1</v>
      </c>
      <c r="D207">
        <v>1</v>
      </c>
      <c r="E207">
        <v>20</v>
      </c>
      <c r="F207" t="b">
        <v>0</v>
      </c>
      <c r="G207">
        <v>0</v>
      </c>
      <c r="H207">
        <v>1</v>
      </c>
      <c r="I207">
        <v>0.14000000000000001</v>
      </c>
      <c r="J207">
        <v>0</v>
      </c>
      <c r="K207">
        <v>0.28789999999999999</v>
      </c>
      <c r="L207">
        <v>0.81</v>
      </c>
      <c r="M207">
        <v>0</v>
      </c>
      <c r="N207">
        <v>3</v>
      </c>
      <c r="O207">
        <v>13</v>
      </c>
      <c r="P207">
        <v>16</v>
      </c>
      <c r="Q207" s="17" t="str">
        <f t="shared" si="11"/>
        <v>Weekdays</v>
      </c>
      <c r="R207" s="17" t="str">
        <f t="shared" si="9"/>
        <v>Evening</v>
      </c>
      <c r="S207" s="9" t="str">
        <f t="shared" si="10"/>
        <v>Clear</v>
      </c>
    </row>
    <row r="208" spans="1:19" x14ac:dyDescent="0.25">
      <c r="A208">
        <v>207</v>
      </c>
      <c r="B208" s="19">
        <v>40552</v>
      </c>
      <c r="C208">
        <v>1</v>
      </c>
      <c r="D208">
        <v>1</v>
      </c>
      <c r="E208">
        <v>21</v>
      </c>
      <c r="F208" t="b">
        <v>0</v>
      </c>
      <c r="G208">
        <v>0</v>
      </c>
      <c r="H208">
        <v>1</v>
      </c>
      <c r="I208">
        <v>0.14000000000000001</v>
      </c>
      <c r="J208">
        <v>0</v>
      </c>
      <c r="K208">
        <v>0.28789999999999999</v>
      </c>
      <c r="L208">
        <v>0.81</v>
      </c>
      <c r="M208">
        <v>0</v>
      </c>
      <c r="N208">
        <v>3</v>
      </c>
      <c r="O208">
        <v>13</v>
      </c>
      <c r="P208">
        <v>16</v>
      </c>
      <c r="Q208" s="17" t="str">
        <f t="shared" si="11"/>
        <v>Weekdays</v>
      </c>
      <c r="R208" s="17" t="str">
        <f t="shared" si="9"/>
        <v>Night</v>
      </c>
      <c r="S208" s="9" t="str">
        <f t="shared" si="10"/>
        <v>Clear</v>
      </c>
    </row>
    <row r="209" spans="1:19" x14ac:dyDescent="0.25">
      <c r="A209">
        <v>208</v>
      </c>
      <c r="B209" s="19">
        <v>40552</v>
      </c>
      <c r="C209">
        <v>1</v>
      </c>
      <c r="D209">
        <v>1</v>
      </c>
      <c r="E209">
        <v>22</v>
      </c>
      <c r="F209" t="b">
        <v>0</v>
      </c>
      <c r="G209">
        <v>0</v>
      </c>
      <c r="H209">
        <v>1</v>
      </c>
      <c r="I209">
        <v>0.14000000000000001</v>
      </c>
      <c r="J209">
        <v>0</v>
      </c>
      <c r="K209">
        <v>0.28789999999999999</v>
      </c>
      <c r="L209">
        <v>0.81</v>
      </c>
      <c r="M209">
        <v>0</v>
      </c>
      <c r="N209">
        <v>3</v>
      </c>
      <c r="O209">
        <v>13</v>
      </c>
      <c r="P209">
        <v>16</v>
      </c>
      <c r="Q209" s="17" t="str">
        <f t="shared" si="11"/>
        <v>Weekdays</v>
      </c>
      <c r="R209" s="17" t="str">
        <f t="shared" si="9"/>
        <v>Night</v>
      </c>
      <c r="S209" s="9" t="str">
        <f t="shared" si="10"/>
        <v>Clear</v>
      </c>
    </row>
    <row r="210" spans="1:19" x14ac:dyDescent="0.25">
      <c r="A210">
        <v>209</v>
      </c>
      <c r="B210" s="19">
        <v>40552</v>
      </c>
      <c r="C210">
        <v>1</v>
      </c>
      <c r="D210">
        <v>1</v>
      </c>
      <c r="E210">
        <v>23</v>
      </c>
      <c r="F210" t="b">
        <v>0</v>
      </c>
      <c r="G210">
        <v>0</v>
      </c>
      <c r="H210">
        <v>1</v>
      </c>
      <c r="I210">
        <v>0.12</v>
      </c>
      <c r="J210">
        <v>0</v>
      </c>
      <c r="K210">
        <v>0.28789999999999999</v>
      </c>
      <c r="L210">
        <v>0.81</v>
      </c>
      <c r="M210">
        <v>0</v>
      </c>
      <c r="N210">
        <v>3</v>
      </c>
      <c r="O210">
        <v>13</v>
      </c>
      <c r="P210">
        <v>16</v>
      </c>
      <c r="Q210" s="17" t="str">
        <f t="shared" si="11"/>
        <v>Weekdays</v>
      </c>
      <c r="R210" s="17" t="str">
        <f t="shared" si="9"/>
        <v>Night</v>
      </c>
      <c r="S210" s="9" t="str">
        <f t="shared" si="10"/>
        <v>Clear</v>
      </c>
    </row>
    <row r="211" spans="1:19" x14ac:dyDescent="0.25">
      <c r="A211">
        <v>210</v>
      </c>
      <c r="B211" s="19">
        <v>40553</v>
      </c>
      <c r="C211">
        <v>1</v>
      </c>
      <c r="D211">
        <v>1</v>
      </c>
      <c r="E211">
        <v>0</v>
      </c>
      <c r="F211" t="b">
        <v>0</v>
      </c>
      <c r="G211">
        <v>1</v>
      </c>
      <c r="H211">
        <v>1</v>
      </c>
      <c r="I211">
        <v>0.12</v>
      </c>
      <c r="J211">
        <v>0</v>
      </c>
      <c r="K211">
        <v>0.28789999999999999</v>
      </c>
      <c r="L211">
        <v>0.81</v>
      </c>
      <c r="M211">
        <v>0</v>
      </c>
      <c r="N211">
        <v>3</v>
      </c>
      <c r="O211">
        <v>13</v>
      </c>
      <c r="P211">
        <v>16</v>
      </c>
      <c r="Q211" s="17" t="str">
        <f t="shared" si="11"/>
        <v>Weekdays</v>
      </c>
      <c r="R211" s="17" t="str">
        <f t="shared" si="9"/>
        <v>Morning</v>
      </c>
      <c r="S211" s="9" t="str">
        <f t="shared" si="10"/>
        <v>Clear</v>
      </c>
    </row>
    <row r="212" spans="1:19" x14ac:dyDescent="0.25">
      <c r="A212">
        <v>211</v>
      </c>
      <c r="B212" s="19">
        <v>40553</v>
      </c>
      <c r="C212">
        <v>1</v>
      </c>
      <c r="D212">
        <v>1</v>
      </c>
      <c r="E212">
        <v>1</v>
      </c>
      <c r="F212" t="b">
        <v>0</v>
      </c>
      <c r="G212">
        <v>1</v>
      </c>
      <c r="H212">
        <v>1</v>
      </c>
      <c r="I212">
        <v>0.12</v>
      </c>
      <c r="J212">
        <v>0</v>
      </c>
      <c r="K212">
        <v>0.28789999999999999</v>
      </c>
      <c r="L212">
        <v>0.81</v>
      </c>
      <c r="M212">
        <v>0</v>
      </c>
      <c r="N212">
        <v>3</v>
      </c>
      <c r="O212">
        <v>13</v>
      </c>
      <c r="P212">
        <v>16</v>
      </c>
      <c r="Q212" s="17" t="str">
        <f t="shared" si="11"/>
        <v>Weekdays</v>
      </c>
      <c r="R212" s="17" t="str">
        <f t="shared" si="9"/>
        <v>Morning</v>
      </c>
      <c r="S212" s="9" t="str">
        <f t="shared" si="10"/>
        <v>Clear</v>
      </c>
    </row>
    <row r="213" spans="1:19" x14ac:dyDescent="0.25">
      <c r="A213">
        <v>212</v>
      </c>
      <c r="B213" s="19">
        <v>40553</v>
      </c>
      <c r="C213">
        <v>1</v>
      </c>
      <c r="D213">
        <v>1</v>
      </c>
      <c r="E213">
        <v>2</v>
      </c>
      <c r="F213" t="b">
        <v>0</v>
      </c>
      <c r="G213">
        <v>1</v>
      </c>
      <c r="H213">
        <v>1</v>
      </c>
      <c r="I213">
        <v>0.12</v>
      </c>
      <c r="J213">
        <v>0</v>
      </c>
      <c r="K213">
        <v>0.28789999999999999</v>
      </c>
      <c r="L213">
        <v>0.81</v>
      </c>
      <c r="M213">
        <v>0</v>
      </c>
      <c r="N213">
        <v>3</v>
      </c>
      <c r="O213">
        <v>13</v>
      </c>
      <c r="P213">
        <v>16</v>
      </c>
      <c r="Q213" s="17" t="str">
        <f t="shared" si="11"/>
        <v>Weekdays</v>
      </c>
      <c r="R213" s="17" t="str">
        <f t="shared" si="9"/>
        <v>Morning</v>
      </c>
      <c r="S213" s="9" t="str">
        <f t="shared" si="10"/>
        <v>Clear</v>
      </c>
    </row>
    <row r="214" spans="1:19" x14ac:dyDescent="0.25">
      <c r="A214">
        <v>213</v>
      </c>
      <c r="B214" s="19">
        <v>40553</v>
      </c>
      <c r="C214">
        <v>1</v>
      </c>
      <c r="D214">
        <v>1</v>
      </c>
      <c r="E214">
        <v>3</v>
      </c>
      <c r="F214" t="b">
        <v>0</v>
      </c>
      <c r="G214">
        <v>1</v>
      </c>
      <c r="H214">
        <v>1</v>
      </c>
      <c r="I214">
        <v>0.12</v>
      </c>
      <c r="J214">
        <v>0</v>
      </c>
      <c r="K214">
        <v>0.28789999999999999</v>
      </c>
      <c r="L214">
        <v>0.81</v>
      </c>
      <c r="M214">
        <v>0</v>
      </c>
      <c r="N214">
        <v>3</v>
      </c>
      <c r="O214">
        <v>13</v>
      </c>
      <c r="P214">
        <v>16</v>
      </c>
      <c r="Q214" s="17" t="str">
        <f t="shared" si="11"/>
        <v>Weekdays</v>
      </c>
      <c r="R214" s="17" t="str">
        <f t="shared" si="9"/>
        <v>Morning</v>
      </c>
      <c r="S214" s="9" t="str">
        <f t="shared" si="10"/>
        <v>Clear</v>
      </c>
    </row>
    <row r="215" spans="1:19" x14ac:dyDescent="0.25">
      <c r="A215">
        <v>214</v>
      </c>
      <c r="B215" s="19">
        <v>40553</v>
      </c>
      <c r="C215">
        <v>1</v>
      </c>
      <c r="D215">
        <v>1</v>
      </c>
      <c r="E215">
        <v>4</v>
      </c>
      <c r="F215" t="b">
        <v>0</v>
      </c>
      <c r="G215">
        <v>1</v>
      </c>
      <c r="H215">
        <v>1</v>
      </c>
      <c r="I215">
        <v>0.1</v>
      </c>
      <c r="J215">
        <v>0</v>
      </c>
      <c r="K215">
        <v>0.28789999999999999</v>
      </c>
      <c r="L215">
        <v>0.81</v>
      </c>
      <c r="M215">
        <v>0</v>
      </c>
      <c r="N215">
        <v>3</v>
      </c>
      <c r="O215">
        <v>13</v>
      </c>
      <c r="P215">
        <v>16</v>
      </c>
      <c r="Q215" s="17" t="str">
        <f t="shared" si="11"/>
        <v>Weekdays</v>
      </c>
      <c r="R215" s="17" t="str">
        <f t="shared" si="9"/>
        <v>Morning</v>
      </c>
      <c r="S215" s="9" t="str">
        <f t="shared" si="10"/>
        <v>Clear</v>
      </c>
    </row>
    <row r="216" spans="1:19" x14ac:dyDescent="0.25">
      <c r="A216">
        <v>215</v>
      </c>
      <c r="B216" s="19">
        <v>40553</v>
      </c>
      <c r="C216">
        <v>1</v>
      </c>
      <c r="D216">
        <v>1</v>
      </c>
      <c r="E216">
        <v>5</v>
      </c>
      <c r="F216" t="b">
        <v>0</v>
      </c>
      <c r="G216">
        <v>1</v>
      </c>
      <c r="H216">
        <v>1</v>
      </c>
      <c r="I216">
        <v>0.1</v>
      </c>
      <c r="J216">
        <v>0</v>
      </c>
      <c r="K216">
        <v>0.28789999999999999</v>
      </c>
      <c r="L216">
        <v>0.81</v>
      </c>
      <c r="M216">
        <v>0</v>
      </c>
      <c r="N216">
        <v>3</v>
      </c>
      <c r="O216">
        <v>13</v>
      </c>
      <c r="P216">
        <v>16</v>
      </c>
      <c r="Q216" s="17" t="str">
        <f t="shared" si="11"/>
        <v>Weekdays</v>
      </c>
      <c r="R216" s="17" t="str">
        <f t="shared" si="9"/>
        <v>Morning</v>
      </c>
      <c r="S216" s="9" t="str">
        <f t="shared" si="10"/>
        <v>Clear</v>
      </c>
    </row>
    <row r="217" spans="1:19" x14ac:dyDescent="0.25">
      <c r="A217">
        <v>216</v>
      </c>
      <c r="B217" s="19">
        <v>40553</v>
      </c>
      <c r="C217">
        <v>1</v>
      </c>
      <c r="D217">
        <v>1</v>
      </c>
      <c r="E217">
        <v>6</v>
      </c>
      <c r="F217" t="b">
        <v>0</v>
      </c>
      <c r="G217">
        <v>1</v>
      </c>
      <c r="H217">
        <v>1</v>
      </c>
      <c r="I217">
        <v>0.12</v>
      </c>
      <c r="J217">
        <v>0</v>
      </c>
      <c r="K217">
        <v>0.28789999999999999</v>
      </c>
      <c r="L217">
        <v>0.81</v>
      </c>
      <c r="M217">
        <v>0</v>
      </c>
      <c r="N217">
        <v>3</v>
      </c>
      <c r="O217">
        <v>13</v>
      </c>
      <c r="P217">
        <v>16</v>
      </c>
      <c r="Q217" s="17" t="str">
        <f t="shared" si="11"/>
        <v>Weekdays</v>
      </c>
      <c r="R217" s="17" t="str">
        <f t="shared" si="9"/>
        <v>Morning</v>
      </c>
      <c r="S217" s="9" t="str">
        <f t="shared" si="10"/>
        <v>Clear</v>
      </c>
    </row>
    <row r="218" spans="1:19" x14ac:dyDescent="0.25">
      <c r="A218">
        <v>217</v>
      </c>
      <c r="B218" s="19">
        <v>40553</v>
      </c>
      <c r="C218">
        <v>1</v>
      </c>
      <c r="D218">
        <v>1</v>
      </c>
      <c r="E218">
        <v>7</v>
      </c>
      <c r="F218" t="b">
        <v>0</v>
      </c>
      <c r="G218">
        <v>1</v>
      </c>
      <c r="H218">
        <v>1</v>
      </c>
      <c r="I218">
        <v>0.12</v>
      </c>
      <c r="J218">
        <v>0</v>
      </c>
      <c r="K218">
        <v>0.28789999999999999</v>
      </c>
      <c r="L218">
        <v>0.81</v>
      </c>
      <c r="M218">
        <v>0</v>
      </c>
      <c r="N218">
        <v>3</v>
      </c>
      <c r="O218">
        <v>13</v>
      </c>
      <c r="P218">
        <v>16</v>
      </c>
      <c r="Q218" s="17" t="str">
        <f t="shared" si="11"/>
        <v>Weekdays</v>
      </c>
      <c r="R218" s="17" t="str">
        <f t="shared" si="9"/>
        <v>Morning</v>
      </c>
      <c r="S218" s="9" t="str">
        <f t="shared" si="10"/>
        <v>Clear</v>
      </c>
    </row>
    <row r="219" spans="1:19" x14ac:dyDescent="0.25">
      <c r="A219">
        <v>218</v>
      </c>
      <c r="B219" s="19">
        <v>40553</v>
      </c>
      <c r="C219">
        <v>1</v>
      </c>
      <c r="D219">
        <v>1</v>
      </c>
      <c r="E219">
        <v>8</v>
      </c>
      <c r="F219" t="b">
        <v>0</v>
      </c>
      <c r="G219">
        <v>1</v>
      </c>
      <c r="H219">
        <v>2</v>
      </c>
      <c r="I219">
        <v>0.12</v>
      </c>
      <c r="J219">
        <v>0</v>
      </c>
      <c r="K219">
        <v>0.28789999999999999</v>
      </c>
      <c r="L219">
        <v>0.81</v>
      </c>
      <c r="M219">
        <v>0</v>
      </c>
      <c r="N219">
        <v>3</v>
      </c>
      <c r="O219">
        <v>13</v>
      </c>
      <c r="P219">
        <v>16</v>
      </c>
      <c r="Q219" s="17" t="str">
        <f t="shared" si="11"/>
        <v>Weekdays</v>
      </c>
      <c r="R219" s="17" t="str">
        <f t="shared" si="9"/>
        <v>Morning</v>
      </c>
      <c r="S219" s="9" t="str">
        <f t="shared" si="10"/>
        <v>Mist</v>
      </c>
    </row>
    <row r="220" spans="1:19" x14ac:dyDescent="0.25">
      <c r="A220">
        <v>219</v>
      </c>
      <c r="B220" s="19">
        <v>40553</v>
      </c>
      <c r="C220">
        <v>1</v>
      </c>
      <c r="D220">
        <v>1</v>
      </c>
      <c r="E220">
        <v>9</v>
      </c>
      <c r="F220" t="b">
        <v>0</v>
      </c>
      <c r="G220">
        <v>1</v>
      </c>
      <c r="H220">
        <v>2</v>
      </c>
      <c r="I220">
        <v>0.14000000000000001</v>
      </c>
      <c r="J220">
        <v>0</v>
      </c>
      <c r="K220">
        <v>0.28789999999999999</v>
      </c>
      <c r="L220">
        <v>0.81</v>
      </c>
      <c r="M220">
        <v>0</v>
      </c>
      <c r="N220">
        <v>3</v>
      </c>
      <c r="O220">
        <v>13</v>
      </c>
      <c r="P220">
        <v>16</v>
      </c>
      <c r="Q220" s="17" t="str">
        <f t="shared" si="11"/>
        <v>Weekdays</v>
      </c>
      <c r="R220" s="17" t="str">
        <f t="shared" si="9"/>
        <v>Morning</v>
      </c>
      <c r="S220" s="9" t="str">
        <f t="shared" si="10"/>
        <v>Mist</v>
      </c>
    </row>
    <row r="221" spans="1:19" x14ac:dyDescent="0.25">
      <c r="A221">
        <v>220</v>
      </c>
      <c r="B221" s="19">
        <v>40553</v>
      </c>
      <c r="C221">
        <v>1</v>
      </c>
      <c r="D221">
        <v>1</v>
      </c>
      <c r="E221">
        <v>10</v>
      </c>
      <c r="F221" t="b">
        <v>0</v>
      </c>
      <c r="G221">
        <v>1</v>
      </c>
      <c r="H221">
        <v>2</v>
      </c>
      <c r="I221">
        <v>0.14000000000000001</v>
      </c>
      <c r="J221">
        <v>0</v>
      </c>
      <c r="K221">
        <v>0.28789999999999999</v>
      </c>
      <c r="L221">
        <v>0.81</v>
      </c>
      <c r="M221">
        <v>0</v>
      </c>
      <c r="N221">
        <v>3</v>
      </c>
      <c r="O221">
        <v>13</v>
      </c>
      <c r="P221">
        <v>16</v>
      </c>
      <c r="Q221" s="17" t="str">
        <f t="shared" si="11"/>
        <v>Weekdays</v>
      </c>
      <c r="R221" s="17" t="str">
        <f t="shared" si="9"/>
        <v>Morning</v>
      </c>
      <c r="S221" s="9" t="str">
        <f t="shared" si="10"/>
        <v>Mist</v>
      </c>
    </row>
    <row r="222" spans="1:19" x14ac:dyDescent="0.25">
      <c r="A222">
        <v>221</v>
      </c>
      <c r="B222" s="19">
        <v>40553</v>
      </c>
      <c r="C222">
        <v>1</v>
      </c>
      <c r="D222">
        <v>1</v>
      </c>
      <c r="E222">
        <v>11</v>
      </c>
      <c r="F222" t="b">
        <v>0</v>
      </c>
      <c r="G222">
        <v>1</v>
      </c>
      <c r="H222">
        <v>2</v>
      </c>
      <c r="I222">
        <v>0.16</v>
      </c>
      <c r="J222">
        <v>0</v>
      </c>
      <c r="K222">
        <v>0.28789999999999999</v>
      </c>
      <c r="L222">
        <v>0.81</v>
      </c>
      <c r="M222">
        <v>0</v>
      </c>
      <c r="N222">
        <v>3</v>
      </c>
      <c r="O222">
        <v>13</v>
      </c>
      <c r="P222">
        <v>16</v>
      </c>
      <c r="Q222" s="17" t="str">
        <f t="shared" si="11"/>
        <v>Weekdays</v>
      </c>
      <c r="R222" s="17" t="str">
        <f t="shared" si="9"/>
        <v>Morning</v>
      </c>
      <c r="S222" s="9" t="str">
        <f t="shared" si="10"/>
        <v>Mist</v>
      </c>
    </row>
    <row r="223" spans="1:19" x14ac:dyDescent="0.25">
      <c r="A223">
        <v>222</v>
      </c>
      <c r="B223" s="19">
        <v>40553</v>
      </c>
      <c r="C223">
        <v>1</v>
      </c>
      <c r="D223">
        <v>1</v>
      </c>
      <c r="E223">
        <v>12</v>
      </c>
      <c r="F223" t="b">
        <v>0</v>
      </c>
      <c r="G223">
        <v>1</v>
      </c>
      <c r="H223">
        <v>2</v>
      </c>
      <c r="I223">
        <v>0.2</v>
      </c>
      <c r="J223">
        <v>0</v>
      </c>
      <c r="K223">
        <v>0.28789999999999999</v>
      </c>
      <c r="L223">
        <v>0.81</v>
      </c>
      <c r="M223">
        <v>0</v>
      </c>
      <c r="N223">
        <v>3</v>
      </c>
      <c r="O223">
        <v>13</v>
      </c>
      <c r="P223">
        <v>16</v>
      </c>
      <c r="Q223" s="17" t="str">
        <f t="shared" si="11"/>
        <v>Weekdays</v>
      </c>
      <c r="R223" s="17" t="str">
        <f t="shared" si="9"/>
        <v>Afternoon</v>
      </c>
      <c r="S223" s="9" t="str">
        <f t="shared" si="10"/>
        <v>Mist</v>
      </c>
    </row>
    <row r="224" spans="1:19" x14ac:dyDescent="0.25">
      <c r="A224">
        <v>223</v>
      </c>
      <c r="B224" s="19">
        <v>40553</v>
      </c>
      <c r="C224">
        <v>1</v>
      </c>
      <c r="D224">
        <v>1</v>
      </c>
      <c r="E224">
        <v>13</v>
      </c>
      <c r="F224" t="b">
        <v>0</v>
      </c>
      <c r="G224">
        <v>1</v>
      </c>
      <c r="H224">
        <v>2</v>
      </c>
      <c r="I224">
        <v>0.2</v>
      </c>
      <c r="J224">
        <v>0</v>
      </c>
      <c r="K224">
        <v>0.28789999999999999</v>
      </c>
      <c r="L224">
        <v>0.81</v>
      </c>
      <c r="M224">
        <v>0</v>
      </c>
      <c r="N224">
        <v>3</v>
      </c>
      <c r="O224">
        <v>13</v>
      </c>
      <c r="P224">
        <v>16</v>
      </c>
      <c r="Q224" s="17" t="str">
        <f t="shared" si="11"/>
        <v>Weekdays</v>
      </c>
      <c r="R224" s="17" t="str">
        <f t="shared" si="9"/>
        <v>Afternoon</v>
      </c>
      <c r="S224" s="9" t="str">
        <f t="shared" si="10"/>
        <v>Mist</v>
      </c>
    </row>
    <row r="225" spans="1:19" x14ac:dyDescent="0.25">
      <c r="A225">
        <v>224</v>
      </c>
      <c r="B225" s="19">
        <v>40553</v>
      </c>
      <c r="C225">
        <v>1</v>
      </c>
      <c r="D225">
        <v>1</v>
      </c>
      <c r="E225">
        <v>14</v>
      </c>
      <c r="F225" t="b">
        <v>0</v>
      </c>
      <c r="G225">
        <v>1</v>
      </c>
      <c r="H225">
        <v>2</v>
      </c>
      <c r="I225">
        <v>0.2</v>
      </c>
      <c r="J225">
        <v>0</v>
      </c>
      <c r="K225">
        <v>0.28789999999999999</v>
      </c>
      <c r="L225">
        <v>0.81</v>
      </c>
      <c r="M225">
        <v>0</v>
      </c>
      <c r="N225">
        <v>3</v>
      </c>
      <c r="O225">
        <v>13</v>
      </c>
      <c r="P225">
        <v>16</v>
      </c>
      <c r="Q225" s="17" t="str">
        <f t="shared" si="11"/>
        <v>Weekdays</v>
      </c>
      <c r="R225" s="17" t="str">
        <f t="shared" si="9"/>
        <v>Afternoon</v>
      </c>
      <c r="S225" s="9" t="str">
        <f t="shared" si="10"/>
        <v>Mist</v>
      </c>
    </row>
    <row r="226" spans="1:19" x14ac:dyDescent="0.25">
      <c r="A226">
        <v>225</v>
      </c>
      <c r="B226" s="19">
        <v>40553</v>
      </c>
      <c r="C226">
        <v>1</v>
      </c>
      <c r="D226">
        <v>1</v>
      </c>
      <c r="E226">
        <v>15</v>
      </c>
      <c r="F226" t="b">
        <v>0</v>
      </c>
      <c r="G226">
        <v>1</v>
      </c>
      <c r="H226">
        <v>2</v>
      </c>
      <c r="I226">
        <v>0.2</v>
      </c>
      <c r="J226">
        <v>0</v>
      </c>
      <c r="K226">
        <v>0.28789999999999999</v>
      </c>
      <c r="L226">
        <v>0.81</v>
      </c>
      <c r="M226">
        <v>0</v>
      </c>
      <c r="N226">
        <v>3</v>
      </c>
      <c r="O226">
        <v>13</v>
      </c>
      <c r="P226">
        <v>16</v>
      </c>
      <c r="Q226" s="17" t="str">
        <f t="shared" si="11"/>
        <v>Weekdays</v>
      </c>
      <c r="R226" s="17" t="str">
        <f t="shared" si="9"/>
        <v>Afternoon</v>
      </c>
      <c r="S226" s="9" t="str">
        <f t="shared" si="10"/>
        <v>Mist</v>
      </c>
    </row>
    <row r="227" spans="1:19" x14ac:dyDescent="0.25">
      <c r="A227">
        <v>226</v>
      </c>
      <c r="B227" s="19">
        <v>40553</v>
      </c>
      <c r="C227">
        <v>1</v>
      </c>
      <c r="D227">
        <v>1</v>
      </c>
      <c r="E227">
        <v>16</v>
      </c>
      <c r="F227" t="b">
        <v>0</v>
      </c>
      <c r="G227">
        <v>1</v>
      </c>
      <c r="H227">
        <v>1</v>
      </c>
      <c r="I227">
        <v>0.2</v>
      </c>
      <c r="J227">
        <v>0</v>
      </c>
      <c r="K227">
        <v>0.28789999999999999</v>
      </c>
      <c r="L227">
        <v>0.81</v>
      </c>
      <c r="M227">
        <v>0</v>
      </c>
      <c r="N227">
        <v>3</v>
      </c>
      <c r="O227">
        <v>13</v>
      </c>
      <c r="P227">
        <v>16</v>
      </c>
      <c r="Q227" s="17" t="str">
        <f t="shared" si="11"/>
        <v>Weekdays</v>
      </c>
      <c r="R227" s="17" t="str">
        <f t="shared" si="9"/>
        <v>Evening</v>
      </c>
      <c r="S227" s="9" t="str">
        <f t="shared" si="10"/>
        <v>Clear</v>
      </c>
    </row>
    <row r="228" spans="1:19" x14ac:dyDescent="0.25">
      <c r="A228">
        <v>227</v>
      </c>
      <c r="B228" s="19">
        <v>40553</v>
      </c>
      <c r="C228">
        <v>1</v>
      </c>
      <c r="D228">
        <v>1</v>
      </c>
      <c r="E228">
        <v>17</v>
      </c>
      <c r="F228" t="b">
        <v>0</v>
      </c>
      <c r="G228">
        <v>1</v>
      </c>
      <c r="H228">
        <v>1</v>
      </c>
      <c r="I228">
        <v>0.2</v>
      </c>
      <c r="J228">
        <v>0</v>
      </c>
      <c r="K228">
        <v>0.28789999999999999</v>
      </c>
      <c r="L228">
        <v>0.81</v>
      </c>
      <c r="M228">
        <v>0</v>
      </c>
      <c r="N228">
        <v>3</v>
      </c>
      <c r="O228">
        <v>13</v>
      </c>
      <c r="P228">
        <v>16</v>
      </c>
      <c r="Q228" s="17" t="str">
        <f t="shared" si="11"/>
        <v>Weekdays</v>
      </c>
      <c r="R228" s="17" t="str">
        <f t="shared" si="9"/>
        <v>Evening</v>
      </c>
      <c r="S228" s="9" t="str">
        <f t="shared" si="10"/>
        <v>Clear</v>
      </c>
    </row>
    <row r="229" spans="1:19" x14ac:dyDescent="0.25">
      <c r="A229">
        <v>228</v>
      </c>
      <c r="B229" s="19">
        <v>40553</v>
      </c>
      <c r="C229">
        <v>1</v>
      </c>
      <c r="D229">
        <v>1</v>
      </c>
      <c r="E229">
        <v>18</v>
      </c>
      <c r="F229" t="b">
        <v>0</v>
      </c>
      <c r="G229">
        <v>1</v>
      </c>
      <c r="H229">
        <v>1</v>
      </c>
      <c r="I229">
        <v>0.2</v>
      </c>
      <c r="J229">
        <v>0</v>
      </c>
      <c r="K229">
        <v>0.28789999999999999</v>
      </c>
      <c r="L229">
        <v>0.81</v>
      </c>
      <c r="M229">
        <v>0</v>
      </c>
      <c r="N229">
        <v>3</v>
      </c>
      <c r="O229">
        <v>13</v>
      </c>
      <c r="P229">
        <v>16</v>
      </c>
      <c r="Q229" s="17" t="str">
        <f t="shared" si="11"/>
        <v>Weekdays</v>
      </c>
      <c r="R229" s="17" t="str">
        <f t="shared" si="9"/>
        <v>Evening</v>
      </c>
      <c r="S229" s="9" t="str">
        <f t="shared" si="10"/>
        <v>Clear</v>
      </c>
    </row>
    <row r="230" spans="1:19" x14ac:dyDescent="0.25">
      <c r="A230">
        <v>229</v>
      </c>
      <c r="B230" s="19">
        <v>40553</v>
      </c>
      <c r="C230">
        <v>1</v>
      </c>
      <c r="D230">
        <v>1</v>
      </c>
      <c r="E230">
        <v>19</v>
      </c>
      <c r="F230" t="b">
        <v>0</v>
      </c>
      <c r="G230">
        <v>1</v>
      </c>
      <c r="H230">
        <v>1</v>
      </c>
      <c r="I230">
        <v>0.16</v>
      </c>
      <c r="J230">
        <v>0</v>
      </c>
      <c r="K230">
        <v>0.28789999999999999</v>
      </c>
      <c r="L230">
        <v>0.81</v>
      </c>
      <c r="M230">
        <v>0</v>
      </c>
      <c r="N230">
        <v>3</v>
      </c>
      <c r="O230">
        <v>13</v>
      </c>
      <c r="P230">
        <v>16</v>
      </c>
      <c r="Q230" s="17" t="str">
        <f t="shared" si="11"/>
        <v>Weekdays</v>
      </c>
      <c r="R230" s="17" t="str">
        <f t="shared" si="9"/>
        <v>Evening</v>
      </c>
      <c r="S230" s="9" t="str">
        <f t="shared" si="10"/>
        <v>Clear</v>
      </c>
    </row>
    <row r="231" spans="1:19" x14ac:dyDescent="0.25">
      <c r="A231">
        <v>230</v>
      </c>
      <c r="B231" s="19">
        <v>40553</v>
      </c>
      <c r="C231">
        <v>1</v>
      </c>
      <c r="D231">
        <v>1</v>
      </c>
      <c r="E231">
        <v>20</v>
      </c>
      <c r="F231" t="b">
        <v>0</v>
      </c>
      <c r="G231">
        <v>1</v>
      </c>
      <c r="H231">
        <v>1</v>
      </c>
      <c r="I231">
        <v>0.16</v>
      </c>
      <c r="J231">
        <v>0</v>
      </c>
      <c r="K231">
        <v>0.28789999999999999</v>
      </c>
      <c r="L231">
        <v>0.81</v>
      </c>
      <c r="M231">
        <v>0</v>
      </c>
      <c r="N231">
        <v>3</v>
      </c>
      <c r="O231">
        <v>13</v>
      </c>
      <c r="P231">
        <v>16</v>
      </c>
      <c r="Q231" s="17" t="str">
        <f t="shared" si="11"/>
        <v>Weekdays</v>
      </c>
      <c r="R231" s="17" t="str">
        <f t="shared" si="9"/>
        <v>Evening</v>
      </c>
      <c r="S231" s="9" t="str">
        <f t="shared" si="10"/>
        <v>Clear</v>
      </c>
    </row>
    <row r="232" spans="1:19" x14ac:dyDescent="0.25">
      <c r="A232">
        <v>231</v>
      </c>
      <c r="B232" s="19">
        <v>40553</v>
      </c>
      <c r="C232">
        <v>1</v>
      </c>
      <c r="D232">
        <v>1</v>
      </c>
      <c r="E232">
        <v>21</v>
      </c>
      <c r="F232" t="b">
        <v>0</v>
      </c>
      <c r="G232">
        <v>1</v>
      </c>
      <c r="H232">
        <v>1</v>
      </c>
      <c r="I232">
        <v>0.14000000000000001</v>
      </c>
      <c r="J232">
        <v>0</v>
      </c>
      <c r="K232">
        <v>0.28789999999999999</v>
      </c>
      <c r="L232">
        <v>0.81</v>
      </c>
      <c r="M232">
        <v>0</v>
      </c>
      <c r="N232">
        <v>3</v>
      </c>
      <c r="O232">
        <v>13</v>
      </c>
      <c r="P232">
        <v>16</v>
      </c>
      <c r="Q232" s="17" t="str">
        <f t="shared" si="11"/>
        <v>Weekdays</v>
      </c>
      <c r="R232" s="17" t="str">
        <f t="shared" si="9"/>
        <v>Night</v>
      </c>
      <c r="S232" s="9" t="str">
        <f t="shared" si="10"/>
        <v>Clear</v>
      </c>
    </row>
    <row r="233" spans="1:19" x14ac:dyDescent="0.25">
      <c r="A233">
        <v>232</v>
      </c>
      <c r="B233" s="19">
        <v>40553</v>
      </c>
      <c r="C233">
        <v>1</v>
      </c>
      <c r="D233">
        <v>1</v>
      </c>
      <c r="E233">
        <v>22</v>
      </c>
      <c r="F233" t="b">
        <v>0</v>
      </c>
      <c r="G233">
        <v>1</v>
      </c>
      <c r="H233">
        <v>1</v>
      </c>
      <c r="I233">
        <v>0.14000000000000001</v>
      </c>
      <c r="J233">
        <v>0</v>
      </c>
      <c r="K233">
        <v>0.28789999999999999</v>
      </c>
      <c r="L233">
        <v>0.81</v>
      </c>
      <c r="M233">
        <v>0</v>
      </c>
      <c r="N233">
        <v>3</v>
      </c>
      <c r="O233">
        <v>13</v>
      </c>
      <c r="P233">
        <v>16</v>
      </c>
      <c r="Q233" s="17" t="str">
        <f t="shared" si="11"/>
        <v>Weekdays</v>
      </c>
      <c r="R233" s="17" t="str">
        <f t="shared" si="9"/>
        <v>Night</v>
      </c>
      <c r="S233" s="9" t="str">
        <f t="shared" si="10"/>
        <v>Clear</v>
      </c>
    </row>
    <row r="234" spans="1:19" x14ac:dyDescent="0.25">
      <c r="A234">
        <v>233</v>
      </c>
      <c r="B234" s="19">
        <v>40553</v>
      </c>
      <c r="C234">
        <v>1</v>
      </c>
      <c r="D234">
        <v>1</v>
      </c>
      <c r="E234">
        <v>23</v>
      </c>
      <c r="F234" t="b">
        <v>0</v>
      </c>
      <c r="G234">
        <v>1</v>
      </c>
      <c r="H234">
        <v>1</v>
      </c>
      <c r="I234">
        <v>0.14000000000000001</v>
      </c>
      <c r="J234">
        <v>0</v>
      </c>
      <c r="K234">
        <v>0.28789999999999999</v>
      </c>
      <c r="L234">
        <v>0.81</v>
      </c>
      <c r="M234">
        <v>0</v>
      </c>
      <c r="N234">
        <v>3</v>
      </c>
      <c r="O234">
        <v>13</v>
      </c>
      <c r="P234">
        <v>16</v>
      </c>
      <c r="Q234" s="17" t="str">
        <f t="shared" si="11"/>
        <v>Weekdays</v>
      </c>
      <c r="R234" s="17" t="str">
        <f t="shared" si="9"/>
        <v>Night</v>
      </c>
      <c r="S234" s="9" t="str">
        <f t="shared" si="10"/>
        <v>Clear</v>
      </c>
    </row>
    <row r="235" spans="1:19" x14ac:dyDescent="0.25">
      <c r="A235">
        <v>234</v>
      </c>
      <c r="B235" s="19">
        <v>40554</v>
      </c>
      <c r="C235">
        <v>1</v>
      </c>
      <c r="D235">
        <v>1</v>
      </c>
      <c r="E235">
        <v>0</v>
      </c>
      <c r="F235" t="b">
        <v>0</v>
      </c>
      <c r="G235">
        <v>2</v>
      </c>
      <c r="H235">
        <v>1</v>
      </c>
      <c r="I235">
        <v>0.14000000000000001</v>
      </c>
      <c r="J235">
        <v>0</v>
      </c>
      <c r="K235">
        <v>0.28789999999999999</v>
      </c>
      <c r="L235">
        <v>0.81</v>
      </c>
      <c r="M235">
        <v>0</v>
      </c>
      <c r="N235">
        <v>3</v>
      </c>
      <c r="O235">
        <v>13</v>
      </c>
      <c r="P235">
        <v>16</v>
      </c>
      <c r="Q235" s="17" t="str">
        <f t="shared" si="11"/>
        <v>Weekdays</v>
      </c>
      <c r="R235" s="17" t="str">
        <f t="shared" si="9"/>
        <v>Morning</v>
      </c>
      <c r="S235" s="9" t="str">
        <f t="shared" si="10"/>
        <v>Clear</v>
      </c>
    </row>
    <row r="236" spans="1:19" x14ac:dyDescent="0.25">
      <c r="A236">
        <v>235</v>
      </c>
      <c r="B236" s="19">
        <v>40554</v>
      </c>
      <c r="C236">
        <v>1</v>
      </c>
      <c r="D236">
        <v>1</v>
      </c>
      <c r="E236">
        <v>1</v>
      </c>
      <c r="F236" t="b">
        <v>0</v>
      </c>
      <c r="G236">
        <v>2</v>
      </c>
      <c r="H236">
        <v>1</v>
      </c>
      <c r="I236">
        <v>0.14000000000000001</v>
      </c>
      <c r="J236">
        <v>0</v>
      </c>
      <c r="K236">
        <v>0.28789999999999999</v>
      </c>
      <c r="L236">
        <v>0.81</v>
      </c>
      <c r="M236">
        <v>0</v>
      </c>
      <c r="N236">
        <v>3</v>
      </c>
      <c r="O236">
        <v>13</v>
      </c>
      <c r="P236">
        <v>16</v>
      </c>
      <c r="Q236" s="17" t="str">
        <f t="shared" si="11"/>
        <v>Weekdays</v>
      </c>
      <c r="R236" s="17" t="str">
        <f t="shared" si="9"/>
        <v>Morning</v>
      </c>
      <c r="S236" s="9" t="str">
        <f t="shared" si="10"/>
        <v>Clear</v>
      </c>
    </row>
    <row r="237" spans="1:19" x14ac:dyDescent="0.25">
      <c r="A237">
        <v>236</v>
      </c>
      <c r="B237" s="19">
        <v>40554</v>
      </c>
      <c r="C237">
        <v>1</v>
      </c>
      <c r="D237">
        <v>1</v>
      </c>
      <c r="E237">
        <v>2</v>
      </c>
      <c r="F237" t="b">
        <v>0</v>
      </c>
      <c r="G237">
        <v>2</v>
      </c>
      <c r="H237">
        <v>2</v>
      </c>
      <c r="I237">
        <v>0.16</v>
      </c>
      <c r="J237">
        <v>0</v>
      </c>
      <c r="K237">
        <v>0.28789999999999999</v>
      </c>
      <c r="L237">
        <v>0.81</v>
      </c>
      <c r="M237">
        <v>0</v>
      </c>
      <c r="N237">
        <v>3</v>
      </c>
      <c r="O237">
        <v>13</v>
      </c>
      <c r="P237">
        <v>16</v>
      </c>
      <c r="Q237" s="17" t="str">
        <f t="shared" si="11"/>
        <v>Weekdays</v>
      </c>
      <c r="R237" s="17" t="str">
        <f t="shared" si="9"/>
        <v>Morning</v>
      </c>
      <c r="S237" s="9" t="str">
        <f t="shared" si="10"/>
        <v>Mist</v>
      </c>
    </row>
    <row r="238" spans="1:19" x14ac:dyDescent="0.25">
      <c r="A238">
        <v>237</v>
      </c>
      <c r="B238" s="19">
        <v>40554</v>
      </c>
      <c r="C238">
        <v>1</v>
      </c>
      <c r="D238">
        <v>1</v>
      </c>
      <c r="E238">
        <v>5</v>
      </c>
      <c r="F238" t="b">
        <v>0</v>
      </c>
      <c r="G238">
        <v>2</v>
      </c>
      <c r="H238">
        <v>2</v>
      </c>
      <c r="I238">
        <v>0.16</v>
      </c>
      <c r="J238">
        <v>0</v>
      </c>
      <c r="K238">
        <v>0.28789999999999999</v>
      </c>
      <c r="L238">
        <v>0.81</v>
      </c>
      <c r="M238">
        <v>0</v>
      </c>
      <c r="N238">
        <v>3</v>
      </c>
      <c r="O238">
        <v>13</v>
      </c>
      <c r="P238">
        <v>16</v>
      </c>
      <c r="Q238" s="17" t="str">
        <f t="shared" si="11"/>
        <v>Weekdays</v>
      </c>
      <c r="R238" s="17" t="str">
        <f t="shared" si="9"/>
        <v>Morning</v>
      </c>
      <c r="S238" s="9" t="str">
        <f t="shared" si="10"/>
        <v>Mist</v>
      </c>
    </row>
    <row r="239" spans="1:19" x14ac:dyDescent="0.25">
      <c r="A239">
        <v>238</v>
      </c>
      <c r="B239" s="19">
        <v>40554</v>
      </c>
      <c r="C239">
        <v>1</v>
      </c>
      <c r="D239">
        <v>1</v>
      </c>
      <c r="E239">
        <v>6</v>
      </c>
      <c r="F239" t="b">
        <v>0</v>
      </c>
      <c r="G239">
        <v>2</v>
      </c>
      <c r="H239">
        <v>2</v>
      </c>
      <c r="I239">
        <v>0.16</v>
      </c>
      <c r="J239">
        <v>0</v>
      </c>
      <c r="K239">
        <v>0.28789999999999999</v>
      </c>
      <c r="L239">
        <v>0.81</v>
      </c>
      <c r="M239">
        <v>0</v>
      </c>
      <c r="N239">
        <v>3</v>
      </c>
      <c r="O239">
        <v>13</v>
      </c>
      <c r="P239">
        <v>16</v>
      </c>
      <c r="Q239" s="17" t="str">
        <f t="shared" si="11"/>
        <v>Weekdays</v>
      </c>
      <c r="R239" s="17" t="str">
        <f t="shared" si="9"/>
        <v>Morning</v>
      </c>
      <c r="S239" s="9" t="str">
        <f t="shared" si="10"/>
        <v>Mist</v>
      </c>
    </row>
    <row r="240" spans="1:19" x14ac:dyDescent="0.25">
      <c r="A240">
        <v>239</v>
      </c>
      <c r="B240" s="19">
        <v>40554</v>
      </c>
      <c r="C240">
        <v>1</v>
      </c>
      <c r="D240">
        <v>1</v>
      </c>
      <c r="E240">
        <v>7</v>
      </c>
      <c r="F240" t="b">
        <v>0</v>
      </c>
      <c r="G240">
        <v>2</v>
      </c>
      <c r="H240">
        <v>2</v>
      </c>
      <c r="I240">
        <v>0.16</v>
      </c>
      <c r="J240">
        <v>0</v>
      </c>
      <c r="K240">
        <v>0.28789999999999999</v>
      </c>
      <c r="L240">
        <v>0.81</v>
      </c>
      <c r="M240">
        <v>0</v>
      </c>
      <c r="N240">
        <v>3</v>
      </c>
      <c r="O240">
        <v>13</v>
      </c>
      <c r="P240">
        <v>16</v>
      </c>
      <c r="Q240" s="17" t="str">
        <f t="shared" si="11"/>
        <v>Weekdays</v>
      </c>
      <c r="R240" s="17" t="str">
        <f t="shared" si="9"/>
        <v>Morning</v>
      </c>
      <c r="S240" s="9" t="str">
        <f t="shared" si="10"/>
        <v>Mist</v>
      </c>
    </row>
    <row r="241" spans="1:19" x14ac:dyDescent="0.25">
      <c r="A241">
        <v>240</v>
      </c>
      <c r="B241" s="19">
        <v>40554</v>
      </c>
      <c r="C241">
        <v>1</v>
      </c>
      <c r="D241">
        <v>1</v>
      </c>
      <c r="E241">
        <v>8</v>
      </c>
      <c r="F241" t="b">
        <v>0</v>
      </c>
      <c r="G241">
        <v>2</v>
      </c>
      <c r="H241">
        <v>2</v>
      </c>
      <c r="I241">
        <v>0.18</v>
      </c>
      <c r="J241">
        <v>0</v>
      </c>
      <c r="K241">
        <v>0.28789999999999999</v>
      </c>
      <c r="L241">
        <v>0.81</v>
      </c>
      <c r="M241">
        <v>0</v>
      </c>
      <c r="N241">
        <v>3</v>
      </c>
      <c r="O241">
        <v>13</v>
      </c>
      <c r="P241">
        <v>16</v>
      </c>
      <c r="Q241" s="17" t="str">
        <f t="shared" si="11"/>
        <v>Weekdays</v>
      </c>
      <c r="R241" s="17" t="str">
        <f t="shared" si="9"/>
        <v>Morning</v>
      </c>
      <c r="S241" s="9" t="str">
        <f t="shared" si="10"/>
        <v>Mist</v>
      </c>
    </row>
    <row r="242" spans="1:19" x14ac:dyDescent="0.25">
      <c r="A242">
        <v>241</v>
      </c>
      <c r="B242" s="19">
        <v>40554</v>
      </c>
      <c r="C242">
        <v>1</v>
      </c>
      <c r="D242">
        <v>1</v>
      </c>
      <c r="E242">
        <v>9</v>
      </c>
      <c r="F242" t="b">
        <v>0</v>
      </c>
      <c r="G242">
        <v>2</v>
      </c>
      <c r="H242">
        <v>2</v>
      </c>
      <c r="I242">
        <v>0.18</v>
      </c>
      <c r="J242">
        <v>0</v>
      </c>
      <c r="K242">
        <v>0.28789999999999999</v>
      </c>
      <c r="L242">
        <v>0.81</v>
      </c>
      <c r="M242">
        <v>0</v>
      </c>
      <c r="N242">
        <v>3</v>
      </c>
      <c r="O242">
        <v>13</v>
      </c>
      <c r="P242">
        <v>16</v>
      </c>
      <c r="Q242" s="17" t="str">
        <f t="shared" si="11"/>
        <v>Weekdays</v>
      </c>
      <c r="R242" s="17" t="str">
        <f t="shared" si="9"/>
        <v>Morning</v>
      </c>
      <c r="S242" s="9" t="str">
        <f t="shared" si="10"/>
        <v>Mist</v>
      </c>
    </row>
    <row r="243" spans="1:19" x14ac:dyDescent="0.25">
      <c r="A243">
        <v>242</v>
      </c>
      <c r="B243" s="19">
        <v>40554</v>
      </c>
      <c r="C243">
        <v>1</v>
      </c>
      <c r="D243">
        <v>1</v>
      </c>
      <c r="E243">
        <v>10</v>
      </c>
      <c r="F243" t="b">
        <v>0</v>
      </c>
      <c r="G243">
        <v>2</v>
      </c>
      <c r="H243">
        <v>2</v>
      </c>
      <c r="I243">
        <v>0.2</v>
      </c>
      <c r="J243">
        <v>0</v>
      </c>
      <c r="K243">
        <v>0.28789999999999999</v>
      </c>
      <c r="L243">
        <v>0.81</v>
      </c>
      <c r="M243">
        <v>0</v>
      </c>
      <c r="N243">
        <v>3</v>
      </c>
      <c r="O243">
        <v>13</v>
      </c>
      <c r="P243">
        <v>16</v>
      </c>
      <c r="Q243" s="17" t="str">
        <f t="shared" si="11"/>
        <v>Weekdays</v>
      </c>
      <c r="R243" s="17" t="str">
        <f t="shared" si="9"/>
        <v>Morning</v>
      </c>
      <c r="S243" s="9" t="str">
        <f t="shared" si="10"/>
        <v>Mist</v>
      </c>
    </row>
    <row r="244" spans="1:19" x14ac:dyDescent="0.25">
      <c r="A244">
        <v>243</v>
      </c>
      <c r="B244" s="19">
        <v>40554</v>
      </c>
      <c r="C244">
        <v>1</v>
      </c>
      <c r="D244">
        <v>1</v>
      </c>
      <c r="E244">
        <v>11</v>
      </c>
      <c r="F244" t="b">
        <v>0</v>
      </c>
      <c r="G244">
        <v>2</v>
      </c>
      <c r="H244">
        <v>2</v>
      </c>
      <c r="I244">
        <v>0.2</v>
      </c>
      <c r="J244">
        <v>0</v>
      </c>
      <c r="K244">
        <v>0.28789999999999999</v>
      </c>
      <c r="L244">
        <v>0.81</v>
      </c>
      <c r="M244">
        <v>0</v>
      </c>
      <c r="N244">
        <v>3</v>
      </c>
      <c r="O244">
        <v>13</v>
      </c>
      <c r="P244">
        <v>16</v>
      </c>
      <c r="Q244" s="17" t="str">
        <f t="shared" si="11"/>
        <v>Weekdays</v>
      </c>
      <c r="R244" s="17" t="str">
        <f t="shared" si="9"/>
        <v>Morning</v>
      </c>
      <c r="S244" s="9" t="str">
        <f t="shared" si="10"/>
        <v>Mist</v>
      </c>
    </row>
    <row r="245" spans="1:19" x14ac:dyDescent="0.25">
      <c r="A245">
        <v>244</v>
      </c>
      <c r="B245" s="19">
        <v>40554</v>
      </c>
      <c r="C245">
        <v>1</v>
      </c>
      <c r="D245">
        <v>1</v>
      </c>
      <c r="E245">
        <v>12</v>
      </c>
      <c r="F245" t="b">
        <v>0</v>
      </c>
      <c r="G245">
        <v>2</v>
      </c>
      <c r="H245">
        <v>2</v>
      </c>
      <c r="I245">
        <v>0.2</v>
      </c>
      <c r="J245">
        <v>0</v>
      </c>
      <c r="K245">
        <v>0.28789999999999999</v>
      </c>
      <c r="L245">
        <v>0.81</v>
      </c>
      <c r="M245">
        <v>0</v>
      </c>
      <c r="N245">
        <v>3</v>
      </c>
      <c r="O245">
        <v>13</v>
      </c>
      <c r="P245">
        <v>16</v>
      </c>
      <c r="Q245" s="17" t="str">
        <f t="shared" si="11"/>
        <v>Weekdays</v>
      </c>
      <c r="R245" s="17" t="str">
        <f t="shared" si="9"/>
        <v>Afternoon</v>
      </c>
      <c r="S245" s="9" t="str">
        <f t="shared" si="10"/>
        <v>Mist</v>
      </c>
    </row>
    <row r="246" spans="1:19" x14ac:dyDescent="0.25">
      <c r="A246">
        <v>245</v>
      </c>
      <c r="B246" s="19">
        <v>40554</v>
      </c>
      <c r="C246">
        <v>1</v>
      </c>
      <c r="D246">
        <v>1</v>
      </c>
      <c r="E246">
        <v>13</v>
      </c>
      <c r="F246" t="b">
        <v>0</v>
      </c>
      <c r="G246">
        <v>2</v>
      </c>
      <c r="H246">
        <v>2</v>
      </c>
      <c r="I246">
        <v>0.2</v>
      </c>
      <c r="J246">
        <v>0</v>
      </c>
      <c r="K246">
        <v>0.28789999999999999</v>
      </c>
      <c r="L246">
        <v>0.81</v>
      </c>
      <c r="M246">
        <v>0</v>
      </c>
      <c r="N246">
        <v>3</v>
      </c>
      <c r="O246">
        <v>13</v>
      </c>
      <c r="P246">
        <v>16</v>
      </c>
      <c r="Q246" s="17" t="str">
        <f t="shared" si="11"/>
        <v>Weekdays</v>
      </c>
      <c r="R246" s="17" t="str">
        <f t="shared" si="9"/>
        <v>Afternoon</v>
      </c>
      <c r="S246" s="9" t="str">
        <f t="shared" si="10"/>
        <v>Mist</v>
      </c>
    </row>
    <row r="247" spans="1:19" x14ac:dyDescent="0.25">
      <c r="A247">
        <v>246</v>
      </c>
      <c r="B247" s="19">
        <v>40554</v>
      </c>
      <c r="C247">
        <v>1</v>
      </c>
      <c r="D247">
        <v>1</v>
      </c>
      <c r="E247">
        <v>14</v>
      </c>
      <c r="F247" t="b">
        <v>0</v>
      </c>
      <c r="G247">
        <v>2</v>
      </c>
      <c r="H247">
        <v>2</v>
      </c>
      <c r="I247">
        <v>0.2</v>
      </c>
      <c r="J247">
        <v>0</v>
      </c>
      <c r="K247">
        <v>0.28789999999999999</v>
      </c>
      <c r="L247">
        <v>0.81</v>
      </c>
      <c r="M247">
        <v>0</v>
      </c>
      <c r="N247">
        <v>3</v>
      </c>
      <c r="O247">
        <v>13</v>
      </c>
      <c r="P247">
        <v>16</v>
      </c>
      <c r="Q247" s="17" t="str">
        <f t="shared" si="11"/>
        <v>Weekdays</v>
      </c>
      <c r="R247" s="17" t="str">
        <f t="shared" si="9"/>
        <v>Afternoon</v>
      </c>
      <c r="S247" s="9" t="str">
        <f t="shared" si="10"/>
        <v>Mist</v>
      </c>
    </row>
    <row r="248" spans="1:19" x14ac:dyDescent="0.25">
      <c r="A248">
        <v>247</v>
      </c>
      <c r="B248" s="19">
        <v>40554</v>
      </c>
      <c r="C248">
        <v>1</v>
      </c>
      <c r="D248">
        <v>1</v>
      </c>
      <c r="E248">
        <v>15</v>
      </c>
      <c r="F248" t="b">
        <v>0</v>
      </c>
      <c r="G248">
        <v>2</v>
      </c>
      <c r="H248">
        <v>2</v>
      </c>
      <c r="I248">
        <v>0.16</v>
      </c>
      <c r="J248">
        <v>0</v>
      </c>
      <c r="K248">
        <v>0.28789999999999999</v>
      </c>
      <c r="L248">
        <v>0.81</v>
      </c>
      <c r="M248">
        <v>0</v>
      </c>
      <c r="N248">
        <v>3</v>
      </c>
      <c r="O248">
        <v>13</v>
      </c>
      <c r="P248">
        <v>16</v>
      </c>
      <c r="Q248" s="17" t="str">
        <f t="shared" si="11"/>
        <v>Weekdays</v>
      </c>
      <c r="R248" s="17" t="str">
        <f t="shared" si="9"/>
        <v>Afternoon</v>
      </c>
      <c r="S248" s="9" t="str">
        <f t="shared" si="10"/>
        <v>Mist</v>
      </c>
    </row>
    <row r="249" spans="1:19" x14ac:dyDescent="0.25">
      <c r="A249">
        <v>248</v>
      </c>
      <c r="B249" s="19">
        <v>40554</v>
      </c>
      <c r="C249">
        <v>1</v>
      </c>
      <c r="D249">
        <v>1</v>
      </c>
      <c r="E249">
        <v>16</v>
      </c>
      <c r="F249" t="b">
        <v>0</v>
      </c>
      <c r="G249">
        <v>2</v>
      </c>
      <c r="H249">
        <v>2</v>
      </c>
      <c r="I249">
        <v>0.16</v>
      </c>
      <c r="J249">
        <v>0</v>
      </c>
      <c r="K249">
        <v>0.28789999999999999</v>
      </c>
      <c r="L249">
        <v>0.81</v>
      </c>
      <c r="M249">
        <v>0</v>
      </c>
      <c r="N249">
        <v>3</v>
      </c>
      <c r="O249">
        <v>13</v>
      </c>
      <c r="P249">
        <v>16</v>
      </c>
      <c r="Q249" s="17" t="str">
        <f t="shared" si="11"/>
        <v>Weekdays</v>
      </c>
      <c r="R249" s="17" t="str">
        <f t="shared" si="9"/>
        <v>Evening</v>
      </c>
      <c r="S249" s="9" t="str">
        <f t="shared" si="10"/>
        <v>Mist</v>
      </c>
    </row>
    <row r="250" spans="1:19" x14ac:dyDescent="0.25">
      <c r="A250">
        <v>249</v>
      </c>
      <c r="B250" s="19">
        <v>40554</v>
      </c>
      <c r="C250">
        <v>1</v>
      </c>
      <c r="D250">
        <v>1</v>
      </c>
      <c r="E250">
        <v>17</v>
      </c>
      <c r="F250" t="b">
        <v>0</v>
      </c>
      <c r="G250">
        <v>2</v>
      </c>
      <c r="H250">
        <v>2</v>
      </c>
      <c r="I250">
        <v>0.16</v>
      </c>
      <c r="J250">
        <v>0</v>
      </c>
      <c r="K250">
        <v>0.28789999999999999</v>
      </c>
      <c r="L250">
        <v>0.81</v>
      </c>
      <c r="M250">
        <v>0</v>
      </c>
      <c r="N250">
        <v>3</v>
      </c>
      <c r="O250">
        <v>13</v>
      </c>
      <c r="P250">
        <v>16</v>
      </c>
      <c r="Q250" s="17" t="str">
        <f t="shared" si="11"/>
        <v>Weekdays</v>
      </c>
      <c r="R250" s="17" t="str">
        <f t="shared" si="9"/>
        <v>Evening</v>
      </c>
      <c r="S250" s="9" t="str">
        <f t="shared" si="10"/>
        <v>Mist</v>
      </c>
    </row>
    <row r="251" spans="1:19" x14ac:dyDescent="0.25">
      <c r="A251">
        <v>250</v>
      </c>
      <c r="B251" s="19">
        <v>40554</v>
      </c>
      <c r="C251">
        <v>1</v>
      </c>
      <c r="D251">
        <v>1</v>
      </c>
      <c r="E251">
        <v>18</v>
      </c>
      <c r="F251" t="b">
        <v>0</v>
      </c>
      <c r="G251">
        <v>2</v>
      </c>
      <c r="H251">
        <v>3</v>
      </c>
      <c r="I251">
        <v>0.16</v>
      </c>
      <c r="J251">
        <v>0</v>
      </c>
      <c r="K251">
        <v>0.28789999999999999</v>
      </c>
      <c r="L251">
        <v>0.81</v>
      </c>
      <c r="M251">
        <v>0</v>
      </c>
      <c r="N251">
        <v>3</v>
      </c>
      <c r="O251">
        <v>13</v>
      </c>
      <c r="P251">
        <v>16</v>
      </c>
      <c r="Q251" s="17" t="str">
        <f t="shared" si="11"/>
        <v>Weekdays</v>
      </c>
      <c r="R251" s="17" t="str">
        <f t="shared" si="9"/>
        <v>Evening</v>
      </c>
      <c r="S251" s="9" t="str">
        <f t="shared" si="10"/>
        <v>Light Snow/Rain</v>
      </c>
    </row>
    <row r="252" spans="1:19" x14ac:dyDescent="0.25">
      <c r="A252">
        <v>251</v>
      </c>
      <c r="B252" s="19">
        <v>40554</v>
      </c>
      <c r="C252">
        <v>1</v>
      </c>
      <c r="D252">
        <v>1</v>
      </c>
      <c r="E252">
        <v>19</v>
      </c>
      <c r="F252" t="b">
        <v>0</v>
      </c>
      <c r="G252">
        <v>2</v>
      </c>
      <c r="H252">
        <v>3</v>
      </c>
      <c r="I252">
        <v>0.16</v>
      </c>
      <c r="J252">
        <v>0</v>
      </c>
      <c r="K252">
        <v>0.28789999999999999</v>
      </c>
      <c r="L252">
        <v>0.81</v>
      </c>
      <c r="M252">
        <v>0</v>
      </c>
      <c r="N252">
        <v>3</v>
      </c>
      <c r="O252">
        <v>13</v>
      </c>
      <c r="P252">
        <v>16</v>
      </c>
      <c r="Q252" s="17" t="str">
        <f t="shared" si="11"/>
        <v>Weekdays</v>
      </c>
      <c r="R252" s="17" t="str">
        <f t="shared" si="9"/>
        <v>Evening</v>
      </c>
      <c r="S252" s="9" t="str">
        <f t="shared" si="10"/>
        <v>Light Snow/Rain</v>
      </c>
    </row>
    <row r="253" spans="1:19" x14ac:dyDescent="0.25">
      <c r="A253">
        <v>252</v>
      </c>
      <c r="B253" s="19">
        <v>40554</v>
      </c>
      <c r="C253">
        <v>1</v>
      </c>
      <c r="D253">
        <v>1</v>
      </c>
      <c r="E253">
        <v>20</v>
      </c>
      <c r="F253" t="b">
        <v>0</v>
      </c>
      <c r="G253">
        <v>2</v>
      </c>
      <c r="H253">
        <v>3</v>
      </c>
      <c r="I253">
        <v>0.16</v>
      </c>
      <c r="J253">
        <v>0</v>
      </c>
      <c r="K253">
        <v>0.28789999999999999</v>
      </c>
      <c r="L253">
        <v>0.81</v>
      </c>
      <c r="M253">
        <v>0</v>
      </c>
      <c r="N253">
        <v>3</v>
      </c>
      <c r="O253">
        <v>13</v>
      </c>
      <c r="P253">
        <v>16</v>
      </c>
      <c r="Q253" s="17" t="str">
        <f t="shared" si="11"/>
        <v>Weekdays</v>
      </c>
      <c r="R253" s="17" t="str">
        <f t="shared" si="9"/>
        <v>Evening</v>
      </c>
      <c r="S253" s="9" t="str">
        <f t="shared" si="10"/>
        <v>Light Snow/Rain</v>
      </c>
    </row>
    <row r="254" spans="1:19" x14ac:dyDescent="0.25">
      <c r="A254">
        <v>253</v>
      </c>
      <c r="B254" s="19">
        <v>40554</v>
      </c>
      <c r="C254">
        <v>1</v>
      </c>
      <c r="D254">
        <v>1</v>
      </c>
      <c r="E254">
        <v>21</v>
      </c>
      <c r="F254" t="b">
        <v>0</v>
      </c>
      <c r="G254">
        <v>2</v>
      </c>
      <c r="H254">
        <v>3</v>
      </c>
      <c r="I254">
        <v>0.16</v>
      </c>
      <c r="J254">
        <v>0</v>
      </c>
      <c r="K254">
        <v>0.28789999999999999</v>
      </c>
      <c r="L254">
        <v>0.81</v>
      </c>
      <c r="M254">
        <v>0</v>
      </c>
      <c r="N254">
        <v>3</v>
      </c>
      <c r="O254">
        <v>13</v>
      </c>
      <c r="P254">
        <v>16</v>
      </c>
      <c r="Q254" s="17" t="str">
        <f t="shared" si="11"/>
        <v>Weekdays</v>
      </c>
      <c r="R254" s="17" t="str">
        <f t="shared" si="9"/>
        <v>Night</v>
      </c>
      <c r="S254" s="9" t="str">
        <f t="shared" si="10"/>
        <v>Light Snow/Rain</v>
      </c>
    </row>
    <row r="255" spans="1:19" x14ac:dyDescent="0.25">
      <c r="A255">
        <v>254</v>
      </c>
      <c r="B255" s="19">
        <v>40554</v>
      </c>
      <c r="C255">
        <v>1</v>
      </c>
      <c r="D255">
        <v>1</v>
      </c>
      <c r="E255">
        <v>22</v>
      </c>
      <c r="F255" t="b">
        <v>0</v>
      </c>
      <c r="G255">
        <v>2</v>
      </c>
      <c r="H255">
        <v>3</v>
      </c>
      <c r="I255">
        <v>0.16</v>
      </c>
      <c r="J255">
        <v>0</v>
      </c>
      <c r="K255">
        <v>0.28789999999999999</v>
      </c>
      <c r="L255">
        <v>0.81</v>
      </c>
      <c r="M255">
        <v>0</v>
      </c>
      <c r="N255">
        <v>3</v>
      </c>
      <c r="O255">
        <v>13</v>
      </c>
      <c r="P255">
        <v>16</v>
      </c>
      <c r="Q255" s="17" t="str">
        <f t="shared" si="11"/>
        <v>Weekdays</v>
      </c>
      <c r="R255" s="17" t="str">
        <f t="shared" si="9"/>
        <v>Night</v>
      </c>
      <c r="S255" s="9" t="str">
        <f t="shared" si="10"/>
        <v>Light Snow/Rain</v>
      </c>
    </row>
    <row r="256" spans="1:19" x14ac:dyDescent="0.25">
      <c r="A256">
        <v>255</v>
      </c>
      <c r="B256" s="19">
        <v>40554</v>
      </c>
      <c r="C256">
        <v>1</v>
      </c>
      <c r="D256">
        <v>1</v>
      </c>
      <c r="E256">
        <v>23</v>
      </c>
      <c r="F256" t="b">
        <v>0</v>
      </c>
      <c r="G256">
        <v>2</v>
      </c>
      <c r="H256">
        <v>3</v>
      </c>
      <c r="I256">
        <v>0.16</v>
      </c>
      <c r="J256">
        <v>0</v>
      </c>
      <c r="K256">
        <v>0.28789999999999999</v>
      </c>
      <c r="L256">
        <v>0.81</v>
      </c>
      <c r="M256">
        <v>0</v>
      </c>
      <c r="N256">
        <v>3</v>
      </c>
      <c r="O256">
        <v>13</v>
      </c>
      <c r="P256">
        <v>16</v>
      </c>
      <c r="Q256" s="17" t="str">
        <f t="shared" si="11"/>
        <v>Weekdays</v>
      </c>
      <c r="R256" s="17" t="str">
        <f t="shared" si="9"/>
        <v>Night</v>
      </c>
      <c r="S256" s="9" t="str">
        <f t="shared" si="10"/>
        <v>Light Snow/Rain</v>
      </c>
    </row>
    <row r="257" spans="1:19" x14ac:dyDescent="0.25">
      <c r="A257">
        <v>256</v>
      </c>
      <c r="B257" s="19">
        <v>40555</v>
      </c>
      <c r="C257">
        <v>1</v>
      </c>
      <c r="D257">
        <v>1</v>
      </c>
      <c r="E257">
        <v>0</v>
      </c>
      <c r="F257" t="b">
        <v>0</v>
      </c>
      <c r="G257">
        <v>3</v>
      </c>
      <c r="H257">
        <v>2</v>
      </c>
      <c r="I257">
        <v>0.16</v>
      </c>
      <c r="J257">
        <v>0</v>
      </c>
      <c r="K257">
        <v>0.28789999999999999</v>
      </c>
      <c r="L257">
        <v>0.81</v>
      </c>
      <c r="M257">
        <v>0</v>
      </c>
      <c r="N257">
        <v>3</v>
      </c>
      <c r="O257">
        <v>13</v>
      </c>
      <c r="P257">
        <v>16</v>
      </c>
      <c r="Q257" s="17" t="str">
        <f t="shared" si="11"/>
        <v>Weekdays</v>
      </c>
      <c r="R257" s="17" t="str">
        <f t="shared" si="9"/>
        <v>Morning</v>
      </c>
      <c r="S257" s="9" t="str">
        <f t="shared" si="10"/>
        <v>Mist</v>
      </c>
    </row>
    <row r="258" spans="1:19" x14ac:dyDescent="0.25">
      <c r="A258">
        <v>257</v>
      </c>
      <c r="B258" s="19">
        <v>40555</v>
      </c>
      <c r="C258">
        <v>1</v>
      </c>
      <c r="D258">
        <v>1</v>
      </c>
      <c r="E258">
        <v>1</v>
      </c>
      <c r="F258" t="b">
        <v>0</v>
      </c>
      <c r="G258">
        <v>3</v>
      </c>
      <c r="H258">
        <v>2</v>
      </c>
      <c r="I258">
        <v>0.16</v>
      </c>
      <c r="J258">
        <v>0</v>
      </c>
      <c r="K258">
        <v>0.28789999999999999</v>
      </c>
      <c r="L258">
        <v>0.81</v>
      </c>
      <c r="M258">
        <v>0</v>
      </c>
      <c r="N258">
        <v>3</v>
      </c>
      <c r="O258">
        <v>13</v>
      </c>
      <c r="P258">
        <v>16</v>
      </c>
      <c r="Q258" s="17" t="str">
        <f t="shared" si="11"/>
        <v>Weekdays</v>
      </c>
      <c r="R258" s="17" t="str">
        <f t="shared" ref="R258:R321" si="12">IF(E258&lt;12,"Morning",IF(E258&lt;16,"Afternoon",IF(E258&lt;21,"Evening","Night")))</f>
        <v>Morning</v>
      </c>
      <c r="S258" s="9" t="str">
        <f t="shared" ref="S258:S321" si="13">IF(H258=1,"Clear",IF(H258=2,"Mist",IF(H258=3,"Light Snow/Rain","Heavy Rain/Snow")))</f>
        <v>Mist</v>
      </c>
    </row>
    <row r="259" spans="1:19" x14ac:dyDescent="0.25">
      <c r="A259">
        <v>258</v>
      </c>
      <c r="B259" s="19">
        <v>40555</v>
      </c>
      <c r="C259">
        <v>1</v>
      </c>
      <c r="D259">
        <v>1</v>
      </c>
      <c r="E259">
        <v>2</v>
      </c>
      <c r="F259" t="b">
        <v>0</v>
      </c>
      <c r="G259">
        <v>3</v>
      </c>
      <c r="H259">
        <v>1</v>
      </c>
      <c r="I259">
        <v>0.14000000000000001</v>
      </c>
      <c r="J259">
        <v>0</v>
      </c>
      <c r="K259">
        <v>0.28789999999999999</v>
      </c>
      <c r="L259">
        <v>0.81</v>
      </c>
      <c r="M259">
        <v>0</v>
      </c>
      <c r="N259">
        <v>3</v>
      </c>
      <c r="O259">
        <v>13</v>
      </c>
      <c r="P259">
        <v>16</v>
      </c>
      <c r="Q259" s="17" t="str">
        <f t="shared" ref="Q259:Q322" si="14">IF(G259&gt;=5,"Weekends","Weekdays")</f>
        <v>Weekdays</v>
      </c>
      <c r="R259" s="17" t="str">
        <f t="shared" si="12"/>
        <v>Morning</v>
      </c>
      <c r="S259" s="9" t="str">
        <f t="shared" si="13"/>
        <v>Clear</v>
      </c>
    </row>
    <row r="260" spans="1:19" x14ac:dyDescent="0.25">
      <c r="A260">
        <v>259</v>
      </c>
      <c r="B260" s="19">
        <v>40555</v>
      </c>
      <c r="C260">
        <v>1</v>
      </c>
      <c r="D260">
        <v>1</v>
      </c>
      <c r="E260">
        <v>5</v>
      </c>
      <c r="F260" t="b">
        <v>0</v>
      </c>
      <c r="G260">
        <v>3</v>
      </c>
      <c r="H260">
        <v>1</v>
      </c>
      <c r="I260">
        <v>0.14000000000000001</v>
      </c>
      <c r="J260">
        <v>0</v>
      </c>
      <c r="K260">
        <v>0.28789999999999999</v>
      </c>
      <c r="L260">
        <v>0.81</v>
      </c>
      <c r="M260">
        <v>0</v>
      </c>
      <c r="N260">
        <v>3</v>
      </c>
      <c r="O260">
        <v>13</v>
      </c>
      <c r="P260">
        <v>16</v>
      </c>
      <c r="Q260" s="17" t="str">
        <f t="shared" si="14"/>
        <v>Weekdays</v>
      </c>
      <c r="R260" s="17" t="str">
        <f t="shared" si="12"/>
        <v>Morning</v>
      </c>
      <c r="S260" s="9" t="str">
        <f t="shared" si="13"/>
        <v>Clear</v>
      </c>
    </row>
    <row r="261" spans="1:19" x14ac:dyDescent="0.25">
      <c r="A261">
        <v>260</v>
      </c>
      <c r="B261" s="19">
        <v>40555</v>
      </c>
      <c r="C261">
        <v>1</v>
      </c>
      <c r="D261">
        <v>1</v>
      </c>
      <c r="E261">
        <v>6</v>
      </c>
      <c r="F261" t="b">
        <v>0</v>
      </c>
      <c r="G261">
        <v>3</v>
      </c>
      <c r="H261">
        <v>1</v>
      </c>
      <c r="I261">
        <v>0.12</v>
      </c>
      <c r="J261">
        <v>0</v>
      </c>
      <c r="K261">
        <v>0.28789999999999999</v>
      </c>
      <c r="L261">
        <v>0.81</v>
      </c>
      <c r="M261">
        <v>0</v>
      </c>
      <c r="N261">
        <v>3</v>
      </c>
      <c r="O261">
        <v>13</v>
      </c>
      <c r="P261">
        <v>16</v>
      </c>
      <c r="Q261" s="17" t="str">
        <f t="shared" si="14"/>
        <v>Weekdays</v>
      </c>
      <c r="R261" s="17" t="str">
        <f t="shared" si="12"/>
        <v>Morning</v>
      </c>
      <c r="S261" s="9" t="str">
        <f t="shared" si="13"/>
        <v>Clear</v>
      </c>
    </row>
    <row r="262" spans="1:19" x14ac:dyDescent="0.25">
      <c r="A262">
        <v>261</v>
      </c>
      <c r="B262" s="19">
        <v>40555</v>
      </c>
      <c r="C262">
        <v>1</v>
      </c>
      <c r="D262">
        <v>1</v>
      </c>
      <c r="E262">
        <v>7</v>
      </c>
      <c r="F262" t="b">
        <v>0</v>
      </c>
      <c r="G262">
        <v>3</v>
      </c>
      <c r="H262">
        <v>1</v>
      </c>
      <c r="I262">
        <v>0.14000000000000001</v>
      </c>
      <c r="J262">
        <v>0</v>
      </c>
      <c r="K262">
        <v>0.28789999999999999</v>
      </c>
      <c r="L262">
        <v>0.81</v>
      </c>
      <c r="M262">
        <v>0</v>
      </c>
      <c r="N262">
        <v>3</v>
      </c>
      <c r="O262">
        <v>13</v>
      </c>
      <c r="P262">
        <v>16</v>
      </c>
      <c r="Q262" s="17" t="str">
        <f t="shared" si="14"/>
        <v>Weekdays</v>
      </c>
      <c r="R262" s="17" t="str">
        <f t="shared" si="12"/>
        <v>Morning</v>
      </c>
      <c r="S262" s="9" t="str">
        <f t="shared" si="13"/>
        <v>Clear</v>
      </c>
    </row>
    <row r="263" spans="1:19" x14ac:dyDescent="0.25">
      <c r="A263">
        <v>262</v>
      </c>
      <c r="B263" s="19">
        <v>40555</v>
      </c>
      <c r="C263">
        <v>1</v>
      </c>
      <c r="D263">
        <v>1</v>
      </c>
      <c r="E263">
        <v>8</v>
      </c>
      <c r="F263" t="b">
        <v>0</v>
      </c>
      <c r="G263">
        <v>3</v>
      </c>
      <c r="H263">
        <v>1</v>
      </c>
      <c r="I263">
        <v>0.16</v>
      </c>
      <c r="J263">
        <v>0</v>
      </c>
      <c r="K263">
        <v>0.28789999999999999</v>
      </c>
      <c r="L263">
        <v>0.81</v>
      </c>
      <c r="M263">
        <v>0</v>
      </c>
      <c r="N263">
        <v>3</v>
      </c>
      <c r="O263">
        <v>13</v>
      </c>
      <c r="P263">
        <v>16</v>
      </c>
      <c r="Q263" s="17" t="str">
        <f t="shared" si="14"/>
        <v>Weekdays</v>
      </c>
      <c r="R263" s="17" t="str">
        <f t="shared" si="12"/>
        <v>Morning</v>
      </c>
      <c r="S263" s="9" t="str">
        <f t="shared" si="13"/>
        <v>Clear</v>
      </c>
    </row>
    <row r="264" spans="1:19" x14ac:dyDescent="0.25">
      <c r="A264">
        <v>263</v>
      </c>
      <c r="B264" s="19">
        <v>40555</v>
      </c>
      <c r="C264">
        <v>1</v>
      </c>
      <c r="D264">
        <v>1</v>
      </c>
      <c r="E264">
        <v>9</v>
      </c>
      <c r="F264" t="b">
        <v>0</v>
      </c>
      <c r="G264">
        <v>3</v>
      </c>
      <c r="H264">
        <v>1</v>
      </c>
      <c r="I264">
        <v>0.16</v>
      </c>
      <c r="J264">
        <v>0</v>
      </c>
      <c r="K264">
        <v>0.28789999999999999</v>
      </c>
      <c r="L264">
        <v>0.81</v>
      </c>
      <c r="M264">
        <v>0</v>
      </c>
      <c r="N264">
        <v>3</v>
      </c>
      <c r="O264">
        <v>13</v>
      </c>
      <c r="P264">
        <v>16</v>
      </c>
      <c r="Q264" s="17" t="str">
        <f t="shared" si="14"/>
        <v>Weekdays</v>
      </c>
      <c r="R264" s="17" t="str">
        <f t="shared" si="12"/>
        <v>Morning</v>
      </c>
      <c r="S264" s="9" t="str">
        <f t="shared" si="13"/>
        <v>Clear</v>
      </c>
    </row>
    <row r="265" spans="1:19" x14ac:dyDescent="0.25">
      <c r="A265">
        <v>264</v>
      </c>
      <c r="B265" s="19">
        <v>40555</v>
      </c>
      <c r="C265">
        <v>1</v>
      </c>
      <c r="D265">
        <v>1</v>
      </c>
      <c r="E265">
        <v>10</v>
      </c>
      <c r="F265" t="b">
        <v>0</v>
      </c>
      <c r="G265">
        <v>3</v>
      </c>
      <c r="H265">
        <v>1</v>
      </c>
      <c r="I265">
        <v>0.18</v>
      </c>
      <c r="J265">
        <v>0</v>
      </c>
      <c r="K265">
        <v>0.28789999999999999</v>
      </c>
      <c r="L265">
        <v>0.81</v>
      </c>
      <c r="M265">
        <v>0</v>
      </c>
      <c r="N265">
        <v>3</v>
      </c>
      <c r="O265">
        <v>13</v>
      </c>
      <c r="P265">
        <v>16</v>
      </c>
      <c r="Q265" s="17" t="str">
        <f t="shared" si="14"/>
        <v>Weekdays</v>
      </c>
      <c r="R265" s="17" t="str">
        <f t="shared" si="12"/>
        <v>Morning</v>
      </c>
      <c r="S265" s="9" t="str">
        <f t="shared" si="13"/>
        <v>Clear</v>
      </c>
    </row>
    <row r="266" spans="1:19" x14ac:dyDescent="0.25">
      <c r="A266">
        <v>265</v>
      </c>
      <c r="B266" s="19">
        <v>40555</v>
      </c>
      <c r="C266">
        <v>1</v>
      </c>
      <c r="D266">
        <v>1</v>
      </c>
      <c r="E266">
        <v>11</v>
      </c>
      <c r="F266" t="b">
        <v>0</v>
      </c>
      <c r="G266">
        <v>3</v>
      </c>
      <c r="H266">
        <v>1</v>
      </c>
      <c r="I266">
        <v>0.2</v>
      </c>
      <c r="J266">
        <v>0</v>
      </c>
      <c r="K266">
        <v>0.28789999999999999</v>
      </c>
      <c r="L266">
        <v>0.81</v>
      </c>
      <c r="M266">
        <v>0</v>
      </c>
      <c r="N266">
        <v>3</v>
      </c>
      <c r="O266">
        <v>13</v>
      </c>
      <c r="P266">
        <v>16</v>
      </c>
      <c r="Q266" s="17" t="str">
        <f t="shared" si="14"/>
        <v>Weekdays</v>
      </c>
      <c r="R266" s="17" t="str">
        <f t="shared" si="12"/>
        <v>Morning</v>
      </c>
      <c r="S266" s="9" t="str">
        <f t="shared" si="13"/>
        <v>Clear</v>
      </c>
    </row>
    <row r="267" spans="1:19" x14ac:dyDescent="0.25">
      <c r="A267">
        <v>266</v>
      </c>
      <c r="B267" s="19">
        <v>40555</v>
      </c>
      <c r="C267">
        <v>1</v>
      </c>
      <c r="D267">
        <v>1</v>
      </c>
      <c r="E267">
        <v>12</v>
      </c>
      <c r="F267" t="b">
        <v>0</v>
      </c>
      <c r="G267">
        <v>3</v>
      </c>
      <c r="H267">
        <v>1</v>
      </c>
      <c r="I267">
        <v>0.2</v>
      </c>
      <c r="J267">
        <v>0</v>
      </c>
      <c r="K267">
        <v>0.28789999999999999</v>
      </c>
      <c r="L267">
        <v>0.81</v>
      </c>
      <c r="M267">
        <v>0</v>
      </c>
      <c r="N267">
        <v>3</v>
      </c>
      <c r="O267">
        <v>13</v>
      </c>
      <c r="P267">
        <v>16</v>
      </c>
      <c r="Q267" s="17" t="str">
        <f t="shared" si="14"/>
        <v>Weekdays</v>
      </c>
      <c r="R267" s="17" t="str">
        <f t="shared" si="12"/>
        <v>Afternoon</v>
      </c>
      <c r="S267" s="9" t="str">
        <f t="shared" si="13"/>
        <v>Clear</v>
      </c>
    </row>
    <row r="268" spans="1:19" x14ac:dyDescent="0.25">
      <c r="A268">
        <v>267</v>
      </c>
      <c r="B268" s="19">
        <v>40555</v>
      </c>
      <c r="C268">
        <v>1</v>
      </c>
      <c r="D268">
        <v>1</v>
      </c>
      <c r="E268">
        <v>13</v>
      </c>
      <c r="F268" t="b">
        <v>0</v>
      </c>
      <c r="G268">
        <v>3</v>
      </c>
      <c r="H268">
        <v>1</v>
      </c>
      <c r="I268">
        <v>0.22</v>
      </c>
      <c r="J268">
        <v>0</v>
      </c>
      <c r="K268">
        <v>0.28789999999999999</v>
      </c>
      <c r="L268">
        <v>0.81</v>
      </c>
      <c r="M268">
        <v>0</v>
      </c>
      <c r="N268">
        <v>3</v>
      </c>
      <c r="O268">
        <v>13</v>
      </c>
      <c r="P268">
        <v>16</v>
      </c>
      <c r="Q268" s="17" t="str">
        <f t="shared" si="14"/>
        <v>Weekdays</v>
      </c>
      <c r="R268" s="17" t="str">
        <f t="shared" si="12"/>
        <v>Afternoon</v>
      </c>
      <c r="S268" s="9" t="str">
        <f t="shared" si="13"/>
        <v>Clear</v>
      </c>
    </row>
    <row r="269" spans="1:19" x14ac:dyDescent="0.25">
      <c r="A269">
        <v>268</v>
      </c>
      <c r="B269" s="19">
        <v>40555</v>
      </c>
      <c r="C269">
        <v>1</v>
      </c>
      <c r="D269">
        <v>1</v>
      </c>
      <c r="E269">
        <v>14</v>
      </c>
      <c r="F269" t="b">
        <v>0</v>
      </c>
      <c r="G269">
        <v>3</v>
      </c>
      <c r="H269">
        <v>1</v>
      </c>
      <c r="I269">
        <v>0.2</v>
      </c>
      <c r="J269">
        <v>0</v>
      </c>
      <c r="K269">
        <v>0.28789999999999999</v>
      </c>
      <c r="L269">
        <v>0.81</v>
      </c>
      <c r="M269">
        <v>0</v>
      </c>
      <c r="N269">
        <v>3</v>
      </c>
      <c r="O269">
        <v>13</v>
      </c>
      <c r="P269">
        <v>16</v>
      </c>
      <c r="Q269" s="17" t="str">
        <f t="shared" si="14"/>
        <v>Weekdays</v>
      </c>
      <c r="R269" s="17" t="str">
        <f t="shared" si="12"/>
        <v>Afternoon</v>
      </c>
      <c r="S269" s="9" t="str">
        <f t="shared" si="13"/>
        <v>Clear</v>
      </c>
    </row>
    <row r="270" spans="1:19" x14ac:dyDescent="0.25">
      <c r="A270">
        <v>269</v>
      </c>
      <c r="B270" s="19">
        <v>40555</v>
      </c>
      <c r="C270">
        <v>1</v>
      </c>
      <c r="D270">
        <v>1</v>
      </c>
      <c r="E270">
        <v>15</v>
      </c>
      <c r="F270" t="b">
        <v>0</v>
      </c>
      <c r="G270">
        <v>3</v>
      </c>
      <c r="H270">
        <v>1</v>
      </c>
      <c r="I270">
        <v>0.2</v>
      </c>
      <c r="J270">
        <v>0</v>
      </c>
      <c r="K270">
        <v>0.28789999999999999</v>
      </c>
      <c r="L270">
        <v>0.81</v>
      </c>
      <c r="M270">
        <v>0</v>
      </c>
      <c r="N270">
        <v>3</v>
      </c>
      <c r="O270">
        <v>13</v>
      </c>
      <c r="P270">
        <v>16</v>
      </c>
      <c r="Q270" s="17" t="str">
        <f t="shared" si="14"/>
        <v>Weekdays</v>
      </c>
      <c r="R270" s="17" t="str">
        <f t="shared" si="12"/>
        <v>Afternoon</v>
      </c>
      <c r="S270" s="9" t="str">
        <f t="shared" si="13"/>
        <v>Clear</v>
      </c>
    </row>
    <row r="271" spans="1:19" x14ac:dyDescent="0.25">
      <c r="A271">
        <v>270</v>
      </c>
      <c r="B271" s="19">
        <v>40555</v>
      </c>
      <c r="C271">
        <v>1</v>
      </c>
      <c r="D271">
        <v>1</v>
      </c>
      <c r="E271">
        <v>16</v>
      </c>
      <c r="F271" t="b">
        <v>0</v>
      </c>
      <c r="G271">
        <v>3</v>
      </c>
      <c r="H271">
        <v>1</v>
      </c>
      <c r="I271">
        <v>0.22</v>
      </c>
      <c r="J271">
        <v>0</v>
      </c>
      <c r="K271">
        <v>0.28789999999999999</v>
      </c>
      <c r="L271">
        <v>0.81</v>
      </c>
      <c r="M271">
        <v>0</v>
      </c>
      <c r="N271">
        <v>3</v>
      </c>
      <c r="O271">
        <v>13</v>
      </c>
      <c r="P271">
        <v>16</v>
      </c>
      <c r="Q271" s="17" t="str">
        <f t="shared" si="14"/>
        <v>Weekdays</v>
      </c>
      <c r="R271" s="17" t="str">
        <f t="shared" si="12"/>
        <v>Evening</v>
      </c>
      <c r="S271" s="9" t="str">
        <f t="shared" si="13"/>
        <v>Clear</v>
      </c>
    </row>
    <row r="272" spans="1:19" x14ac:dyDescent="0.25">
      <c r="A272">
        <v>271</v>
      </c>
      <c r="B272" s="19">
        <v>40555</v>
      </c>
      <c r="C272">
        <v>1</v>
      </c>
      <c r="D272">
        <v>1</v>
      </c>
      <c r="E272">
        <v>17</v>
      </c>
      <c r="F272" t="b">
        <v>0</v>
      </c>
      <c r="G272">
        <v>3</v>
      </c>
      <c r="H272">
        <v>1</v>
      </c>
      <c r="I272">
        <v>0.2</v>
      </c>
      <c r="J272">
        <v>0</v>
      </c>
      <c r="K272">
        <v>0.28789999999999999</v>
      </c>
      <c r="L272">
        <v>0.81</v>
      </c>
      <c r="M272">
        <v>0</v>
      </c>
      <c r="N272">
        <v>3</v>
      </c>
      <c r="O272">
        <v>13</v>
      </c>
      <c r="P272">
        <v>16</v>
      </c>
      <c r="Q272" s="17" t="str">
        <f t="shared" si="14"/>
        <v>Weekdays</v>
      </c>
      <c r="R272" s="17" t="str">
        <f t="shared" si="12"/>
        <v>Evening</v>
      </c>
      <c r="S272" s="9" t="str">
        <f t="shared" si="13"/>
        <v>Clear</v>
      </c>
    </row>
    <row r="273" spans="1:19" x14ac:dyDescent="0.25">
      <c r="A273">
        <v>272</v>
      </c>
      <c r="B273" s="19">
        <v>40555</v>
      </c>
      <c r="C273">
        <v>1</v>
      </c>
      <c r="D273">
        <v>1</v>
      </c>
      <c r="E273">
        <v>18</v>
      </c>
      <c r="F273" t="b">
        <v>0</v>
      </c>
      <c r="G273">
        <v>3</v>
      </c>
      <c r="H273">
        <v>1</v>
      </c>
      <c r="I273">
        <v>0.2</v>
      </c>
      <c r="J273">
        <v>0</v>
      </c>
      <c r="K273">
        <v>0.28789999999999999</v>
      </c>
      <c r="L273">
        <v>0.81</v>
      </c>
      <c r="M273">
        <v>0</v>
      </c>
      <c r="N273">
        <v>3</v>
      </c>
      <c r="O273">
        <v>13</v>
      </c>
      <c r="P273">
        <v>16</v>
      </c>
      <c r="Q273" s="17" t="str">
        <f t="shared" si="14"/>
        <v>Weekdays</v>
      </c>
      <c r="R273" s="17" t="str">
        <f t="shared" si="12"/>
        <v>Evening</v>
      </c>
      <c r="S273" s="9" t="str">
        <f t="shared" si="13"/>
        <v>Clear</v>
      </c>
    </row>
    <row r="274" spans="1:19" x14ac:dyDescent="0.25">
      <c r="A274">
        <v>273</v>
      </c>
      <c r="B274" s="19">
        <v>40555</v>
      </c>
      <c r="C274">
        <v>1</v>
      </c>
      <c r="D274">
        <v>1</v>
      </c>
      <c r="E274">
        <v>19</v>
      </c>
      <c r="F274" t="b">
        <v>0</v>
      </c>
      <c r="G274">
        <v>3</v>
      </c>
      <c r="H274">
        <v>1</v>
      </c>
      <c r="I274">
        <v>0.18</v>
      </c>
      <c r="J274">
        <v>0</v>
      </c>
      <c r="K274">
        <v>0.28789999999999999</v>
      </c>
      <c r="L274">
        <v>0.81</v>
      </c>
      <c r="M274">
        <v>0</v>
      </c>
      <c r="N274">
        <v>3</v>
      </c>
      <c r="O274">
        <v>13</v>
      </c>
      <c r="P274">
        <v>16</v>
      </c>
      <c r="Q274" s="17" t="str">
        <f t="shared" si="14"/>
        <v>Weekdays</v>
      </c>
      <c r="R274" s="17" t="str">
        <f t="shared" si="12"/>
        <v>Evening</v>
      </c>
      <c r="S274" s="9" t="str">
        <f t="shared" si="13"/>
        <v>Clear</v>
      </c>
    </row>
    <row r="275" spans="1:19" x14ac:dyDescent="0.25">
      <c r="A275">
        <v>274</v>
      </c>
      <c r="B275" s="19">
        <v>40555</v>
      </c>
      <c r="C275">
        <v>1</v>
      </c>
      <c r="D275">
        <v>1</v>
      </c>
      <c r="E275">
        <v>20</v>
      </c>
      <c r="F275" t="b">
        <v>0</v>
      </c>
      <c r="G275">
        <v>3</v>
      </c>
      <c r="H275">
        <v>1</v>
      </c>
      <c r="I275">
        <v>0.16</v>
      </c>
      <c r="J275">
        <v>0</v>
      </c>
      <c r="K275">
        <v>0.28789999999999999</v>
      </c>
      <c r="L275">
        <v>0.81</v>
      </c>
      <c r="M275">
        <v>0</v>
      </c>
      <c r="N275">
        <v>3</v>
      </c>
      <c r="O275">
        <v>13</v>
      </c>
      <c r="P275">
        <v>16</v>
      </c>
      <c r="Q275" s="17" t="str">
        <f t="shared" si="14"/>
        <v>Weekdays</v>
      </c>
      <c r="R275" s="17" t="str">
        <f t="shared" si="12"/>
        <v>Evening</v>
      </c>
      <c r="S275" s="9" t="str">
        <f t="shared" si="13"/>
        <v>Clear</v>
      </c>
    </row>
    <row r="276" spans="1:19" x14ac:dyDescent="0.25">
      <c r="A276">
        <v>275</v>
      </c>
      <c r="B276" s="19">
        <v>40555</v>
      </c>
      <c r="C276">
        <v>1</v>
      </c>
      <c r="D276">
        <v>1</v>
      </c>
      <c r="E276">
        <v>21</v>
      </c>
      <c r="F276" t="b">
        <v>0</v>
      </c>
      <c r="G276">
        <v>3</v>
      </c>
      <c r="H276">
        <v>1</v>
      </c>
      <c r="I276">
        <v>0.16</v>
      </c>
      <c r="J276">
        <v>0</v>
      </c>
      <c r="K276">
        <v>0.28789999999999999</v>
      </c>
      <c r="L276">
        <v>0.81</v>
      </c>
      <c r="M276">
        <v>0</v>
      </c>
      <c r="N276">
        <v>3</v>
      </c>
      <c r="O276">
        <v>13</v>
      </c>
      <c r="P276">
        <v>16</v>
      </c>
      <c r="Q276" s="17" t="str">
        <f t="shared" si="14"/>
        <v>Weekdays</v>
      </c>
      <c r="R276" s="17" t="str">
        <f t="shared" si="12"/>
        <v>Night</v>
      </c>
      <c r="S276" s="9" t="str">
        <f t="shared" si="13"/>
        <v>Clear</v>
      </c>
    </row>
    <row r="277" spans="1:19" x14ac:dyDescent="0.25">
      <c r="A277">
        <v>276</v>
      </c>
      <c r="B277" s="19">
        <v>40555</v>
      </c>
      <c r="C277">
        <v>1</v>
      </c>
      <c r="D277">
        <v>1</v>
      </c>
      <c r="E277">
        <v>22</v>
      </c>
      <c r="F277" t="b">
        <v>0</v>
      </c>
      <c r="G277">
        <v>3</v>
      </c>
      <c r="H277">
        <v>1</v>
      </c>
      <c r="I277">
        <v>0.16</v>
      </c>
      <c r="J277">
        <v>0</v>
      </c>
      <c r="K277">
        <v>0.28789999999999999</v>
      </c>
      <c r="L277">
        <v>0.81</v>
      </c>
      <c r="M277">
        <v>0</v>
      </c>
      <c r="N277">
        <v>3</v>
      </c>
      <c r="O277">
        <v>13</v>
      </c>
      <c r="P277">
        <v>16</v>
      </c>
      <c r="Q277" s="17" t="str">
        <f t="shared" si="14"/>
        <v>Weekdays</v>
      </c>
      <c r="R277" s="17" t="str">
        <f t="shared" si="12"/>
        <v>Night</v>
      </c>
      <c r="S277" s="9" t="str">
        <f t="shared" si="13"/>
        <v>Clear</v>
      </c>
    </row>
    <row r="278" spans="1:19" x14ac:dyDescent="0.25">
      <c r="A278">
        <v>277</v>
      </c>
      <c r="B278" s="19">
        <v>40555</v>
      </c>
      <c r="C278">
        <v>1</v>
      </c>
      <c r="D278">
        <v>1</v>
      </c>
      <c r="E278">
        <v>23</v>
      </c>
      <c r="F278" t="b">
        <v>0</v>
      </c>
      <c r="G278">
        <v>3</v>
      </c>
      <c r="H278">
        <v>1</v>
      </c>
      <c r="I278">
        <v>0.14000000000000001</v>
      </c>
      <c r="J278">
        <v>0</v>
      </c>
      <c r="K278">
        <v>0.28789999999999999</v>
      </c>
      <c r="L278">
        <v>0.81</v>
      </c>
      <c r="M278">
        <v>0</v>
      </c>
      <c r="N278">
        <v>3</v>
      </c>
      <c r="O278">
        <v>13</v>
      </c>
      <c r="P278">
        <v>16</v>
      </c>
      <c r="Q278" s="17" t="str">
        <f t="shared" si="14"/>
        <v>Weekdays</v>
      </c>
      <c r="R278" s="17" t="str">
        <f t="shared" si="12"/>
        <v>Night</v>
      </c>
      <c r="S278" s="9" t="str">
        <f t="shared" si="13"/>
        <v>Clear</v>
      </c>
    </row>
    <row r="279" spans="1:19" x14ac:dyDescent="0.25">
      <c r="A279">
        <v>278</v>
      </c>
      <c r="B279" s="19">
        <v>40556</v>
      </c>
      <c r="C279">
        <v>1</v>
      </c>
      <c r="D279">
        <v>1</v>
      </c>
      <c r="E279">
        <v>0</v>
      </c>
      <c r="F279" t="b">
        <v>0</v>
      </c>
      <c r="G279">
        <v>4</v>
      </c>
      <c r="H279">
        <v>1</v>
      </c>
      <c r="I279">
        <v>0.14000000000000001</v>
      </c>
      <c r="J279">
        <v>0</v>
      </c>
      <c r="K279">
        <v>0.28789999999999999</v>
      </c>
      <c r="L279">
        <v>0.81</v>
      </c>
      <c r="M279">
        <v>0</v>
      </c>
      <c r="N279">
        <v>3</v>
      </c>
      <c r="O279">
        <v>13</v>
      </c>
      <c r="P279">
        <v>16</v>
      </c>
      <c r="Q279" s="17" t="str">
        <f t="shared" si="14"/>
        <v>Weekdays</v>
      </c>
      <c r="R279" s="17" t="str">
        <f t="shared" si="12"/>
        <v>Morning</v>
      </c>
      <c r="S279" s="9" t="str">
        <f t="shared" si="13"/>
        <v>Clear</v>
      </c>
    </row>
    <row r="280" spans="1:19" x14ac:dyDescent="0.25">
      <c r="A280">
        <v>279</v>
      </c>
      <c r="B280" s="19">
        <v>40556</v>
      </c>
      <c r="C280">
        <v>1</v>
      </c>
      <c r="D280">
        <v>1</v>
      </c>
      <c r="E280">
        <v>1</v>
      </c>
      <c r="F280" t="b">
        <v>0</v>
      </c>
      <c r="G280">
        <v>4</v>
      </c>
      <c r="H280">
        <v>1</v>
      </c>
      <c r="I280">
        <v>0.14000000000000001</v>
      </c>
      <c r="J280">
        <v>0</v>
      </c>
      <c r="K280">
        <v>0.28789999999999999</v>
      </c>
      <c r="L280">
        <v>0.81</v>
      </c>
      <c r="M280">
        <v>0</v>
      </c>
      <c r="N280">
        <v>3</v>
      </c>
      <c r="O280">
        <v>13</v>
      </c>
      <c r="P280">
        <v>16</v>
      </c>
      <c r="Q280" s="17" t="str">
        <f t="shared" si="14"/>
        <v>Weekdays</v>
      </c>
      <c r="R280" s="17" t="str">
        <f t="shared" si="12"/>
        <v>Morning</v>
      </c>
      <c r="S280" s="9" t="str">
        <f t="shared" si="13"/>
        <v>Clear</v>
      </c>
    </row>
    <row r="281" spans="1:19" x14ac:dyDescent="0.25">
      <c r="A281">
        <v>280</v>
      </c>
      <c r="B281" s="19">
        <v>40556</v>
      </c>
      <c r="C281">
        <v>1</v>
      </c>
      <c r="D281">
        <v>1</v>
      </c>
      <c r="E281">
        <v>2</v>
      </c>
      <c r="F281" t="b">
        <v>0</v>
      </c>
      <c r="G281">
        <v>4</v>
      </c>
      <c r="H281">
        <v>1</v>
      </c>
      <c r="I281">
        <v>0.14000000000000001</v>
      </c>
      <c r="J281">
        <v>0</v>
      </c>
      <c r="K281">
        <v>0.28789999999999999</v>
      </c>
      <c r="L281">
        <v>0.81</v>
      </c>
      <c r="M281">
        <v>0</v>
      </c>
      <c r="N281">
        <v>3</v>
      </c>
      <c r="O281">
        <v>13</v>
      </c>
      <c r="P281">
        <v>16</v>
      </c>
      <c r="Q281" s="17" t="str">
        <f t="shared" si="14"/>
        <v>Weekdays</v>
      </c>
      <c r="R281" s="17" t="str">
        <f t="shared" si="12"/>
        <v>Morning</v>
      </c>
      <c r="S281" s="9" t="str">
        <f t="shared" si="13"/>
        <v>Clear</v>
      </c>
    </row>
    <row r="282" spans="1:19" x14ac:dyDescent="0.25">
      <c r="A282">
        <v>281</v>
      </c>
      <c r="B282" s="19">
        <v>40556</v>
      </c>
      <c r="C282">
        <v>1</v>
      </c>
      <c r="D282">
        <v>1</v>
      </c>
      <c r="E282">
        <v>3</v>
      </c>
      <c r="F282" t="b">
        <v>0</v>
      </c>
      <c r="G282">
        <v>4</v>
      </c>
      <c r="H282">
        <v>1</v>
      </c>
      <c r="I282">
        <v>0.14000000000000001</v>
      </c>
      <c r="J282">
        <v>0</v>
      </c>
      <c r="K282">
        <v>0.28789999999999999</v>
      </c>
      <c r="L282">
        <v>0.81</v>
      </c>
      <c r="M282">
        <v>0</v>
      </c>
      <c r="N282">
        <v>3</v>
      </c>
      <c r="O282">
        <v>13</v>
      </c>
      <c r="P282">
        <v>16</v>
      </c>
      <c r="Q282" s="17" t="str">
        <f t="shared" si="14"/>
        <v>Weekdays</v>
      </c>
      <c r="R282" s="17" t="str">
        <f t="shared" si="12"/>
        <v>Morning</v>
      </c>
      <c r="S282" s="9" t="str">
        <f t="shared" si="13"/>
        <v>Clear</v>
      </c>
    </row>
    <row r="283" spans="1:19" x14ac:dyDescent="0.25">
      <c r="A283">
        <v>282</v>
      </c>
      <c r="B283" s="19">
        <v>40556</v>
      </c>
      <c r="C283">
        <v>1</v>
      </c>
      <c r="D283">
        <v>1</v>
      </c>
      <c r="E283">
        <v>4</v>
      </c>
      <c r="F283" t="b">
        <v>0</v>
      </c>
      <c r="G283">
        <v>4</v>
      </c>
      <c r="H283">
        <v>1</v>
      </c>
      <c r="I283">
        <v>0.14000000000000001</v>
      </c>
      <c r="J283">
        <v>0</v>
      </c>
      <c r="K283">
        <v>0.28789999999999999</v>
      </c>
      <c r="L283">
        <v>0.81</v>
      </c>
      <c r="M283">
        <v>0</v>
      </c>
      <c r="N283">
        <v>3</v>
      </c>
      <c r="O283">
        <v>13</v>
      </c>
      <c r="P283">
        <v>16</v>
      </c>
      <c r="Q283" s="17" t="str">
        <f t="shared" si="14"/>
        <v>Weekdays</v>
      </c>
      <c r="R283" s="17" t="str">
        <f t="shared" si="12"/>
        <v>Morning</v>
      </c>
      <c r="S283" s="9" t="str">
        <f t="shared" si="13"/>
        <v>Clear</v>
      </c>
    </row>
    <row r="284" spans="1:19" x14ac:dyDescent="0.25">
      <c r="A284">
        <v>283</v>
      </c>
      <c r="B284" s="19">
        <v>40556</v>
      </c>
      <c r="C284">
        <v>1</v>
      </c>
      <c r="D284">
        <v>1</v>
      </c>
      <c r="E284">
        <v>5</v>
      </c>
      <c r="F284" t="b">
        <v>0</v>
      </c>
      <c r="G284">
        <v>4</v>
      </c>
      <c r="H284">
        <v>1</v>
      </c>
      <c r="I284">
        <v>0.14000000000000001</v>
      </c>
      <c r="J284">
        <v>0</v>
      </c>
      <c r="K284">
        <v>0.28789999999999999</v>
      </c>
      <c r="L284">
        <v>0.81</v>
      </c>
      <c r="M284">
        <v>0</v>
      </c>
      <c r="N284">
        <v>3</v>
      </c>
      <c r="O284">
        <v>13</v>
      </c>
      <c r="P284">
        <v>16</v>
      </c>
      <c r="Q284" s="17" t="str">
        <f t="shared" si="14"/>
        <v>Weekdays</v>
      </c>
      <c r="R284" s="17" t="str">
        <f t="shared" si="12"/>
        <v>Morning</v>
      </c>
      <c r="S284" s="9" t="str">
        <f t="shared" si="13"/>
        <v>Clear</v>
      </c>
    </row>
    <row r="285" spans="1:19" x14ac:dyDescent="0.25">
      <c r="A285">
        <v>284</v>
      </c>
      <c r="B285" s="19">
        <v>40556</v>
      </c>
      <c r="C285">
        <v>1</v>
      </c>
      <c r="D285">
        <v>1</v>
      </c>
      <c r="E285">
        <v>6</v>
      </c>
      <c r="F285" t="b">
        <v>0</v>
      </c>
      <c r="G285">
        <v>4</v>
      </c>
      <c r="H285">
        <v>1</v>
      </c>
      <c r="I285">
        <v>0.12</v>
      </c>
      <c r="J285">
        <v>0</v>
      </c>
      <c r="K285">
        <v>0.28789999999999999</v>
      </c>
      <c r="L285">
        <v>0.81</v>
      </c>
      <c r="M285">
        <v>0</v>
      </c>
      <c r="N285">
        <v>3</v>
      </c>
      <c r="O285">
        <v>13</v>
      </c>
      <c r="P285">
        <v>16</v>
      </c>
      <c r="Q285" s="17" t="str">
        <f t="shared" si="14"/>
        <v>Weekdays</v>
      </c>
      <c r="R285" s="17" t="str">
        <f t="shared" si="12"/>
        <v>Morning</v>
      </c>
      <c r="S285" s="9" t="str">
        <f t="shared" si="13"/>
        <v>Clear</v>
      </c>
    </row>
    <row r="286" spans="1:19" x14ac:dyDescent="0.25">
      <c r="A286">
        <v>285</v>
      </c>
      <c r="B286" s="19">
        <v>40556</v>
      </c>
      <c r="C286">
        <v>1</v>
      </c>
      <c r="D286">
        <v>1</v>
      </c>
      <c r="E286">
        <v>7</v>
      </c>
      <c r="F286" t="b">
        <v>0</v>
      </c>
      <c r="G286">
        <v>4</v>
      </c>
      <c r="H286">
        <v>1</v>
      </c>
      <c r="I286">
        <v>0.12</v>
      </c>
      <c r="J286">
        <v>0</v>
      </c>
      <c r="K286">
        <v>0.28789999999999999</v>
      </c>
      <c r="L286">
        <v>0.81</v>
      </c>
      <c r="M286">
        <v>0</v>
      </c>
      <c r="N286">
        <v>3</v>
      </c>
      <c r="O286">
        <v>13</v>
      </c>
      <c r="P286">
        <v>16</v>
      </c>
      <c r="Q286" s="17" t="str">
        <f t="shared" si="14"/>
        <v>Weekdays</v>
      </c>
      <c r="R286" s="17" t="str">
        <f t="shared" si="12"/>
        <v>Morning</v>
      </c>
      <c r="S286" s="9" t="str">
        <f t="shared" si="13"/>
        <v>Clear</v>
      </c>
    </row>
    <row r="287" spans="1:19" x14ac:dyDescent="0.25">
      <c r="A287">
        <v>286</v>
      </c>
      <c r="B287" s="19">
        <v>40556</v>
      </c>
      <c r="C287">
        <v>1</v>
      </c>
      <c r="D287">
        <v>1</v>
      </c>
      <c r="E287">
        <v>8</v>
      </c>
      <c r="F287" t="b">
        <v>0</v>
      </c>
      <c r="G287">
        <v>4</v>
      </c>
      <c r="H287">
        <v>1</v>
      </c>
      <c r="I287">
        <v>0.14000000000000001</v>
      </c>
      <c r="J287">
        <v>0</v>
      </c>
      <c r="K287">
        <v>0.28789999999999999</v>
      </c>
      <c r="L287">
        <v>0.81</v>
      </c>
      <c r="M287">
        <v>0</v>
      </c>
      <c r="N287">
        <v>3</v>
      </c>
      <c r="O287">
        <v>13</v>
      </c>
      <c r="P287">
        <v>16</v>
      </c>
      <c r="Q287" s="17" t="str">
        <f t="shared" si="14"/>
        <v>Weekdays</v>
      </c>
      <c r="R287" s="17" t="str">
        <f t="shared" si="12"/>
        <v>Morning</v>
      </c>
      <c r="S287" s="9" t="str">
        <f t="shared" si="13"/>
        <v>Clear</v>
      </c>
    </row>
    <row r="288" spans="1:19" x14ac:dyDescent="0.25">
      <c r="A288">
        <v>287</v>
      </c>
      <c r="B288" s="19">
        <v>40556</v>
      </c>
      <c r="C288">
        <v>1</v>
      </c>
      <c r="D288">
        <v>1</v>
      </c>
      <c r="E288">
        <v>9</v>
      </c>
      <c r="F288" t="b">
        <v>0</v>
      </c>
      <c r="G288">
        <v>4</v>
      </c>
      <c r="H288">
        <v>1</v>
      </c>
      <c r="I288">
        <v>0.14000000000000001</v>
      </c>
      <c r="J288">
        <v>0</v>
      </c>
      <c r="K288">
        <v>0.28789999999999999</v>
      </c>
      <c r="L288">
        <v>0.81</v>
      </c>
      <c r="M288">
        <v>0</v>
      </c>
      <c r="N288">
        <v>3</v>
      </c>
      <c r="O288">
        <v>13</v>
      </c>
      <c r="P288">
        <v>16</v>
      </c>
      <c r="Q288" s="17" t="str">
        <f t="shared" si="14"/>
        <v>Weekdays</v>
      </c>
      <c r="R288" s="17" t="str">
        <f t="shared" si="12"/>
        <v>Morning</v>
      </c>
      <c r="S288" s="9" t="str">
        <f t="shared" si="13"/>
        <v>Clear</v>
      </c>
    </row>
    <row r="289" spans="1:19" x14ac:dyDescent="0.25">
      <c r="A289">
        <v>288</v>
      </c>
      <c r="B289" s="19">
        <v>40556</v>
      </c>
      <c r="C289">
        <v>1</v>
      </c>
      <c r="D289">
        <v>1</v>
      </c>
      <c r="E289">
        <v>10</v>
      </c>
      <c r="F289" t="b">
        <v>0</v>
      </c>
      <c r="G289">
        <v>4</v>
      </c>
      <c r="H289">
        <v>2</v>
      </c>
      <c r="I289">
        <v>0.16</v>
      </c>
      <c r="J289">
        <v>0</v>
      </c>
      <c r="K289">
        <v>0.28789999999999999</v>
      </c>
      <c r="L289">
        <v>0.81</v>
      </c>
      <c r="M289">
        <v>0</v>
      </c>
      <c r="N289">
        <v>3</v>
      </c>
      <c r="O289">
        <v>13</v>
      </c>
      <c r="P289">
        <v>16</v>
      </c>
      <c r="Q289" s="17" t="str">
        <f t="shared" si="14"/>
        <v>Weekdays</v>
      </c>
      <c r="R289" s="17" t="str">
        <f t="shared" si="12"/>
        <v>Morning</v>
      </c>
      <c r="S289" s="9" t="str">
        <f t="shared" si="13"/>
        <v>Mist</v>
      </c>
    </row>
    <row r="290" spans="1:19" x14ac:dyDescent="0.25">
      <c r="A290">
        <v>289</v>
      </c>
      <c r="B290" s="19">
        <v>40556</v>
      </c>
      <c r="C290">
        <v>1</v>
      </c>
      <c r="D290">
        <v>1</v>
      </c>
      <c r="E290">
        <v>11</v>
      </c>
      <c r="F290" t="b">
        <v>0</v>
      </c>
      <c r="G290">
        <v>4</v>
      </c>
      <c r="H290">
        <v>2</v>
      </c>
      <c r="I290">
        <v>0.2</v>
      </c>
      <c r="J290">
        <v>0</v>
      </c>
      <c r="K290">
        <v>0.28789999999999999</v>
      </c>
      <c r="L290">
        <v>0.81</v>
      </c>
      <c r="M290">
        <v>0</v>
      </c>
      <c r="N290">
        <v>3</v>
      </c>
      <c r="O290">
        <v>13</v>
      </c>
      <c r="P290">
        <v>16</v>
      </c>
      <c r="Q290" s="17" t="str">
        <f t="shared" si="14"/>
        <v>Weekdays</v>
      </c>
      <c r="R290" s="17" t="str">
        <f t="shared" si="12"/>
        <v>Morning</v>
      </c>
      <c r="S290" s="9" t="str">
        <f t="shared" si="13"/>
        <v>Mist</v>
      </c>
    </row>
    <row r="291" spans="1:19" x14ac:dyDescent="0.25">
      <c r="A291">
        <v>290</v>
      </c>
      <c r="B291" s="19">
        <v>40556</v>
      </c>
      <c r="C291">
        <v>1</v>
      </c>
      <c r="D291">
        <v>1</v>
      </c>
      <c r="E291">
        <v>12</v>
      </c>
      <c r="F291" t="b">
        <v>0</v>
      </c>
      <c r="G291">
        <v>4</v>
      </c>
      <c r="H291">
        <v>1</v>
      </c>
      <c r="I291">
        <v>0.2</v>
      </c>
      <c r="J291">
        <v>0</v>
      </c>
      <c r="K291">
        <v>0.28789999999999999</v>
      </c>
      <c r="L291">
        <v>0.81</v>
      </c>
      <c r="M291">
        <v>0</v>
      </c>
      <c r="N291">
        <v>3</v>
      </c>
      <c r="O291">
        <v>13</v>
      </c>
      <c r="P291">
        <v>16</v>
      </c>
      <c r="Q291" s="17" t="str">
        <f t="shared" si="14"/>
        <v>Weekdays</v>
      </c>
      <c r="R291" s="17" t="str">
        <f t="shared" si="12"/>
        <v>Afternoon</v>
      </c>
      <c r="S291" s="9" t="str">
        <f t="shared" si="13"/>
        <v>Clear</v>
      </c>
    </row>
    <row r="292" spans="1:19" x14ac:dyDescent="0.25">
      <c r="A292">
        <v>291</v>
      </c>
      <c r="B292" s="19">
        <v>40556</v>
      </c>
      <c r="C292">
        <v>1</v>
      </c>
      <c r="D292">
        <v>1</v>
      </c>
      <c r="E292">
        <v>13</v>
      </c>
      <c r="F292" t="b">
        <v>0</v>
      </c>
      <c r="G292">
        <v>4</v>
      </c>
      <c r="H292">
        <v>1</v>
      </c>
      <c r="I292">
        <v>0.22</v>
      </c>
      <c r="J292">
        <v>0</v>
      </c>
      <c r="K292">
        <v>0.28789999999999999</v>
      </c>
      <c r="L292">
        <v>0.81</v>
      </c>
      <c r="M292">
        <v>0</v>
      </c>
      <c r="N292">
        <v>3</v>
      </c>
      <c r="O292">
        <v>13</v>
      </c>
      <c r="P292">
        <v>16</v>
      </c>
      <c r="Q292" s="17" t="str">
        <f t="shared" si="14"/>
        <v>Weekdays</v>
      </c>
      <c r="R292" s="17" t="str">
        <f t="shared" si="12"/>
        <v>Afternoon</v>
      </c>
      <c r="S292" s="9" t="str">
        <f t="shared" si="13"/>
        <v>Clear</v>
      </c>
    </row>
    <row r="293" spans="1:19" x14ac:dyDescent="0.25">
      <c r="A293">
        <v>292</v>
      </c>
      <c r="B293" s="19">
        <v>40556</v>
      </c>
      <c r="C293">
        <v>1</v>
      </c>
      <c r="D293">
        <v>1</v>
      </c>
      <c r="E293">
        <v>14</v>
      </c>
      <c r="F293" t="b">
        <v>0</v>
      </c>
      <c r="G293">
        <v>4</v>
      </c>
      <c r="H293">
        <v>1</v>
      </c>
      <c r="I293">
        <v>0.22</v>
      </c>
      <c r="J293">
        <v>0</v>
      </c>
      <c r="K293">
        <v>0.28789999999999999</v>
      </c>
      <c r="L293">
        <v>0.81</v>
      </c>
      <c r="M293">
        <v>0</v>
      </c>
      <c r="N293">
        <v>3</v>
      </c>
      <c r="O293">
        <v>13</v>
      </c>
      <c r="P293">
        <v>16</v>
      </c>
      <c r="Q293" s="17" t="str">
        <f t="shared" si="14"/>
        <v>Weekdays</v>
      </c>
      <c r="R293" s="17" t="str">
        <f t="shared" si="12"/>
        <v>Afternoon</v>
      </c>
      <c r="S293" s="9" t="str">
        <f t="shared" si="13"/>
        <v>Clear</v>
      </c>
    </row>
    <row r="294" spans="1:19" x14ac:dyDescent="0.25">
      <c r="A294">
        <v>293</v>
      </c>
      <c r="B294" s="19">
        <v>40556</v>
      </c>
      <c r="C294">
        <v>1</v>
      </c>
      <c r="D294">
        <v>1</v>
      </c>
      <c r="E294">
        <v>15</v>
      </c>
      <c r="F294" t="b">
        <v>0</v>
      </c>
      <c r="G294">
        <v>4</v>
      </c>
      <c r="H294">
        <v>1</v>
      </c>
      <c r="I294">
        <v>0.24</v>
      </c>
      <c r="J294">
        <v>0</v>
      </c>
      <c r="K294">
        <v>0.28789999999999999</v>
      </c>
      <c r="L294">
        <v>0.81</v>
      </c>
      <c r="M294">
        <v>0</v>
      </c>
      <c r="N294">
        <v>3</v>
      </c>
      <c r="O294">
        <v>13</v>
      </c>
      <c r="P294">
        <v>16</v>
      </c>
      <c r="Q294" s="17" t="str">
        <f t="shared" si="14"/>
        <v>Weekdays</v>
      </c>
      <c r="R294" s="17" t="str">
        <f t="shared" si="12"/>
        <v>Afternoon</v>
      </c>
      <c r="S294" s="9" t="str">
        <f t="shared" si="13"/>
        <v>Clear</v>
      </c>
    </row>
    <row r="295" spans="1:19" x14ac:dyDescent="0.25">
      <c r="A295">
        <v>294</v>
      </c>
      <c r="B295" s="19">
        <v>40556</v>
      </c>
      <c r="C295">
        <v>1</v>
      </c>
      <c r="D295">
        <v>1</v>
      </c>
      <c r="E295">
        <v>16</v>
      </c>
      <c r="F295" t="b">
        <v>0</v>
      </c>
      <c r="G295">
        <v>4</v>
      </c>
      <c r="H295">
        <v>1</v>
      </c>
      <c r="I295">
        <v>0.24</v>
      </c>
      <c r="J295">
        <v>0</v>
      </c>
      <c r="K295">
        <v>0.28789999999999999</v>
      </c>
      <c r="L295">
        <v>0.81</v>
      </c>
      <c r="M295">
        <v>0</v>
      </c>
      <c r="N295">
        <v>3</v>
      </c>
      <c r="O295">
        <v>13</v>
      </c>
      <c r="P295">
        <v>16</v>
      </c>
      <c r="Q295" s="17" t="str">
        <f t="shared" si="14"/>
        <v>Weekdays</v>
      </c>
      <c r="R295" s="17" t="str">
        <f t="shared" si="12"/>
        <v>Evening</v>
      </c>
      <c r="S295" s="9" t="str">
        <f t="shared" si="13"/>
        <v>Clear</v>
      </c>
    </row>
    <row r="296" spans="1:19" x14ac:dyDescent="0.25">
      <c r="A296">
        <v>295</v>
      </c>
      <c r="B296" s="19">
        <v>40556</v>
      </c>
      <c r="C296">
        <v>1</v>
      </c>
      <c r="D296">
        <v>1</v>
      </c>
      <c r="E296">
        <v>17</v>
      </c>
      <c r="F296" t="b">
        <v>0</v>
      </c>
      <c r="G296">
        <v>4</v>
      </c>
      <c r="H296">
        <v>1</v>
      </c>
      <c r="I296">
        <v>0.2</v>
      </c>
      <c r="J296">
        <v>0</v>
      </c>
      <c r="K296">
        <v>0.28789999999999999</v>
      </c>
      <c r="L296">
        <v>0.81</v>
      </c>
      <c r="M296">
        <v>0</v>
      </c>
      <c r="N296">
        <v>3</v>
      </c>
      <c r="O296">
        <v>13</v>
      </c>
      <c r="P296">
        <v>16</v>
      </c>
      <c r="Q296" s="17" t="str">
        <f t="shared" si="14"/>
        <v>Weekdays</v>
      </c>
      <c r="R296" s="17" t="str">
        <f t="shared" si="12"/>
        <v>Evening</v>
      </c>
      <c r="S296" s="9" t="str">
        <f t="shared" si="13"/>
        <v>Clear</v>
      </c>
    </row>
    <row r="297" spans="1:19" x14ac:dyDescent="0.25">
      <c r="A297">
        <v>296</v>
      </c>
      <c r="B297" s="19">
        <v>40556</v>
      </c>
      <c r="C297">
        <v>1</v>
      </c>
      <c r="D297">
        <v>1</v>
      </c>
      <c r="E297">
        <v>18</v>
      </c>
      <c r="F297" t="b">
        <v>0</v>
      </c>
      <c r="G297">
        <v>4</v>
      </c>
      <c r="H297">
        <v>1</v>
      </c>
      <c r="I297">
        <v>0.2</v>
      </c>
      <c r="J297">
        <v>0</v>
      </c>
      <c r="K297">
        <v>0.28789999999999999</v>
      </c>
      <c r="L297">
        <v>0.81</v>
      </c>
      <c r="M297">
        <v>0</v>
      </c>
      <c r="N297">
        <v>3</v>
      </c>
      <c r="O297">
        <v>13</v>
      </c>
      <c r="P297">
        <v>16</v>
      </c>
      <c r="Q297" s="17" t="str">
        <f t="shared" si="14"/>
        <v>Weekdays</v>
      </c>
      <c r="R297" s="17" t="str">
        <f t="shared" si="12"/>
        <v>Evening</v>
      </c>
      <c r="S297" s="9" t="str">
        <f t="shared" si="13"/>
        <v>Clear</v>
      </c>
    </row>
    <row r="298" spans="1:19" x14ac:dyDescent="0.25">
      <c r="A298">
        <v>297</v>
      </c>
      <c r="B298" s="19">
        <v>40556</v>
      </c>
      <c r="C298">
        <v>1</v>
      </c>
      <c r="D298">
        <v>1</v>
      </c>
      <c r="E298">
        <v>19</v>
      </c>
      <c r="F298" t="b">
        <v>0</v>
      </c>
      <c r="G298">
        <v>4</v>
      </c>
      <c r="H298">
        <v>1</v>
      </c>
      <c r="I298">
        <v>0.16</v>
      </c>
      <c r="J298">
        <v>0</v>
      </c>
      <c r="K298">
        <v>0.28789999999999999</v>
      </c>
      <c r="L298">
        <v>0.81</v>
      </c>
      <c r="M298">
        <v>0</v>
      </c>
      <c r="N298">
        <v>3</v>
      </c>
      <c r="O298">
        <v>13</v>
      </c>
      <c r="P298">
        <v>16</v>
      </c>
      <c r="Q298" s="17" t="str">
        <f t="shared" si="14"/>
        <v>Weekdays</v>
      </c>
      <c r="R298" s="17" t="str">
        <f t="shared" si="12"/>
        <v>Evening</v>
      </c>
      <c r="S298" s="9" t="str">
        <f t="shared" si="13"/>
        <v>Clear</v>
      </c>
    </row>
    <row r="299" spans="1:19" x14ac:dyDescent="0.25">
      <c r="A299">
        <v>298</v>
      </c>
      <c r="B299" s="19">
        <v>40556</v>
      </c>
      <c r="C299">
        <v>1</v>
      </c>
      <c r="D299">
        <v>1</v>
      </c>
      <c r="E299">
        <v>20</v>
      </c>
      <c r="F299" t="b">
        <v>0</v>
      </c>
      <c r="G299">
        <v>4</v>
      </c>
      <c r="H299">
        <v>1</v>
      </c>
      <c r="I299">
        <v>0.16</v>
      </c>
      <c r="J299">
        <v>0</v>
      </c>
      <c r="K299">
        <v>0.28789999999999999</v>
      </c>
      <c r="L299">
        <v>0.81</v>
      </c>
      <c r="M299">
        <v>0</v>
      </c>
      <c r="N299">
        <v>3</v>
      </c>
      <c r="O299">
        <v>13</v>
      </c>
      <c r="P299">
        <v>16</v>
      </c>
      <c r="Q299" s="17" t="str">
        <f t="shared" si="14"/>
        <v>Weekdays</v>
      </c>
      <c r="R299" s="17" t="str">
        <f t="shared" si="12"/>
        <v>Evening</v>
      </c>
      <c r="S299" s="9" t="str">
        <f t="shared" si="13"/>
        <v>Clear</v>
      </c>
    </row>
    <row r="300" spans="1:19" x14ac:dyDescent="0.25">
      <c r="A300">
        <v>299</v>
      </c>
      <c r="B300" s="19">
        <v>40556</v>
      </c>
      <c r="C300">
        <v>1</v>
      </c>
      <c r="D300">
        <v>1</v>
      </c>
      <c r="E300">
        <v>21</v>
      </c>
      <c r="F300" t="b">
        <v>0</v>
      </c>
      <c r="G300">
        <v>4</v>
      </c>
      <c r="H300">
        <v>1</v>
      </c>
      <c r="I300">
        <v>0.14000000000000001</v>
      </c>
      <c r="J300">
        <v>0</v>
      </c>
      <c r="K300">
        <v>0.28789999999999999</v>
      </c>
      <c r="L300">
        <v>0.81</v>
      </c>
      <c r="M300">
        <v>0</v>
      </c>
      <c r="N300">
        <v>3</v>
      </c>
      <c r="O300">
        <v>13</v>
      </c>
      <c r="P300">
        <v>16</v>
      </c>
      <c r="Q300" s="17" t="str">
        <f t="shared" si="14"/>
        <v>Weekdays</v>
      </c>
      <c r="R300" s="17" t="str">
        <f t="shared" si="12"/>
        <v>Night</v>
      </c>
      <c r="S300" s="9" t="str">
        <f t="shared" si="13"/>
        <v>Clear</v>
      </c>
    </row>
    <row r="301" spans="1:19" x14ac:dyDescent="0.25">
      <c r="A301">
        <v>300</v>
      </c>
      <c r="B301" s="19">
        <v>40556</v>
      </c>
      <c r="C301">
        <v>1</v>
      </c>
      <c r="D301">
        <v>1</v>
      </c>
      <c r="E301">
        <v>22</v>
      </c>
      <c r="F301" t="b">
        <v>0</v>
      </c>
      <c r="G301">
        <v>4</v>
      </c>
      <c r="H301">
        <v>1</v>
      </c>
      <c r="I301">
        <v>0.14000000000000001</v>
      </c>
      <c r="J301">
        <v>0</v>
      </c>
      <c r="K301">
        <v>0.28789999999999999</v>
      </c>
      <c r="L301">
        <v>0.81</v>
      </c>
      <c r="M301">
        <v>0</v>
      </c>
      <c r="N301">
        <v>3</v>
      </c>
      <c r="O301">
        <v>13</v>
      </c>
      <c r="P301">
        <v>16</v>
      </c>
      <c r="Q301" s="17" t="str">
        <f t="shared" si="14"/>
        <v>Weekdays</v>
      </c>
      <c r="R301" s="17" t="str">
        <f t="shared" si="12"/>
        <v>Night</v>
      </c>
      <c r="S301" s="9" t="str">
        <f t="shared" si="13"/>
        <v>Clear</v>
      </c>
    </row>
    <row r="302" spans="1:19" x14ac:dyDescent="0.25">
      <c r="A302">
        <v>301</v>
      </c>
      <c r="B302" s="19">
        <v>40556</v>
      </c>
      <c r="C302">
        <v>1</v>
      </c>
      <c r="D302">
        <v>1</v>
      </c>
      <c r="E302">
        <v>23</v>
      </c>
      <c r="F302" t="b">
        <v>0</v>
      </c>
      <c r="G302">
        <v>4</v>
      </c>
      <c r="H302">
        <v>1</v>
      </c>
      <c r="I302">
        <v>0.12</v>
      </c>
      <c r="J302">
        <v>0</v>
      </c>
      <c r="K302">
        <v>0.28789999999999999</v>
      </c>
      <c r="L302">
        <v>0.81</v>
      </c>
      <c r="M302">
        <v>0</v>
      </c>
      <c r="N302">
        <v>3</v>
      </c>
      <c r="O302">
        <v>13</v>
      </c>
      <c r="P302">
        <v>16</v>
      </c>
      <c r="Q302" s="17" t="str">
        <f t="shared" si="14"/>
        <v>Weekdays</v>
      </c>
      <c r="R302" s="17" t="str">
        <f t="shared" si="12"/>
        <v>Night</v>
      </c>
      <c r="S302" s="9" t="str">
        <f t="shared" si="13"/>
        <v>Clear</v>
      </c>
    </row>
    <row r="303" spans="1:19" x14ac:dyDescent="0.25">
      <c r="A303">
        <v>302</v>
      </c>
      <c r="B303" s="19">
        <v>40557</v>
      </c>
      <c r="C303">
        <v>1</v>
      </c>
      <c r="D303">
        <v>1</v>
      </c>
      <c r="E303">
        <v>0</v>
      </c>
      <c r="F303" t="b">
        <v>0</v>
      </c>
      <c r="G303">
        <v>5</v>
      </c>
      <c r="H303">
        <v>1</v>
      </c>
      <c r="I303">
        <v>0.12</v>
      </c>
      <c r="J303">
        <v>0</v>
      </c>
      <c r="K303">
        <v>0.28789999999999999</v>
      </c>
      <c r="L303">
        <v>0.81</v>
      </c>
      <c r="M303">
        <v>0</v>
      </c>
      <c r="N303">
        <v>3</v>
      </c>
      <c r="O303">
        <v>13</v>
      </c>
      <c r="P303">
        <v>16</v>
      </c>
      <c r="Q303" s="17" t="str">
        <f t="shared" si="14"/>
        <v>Weekends</v>
      </c>
      <c r="R303" s="17" t="str">
        <f t="shared" si="12"/>
        <v>Morning</v>
      </c>
      <c r="S303" s="9" t="str">
        <f t="shared" si="13"/>
        <v>Clear</v>
      </c>
    </row>
    <row r="304" spans="1:19" x14ac:dyDescent="0.25">
      <c r="A304">
        <v>303</v>
      </c>
      <c r="B304" s="19">
        <v>40557</v>
      </c>
      <c r="C304">
        <v>1</v>
      </c>
      <c r="D304">
        <v>1</v>
      </c>
      <c r="E304">
        <v>1</v>
      </c>
      <c r="F304" t="b">
        <v>0</v>
      </c>
      <c r="G304">
        <v>5</v>
      </c>
      <c r="H304">
        <v>1</v>
      </c>
      <c r="I304">
        <v>0.1</v>
      </c>
      <c r="J304">
        <v>0</v>
      </c>
      <c r="K304">
        <v>0.28789999999999999</v>
      </c>
      <c r="L304">
        <v>0.81</v>
      </c>
      <c r="M304">
        <v>0</v>
      </c>
      <c r="N304">
        <v>3</v>
      </c>
      <c r="O304">
        <v>13</v>
      </c>
      <c r="P304">
        <v>16</v>
      </c>
      <c r="Q304" s="17" t="str">
        <f t="shared" si="14"/>
        <v>Weekends</v>
      </c>
      <c r="R304" s="17" t="str">
        <f t="shared" si="12"/>
        <v>Morning</v>
      </c>
      <c r="S304" s="9" t="str">
        <f t="shared" si="13"/>
        <v>Clear</v>
      </c>
    </row>
    <row r="305" spans="1:19" x14ac:dyDescent="0.25">
      <c r="A305">
        <v>304</v>
      </c>
      <c r="B305" s="19">
        <v>40557</v>
      </c>
      <c r="C305">
        <v>1</v>
      </c>
      <c r="D305">
        <v>1</v>
      </c>
      <c r="E305">
        <v>2</v>
      </c>
      <c r="F305" t="b">
        <v>0</v>
      </c>
      <c r="G305">
        <v>5</v>
      </c>
      <c r="H305">
        <v>1</v>
      </c>
      <c r="I305">
        <v>0.1</v>
      </c>
      <c r="J305">
        <v>0</v>
      </c>
      <c r="K305">
        <v>0.28789999999999999</v>
      </c>
      <c r="L305">
        <v>0.81</v>
      </c>
      <c r="M305">
        <v>0</v>
      </c>
      <c r="N305">
        <v>3</v>
      </c>
      <c r="O305">
        <v>13</v>
      </c>
      <c r="P305">
        <v>16</v>
      </c>
      <c r="Q305" s="17" t="str">
        <f t="shared" si="14"/>
        <v>Weekends</v>
      </c>
      <c r="R305" s="17" t="str">
        <f t="shared" si="12"/>
        <v>Morning</v>
      </c>
      <c r="S305" s="9" t="str">
        <f t="shared" si="13"/>
        <v>Clear</v>
      </c>
    </row>
    <row r="306" spans="1:19" x14ac:dyDescent="0.25">
      <c r="A306">
        <v>305</v>
      </c>
      <c r="B306" s="19">
        <v>40557</v>
      </c>
      <c r="C306">
        <v>1</v>
      </c>
      <c r="D306">
        <v>1</v>
      </c>
      <c r="E306">
        <v>3</v>
      </c>
      <c r="F306" t="b">
        <v>0</v>
      </c>
      <c r="G306">
        <v>5</v>
      </c>
      <c r="H306">
        <v>1</v>
      </c>
      <c r="I306">
        <v>0.1</v>
      </c>
      <c r="J306">
        <v>0</v>
      </c>
      <c r="K306">
        <v>0.28789999999999999</v>
      </c>
      <c r="L306">
        <v>0.81</v>
      </c>
      <c r="M306">
        <v>0</v>
      </c>
      <c r="N306">
        <v>3</v>
      </c>
      <c r="O306">
        <v>13</v>
      </c>
      <c r="P306">
        <v>16</v>
      </c>
      <c r="Q306" s="17" t="str">
        <f t="shared" si="14"/>
        <v>Weekends</v>
      </c>
      <c r="R306" s="17" t="str">
        <f t="shared" si="12"/>
        <v>Morning</v>
      </c>
      <c r="S306" s="9" t="str">
        <f t="shared" si="13"/>
        <v>Clear</v>
      </c>
    </row>
    <row r="307" spans="1:19" x14ac:dyDescent="0.25">
      <c r="A307">
        <v>306</v>
      </c>
      <c r="B307" s="19">
        <v>40557</v>
      </c>
      <c r="C307">
        <v>1</v>
      </c>
      <c r="D307">
        <v>1</v>
      </c>
      <c r="E307">
        <v>5</v>
      </c>
      <c r="F307" t="b">
        <v>0</v>
      </c>
      <c r="G307">
        <v>5</v>
      </c>
      <c r="H307">
        <v>1</v>
      </c>
      <c r="I307">
        <v>0.1</v>
      </c>
      <c r="J307">
        <v>0</v>
      </c>
      <c r="K307">
        <v>0.28789999999999999</v>
      </c>
      <c r="L307">
        <v>0.81</v>
      </c>
      <c r="M307">
        <v>0</v>
      </c>
      <c r="N307">
        <v>3</v>
      </c>
      <c r="O307">
        <v>13</v>
      </c>
      <c r="P307">
        <v>16</v>
      </c>
      <c r="Q307" s="17" t="str">
        <f t="shared" si="14"/>
        <v>Weekends</v>
      </c>
      <c r="R307" s="17" t="str">
        <f t="shared" si="12"/>
        <v>Morning</v>
      </c>
      <c r="S307" s="9" t="str">
        <f t="shared" si="13"/>
        <v>Clear</v>
      </c>
    </row>
    <row r="308" spans="1:19" x14ac:dyDescent="0.25">
      <c r="A308">
        <v>307</v>
      </c>
      <c r="B308" s="19">
        <v>40557</v>
      </c>
      <c r="C308">
        <v>1</v>
      </c>
      <c r="D308">
        <v>1</v>
      </c>
      <c r="E308">
        <v>6</v>
      </c>
      <c r="F308" t="b">
        <v>0</v>
      </c>
      <c r="G308">
        <v>5</v>
      </c>
      <c r="H308">
        <v>1</v>
      </c>
      <c r="I308">
        <v>0.1</v>
      </c>
      <c r="J308">
        <v>0</v>
      </c>
      <c r="K308">
        <v>0.28789999999999999</v>
      </c>
      <c r="L308">
        <v>0.81</v>
      </c>
      <c r="M308">
        <v>0</v>
      </c>
      <c r="N308">
        <v>3</v>
      </c>
      <c r="O308">
        <v>13</v>
      </c>
      <c r="P308">
        <v>16</v>
      </c>
      <c r="Q308" s="17" t="str">
        <f t="shared" si="14"/>
        <v>Weekends</v>
      </c>
      <c r="R308" s="17" t="str">
        <f t="shared" si="12"/>
        <v>Morning</v>
      </c>
      <c r="S308" s="9" t="str">
        <f t="shared" si="13"/>
        <v>Clear</v>
      </c>
    </row>
    <row r="309" spans="1:19" x14ac:dyDescent="0.25">
      <c r="A309">
        <v>308</v>
      </c>
      <c r="B309" s="19">
        <v>40557</v>
      </c>
      <c r="C309">
        <v>1</v>
      </c>
      <c r="D309">
        <v>1</v>
      </c>
      <c r="E309">
        <v>7</v>
      </c>
      <c r="F309" t="b">
        <v>0</v>
      </c>
      <c r="G309">
        <v>5</v>
      </c>
      <c r="H309">
        <v>1</v>
      </c>
      <c r="I309">
        <v>0.1</v>
      </c>
      <c r="J309">
        <v>0</v>
      </c>
      <c r="K309">
        <v>0.28789999999999999</v>
      </c>
      <c r="L309">
        <v>0.81</v>
      </c>
      <c r="M309">
        <v>0</v>
      </c>
      <c r="N309">
        <v>3</v>
      </c>
      <c r="O309">
        <v>13</v>
      </c>
      <c r="P309">
        <v>16</v>
      </c>
      <c r="Q309" s="17" t="str">
        <f t="shared" si="14"/>
        <v>Weekends</v>
      </c>
      <c r="R309" s="17" t="str">
        <f t="shared" si="12"/>
        <v>Morning</v>
      </c>
      <c r="S309" s="9" t="str">
        <f t="shared" si="13"/>
        <v>Clear</v>
      </c>
    </row>
    <row r="310" spans="1:19" x14ac:dyDescent="0.25">
      <c r="A310">
        <v>309</v>
      </c>
      <c r="B310" s="19">
        <v>40557</v>
      </c>
      <c r="C310">
        <v>1</v>
      </c>
      <c r="D310">
        <v>1</v>
      </c>
      <c r="E310">
        <v>8</v>
      </c>
      <c r="F310" t="b">
        <v>0</v>
      </c>
      <c r="G310">
        <v>5</v>
      </c>
      <c r="H310">
        <v>1</v>
      </c>
      <c r="I310">
        <v>0.12</v>
      </c>
      <c r="J310">
        <v>0</v>
      </c>
      <c r="K310">
        <v>0.28789999999999999</v>
      </c>
      <c r="L310">
        <v>0.81</v>
      </c>
      <c r="M310">
        <v>0</v>
      </c>
      <c r="N310">
        <v>3</v>
      </c>
      <c r="O310">
        <v>13</v>
      </c>
      <c r="P310">
        <v>16</v>
      </c>
      <c r="Q310" s="17" t="str">
        <f t="shared" si="14"/>
        <v>Weekends</v>
      </c>
      <c r="R310" s="17" t="str">
        <f t="shared" si="12"/>
        <v>Morning</v>
      </c>
      <c r="S310" s="9" t="str">
        <f t="shared" si="13"/>
        <v>Clear</v>
      </c>
    </row>
    <row r="311" spans="1:19" x14ac:dyDescent="0.25">
      <c r="A311">
        <v>310</v>
      </c>
      <c r="B311" s="19">
        <v>40557</v>
      </c>
      <c r="C311">
        <v>1</v>
      </c>
      <c r="D311">
        <v>1</v>
      </c>
      <c r="E311">
        <v>9</v>
      </c>
      <c r="F311" t="b">
        <v>0</v>
      </c>
      <c r="G311">
        <v>5</v>
      </c>
      <c r="H311">
        <v>1</v>
      </c>
      <c r="I311">
        <v>0.14000000000000001</v>
      </c>
      <c r="J311">
        <v>0</v>
      </c>
      <c r="K311">
        <v>0.28789999999999999</v>
      </c>
      <c r="L311">
        <v>0.81</v>
      </c>
      <c r="M311">
        <v>0</v>
      </c>
      <c r="N311">
        <v>3</v>
      </c>
      <c r="O311">
        <v>13</v>
      </c>
      <c r="P311">
        <v>16</v>
      </c>
      <c r="Q311" s="17" t="str">
        <f t="shared" si="14"/>
        <v>Weekends</v>
      </c>
      <c r="R311" s="17" t="str">
        <f t="shared" si="12"/>
        <v>Morning</v>
      </c>
      <c r="S311" s="9" t="str">
        <f t="shared" si="13"/>
        <v>Clear</v>
      </c>
    </row>
    <row r="312" spans="1:19" x14ac:dyDescent="0.25">
      <c r="A312">
        <v>311</v>
      </c>
      <c r="B312" s="19">
        <v>40557</v>
      </c>
      <c r="C312">
        <v>1</v>
      </c>
      <c r="D312">
        <v>1</v>
      </c>
      <c r="E312">
        <v>10</v>
      </c>
      <c r="F312" t="b">
        <v>0</v>
      </c>
      <c r="G312">
        <v>5</v>
      </c>
      <c r="H312">
        <v>1</v>
      </c>
      <c r="I312">
        <v>0.18</v>
      </c>
      <c r="J312">
        <v>0</v>
      </c>
      <c r="K312">
        <v>0.28789999999999999</v>
      </c>
      <c r="L312">
        <v>0.81</v>
      </c>
      <c r="M312">
        <v>0</v>
      </c>
      <c r="N312">
        <v>3</v>
      </c>
      <c r="O312">
        <v>13</v>
      </c>
      <c r="P312">
        <v>16</v>
      </c>
      <c r="Q312" s="17" t="str">
        <f t="shared" si="14"/>
        <v>Weekends</v>
      </c>
      <c r="R312" s="17" t="str">
        <f t="shared" si="12"/>
        <v>Morning</v>
      </c>
      <c r="S312" s="9" t="str">
        <f t="shared" si="13"/>
        <v>Clear</v>
      </c>
    </row>
    <row r="313" spans="1:19" x14ac:dyDescent="0.25">
      <c r="A313">
        <v>312</v>
      </c>
      <c r="B313" s="19">
        <v>40557</v>
      </c>
      <c r="C313">
        <v>1</v>
      </c>
      <c r="D313">
        <v>1</v>
      </c>
      <c r="E313">
        <v>11</v>
      </c>
      <c r="F313" t="b">
        <v>0</v>
      </c>
      <c r="G313">
        <v>5</v>
      </c>
      <c r="H313">
        <v>1</v>
      </c>
      <c r="I313">
        <v>0.18</v>
      </c>
      <c r="J313">
        <v>0</v>
      </c>
      <c r="K313">
        <v>0.28789999999999999</v>
      </c>
      <c r="L313">
        <v>0.81</v>
      </c>
      <c r="M313">
        <v>0</v>
      </c>
      <c r="N313">
        <v>3</v>
      </c>
      <c r="O313">
        <v>13</v>
      </c>
      <c r="P313">
        <v>16</v>
      </c>
      <c r="Q313" s="17" t="str">
        <f t="shared" si="14"/>
        <v>Weekends</v>
      </c>
      <c r="R313" s="17" t="str">
        <f t="shared" si="12"/>
        <v>Morning</v>
      </c>
      <c r="S313" s="9" t="str">
        <f t="shared" si="13"/>
        <v>Clear</v>
      </c>
    </row>
    <row r="314" spans="1:19" x14ac:dyDescent="0.25">
      <c r="A314">
        <v>313</v>
      </c>
      <c r="B314" s="19">
        <v>40557</v>
      </c>
      <c r="C314">
        <v>1</v>
      </c>
      <c r="D314">
        <v>1</v>
      </c>
      <c r="E314">
        <v>12</v>
      </c>
      <c r="F314" t="b">
        <v>0</v>
      </c>
      <c r="G314">
        <v>5</v>
      </c>
      <c r="H314">
        <v>1</v>
      </c>
      <c r="I314">
        <v>0.2</v>
      </c>
      <c r="J314">
        <v>0</v>
      </c>
      <c r="K314">
        <v>0.28789999999999999</v>
      </c>
      <c r="L314">
        <v>0.81</v>
      </c>
      <c r="M314">
        <v>0</v>
      </c>
      <c r="N314">
        <v>3</v>
      </c>
      <c r="O314">
        <v>13</v>
      </c>
      <c r="P314">
        <v>16</v>
      </c>
      <c r="Q314" s="17" t="str">
        <f t="shared" si="14"/>
        <v>Weekends</v>
      </c>
      <c r="R314" s="17" t="str">
        <f t="shared" si="12"/>
        <v>Afternoon</v>
      </c>
      <c r="S314" s="9" t="str">
        <f t="shared" si="13"/>
        <v>Clear</v>
      </c>
    </row>
    <row r="315" spans="1:19" x14ac:dyDescent="0.25">
      <c r="A315">
        <v>314</v>
      </c>
      <c r="B315" s="19">
        <v>40557</v>
      </c>
      <c r="C315">
        <v>1</v>
      </c>
      <c r="D315">
        <v>1</v>
      </c>
      <c r="E315">
        <v>13</v>
      </c>
      <c r="F315" t="b">
        <v>0</v>
      </c>
      <c r="G315">
        <v>5</v>
      </c>
      <c r="H315">
        <v>1</v>
      </c>
      <c r="I315">
        <v>0.22</v>
      </c>
      <c r="J315">
        <v>0</v>
      </c>
      <c r="K315">
        <v>0.28789999999999999</v>
      </c>
      <c r="L315">
        <v>0.81</v>
      </c>
      <c r="M315">
        <v>0</v>
      </c>
      <c r="N315">
        <v>3</v>
      </c>
      <c r="O315">
        <v>13</v>
      </c>
      <c r="P315">
        <v>16</v>
      </c>
      <c r="Q315" s="17" t="str">
        <f t="shared" si="14"/>
        <v>Weekends</v>
      </c>
      <c r="R315" s="17" t="str">
        <f t="shared" si="12"/>
        <v>Afternoon</v>
      </c>
      <c r="S315" s="9" t="str">
        <f t="shared" si="13"/>
        <v>Clear</v>
      </c>
    </row>
    <row r="316" spans="1:19" x14ac:dyDescent="0.25">
      <c r="A316">
        <v>315</v>
      </c>
      <c r="B316" s="19">
        <v>40557</v>
      </c>
      <c r="C316">
        <v>1</v>
      </c>
      <c r="D316">
        <v>1</v>
      </c>
      <c r="E316">
        <v>14</v>
      </c>
      <c r="F316" t="b">
        <v>0</v>
      </c>
      <c r="G316">
        <v>5</v>
      </c>
      <c r="H316">
        <v>1</v>
      </c>
      <c r="I316">
        <v>0.22</v>
      </c>
      <c r="J316">
        <v>0</v>
      </c>
      <c r="K316">
        <v>0.28789999999999999</v>
      </c>
      <c r="L316">
        <v>0.81</v>
      </c>
      <c r="M316">
        <v>0</v>
      </c>
      <c r="N316">
        <v>3</v>
      </c>
      <c r="O316">
        <v>13</v>
      </c>
      <c r="P316">
        <v>16</v>
      </c>
      <c r="Q316" s="17" t="str">
        <f t="shared" si="14"/>
        <v>Weekends</v>
      </c>
      <c r="R316" s="17" t="str">
        <f t="shared" si="12"/>
        <v>Afternoon</v>
      </c>
      <c r="S316" s="9" t="str">
        <f t="shared" si="13"/>
        <v>Clear</v>
      </c>
    </row>
    <row r="317" spans="1:19" x14ac:dyDescent="0.25">
      <c r="A317">
        <v>316</v>
      </c>
      <c r="B317" s="19">
        <v>40557</v>
      </c>
      <c r="C317">
        <v>1</v>
      </c>
      <c r="D317">
        <v>1</v>
      </c>
      <c r="E317">
        <v>15</v>
      </c>
      <c r="F317" t="b">
        <v>0</v>
      </c>
      <c r="G317">
        <v>5</v>
      </c>
      <c r="H317">
        <v>1</v>
      </c>
      <c r="I317">
        <v>0.24</v>
      </c>
      <c r="J317">
        <v>0</v>
      </c>
      <c r="K317">
        <v>0.28789999999999999</v>
      </c>
      <c r="L317">
        <v>0.81</v>
      </c>
      <c r="M317">
        <v>0</v>
      </c>
      <c r="N317">
        <v>3</v>
      </c>
      <c r="O317">
        <v>13</v>
      </c>
      <c r="P317">
        <v>16</v>
      </c>
      <c r="Q317" s="17" t="str">
        <f t="shared" si="14"/>
        <v>Weekends</v>
      </c>
      <c r="R317" s="17" t="str">
        <f t="shared" si="12"/>
        <v>Afternoon</v>
      </c>
      <c r="S317" s="9" t="str">
        <f t="shared" si="13"/>
        <v>Clear</v>
      </c>
    </row>
    <row r="318" spans="1:19" x14ac:dyDescent="0.25">
      <c r="A318">
        <v>317</v>
      </c>
      <c r="B318" s="19">
        <v>40557</v>
      </c>
      <c r="C318">
        <v>1</v>
      </c>
      <c r="D318">
        <v>1</v>
      </c>
      <c r="E318">
        <v>16</v>
      </c>
      <c r="F318" t="b">
        <v>0</v>
      </c>
      <c r="G318">
        <v>5</v>
      </c>
      <c r="H318">
        <v>1</v>
      </c>
      <c r="I318">
        <v>0.22</v>
      </c>
      <c r="J318">
        <v>0</v>
      </c>
      <c r="K318">
        <v>0.28789999999999999</v>
      </c>
      <c r="L318">
        <v>0.81</v>
      </c>
      <c r="M318">
        <v>0</v>
      </c>
      <c r="N318">
        <v>3</v>
      </c>
      <c r="O318">
        <v>13</v>
      </c>
      <c r="P318">
        <v>16</v>
      </c>
      <c r="Q318" s="17" t="str">
        <f t="shared" si="14"/>
        <v>Weekends</v>
      </c>
      <c r="R318" s="17" t="str">
        <f t="shared" si="12"/>
        <v>Evening</v>
      </c>
      <c r="S318" s="9" t="str">
        <f t="shared" si="13"/>
        <v>Clear</v>
      </c>
    </row>
    <row r="319" spans="1:19" x14ac:dyDescent="0.25">
      <c r="A319">
        <v>318</v>
      </c>
      <c r="B319" s="19">
        <v>40557</v>
      </c>
      <c r="C319">
        <v>1</v>
      </c>
      <c r="D319">
        <v>1</v>
      </c>
      <c r="E319">
        <v>17</v>
      </c>
      <c r="F319" t="b">
        <v>0</v>
      </c>
      <c r="G319">
        <v>5</v>
      </c>
      <c r="H319">
        <v>1</v>
      </c>
      <c r="I319">
        <v>0.22</v>
      </c>
      <c r="J319">
        <v>0</v>
      </c>
      <c r="K319">
        <v>0.28789999999999999</v>
      </c>
      <c r="L319">
        <v>0.81</v>
      </c>
      <c r="M319">
        <v>0</v>
      </c>
      <c r="N319">
        <v>3</v>
      </c>
      <c r="O319">
        <v>13</v>
      </c>
      <c r="P319">
        <v>16</v>
      </c>
      <c r="Q319" s="17" t="str">
        <f t="shared" si="14"/>
        <v>Weekends</v>
      </c>
      <c r="R319" s="17" t="str">
        <f t="shared" si="12"/>
        <v>Evening</v>
      </c>
      <c r="S319" s="9" t="str">
        <f t="shared" si="13"/>
        <v>Clear</v>
      </c>
    </row>
    <row r="320" spans="1:19" x14ac:dyDescent="0.25">
      <c r="A320">
        <v>319</v>
      </c>
      <c r="B320" s="19">
        <v>40557</v>
      </c>
      <c r="C320">
        <v>1</v>
      </c>
      <c r="D320">
        <v>1</v>
      </c>
      <c r="E320">
        <v>18</v>
      </c>
      <c r="F320" t="b">
        <v>0</v>
      </c>
      <c r="G320">
        <v>5</v>
      </c>
      <c r="H320">
        <v>1</v>
      </c>
      <c r="I320">
        <v>0.2</v>
      </c>
      <c r="J320">
        <v>0</v>
      </c>
      <c r="K320">
        <v>0.28789999999999999</v>
      </c>
      <c r="L320">
        <v>0.81</v>
      </c>
      <c r="M320">
        <v>0</v>
      </c>
      <c r="N320">
        <v>3</v>
      </c>
      <c r="O320">
        <v>13</v>
      </c>
      <c r="P320">
        <v>16</v>
      </c>
      <c r="Q320" s="17" t="str">
        <f t="shared" si="14"/>
        <v>Weekends</v>
      </c>
      <c r="R320" s="17" t="str">
        <f t="shared" si="12"/>
        <v>Evening</v>
      </c>
      <c r="S320" s="9" t="str">
        <f t="shared" si="13"/>
        <v>Clear</v>
      </c>
    </row>
    <row r="321" spans="1:19" x14ac:dyDescent="0.25">
      <c r="A321">
        <v>320</v>
      </c>
      <c r="B321" s="19">
        <v>40557</v>
      </c>
      <c r="C321">
        <v>1</v>
      </c>
      <c r="D321">
        <v>1</v>
      </c>
      <c r="E321">
        <v>19</v>
      </c>
      <c r="F321" t="b">
        <v>0</v>
      </c>
      <c r="G321">
        <v>5</v>
      </c>
      <c r="H321">
        <v>1</v>
      </c>
      <c r="I321">
        <v>0.16</v>
      </c>
      <c r="J321">
        <v>0</v>
      </c>
      <c r="K321">
        <v>0.28789999999999999</v>
      </c>
      <c r="L321">
        <v>0.81</v>
      </c>
      <c r="M321">
        <v>0</v>
      </c>
      <c r="N321">
        <v>3</v>
      </c>
      <c r="O321">
        <v>13</v>
      </c>
      <c r="P321">
        <v>16</v>
      </c>
      <c r="Q321" s="17" t="str">
        <f t="shared" si="14"/>
        <v>Weekends</v>
      </c>
      <c r="R321" s="17" t="str">
        <f t="shared" si="12"/>
        <v>Evening</v>
      </c>
      <c r="S321" s="9" t="str">
        <f t="shared" si="13"/>
        <v>Clear</v>
      </c>
    </row>
    <row r="322" spans="1:19" x14ac:dyDescent="0.25">
      <c r="A322">
        <v>321</v>
      </c>
      <c r="B322" s="19">
        <v>40557</v>
      </c>
      <c r="C322">
        <v>1</v>
      </c>
      <c r="D322">
        <v>1</v>
      </c>
      <c r="E322">
        <v>20</v>
      </c>
      <c r="F322" t="b">
        <v>0</v>
      </c>
      <c r="G322">
        <v>5</v>
      </c>
      <c r="H322">
        <v>1</v>
      </c>
      <c r="I322">
        <v>0.18</v>
      </c>
      <c r="J322">
        <v>0</v>
      </c>
      <c r="K322">
        <v>0.28789999999999999</v>
      </c>
      <c r="L322">
        <v>0.81</v>
      </c>
      <c r="M322">
        <v>0</v>
      </c>
      <c r="N322">
        <v>3</v>
      </c>
      <c r="O322">
        <v>13</v>
      </c>
      <c r="P322">
        <v>16</v>
      </c>
      <c r="Q322" s="17" t="str">
        <f t="shared" si="14"/>
        <v>Weekends</v>
      </c>
      <c r="R322" s="17" t="str">
        <f t="shared" ref="R322:R385" si="15">IF(E322&lt;12,"Morning",IF(E322&lt;16,"Afternoon",IF(E322&lt;21,"Evening","Night")))</f>
        <v>Evening</v>
      </c>
      <c r="S322" s="9" t="str">
        <f t="shared" ref="S322:S385" si="16">IF(H322=1,"Clear",IF(H322=2,"Mist",IF(H322=3,"Light Snow/Rain","Heavy Rain/Snow")))</f>
        <v>Clear</v>
      </c>
    </row>
    <row r="323" spans="1:19" x14ac:dyDescent="0.25">
      <c r="A323">
        <v>322</v>
      </c>
      <c r="B323" s="19">
        <v>40557</v>
      </c>
      <c r="C323">
        <v>1</v>
      </c>
      <c r="D323">
        <v>1</v>
      </c>
      <c r="E323">
        <v>21</v>
      </c>
      <c r="F323" t="b">
        <v>0</v>
      </c>
      <c r="G323">
        <v>5</v>
      </c>
      <c r="H323">
        <v>1</v>
      </c>
      <c r="I323">
        <v>0.16</v>
      </c>
      <c r="J323">
        <v>0</v>
      </c>
      <c r="K323">
        <v>0.28789999999999999</v>
      </c>
      <c r="L323">
        <v>0.81</v>
      </c>
      <c r="M323">
        <v>0</v>
      </c>
      <c r="N323">
        <v>3</v>
      </c>
      <c r="O323">
        <v>13</v>
      </c>
      <c r="P323">
        <v>16</v>
      </c>
      <c r="Q323" s="17" t="str">
        <f t="shared" ref="Q323:Q386" si="17">IF(G323&gt;=5,"Weekends","Weekdays")</f>
        <v>Weekends</v>
      </c>
      <c r="R323" s="17" t="str">
        <f t="shared" si="15"/>
        <v>Night</v>
      </c>
      <c r="S323" s="9" t="str">
        <f t="shared" si="16"/>
        <v>Clear</v>
      </c>
    </row>
    <row r="324" spans="1:19" x14ac:dyDescent="0.25">
      <c r="A324">
        <v>323</v>
      </c>
      <c r="B324" s="19">
        <v>40557</v>
      </c>
      <c r="C324">
        <v>1</v>
      </c>
      <c r="D324">
        <v>1</v>
      </c>
      <c r="E324">
        <v>22</v>
      </c>
      <c r="F324" t="b">
        <v>0</v>
      </c>
      <c r="G324">
        <v>5</v>
      </c>
      <c r="H324">
        <v>2</v>
      </c>
      <c r="I324">
        <v>0.16</v>
      </c>
      <c r="J324">
        <v>0</v>
      </c>
      <c r="K324">
        <v>0.28789999999999999</v>
      </c>
      <c r="L324">
        <v>0.81</v>
      </c>
      <c r="M324">
        <v>0</v>
      </c>
      <c r="N324">
        <v>3</v>
      </c>
      <c r="O324">
        <v>13</v>
      </c>
      <c r="P324">
        <v>16</v>
      </c>
      <c r="Q324" s="17" t="str">
        <f t="shared" si="17"/>
        <v>Weekends</v>
      </c>
      <c r="R324" s="17" t="str">
        <f t="shared" si="15"/>
        <v>Night</v>
      </c>
      <c r="S324" s="9" t="str">
        <f t="shared" si="16"/>
        <v>Mist</v>
      </c>
    </row>
    <row r="325" spans="1:19" x14ac:dyDescent="0.25">
      <c r="A325">
        <v>324</v>
      </c>
      <c r="B325" s="19">
        <v>40557</v>
      </c>
      <c r="C325">
        <v>1</v>
      </c>
      <c r="D325">
        <v>1</v>
      </c>
      <c r="E325">
        <v>23</v>
      </c>
      <c r="F325" t="b">
        <v>0</v>
      </c>
      <c r="G325">
        <v>5</v>
      </c>
      <c r="H325">
        <v>2</v>
      </c>
      <c r="I325">
        <v>0.18</v>
      </c>
      <c r="J325">
        <v>0</v>
      </c>
      <c r="K325">
        <v>0.28789999999999999</v>
      </c>
      <c r="L325">
        <v>0.81</v>
      </c>
      <c r="M325">
        <v>0</v>
      </c>
      <c r="N325">
        <v>3</v>
      </c>
      <c r="O325">
        <v>13</v>
      </c>
      <c r="P325">
        <v>16</v>
      </c>
      <c r="Q325" s="17" t="str">
        <f t="shared" si="17"/>
        <v>Weekends</v>
      </c>
      <c r="R325" s="17" t="str">
        <f t="shared" si="15"/>
        <v>Night</v>
      </c>
      <c r="S325" s="9" t="str">
        <f t="shared" si="16"/>
        <v>Mist</v>
      </c>
    </row>
    <row r="326" spans="1:19" x14ac:dyDescent="0.25">
      <c r="A326">
        <v>325</v>
      </c>
      <c r="B326" s="19">
        <v>40558</v>
      </c>
      <c r="C326">
        <v>1</v>
      </c>
      <c r="D326">
        <v>1</v>
      </c>
      <c r="E326">
        <v>0</v>
      </c>
      <c r="F326" t="b">
        <v>0</v>
      </c>
      <c r="G326">
        <v>6</v>
      </c>
      <c r="H326">
        <v>1</v>
      </c>
      <c r="I326">
        <v>0.18</v>
      </c>
      <c r="J326">
        <v>0</v>
      </c>
      <c r="K326">
        <v>0.28789999999999999</v>
      </c>
      <c r="L326">
        <v>0.81</v>
      </c>
      <c r="M326">
        <v>0</v>
      </c>
      <c r="N326">
        <v>3</v>
      </c>
      <c r="O326">
        <v>13</v>
      </c>
      <c r="P326">
        <v>16</v>
      </c>
      <c r="Q326" s="17" t="str">
        <f t="shared" si="17"/>
        <v>Weekends</v>
      </c>
      <c r="R326" s="17" t="str">
        <f t="shared" si="15"/>
        <v>Morning</v>
      </c>
      <c r="S326" s="9" t="str">
        <f t="shared" si="16"/>
        <v>Clear</v>
      </c>
    </row>
    <row r="327" spans="1:19" x14ac:dyDescent="0.25">
      <c r="A327">
        <v>326</v>
      </c>
      <c r="B327" s="19">
        <v>40558</v>
      </c>
      <c r="C327">
        <v>1</v>
      </c>
      <c r="D327">
        <v>1</v>
      </c>
      <c r="E327">
        <v>1</v>
      </c>
      <c r="F327" t="b">
        <v>0</v>
      </c>
      <c r="G327">
        <v>6</v>
      </c>
      <c r="H327">
        <v>2</v>
      </c>
      <c r="I327">
        <v>0.16</v>
      </c>
      <c r="J327">
        <v>0</v>
      </c>
      <c r="K327">
        <v>0.28789999999999999</v>
      </c>
      <c r="L327">
        <v>0.81</v>
      </c>
      <c r="M327">
        <v>0</v>
      </c>
      <c r="N327">
        <v>3</v>
      </c>
      <c r="O327">
        <v>13</v>
      </c>
      <c r="P327">
        <v>16</v>
      </c>
      <c r="Q327" s="17" t="str">
        <f t="shared" si="17"/>
        <v>Weekends</v>
      </c>
      <c r="R327" s="17" t="str">
        <f t="shared" si="15"/>
        <v>Morning</v>
      </c>
      <c r="S327" s="9" t="str">
        <f t="shared" si="16"/>
        <v>Mist</v>
      </c>
    </row>
    <row r="328" spans="1:19" x14ac:dyDescent="0.25">
      <c r="A328">
        <v>327</v>
      </c>
      <c r="B328" s="19">
        <v>40558</v>
      </c>
      <c r="C328">
        <v>1</v>
      </c>
      <c r="D328">
        <v>1</v>
      </c>
      <c r="E328">
        <v>2</v>
      </c>
      <c r="F328" t="b">
        <v>0</v>
      </c>
      <c r="G328">
        <v>6</v>
      </c>
      <c r="H328">
        <v>2</v>
      </c>
      <c r="I328">
        <v>0.16</v>
      </c>
      <c r="J328">
        <v>0</v>
      </c>
      <c r="K328">
        <v>0.28789999999999999</v>
      </c>
      <c r="L328">
        <v>0.81</v>
      </c>
      <c r="M328">
        <v>0</v>
      </c>
      <c r="N328">
        <v>3</v>
      </c>
      <c r="O328">
        <v>13</v>
      </c>
      <c r="P328">
        <v>16</v>
      </c>
      <c r="Q328" s="17" t="str">
        <f t="shared" si="17"/>
        <v>Weekends</v>
      </c>
      <c r="R328" s="17" t="str">
        <f t="shared" si="15"/>
        <v>Morning</v>
      </c>
      <c r="S328" s="9" t="str">
        <f t="shared" si="16"/>
        <v>Mist</v>
      </c>
    </row>
    <row r="329" spans="1:19" x14ac:dyDescent="0.25">
      <c r="A329">
        <v>328</v>
      </c>
      <c r="B329" s="19">
        <v>40558</v>
      </c>
      <c r="C329">
        <v>1</v>
      </c>
      <c r="D329">
        <v>1</v>
      </c>
      <c r="E329">
        <v>3</v>
      </c>
      <c r="F329" t="b">
        <v>0</v>
      </c>
      <c r="G329">
        <v>6</v>
      </c>
      <c r="H329">
        <v>2</v>
      </c>
      <c r="I329">
        <v>0.16</v>
      </c>
      <c r="J329">
        <v>0</v>
      </c>
      <c r="K329">
        <v>0.28789999999999999</v>
      </c>
      <c r="L329">
        <v>0.81</v>
      </c>
      <c r="M329">
        <v>0</v>
      </c>
      <c r="N329">
        <v>3</v>
      </c>
      <c r="O329">
        <v>13</v>
      </c>
      <c r="P329">
        <v>16</v>
      </c>
      <c r="Q329" s="17" t="str">
        <f t="shared" si="17"/>
        <v>Weekends</v>
      </c>
      <c r="R329" s="17" t="str">
        <f t="shared" si="15"/>
        <v>Morning</v>
      </c>
      <c r="S329" s="9" t="str">
        <f t="shared" si="16"/>
        <v>Mist</v>
      </c>
    </row>
    <row r="330" spans="1:19" x14ac:dyDescent="0.25">
      <c r="A330">
        <v>329</v>
      </c>
      <c r="B330" s="19">
        <v>40558</v>
      </c>
      <c r="C330">
        <v>1</v>
      </c>
      <c r="D330">
        <v>1</v>
      </c>
      <c r="E330">
        <v>4</v>
      </c>
      <c r="F330" t="b">
        <v>0</v>
      </c>
      <c r="G330">
        <v>6</v>
      </c>
      <c r="H330">
        <v>2</v>
      </c>
      <c r="I330">
        <v>0.16</v>
      </c>
      <c r="J330">
        <v>0</v>
      </c>
      <c r="K330">
        <v>0.28789999999999999</v>
      </c>
      <c r="L330">
        <v>0.81</v>
      </c>
      <c r="M330">
        <v>0</v>
      </c>
      <c r="N330">
        <v>3</v>
      </c>
      <c r="O330">
        <v>13</v>
      </c>
      <c r="P330">
        <v>16</v>
      </c>
      <c r="Q330" s="17" t="str">
        <f t="shared" si="17"/>
        <v>Weekends</v>
      </c>
      <c r="R330" s="17" t="str">
        <f t="shared" si="15"/>
        <v>Morning</v>
      </c>
      <c r="S330" s="9" t="str">
        <f t="shared" si="16"/>
        <v>Mist</v>
      </c>
    </row>
    <row r="331" spans="1:19" x14ac:dyDescent="0.25">
      <c r="A331">
        <v>330</v>
      </c>
      <c r="B331" s="19">
        <v>40558</v>
      </c>
      <c r="C331">
        <v>1</v>
      </c>
      <c r="D331">
        <v>1</v>
      </c>
      <c r="E331">
        <v>5</v>
      </c>
      <c r="F331" t="b">
        <v>0</v>
      </c>
      <c r="G331">
        <v>6</v>
      </c>
      <c r="H331">
        <v>1</v>
      </c>
      <c r="I331">
        <v>0.16</v>
      </c>
      <c r="J331">
        <v>0</v>
      </c>
      <c r="K331">
        <v>0.28789999999999999</v>
      </c>
      <c r="L331">
        <v>0.81</v>
      </c>
      <c r="M331">
        <v>0</v>
      </c>
      <c r="N331">
        <v>3</v>
      </c>
      <c r="O331">
        <v>13</v>
      </c>
      <c r="P331">
        <v>16</v>
      </c>
      <c r="Q331" s="17" t="str">
        <f t="shared" si="17"/>
        <v>Weekends</v>
      </c>
      <c r="R331" s="17" t="str">
        <f t="shared" si="15"/>
        <v>Morning</v>
      </c>
      <c r="S331" s="9" t="str">
        <f t="shared" si="16"/>
        <v>Clear</v>
      </c>
    </row>
    <row r="332" spans="1:19" x14ac:dyDescent="0.25">
      <c r="A332">
        <v>331</v>
      </c>
      <c r="B332" s="19">
        <v>40558</v>
      </c>
      <c r="C332">
        <v>1</v>
      </c>
      <c r="D332">
        <v>1</v>
      </c>
      <c r="E332">
        <v>6</v>
      </c>
      <c r="F332" t="b">
        <v>0</v>
      </c>
      <c r="G332">
        <v>6</v>
      </c>
      <c r="H332">
        <v>1</v>
      </c>
      <c r="I332">
        <v>0.14000000000000001</v>
      </c>
      <c r="J332">
        <v>0</v>
      </c>
      <c r="K332">
        <v>0.28789999999999999</v>
      </c>
      <c r="L332">
        <v>0.81</v>
      </c>
      <c r="M332">
        <v>0</v>
      </c>
      <c r="N332">
        <v>3</v>
      </c>
      <c r="O332">
        <v>13</v>
      </c>
      <c r="P332">
        <v>16</v>
      </c>
      <c r="Q332" s="17" t="str">
        <f t="shared" si="17"/>
        <v>Weekends</v>
      </c>
      <c r="R332" s="17" t="str">
        <f t="shared" si="15"/>
        <v>Morning</v>
      </c>
      <c r="S332" s="9" t="str">
        <f t="shared" si="16"/>
        <v>Clear</v>
      </c>
    </row>
    <row r="333" spans="1:19" x14ac:dyDescent="0.25">
      <c r="A333">
        <v>332</v>
      </c>
      <c r="B333" s="19">
        <v>40558</v>
      </c>
      <c r="C333">
        <v>1</v>
      </c>
      <c r="D333">
        <v>1</v>
      </c>
      <c r="E333">
        <v>7</v>
      </c>
      <c r="F333" t="b">
        <v>0</v>
      </c>
      <c r="G333">
        <v>6</v>
      </c>
      <c r="H333">
        <v>1</v>
      </c>
      <c r="I333">
        <v>0.14000000000000001</v>
      </c>
      <c r="J333">
        <v>0</v>
      </c>
      <c r="K333">
        <v>0.28789999999999999</v>
      </c>
      <c r="L333">
        <v>0.81</v>
      </c>
      <c r="M333">
        <v>0</v>
      </c>
      <c r="N333">
        <v>3</v>
      </c>
      <c r="O333">
        <v>13</v>
      </c>
      <c r="P333">
        <v>16</v>
      </c>
      <c r="Q333" s="17" t="str">
        <f t="shared" si="17"/>
        <v>Weekends</v>
      </c>
      <c r="R333" s="17" t="str">
        <f t="shared" si="15"/>
        <v>Morning</v>
      </c>
      <c r="S333" s="9" t="str">
        <f t="shared" si="16"/>
        <v>Clear</v>
      </c>
    </row>
    <row r="334" spans="1:19" x14ac:dyDescent="0.25">
      <c r="A334">
        <v>333</v>
      </c>
      <c r="B334" s="19">
        <v>40558</v>
      </c>
      <c r="C334">
        <v>1</v>
      </c>
      <c r="D334">
        <v>1</v>
      </c>
      <c r="E334">
        <v>8</v>
      </c>
      <c r="F334" t="b">
        <v>0</v>
      </c>
      <c r="G334">
        <v>6</v>
      </c>
      <c r="H334">
        <v>1</v>
      </c>
      <c r="I334">
        <v>0.14000000000000001</v>
      </c>
      <c r="J334">
        <v>0</v>
      </c>
      <c r="K334">
        <v>0.28789999999999999</v>
      </c>
      <c r="L334">
        <v>0.81</v>
      </c>
      <c r="M334">
        <v>0</v>
      </c>
      <c r="N334">
        <v>3</v>
      </c>
      <c r="O334">
        <v>13</v>
      </c>
      <c r="P334">
        <v>16</v>
      </c>
      <c r="Q334" s="17" t="str">
        <f t="shared" si="17"/>
        <v>Weekends</v>
      </c>
      <c r="R334" s="17" t="str">
        <f t="shared" si="15"/>
        <v>Morning</v>
      </c>
      <c r="S334" s="9" t="str">
        <f t="shared" si="16"/>
        <v>Clear</v>
      </c>
    </row>
    <row r="335" spans="1:19" x14ac:dyDescent="0.25">
      <c r="A335">
        <v>334</v>
      </c>
      <c r="B335" s="19">
        <v>40558</v>
      </c>
      <c r="C335">
        <v>1</v>
      </c>
      <c r="D335">
        <v>1</v>
      </c>
      <c r="E335">
        <v>9</v>
      </c>
      <c r="F335" t="b">
        <v>0</v>
      </c>
      <c r="G335">
        <v>6</v>
      </c>
      <c r="H335">
        <v>1</v>
      </c>
      <c r="I335">
        <v>0.16</v>
      </c>
      <c r="J335">
        <v>0</v>
      </c>
      <c r="K335">
        <v>0.28789999999999999</v>
      </c>
      <c r="L335">
        <v>0.81</v>
      </c>
      <c r="M335">
        <v>0</v>
      </c>
      <c r="N335">
        <v>3</v>
      </c>
      <c r="O335">
        <v>13</v>
      </c>
      <c r="P335">
        <v>16</v>
      </c>
      <c r="Q335" s="17" t="str">
        <f t="shared" si="17"/>
        <v>Weekends</v>
      </c>
      <c r="R335" s="17" t="str">
        <f t="shared" si="15"/>
        <v>Morning</v>
      </c>
      <c r="S335" s="9" t="str">
        <f t="shared" si="16"/>
        <v>Clear</v>
      </c>
    </row>
    <row r="336" spans="1:19" x14ac:dyDescent="0.25">
      <c r="A336">
        <v>335</v>
      </c>
      <c r="B336" s="19">
        <v>40558</v>
      </c>
      <c r="C336">
        <v>1</v>
      </c>
      <c r="D336">
        <v>1</v>
      </c>
      <c r="E336">
        <v>10</v>
      </c>
      <c r="F336" t="b">
        <v>0</v>
      </c>
      <c r="G336">
        <v>6</v>
      </c>
      <c r="H336">
        <v>1</v>
      </c>
      <c r="I336">
        <v>0.18</v>
      </c>
      <c r="J336">
        <v>0</v>
      </c>
      <c r="K336">
        <v>0.28789999999999999</v>
      </c>
      <c r="L336">
        <v>0.81</v>
      </c>
      <c r="M336">
        <v>0</v>
      </c>
      <c r="N336">
        <v>3</v>
      </c>
      <c r="O336">
        <v>13</v>
      </c>
      <c r="P336">
        <v>16</v>
      </c>
      <c r="Q336" s="17" t="str">
        <f t="shared" si="17"/>
        <v>Weekends</v>
      </c>
      <c r="R336" s="17" t="str">
        <f t="shared" si="15"/>
        <v>Morning</v>
      </c>
      <c r="S336" s="9" t="str">
        <f t="shared" si="16"/>
        <v>Clear</v>
      </c>
    </row>
    <row r="337" spans="1:19" x14ac:dyDescent="0.25">
      <c r="A337">
        <v>336</v>
      </c>
      <c r="B337" s="19">
        <v>40558</v>
      </c>
      <c r="C337">
        <v>1</v>
      </c>
      <c r="D337">
        <v>1</v>
      </c>
      <c r="E337">
        <v>11</v>
      </c>
      <c r="F337" t="b">
        <v>0</v>
      </c>
      <c r="G337">
        <v>6</v>
      </c>
      <c r="H337">
        <v>1</v>
      </c>
      <c r="I337">
        <v>0.2</v>
      </c>
      <c r="J337">
        <v>0</v>
      </c>
      <c r="K337">
        <v>0.28789999999999999</v>
      </c>
      <c r="L337">
        <v>0.81</v>
      </c>
      <c r="M337">
        <v>0</v>
      </c>
      <c r="N337">
        <v>3</v>
      </c>
      <c r="O337">
        <v>13</v>
      </c>
      <c r="P337">
        <v>16</v>
      </c>
      <c r="Q337" s="17" t="str">
        <f t="shared" si="17"/>
        <v>Weekends</v>
      </c>
      <c r="R337" s="17" t="str">
        <f t="shared" si="15"/>
        <v>Morning</v>
      </c>
      <c r="S337" s="9" t="str">
        <f t="shared" si="16"/>
        <v>Clear</v>
      </c>
    </row>
    <row r="338" spans="1:19" x14ac:dyDescent="0.25">
      <c r="A338">
        <v>337</v>
      </c>
      <c r="B338" s="19">
        <v>40558</v>
      </c>
      <c r="C338">
        <v>1</v>
      </c>
      <c r="D338">
        <v>1</v>
      </c>
      <c r="E338">
        <v>12</v>
      </c>
      <c r="F338" t="b">
        <v>0</v>
      </c>
      <c r="G338">
        <v>6</v>
      </c>
      <c r="H338">
        <v>1</v>
      </c>
      <c r="I338">
        <v>0.24</v>
      </c>
      <c r="J338">
        <v>0</v>
      </c>
      <c r="K338">
        <v>0.28789999999999999</v>
      </c>
      <c r="L338">
        <v>0.81</v>
      </c>
      <c r="M338">
        <v>0</v>
      </c>
      <c r="N338">
        <v>3</v>
      </c>
      <c r="O338">
        <v>13</v>
      </c>
      <c r="P338">
        <v>16</v>
      </c>
      <c r="Q338" s="17" t="str">
        <f t="shared" si="17"/>
        <v>Weekends</v>
      </c>
      <c r="R338" s="17" t="str">
        <f t="shared" si="15"/>
        <v>Afternoon</v>
      </c>
      <c r="S338" s="9" t="str">
        <f t="shared" si="16"/>
        <v>Clear</v>
      </c>
    </row>
    <row r="339" spans="1:19" x14ac:dyDescent="0.25">
      <c r="A339">
        <v>338</v>
      </c>
      <c r="B339" s="19">
        <v>40558</v>
      </c>
      <c r="C339">
        <v>1</v>
      </c>
      <c r="D339">
        <v>1</v>
      </c>
      <c r="E339">
        <v>13</v>
      </c>
      <c r="F339" t="b">
        <v>0</v>
      </c>
      <c r="G339">
        <v>6</v>
      </c>
      <c r="H339">
        <v>1</v>
      </c>
      <c r="I339">
        <v>0.28000000000000003</v>
      </c>
      <c r="J339">
        <v>0</v>
      </c>
      <c r="K339">
        <v>0.28789999999999999</v>
      </c>
      <c r="L339">
        <v>0.81</v>
      </c>
      <c r="M339">
        <v>0</v>
      </c>
      <c r="N339">
        <v>3</v>
      </c>
      <c r="O339">
        <v>13</v>
      </c>
      <c r="P339">
        <v>16</v>
      </c>
      <c r="Q339" s="17" t="str">
        <f t="shared" si="17"/>
        <v>Weekends</v>
      </c>
      <c r="R339" s="17" t="str">
        <f t="shared" si="15"/>
        <v>Afternoon</v>
      </c>
      <c r="S339" s="9" t="str">
        <f t="shared" si="16"/>
        <v>Clear</v>
      </c>
    </row>
    <row r="340" spans="1:19" x14ac:dyDescent="0.25">
      <c r="A340">
        <v>339</v>
      </c>
      <c r="B340" s="19">
        <v>40558</v>
      </c>
      <c r="C340">
        <v>1</v>
      </c>
      <c r="D340">
        <v>1</v>
      </c>
      <c r="E340">
        <v>14</v>
      </c>
      <c r="F340" t="b">
        <v>0</v>
      </c>
      <c r="G340">
        <v>6</v>
      </c>
      <c r="H340">
        <v>1</v>
      </c>
      <c r="I340">
        <v>0.3</v>
      </c>
      <c r="J340">
        <v>0</v>
      </c>
      <c r="K340">
        <v>0.28789999999999999</v>
      </c>
      <c r="L340">
        <v>0.81</v>
      </c>
      <c r="M340">
        <v>0</v>
      </c>
      <c r="N340">
        <v>3</v>
      </c>
      <c r="O340">
        <v>13</v>
      </c>
      <c r="P340">
        <v>16</v>
      </c>
      <c r="Q340" s="17" t="str">
        <f t="shared" si="17"/>
        <v>Weekends</v>
      </c>
      <c r="R340" s="17" t="str">
        <f t="shared" si="15"/>
        <v>Afternoon</v>
      </c>
      <c r="S340" s="9" t="str">
        <f t="shared" si="16"/>
        <v>Clear</v>
      </c>
    </row>
    <row r="341" spans="1:19" x14ac:dyDescent="0.25">
      <c r="A341">
        <v>340</v>
      </c>
      <c r="B341" s="19">
        <v>40558</v>
      </c>
      <c r="C341">
        <v>1</v>
      </c>
      <c r="D341">
        <v>1</v>
      </c>
      <c r="E341">
        <v>15</v>
      </c>
      <c r="F341" t="b">
        <v>0</v>
      </c>
      <c r="G341">
        <v>6</v>
      </c>
      <c r="H341">
        <v>2</v>
      </c>
      <c r="I341">
        <v>0.32</v>
      </c>
      <c r="J341">
        <v>0</v>
      </c>
      <c r="K341">
        <v>0.28789999999999999</v>
      </c>
      <c r="L341">
        <v>0.81</v>
      </c>
      <c r="M341">
        <v>0</v>
      </c>
      <c r="N341">
        <v>3</v>
      </c>
      <c r="O341">
        <v>13</v>
      </c>
      <c r="P341">
        <v>16</v>
      </c>
      <c r="Q341" s="17" t="str">
        <f t="shared" si="17"/>
        <v>Weekends</v>
      </c>
      <c r="R341" s="17" t="str">
        <f t="shared" si="15"/>
        <v>Afternoon</v>
      </c>
      <c r="S341" s="9" t="str">
        <f t="shared" si="16"/>
        <v>Mist</v>
      </c>
    </row>
    <row r="342" spans="1:19" x14ac:dyDescent="0.25">
      <c r="A342">
        <v>341</v>
      </c>
      <c r="B342" s="19">
        <v>40558</v>
      </c>
      <c r="C342">
        <v>1</v>
      </c>
      <c r="D342">
        <v>1</v>
      </c>
      <c r="E342">
        <v>16</v>
      </c>
      <c r="F342" t="b">
        <v>0</v>
      </c>
      <c r="G342">
        <v>6</v>
      </c>
      <c r="H342">
        <v>2</v>
      </c>
      <c r="I342">
        <v>0.34</v>
      </c>
      <c r="J342">
        <v>0</v>
      </c>
      <c r="K342">
        <v>0.28789999999999999</v>
      </c>
      <c r="L342">
        <v>0.81</v>
      </c>
      <c r="M342">
        <v>0</v>
      </c>
      <c r="N342">
        <v>3</v>
      </c>
      <c r="O342">
        <v>13</v>
      </c>
      <c r="P342">
        <v>16</v>
      </c>
      <c r="Q342" s="17" t="str">
        <f t="shared" si="17"/>
        <v>Weekends</v>
      </c>
      <c r="R342" s="17" t="str">
        <f t="shared" si="15"/>
        <v>Evening</v>
      </c>
      <c r="S342" s="9" t="str">
        <f t="shared" si="16"/>
        <v>Mist</v>
      </c>
    </row>
    <row r="343" spans="1:19" x14ac:dyDescent="0.25">
      <c r="A343">
        <v>342</v>
      </c>
      <c r="B343" s="19">
        <v>40558</v>
      </c>
      <c r="C343">
        <v>1</v>
      </c>
      <c r="D343">
        <v>1</v>
      </c>
      <c r="E343">
        <v>17</v>
      </c>
      <c r="F343" t="b">
        <v>0</v>
      </c>
      <c r="G343">
        <v>6</v>
      </c>
      <c r="H343">
        <v>2</v>
      </c>
      <c r="I343">
        <v>0.32</v>
      </c>
      <c r="J343">
        <v>0</v>
      </c>
      <c r="K343">
        <v>0.28789999999999999</v>
      </c>
      <c r="L343">
        <v>0.81</v>
      </c>
      <c r="M343">
        <v>0</v>
      </c>
      <c r="N343">
        <v>3</v>
      </c>
      <c r="O343">
        <v>13</v>
      </c>
      <c r="P343">
        <v>16</v>
      </c>
      <c r="Q343" s="17" t="str">
        <f t="shared" si="17"/>
        <v>Weekends</v>
      </c>
      <c r="R343" s="17" t="str">
        <f t="shared" si="15"/>
        <v>Evening</v>
      </c>
      <c r="S343" s="9" t="str">
        <f t="shared" si="16"/>
        <v>Mist</v>
      </c>
    </row>
    <row r="344" spans="1:19" x14ac:dyDescent="0.25">
      <c r="A344">
        <v>343</v>
      </c>
      <c r="B344" s="19">
        <v>40558</v>
      </c>
      <c r="C344">
        <v>1</v>
      </c>
      <c r="D344">
        <v>1</v>
      </c>
      <c r="E344">
        <v>18</v>
      </c>
      <c r="F344" t="b">
        <v>0</v>
      </c>
      <c r="G344">
        <v>6</v>
      </c>
      <c r="H344">
        <v>2</v>
      </c>
      <c r="I344">
        <v>0.3</v>
      </c>
      <c r="J344">
        <v>0</v>
      </c>
      <c r="K344">
        <v>0.28789999999999999</v>
      </c>
      <c r="L344">
        <v>0.81</v>
      </c>
      <c r="M344">
        <v>0</v>
      </c>
      <c r="N344">
        <v>3</v>
      </c>
      <c r="O344">
        <v>13</v>
      </c>
      <c r="P344">
        <v>16</v>
      </c>
      <c r="Q344" s="17" t="str">
        <f t="shared" si="17"/>
        <v>Weekends</v>
      </c>
      <c r="R344" s="17" t="str">
        <f t="shared" si="15"/>
        <v>Evening</v>
      </c>
      <c r="S344" s="9" t="str">
        <f t="shared" si="16"/>
        <v>Mist</v>
      </c>
    </row>
    <row r="345" spans="1:19" x14ac:dyDescent="0.25">
      <c r="A345">
        <v>344</v>
      </c>
      <c r="B345" s="19">
        <v>40558</v>
      </c>
      <c r="C345">
        <v>1</v>
      </c>
      <c r="D345">
        <v>1</v>
      </c>
      <c r="E345">
        <v>19</v>
      </c>
      <c r="F345" t="b">
        <v>0</v>
      </c>
      <c r="G345">
        <v>6</v>
      </c>
      <c r="H345">
        <v>2</v>
      </c>
      <c r="I345">
        <v>0.32</v>
      </c>
      <c r="J345">
        <v>0</v>
      </c>
      <c r="K345">
        <v>0.28789999999999999</v>
      </c>
      <c r="L345">
        <v>0.81</v>
      </c>
      <c r="M345">
        <v>0</v>
      </c>
      <c r="N345">
        <v>3</v>
      </c>
      <c r="O345">
        <v>13</v>
      </c>
      <c r="P345">
        <v>16</v>
      </c>
      <c r="Q345" s="17" t="str">
        <f t="shared" si="17"/>
        <v>Weekends</v>
      </c>
      <c r="R345" s="17" t="str">
        <f t="shared" si="15"/>
        <v>Evening</v>
      </c>
      <c r="S345" s="9" t="str">
        <f t="shared" si="16"/>
        <v>Mist</v>
      </c>
    </row>
    <row r="346" spans="1:19" x14ac:dyDescent="0.25">
      <c r="A346">
        <v>345</v>
      </c>
      <c r="B346" s="19">
        <v>40558</v>
      </c>
      <c r="C346">
        <v>1</v>
      </c>
      <c r="D346">
        <v>1</v>
      </c>
      <c r="E346">
        <v>20</v>
      </c>
      <c r="F346" t="b">
        <v>0</v>
      </c>
      <c r="G346">
        <v>6</v>
      </c>
      <c r="H346">
        <v>2</v>
      </c>
      <c r="I346">
        <v>0.32</v>
      </c>
      <c r="J346">
        <v>0</v>
      </c>
      <c r="K346">
        <v>0.28789999999999999</v>
      </c>
      <c r="L346">
        <v>0.81</v>
      </c>
      <c r="M346">
        <v>0</v>
      </c>
      <c r="N346">
        <v>3</v>
      </c>
      <c r="O346">
        <v>13</v>
      </c>
      <c r="P346">
        <v>16</v>
      </c>
      <c r="Q346" s="17" t="str">
        <f t="shared" si="17"/>
        <v>Weekends</v>
      </c>
      <c r="R346" s="17" t="str">
        <f t="shared" si="15"/>
        <v>Evening</v>
      </c>
      <c r="S346" s="9" t="str">
        <f t="shared" si="16"/>
        <v>Mist</v>
      </c>
    </row>
    <row r="347" spans="1:19" x14ac:dyDescent="0.25">
      <c r="A347">
        <v>346</v>
      </c>
      <c r="B347" s="19">
        <v>40558</v>
      </c>
      <c r="C347">
        <v>1</v>
      </c>
      <c r="D347">
        <v>1</v>
      </c>
      <c r="E347">
        <v>21</v>
      </c>
      <c r="F347" t="b">
        <v>0</v>
      </c>
      <c r="G347">
        <v>6</v>
      </c>
      <c r="H347">
        <v>2</v>
      </c>
      <c r="I347">
        <v>0.32</v>
      </c>
      <c r="J347">
        <v>0</v>
      </c>
      <c r="K347">
        <v>0.28789999999999999</v>
      </c>
      <c r="L347">
        <v>0.81</v>
      </c>
      <c r="M347">
        <v>0</v>
      </c>
      <c r="N347">
        <v>3</v>
      </c>
      <c r="O347">
        <v>13</v>
      </c>
      <c r="P347">
        <v>16</v>
      </c>
      <c r="Q347" s="17" t="str">
        <f t="shared" si="17"/>
        <v>Weekends</v>
      </c>
      <c r="R347" s="17" t="str">
        <f t="shared" si="15"/>
        <v>Night</v>
      </c>
      <c r="S347" s="9" t="str">
        <f t="shared" si="16"/>
        <v>Mist</v>
      </c>
    </row>
    <row r="348" spans="1:19" x14ac:dyDescent="0.25">
      <c r="A348">
        <v>347</v>
      </c>
      <c r="B348" s="19">
        <v>40558</v>
      </c>
      <c r="C348">
        <v>1</v>
      </c>
      <c r="D348">
        <v>1</v>
      </c>
      <c r="E348">
        <v>22</v>
      </c>
      <c r="F348" t="b">
        <v>0</v>
      </c>
      <c r="G348">
        <v>6</v>
      </c>
      <c r="H348">
        <v>2</v>
      </c>
      <c r="I348">
        <v>0.3</v>
      </c>
      <c r="J348">
        <v>0</v>
      </c>
      <c r="K348">
        <v>0.28789999999999999</v>
      </c>
      <c r="L348">
        <v>0.81</v>
      </c>
      <c r="M348">
        <v>0</v>
      </c>
      <c r="N348">
        <v>3</v>
      </c>
      <c r="O348">
        <v>13</v>
      </c>
      <c r="P348">
        <v>16</v>
      </c>
      <c r="Q348" s="17" t="str">
        <f t="shared" si="17"/>
        <v>Weekends</v>
      </c>
      <c r="R348" s="17" t="str">
        <f t="shared" si="15"/>
        <v>Night</v>
      </c>
      <c r="S348" s="9" t="str">
        <f t="shared" si="16"/>
        <v>Mist</v>
      </c>
    </row>
    <row r="349" spans="1:19" x14ac:dyDescent="0.25">
      <c r="A349">
        <v>348</v>
      </c>
      <c r="B349" s="19">
        <v>40558</v>
      </c>
      <c r="C349">
        <v>1</v>
      </c>
      <c r="D349">
        <v>1</v>
      </c>
      <c r="E349">
        <v>23</v>
      </c>
      <c r="F349" t="b">
        <v>0</v>
      </c>
      <c r="G349">
        <v>6</v>
      </c>
      <c r="H349">
        <v>1</v>
      </c>
      <c r="I349">
        <v>0.3</v>
      </c>
      <c r="J349">
        <v>0</v>
      </c>
      <c r="K349">
        <v>0.28789999999999999</v>
      </c>
      <c r="L349">
        <v>0.81</v>
      </c>
      <c r="M349">
        <v>0</v>
      </c>
      <c r="N349">
        <v>3</v>
      </c>
      <c r="O349">
        <v>13</v>
      </c>
      <c r="P349">
        <v>16</v>
      </c>
      <c r="Q349" s="17" t="str">
        <f t="shared" si="17"/>
        <v>Weekends</v>
      </c>
      <c r="R349" s="17" t="str">
        <f t="shared" si="15"/>
        <v>Night</v>
      </c>
      <c r="S349" s="9" t="str">
        <f t="shared" si="16"/>
        <v>Clear</v>
      </c>
    </row>
    <row r="350" spans="1:19" x14ac:dyDescent="0.25">
      <c r="A350">
        <v>349</v>
      </c>
      <c r="B350" s="19">
        <v>40559</v>
      </c>
      <c r="C350">
        <v>1</v>
      </c>
      <c r="D350">
        <v>1</v>
      </c>
      <c r="E350">
        <v>0</v>
      </c>
      <c r="F350" t="b">
        <v>0</v>
      </c>
      <c r="G350">
        <v>0</v>
      </c>
      <c r="H350">
        <v>1</v>
      </c>
      <c r="I350">
        <v>0.26</v>
      </c>
      <c r="J350">
        <v>0</v>
      </c>
      <c r="K350">
        <v>0.28789999999999999</v>
      </c>
      <c r="L350">
        <v>0.81</v>
      </c>
      <c r="M350">
        <v>0</v>
      </c>
      <c r="N350">
        <v>3</v>
      </c>
      <c r="O350">
        <v>13</v>
      </c>
      <c r="P350">
        <v>16</v>
      </c>
      <c r="Q350" s="17" t="str">
        <f t="shared" si="17"/>
        <v>Weekdays</v>
      </c>
      <c r="R350" s="17" t="str">
        <f t="shared" si="15"/>
        <v>Morning</v>
      </c>
      <c r="S350" s="9" t="str">
        <f t="shared" si="16"/>
        <v>Clear</v>
      </c>
    </row>
    <row r="351" spans="1:19" x14ac:dyDescent="0.25">
      <c r="A351">
        <v>350</v>
      </c>
      <c r="B351" s="19">
        <v>40559</v>
      </c>
      <c r="C351">
        <v>1</v>
      </c>
      <c r="D351">
        <v>1</v>
      </c>
      <c r="E351">
        <v>1</v>
      </c>
      <c r="F351" t="b">
        <v>0</v>
      </c>
      <c r="G351">
        <v>0</v>
      </c>
      <c r="H351">
        <v>1</v>
      </c>
      <c r="I351">
        <v>0.26</v>
      </c>
      <c r="J351">
        <v>0</v>
      </c>
      <c r="K351">
        <v>0.28789999999999999</v>
      </c>
      <c r="L351">
        <v>0.81</v>
      </c>
      <c r="M351">
        <v>0</v>
      </c>
      <c r="N351">
        <v>3</v>
      </c>
      <c r="O351">
        <v>13</v>
      </c>
      <c r="P351">
        <v>16</v>
      </c>
      <c r="Q351" s="17" t="str">
        <f t="shared" si="17"/>
        <v>Weekdays</v>
      </c>
      <c r="R351" s="17" t="str">
        <f t="shared" si="15"/>
        <v>Morning</v>
      </c>
      <c r="S351" s="9" t="str">
        <f t="shared" si="16"/>
        <v>Clear</v>
      </c>
    </row>
    <row r="352" spans="1:19" x14ac:dyDescent="0.25">
      <c r="A352">
        <v>351</v>
      </c>
      <c r="B352" s="19">
        <v>40559</v>
      </c>
      <c r="C352">
        <v>1</v>
      </c>
      <c r="D352">
        <v>1</v>
      </c>
      <c r="E352">
        <v>2</v>
      </c>
      <c r="F352" t="b">
        <v>0</v>
      </c>
      <c r="G352">
        <v>0</v>
      </c>
      <c r="H352">
        <v>1</v>
      </c>
      <c r="I352">
        <v>0.26</v>
      </c>
      <c r="J352">
        <v>0</v>
      </c>
      <c r="K352">
        <v>0.28789999999999999</v>
      </c>
      <c r="L352">
        <v>0.81</v>
      </c>
      <c r="M352">
        <v>0</v>
      </c>
      <c r="N352">
        <v>3</v>
      </c>
      <c r="O352">
        <v>13</v>
      </c>
      <c r="P352">
        <v>16</v>
      </c>
      <c r="Q352" s="17" t="str">
        <f t="shared" si="17"/>
        <v>Weekdays</v>
      </c>
      <c r="R352" s="17" t="str">
        <f t="shared" si="15"/>
        <v>Morning</v>
      </c>
      <c r="S352" s="9" t="str">
        <f t="shared" si="16"/>
        <v>Clear</v>
      </c>
    </row>
    <row r="353" spans="1:19" x14ac:dyDescent="0.25">
      <c r="A353">
        <v>352</v>
      </c>
      <c r="B353" s="19">
        <v>40559</v>
      </c>
      <c r="C353">
        <v>1</v>
      </c>
      <c r="D353">
        <v>1</v>
      </c>
      <c r="E353">
        <v>3</v>
      </c>
      <c r="F353" t="b">
        <v>0</v>
      </c>
      <c r="G353">
        <v>0</v>
      </c>
      <c r="H353">
        <v>1</v>
      </c>
      <c r="I353">
        <v>0.22</v>
      </c>
      <c r="J353">
        <v>0</v>
      </c>
      <c r="K353">
        <v>0.28789999999999999</v>
      </c>
      <c r="L353">
        <v>0.81</v>
      </c>
      <c r="M353">
        <v>0</v>
      </c>
      <c r="N353">
        <v>3</v>
      </c>
      <c r="O353">
        <v>13</v>
      </c>
      <c r="P353">
        <v>16</v>
      </c>
      <c r="Q353" s="17" t="str">
        <f t="shared" si="17"/>
        <v>Weekdays</v>
      </c>
      <c r="R353" s="17" t="str">
        <f t="shared" si="15"/>
        <v>Morning</v>
      </c>
      <c r="S353" s="9" t="str">
        <f t="shared" si="16"/>
        <v>Clear</v>
      </c>
    </row>
    <row r="354" spans="1:19" x14ac:dyDescent="0.25">
      <c r="A354">
        <v>353</v>
      </c>
      <c r="B354" s="19">
        <v>40559</v>
      </c>
      <c r="C354">
        <v>1</v>
      </c>
      <c r="D354">
        <v>1</v>
      </c>
      <c r="E354">
        <v>4</v>
      </c>
      <c r="F354" t="b">
        <v>0</v>
      </c>
      <c r="G354">
        <v>0</v>
      </c>
      <c r="H354">
        <v>1</v>
      </c>
      <c r="I354">
        <v>0.26</v>
      </c>
      <c r="J354">
        <v>0</v>
      </c>
      <c r="K354">
        <v>0.28789999999999999</v>
      </c>
      <c r="L354">
        <v>0.81</v>
      </c>
      <c r="M354">
        <v>0</v>
      </c>
      <c r="N354">
        <v>3</v>
      </c>
      <c r="O354">
        <v>13</v>
      </c>
      <c r="P354">
        <v>16</v>
      </c>
      <c r="Q354" s="17" t="str">
        <f t="shared" si="17"/>
        <v>Weekdays</v>
      </c>
      <c r="R354" s="17" t="str">
        <f t="shared" si="15"/>
        <v>Morning</v>
      </c>
      <c r="S354" s="9" t="str">
        <f t="shared" si="16"/>
        <v>Clear</v>
      </c>
    </row>
    <row r="355" spans="1:19" x14ac:dyDescent="0.25">
      <c r="A355">
        <v>354</v>
      </c>
      <c r="B355" s="19">
        <v>40559</v>
      </c>
      <c r="C355">
        <v>1</v>
      </c>
      <c r="D355">
        <v>1</v>
      </c>
      <c r="E355">
        <v>5</v>
      </c>
      <c r="F355" t="b">
        <v>0</v>
      </c>
      <c r="G355">
        <v>0</v>
      </c>
      <c r="H355">
        <v>2</v>
      </c>
      <c r="I355">
        <v>0.26</v>
      </c>
      <c r="J355">
        <v>0</v>
      </c>
      <c r="K355">
        <v>0.28789999999999999</v>
      </c>
      <c r="L355">
        <v>0.81</v>
      </c>
      <c r="M355">
        <v>0</v>
      </c>
      <c r="N355">
        <v>3</v>
      </c>
      <c r="O355">
        <v>13</v>
      </c>
      <c r="P355">
        <v>16</v>
      </c>
      <c r="Q355" s="17" t="str">
        <f t="shared" si="17"/>
        <v>Weekdays</v>
      </c>
      <c r="R355" s="17" t="str">
        <f t="shared" si="15"/>
        <v>Morning</v>
      </c>
      <c r="S355" s="9" t="str">
        <f t="shared" si="16"/>
        <v>Mist</v>
      </c>
    </row>
    <row r="356" spans="1:19" x14ac:dyDescent="0.25">
      <c r="A356">
        <v>355</v>
      </c>
      <c r="B356" s="19">
        <v>40559</v>
      </c>
      <c r="C356">
        <v>1</v>
      </c>
      <c r="D356">
        <v>1</v>
      </c>
      <c r="E356">
        <v>6</v>
      </c>
      <c r="F356" t="b">
        <v>0</v>
      </c>
      <c r="G356">
        <v>0</v>
      </c>
      <c r="H356">
        <v>2</v>
      </c>
      <c r="I356">
        <v>0.26</v>
      </c>
      <c r="J356">
        <v>0</v>
      </c>
      <c r="K356">
        <v>0.28789999999999999</v>
      </c>
      <c r="L356">
        <v>0.81</v>
      </c>
      <c r="M356">
        <v>0</v>
      </c>
      <c r="N356">
        <v>3</v>
      </c>
      <c r="O356">
        <v>13</v>
      </c>
      <c r="P356">
        <v>16</v>
      </c>
      <c r="Q356" s="17" t="str">
        <f t="shared" si="17"/>
        <v>Weekdays</v>
      </c>
      <c r="R356" s="17" t="str">
        <f t="shared" si="15"/>
        <v>Morning</v>
      </c>
      <c r="S356" s="9" t="str">
        <f t="shared" si="16"/>
        <v>Mist</v>
      </c>
    </row>
    <row r="357" spans="1:19" x14ac:dyDescent="0.25">
      <c r="A357">
        <v>356</v>
      </c>
      <c r="B357" s="19">
        <v>40559</v>
      </c>
      <c r="C357">
        <v>1</v>
      </c>
      <c r="D357">
        <v>1</v>
      </c>
      <c r="E357">
        <v>7</v>
      </c>
      <c r="F357" t="b">
        <v>0</v>
      </c>
      <c r="G357">
        <v>0</v>
      </c>
      <c r="H357">
        <v>2</v>
      </c>
      <c r="I357">
        <v>0.24</v>
      </c>
      <c r="J357">
        <v>0</v>
      </c>
      <c r="K357">
        <v>0.28789999999999999</v>
      </c>
      <c r="L357">
        <v>0.81</v>
      </c>
      <c r="M357">
        <v>0</v>
      </c>
      <c r="N357">
        <v>3</v>
      </c>
      <c r="O357">
        <v>13</v>
      </c>
      <c r="P357">
        <v>16</v>
      </c>
      <c r="Q357" s="17" t="str">
        <f t="shared" si="17"/>
        <v>Weekdays</v>
      </c>
      <c r="R357" s="17" t="str">
        <f t="shared" si="15"/>
        <v>Morning</v>
      </c>
      <c r="S357" s="9" t="str">
        <f t="shared" si="16"/>
        <v>Mist</v>
      </c>
    </row>
    <row r="358" spans="1:19" x14ac:dyDescent="0.25">
      <c r="A358">
        <v>357</v>
      </c>
      <c r="B358" s="19">
        <v>40559</v>
      </c>
      <c r="C358">
        <v>1</v>
      </c>
      <c r="D358">
        <v>1</v>
      </c>
      <c r="E358">
        <v>8</v>
      </c>
      <c r="F358" t="b">
        <v>0</v>
      </c>
      <c r="G358">
        <v>0</v>
      </c>
      <c r="H358">
        <v>1</v>
      </c>
      <c r="I358">
        <v>0.22</v>
      </c>
      <c r="J358">
        <v>0</v>
      </c>
      <c r="K358">
        <v>0.28789999999999999</v>
      </c>
      <c r="L358">
        <v>0.81</v>
      </c>
      <c r="M358">
        <v>0</v>
      </c>
      <c r="N358">
        <v>3</v>
      </c>
      <c r="O358">
        <v>13</v>
      </c>
      <c r="P358">
        <v>16</v>
      </c>
      <c r="Q358" s="17" t="str">
        <f t="shared" si="17"/>
        <v>Weekdays</v>
      </c>
      <c r="R358" s="17" t="str">
        <f t="shared" si="15"/>
        <v>Morning</v>
      </c>
      <c r="S358" s="9" t="str">
        <f t="shared" si="16"/>
        <v>Clear</v>
      </c>
    </row>
    <row r="359" spans="1:19" x14ac:dyDescent="0.25">
      <c r="A359">
        <v>358</v>
      </c>
      <c r="B359" s="19">
        <v>40559</v>
      </c>
      <c r="C359">
        <v>1</v>
      </c>
      <c r="D359">
        <v>1</v>
      </c>
      <c r="E359">
        <v>9</v>
      </c>
      <c r="F359" t="b">
        <v>0</v>
      </c>
      <c r="G359">
        <v>0</v>
      </c>
      <c r="H359">
        <v>1</v>
      </c>
      <c r="I359">
        <v>0.22</v>
      </c>
      <c r="J359">
        <v>0</v>
      </c>
      <c r="K359">
        <v>0.28789999999999999</v>
      </c>
      <c r="L359">
        <v>0.81</v>
      </c>
      <c r="M359">
        <v>0</v>
      </c>
      <c r="N359">
        <v>3</v>
      </c>
      <c r="O359">
        <v>13</v>
      </c>
      <c r="P359">
        <v>16</v>
      </c>
      <c r="Q359" s="17" t="str">
        <f t="shared" si="17"/>
        <v>Weekdays</v>
      </c>
      <c r="R359" s="17" t="str">
        <f t="shared" si="15"/>
        <v>Morning</v>
      </c>
      <c r="S359" s="9" t="str">
        <f t="shared" si="16"/>
        <v>Clear</v>
      </c>
    </row>
    <row r="360" spans="1:19" x14ac:dyDescent="0.25">
      <c r="A360">
        <v>359</v>
      </c>
      <c r="B360" s="19">
        <v>40559</v>
      </c>
      <c r="C360">
        <v>1</v>
      </c>
      <c r="D360">
        <v>1</v>
      </c>
      <c r="E360">
        <v>10</v>
      </c>
      <c r="F360" t="b">
        <v>0</v>
      </c>
      <c r="G360">
        <v>0</v>
      </c>
      <c r="H360">
        <v>1</v>
      </c>
      <c r="I360">
        <v>0.22</v>
      </c>
      <c r="J360">
        <v>0</v>
      </c>
      <c r="K360">
        <v>0.28789999999999999</v>
      </c>
      <c r="L360">
        <v>0.81</v>
      </c>
      <c r="M360">
        <v>0</v>
      </c>
      <c r="N360">
        <v>3</v>
      </c>
      <c r="O360">
        <v>13</v>
      </c>
      <c r="P360">
        <v>16</v>
      </c>
      <c r="Q360" s="17" t="str">
        <f t="shared" si="17"/>
        <v>Weekdays</v>
      </c>
      <c r="R360" s="17" t="str">
        <f t="shared" si="15"/>
        <v>Morning</v>
      </c>
      <c r="S360" s="9" t="str">
        <f t="shared" si="16"/>
        <v>Clear</v>
      </c>
    </row>
    <row r="361" spans="1:19" x14ac:dyDescent="0.25">
      <c r="A361">
        <v>360</v>
      </c>
      <c r="B361" s="19">
        <v>40559</v>
      </c>
      <c r="C361">
        <v>1</v>
      </c>
      <c r="D361">
        <v>1</v>
      </c>
      <c r="E361">
        <v>11</v>
      </c>
      <c r="F361" t="b">
        <v>0</v>
      </c>
      <c r="G361">
        <v>0</v>
      </c>
      <c r="H361">
        <v>1</v>
      </c>
      <c r="I361">
        <v>0.24</v>
      </c>
      <c r="J361">
        <v>0</v>
      </c>
      <c r="K361">
        <v>0.28789999999999999</v>
      </c>
      <c r="L361">
        <v>0.81</v>
      </c>
      <c r="M361">
        <v>0</v>
      </c>
      <c r="N361">
        <v>3</v>
      </c>
      <c r="O361">
        <v>13</v>
      </c>
      <c r="P361">
        <v>16</v>
      </c>
      <c r="Q361" s="17" t="str">
        <f t="shared" si="17"/>
        <v>Weekdays</v>
      </c>
      <c r="R361" s="17" t="str">
        <f t="shared" si="15"/>
        <v>Morning</v>
      </c>
      <c r="S361" s="9" t="str">
        <f t="shared" si="16"/>
        <v>Clear</v>
      </c>
    </row>
    <row r="362" spans="1:19" x14ac:dyDescent="0.25">
      <c r="A362">
        <v>361</v>
      </c>
      <c r="B362" s="19">
        <v>40559</v>
      </c>
      <c r="C362">
        <v>1</v>
      </c>
      <c r="D362">
        <v>1</v>
      </c>
      <c r="E362">
        <v>12</v>
      </c>
      <c r="F362" t="b">
        <v>0</v>
      </c>
      <c r="G362">
        <v>0</v>
      </c>
      <c r="H362">
        <v>1</v>
      </c>
      <c r="I362">
        <v>0.24</v>
      </c>
      <c r="J362">
        <v>0</v>
      </c>
      <c r="K362">
        <v>0.28789999999999999</v>
      </c>
      <c r="L362">
        <v>0.81</v>
      </c>
      <c r="M362">
        <v>0</v>
      </c>
      <c r="N362">
        <v>3</v>
      </c>
      <c r="O362">
        <v>13</v>
      </c>
      <c r="P362">
        <v>16</v>
      </c>
      <c r="Q362" s="17" t="str">
        <f t="shared" si="17"/>
        <v>Weekdays</v>
      </c>
      <c r="R362" s="17" t="str">
        <f t="shared" si="15"/>
        <v>Afternoon</v>
      </c>
      <c r="S362" s="9" t="str">
        <f t="shared" si="16"/>
        <v>Clear</v>
      </c>
    </row>
    <row r="363" spans="1:19" x14ac:dyDescent="0.25">
      <c r="A363">
        <v>362</v>
      </c>
      <c r="B363" s="19">
        <v>40559</v>
      </c>
      <c r="C363">
        <v>1</v>
      </c>
      <c r="D363">
        <v>1</v>
      </c>
      <c r="E363">
        <v>13</v>
      </c>
      <c r="F363" t="b">
        <v>0</v>
      </c>
      <c r="G363">
        <v>0</v>
      </c>
      <c r="H363">
        <v>1</v>
      </c>
      <c r="I363">
        <v>0.26</v>
      </c>
      <c r="J363">
        <v>0</v>
      </c>
      <c r="K363">
        <v>0.28789999999999999</v>
      </c>
      <c r="L363">
        <v>0.81</v>
      </c>
      <c r="M363">
        <v>0</v>
      </c>
      <c r="N363">
        <v>3</v>
      </c>
      <c r="O363">
        <v>13</v>
      </c>
      <c r="P363">
        <v>16</v>
      </c>
      <c r="Q363" s="17" t="str">
        <f t="shared" si="17"/>
        <v>Weekdays</v>
      </c>
      <c r="R363" s="17" t="str">
        <f t="shared" si="15"/>
        <v>Afternoon</v>
      </c>
      <c r="S363" s="9" t="str">
        <f t="shared" si="16"/>
        <v>Clear</v>
      </c>
    </row>
    <row r="364" spans="1:19" x14ac:dyDescent="0.25">
      <c r="A364">
        <v>363</v>
      </c>
      <c r="B364" s="19">
        <v>40559</v>
      </c>
      <c r="C364">
        <v>1</v>
      </c>
      <c r="D364">
        <v>1</v>
      </c>
      <c r="E364">
        <v>14</v>
      </c>
      <c r="F364" t="b">
        <v>0</v>
      </c>
      <c r="G364">
        <v>0</v>
      </c>
      <c r="H364">
        <v>1</v>
      </c>
      <c r="I364">
        <v>0.28000000000000003</v>
      </c>
      <c r="J364">
        <v>0</v>
      </c>
      <c r="K364">
        <v>0.28789999999999999</v>
      </c>
      <c r="L364">
        <v>0.81</v>
      </c>
      <c r="M364">
        <v>0</v>
      </c>
      <c r="N364">
        <v>3</v>
      </c>
      <c r="O364">
        <v>13</v>
      </c>
      <c r="P364">
        <v>16</v>
      </c>
      <c r="Q364" s="17" t="str">
        <f t="shared" si="17"/>
        <v>Weekdays</v>
      </c>
      <c r="R364" s="17" t="str">
        <f t="shared" si="15"/>
        <v>Afternoon</v>
      </c>
      <c r="S364" s="9" t="str">
        <f t="shared" si="16"/>
        <v>Clear</v>
      </c>
    </row>
    <row r="365" spans="1:19" x14ac:dyDescent="0.25">
      <c r="A365">
        <v>364</v>
      </c>
      <c r="B365" s="19">
        <v>40559</v>
      </c>
      <c r="C365">
        <v>1</v>
      </c>
      <c r="D365">
        <v>1</v>
      </c>
      <c r="E365">
        <v>15</v>
      </c>
      <c r="F365" t="b">
        <v>0</v>
      </c>
      <c r="G365">
        <v>0</v>
      </c>
      <c r="H365">
        <v>1</v>
      </c>
      <c r="I365">
        <v>0.26</v>
      </c>
      <c r="J365">
        <v>0</v>
      </c>
      <c r="K365">
        <v>0.28789999999999999</v>
      </c>
      <c r="L365">
        <v>0.81</v>
      </c>
      <c r="M365">
        <v>0</v>
      </c>
      <c r="N365">
        <v>3</v>
      </c>
      <c r="O365">
        <v>13</v>
      </c>
      <c r="P365">
        <v>16</v>
      </c>
      <c r="Q365" s="17" t="str">
        <f t="shared" si="17"/>
        <v>Weekdays</v>
      </c>
      <c r="R365" s="17" t="str">
        <f t="shared" si="15"/>
        <v>Afternoon</v>
      </c>
      <c r="S365" s="9" t="str">
        <f t="shared" si="16"/>
        <v>Clear</v>
      </c>
    </row>
    <row r="366" spans="1:19" x14ac:dyDescent="0.25">
      <c r="A366">
        <v>365</v>
      </c>
      <c r="B366" s="19">
        <v>40559</v>
      </c>
      <c r="C366">
        <v>1</v>
      </c>
      <c r="D366">
        <v>1</v>
      </c>
      <c r="E366">
        <v>16</v>
      </c>
      <c r="F366" t="b">
        <v>0</v>
      </c>
      <c r="G366">
        <v>0</v>
      </c>
      <c r="H366">
        <v>1</v>
      </c>
      <c r="I366">
        <v>0.24</v>
      </c>
      <c r="J366">
        <v>0</v>
      </c>
      <c r="K366">
        <v>0.28789999999999999</v>
      </c>
      <c r="L366">
        <v>0.81</v>
      </c>
      <c r="M366">
        <v>0</v>
      </c>
      <c r="N366">
        <v>3</v>
      </c>
      <c r="O366">
        <v>13</v>
      </c>
      <c r="P366">
        <v>16</v>
      </c>
      <c r="Q366" s="17" t="str">
        <f t="shared" si="17"/>
        <v>Weekdays</v>
      </c>
      <c r="R366" s="17" t="str">
        <f t="shared" si="15"/>
        <v>Evening</v>
      </c>
      <c r="S366" s="9" t="str">
        <f t="shared" si="16"/>
        <v>Clear</v>
      </c>
    </row>
    <row r="367" spans="1:19" x14ac:dyDescent="0.25">
      <c r="A367">
        <v>366</v>
      </c>
      <c r="B367" s="19">
        <v>40559</v>
      </c>
      <c r="C367">
        <v>1</v>
      </c>
      <c r="D367">
        <v>1</v>
      </c>
      <c r="E367">
        <v>17</v>
      </c>
      <c r="F367" t="b">
        <v>0</v>
      </c>
      <c r="G367">
        <v>0</v>
      </c>
      <c r="H367">
        <v>1</v>
      </c>
      <c r="I367">
        <v>0.22</v>
      </c>
      <c r="J367">
        <v>0</v>
      </c>
      <c r="K367">
        <v>0.28789999999999999</v>
      </c>
      <c r="L367">
        <v>0.81</v>
      </c>
      <c r="M367">
        <v>0</v>
      </c>
      <c r="N367">
        <v>3</v>
      </c>
      <c r="O367">
        <v>13</v>
      </c>
      <c r="P367">
        <v>16</v>
      </c>
      <c r="Q367" s="17" t="str">
        <f t="shared" si="17"/>
        <v>Weekdays</v>
      </c>
      <c r="R367" s="17" t="str">
        <f t="shared" si="15"/>
        <v>Evening</v>
      </c>
      <c r="S367" s="9" t="str">
        <f t="shared" si="16"/>
        <v>Clear</v>
      </c>
    </row>
    <row r="368" spans="1:19" x14ac:dyDescent="0.25">
      <c r="A368">
        <v>367</v>
      </c>
      <c r="B368" s="19">
        <v>40559</v>
      </c>
      <c r="C368">
        <v>1</v>
      </c>
      <c r="D368">
        <v>1</v>
      </c>
      <c r="E368">
        <v>18</v>
      </c>
      <c r="F368" t="b">
        <v>0</v>
      </c>
      <c r="G368">
        <v>0</v>
      </c>
      <c r="H368">
        <v>1</v>
      </c>
      <c r="I368">
        <v>0.2</v>
      </c>
      <c r="J368">
        <v>0</v>
      </c>
      <c r="K368">
        <v>0.28789999999999999</v>
      </c>
      <c r="L368">
        <v>0.81</v>
      </c>
      <c r="M368">
        <v>0</v>
      </c>
      <c r="N368">
        <v>3</v>
      </c>
      <c r="O368">
        <v>13</v>
      </c>
      <c r="P368">
        <v>16</v>
      </c>
      <c r="Q368" s="17" t="str">
        <f t="shared" si="17"/>
        <v>Weekdays</v>
      </c>
      <c r="R368" s="17" t="str">
        <f t="shared" si="15"/>
        <v>Evening</v>
      </c>
      <c r="S368" s="9" t="str">
        <f t="shared" si="16"/>
        <v>Clear</v>
      </c>
    </row>
    <row r="369" spans="1:19" x14ac:dyDescent="0.25">
      <c r="A369">
        <v>368</v>
      </c>
      <c r="B369" s="19">
        <v>40559</v>
      </c>
      <c r="C369">
        <v>1</v>
      </c>
      <c r="D369">
        <v>1</v>
      </c>
      <c r="E369">
        <v>19</v>
      </c>
      <c r="F369" t="b">
        <v>0</v>
      </c>
      <c r="G369">
        <v>0</v>
      </c>
      <c r="H369">
        <v>1</v>
      </c>
      <c r="I369">
        <v>0.18</v>
      </c>
      <c r="J369">
        <v>0</v>
      </c>
      <c r="K369">
        <v>0.28789999999999999</v>
      </c>
      <c r="L369">
        <v>0.81</v>
      </c>
      <c r="M369">
        <v>0</v>
      </c>
      <c r="N369">
        <v>3</v>
      </c>
      <c r="O369">
        <v>13</v>
      </c>
      <c r="P369">
        <v>16</v>
      </c>
      <c r="Q369" s="17" t="str">
        <f t="shared" si="17"/>
        <v>Weekdays</v>
      </c>
      <c r="R369" s="17" t="str">
        <f t="shared" si="15"/>
        <v>Evening</v>
      </c>
      <c r="S369" s="9" t="str">
        <f t="shared" si="16"/>
        <v>Clear</v>
      </c>
    </row>
    <row r="370" spans="1:19" x14ac:dyDescent="0.25">
      <c r="A370">
        <v>369</v>
      </c>
      <c r="B370" s="19">
        <v>40559</v>
      </c>
      <c r="C370">
        <v>1</v>
      </c>
      <c r="D370">
        <v>1</v>
      </c>
      <c r="E370">
        <v>20</v>
      </c>
      <c r="F370" t="b">
        <v>0</v>
      </c>
      <c r="G370">
        <v>0</v>
      </c>
      <c r="H370">
        <v>1</v>
      </c>
      <c r="I370">
        <v>0.18</v>
      </c>
      <c r="J370">
        <v>0</v>
      </c>
      <c r="K370">
        <v>0.28789999999999999</v>
      </c>
      <c r="L370">
        <v>0.81</v>
      </c>
      <c r="M370">
        <v>0</v>
      </c>
      <c r="N370">
        <v>3</v>
      </c>
      <c r="O370">
        <v>13</v>
      </c>
      <c r="P370">
        <v>16</v>
      </c>
      <c r="Q370" s="17" t="str">
        <f t="shared" si="17"/>
        <v>Weekdays</v>
      </c>
      <c r="R370" s="17" t="str">
        <f t="shared" si="15"/>
        <v>Evening</v>
      </c>
      <c r="S370" s="9" t="str">
        <f t="shared" si="16"/>
        <v>Clear</v>
      </c>
    </row>
    <row r="371" spans="1:19" x14ac:dyDescent="0.25">
      <c r="A371">
        <v>370</v>
      </c>
      <c r="B371" s="19">
        <v>40559</v>
      </c>
      <c r="C371">
        <v>1</v>
      </c>
      <c r="D371">
        <v>1</v>
      </c>
      <c r="E371">
        <v>21</v>
      </c>
      <c r="F371" t="b">
        <v>0</v>
      </c>
      <c r="G371">
        <v>0</v>
      </c>
      <c r="H371">
        <v>1</v>
      </c>
      <c r="I371">
        <v>0.18</v>
      </c>
      <c r="J371">
        <v>0</v>
      </c>
      <c r="K371">
        <v>0.28789999999999999</v>
      </c>
      <c r="L371">
        <v>0.81</v>
      </c>
      <c r="M371">
        <v>0</v>
      </c>
      <c r="N371">
        <v>3</v>
      </c>
      <c r="O371">
        <v>13</v>
      </c>
      <c r="P371">
        <v>16</v>
      </c>
      <c r="Q371" s="17" t="str">
        <f t="shared" si="17"/>
        <v>Weekdays</v>
      </c>
      <c r="R371" s="17" t="str">
        <f t="shared" si="15"/>
        <v>Night</v>
      </c>
      <c r="S371" s="9" t="str">
        <f t="shared" si="16"/>
        <v>Clear</v>
      </c>
    </row>
    <row r="372" spans="1:19" x14ac:dyDescent="0.25">
      <c r="A372">
        <v>371</v>
      </c>
      <c r="B372" s="19">
        <v>40559</v>
      </c>
      <c r="C372">
        <v>1</v>
      </c>
      <c r="D372">
        <v>1</v>
      </c>
      <c r="E372">
        <v>22</v>
      </c>
      <c r="F372" t="b">
        <v>0</v>
      </c>
      <c r="G372">
        <v>0</v>
      </c>
      <c r="H372">
        <v>2</v>
      </c>
      <c r="I372">
        <v>0.2</v>
      </c>
      <c r="J372">
        <v>0</v>
      </c>
      <c r="K372">
        <v>0.28789999999999999</v>
      </c>
      <c r="L372">
        <v>0.81</v>
      </c>
      <c r="M372">
        <v>0</v>
      </c>
      <c r="N372">
        <v>3</v>
      </c>
      <c r="O372">
        <v>13</v>
      </c>
      <c r="P372">
        <v>16</v>
      </c>
      <c r="Q372" s="17" t="str">
        <f t="shared" si="17"/>
        <v>Weekdays</v>
      </c>
      <c r="R372" s="17" t="str">
        <f t="shared" si="15"/>
        <v>Night</v>
      </c>
      <c r="S372" s="9" t="str">
        <f t="shared" si="16"/>
        <v>Mist</v>
      </c>
    </row>
    <row r="373" spans="1:19" x14ac:dyDescent="0.25">
      <c r="A373">
        <v>372</v>
      </c>
      <c r="B373" s="19">
        <v>40559</v>
      </c>
      <c r="C373">
        <v>1</v>
      </c>
      <c r="D373">
        <v>1</v>
      </c>
      <c r="E373">
        <v>23</v>
      </c>
      <c r="F373" t="b">
        <v>0</v>
      </c>
      <c r="G373">
        <v>0</v>
      </c>
      <c r="H373">
        <v>2</v>
      </c>
      <c r="I373">
        <v>0.2</v>
      </c>
      <c r="J373">
        <v>0</v>
      </c>
      <c r="K373">
        <v>0.28789999999999999</v>
      </c>
      <c r="L373">
        <v>0.81</v>
      </c>
      <c r="M373">
        <v>0</v>
      </c>
      <c r="N373">
        <v>3</v>
      </c>
      <c r="O373">
        <v>13</v>
      </c>
      <c r="P373">
        <v>16</v>
      </c>
      <c r="Q373" s="17" t="str">
        <f t="shared" si="17"/>
        <v>Weekdays</v>
      </c>
      <c r="R373" s="17" t="str">
        <f t="shared" si="15"/>
        <v>Night</v>
      </c>
      <c r="S373" s="9" t="str">
        <f t="shared" si="16"/>
        <v>Mist</v>
      </c>
    </row>
    <row r="374" spans="1:19" x14ac:dyDescent="0.25">
      <c r="A374">
        <v>373</v>
      </c>
      <c r="B374" s="19">
        <v>40560</v>
      </c>
      <c r="C374">
        <v>1</v>
      </c>
      <c r="D374">
        <v>1</v>
      </c>
      <c r="E374">
        <v>0</v>
      </c>
      <c r="F374" t="b">
        <v>1</v>
      </c>
      <c r="G374">
        <v>1</v>
      </c>
      <c r="H374">
        <v>2</v>
      </c>
      <c r="I374">
        <v>0.2</v>
      </c>
      <c r="J374">
        <v>0</v>
      </c>
      <c r="K374">
        <v>0.28789999999999999</v>
      </c>
      <c r="L374">
        <v>0.81</v>
      </c>
      <c r="M374">
        <v>0</v>
      </c>
      <c r="N374">
        <v>3</v>
      </c>
      <c r="O374">
        <v>13</v>
      </c>
      <c r="P374">
        <v>16</v>
      </c>
      <c r="Q374" s="17" t="str">
        <f t="shared" si="17"/>
        <v>Weekdays</v>
      </c>
      <c r="R374" s="17" t="str">
        <f t="shared" si="15"/>
        <v>Morning</v>
      </c>
      <c r="S374" s="9" t="str">
        <f t="shared" si="16"/>
        <v>Mist</v>
      </c>
    </row>
    <row r="375" spans="1:19" x14ac:dyDescent="0.25">
      <c r="A375">
        <v>374</v>
      </c>
      <c r="B375" s="19">
        <v>40560</v>
      </c>
      <c r="C375">
        <v>1</v>
      </c>
      <c r="D375">
        <v>1</v>
      </c>
      <c r="E375">
        <v>1</v>
      </c>
      <c r="F375" t="b">
        <v>1</v>
      </c>
      <c r="G375">
        <v>1</v>
      </c>
      <c r="H375">
        <v>2</v>
      </c>
      <c r="I375">
        <v>0.2</v>
      </c>
      <c r="J375">
        <v>0</v>
      </c>
      <c r="K375">
        <v>0.28789999999999999</v>
      </c>
      <c r="L375">
        <v>0.81</v>
      </c>
      <c r="M375">
        <v>0</v>
      </c>
      <c r="N375">
        <v>3</v>
      </c>
      <c r="O375">
        <v>13</v>
      </c>
      <c r="P375">
        <v>16</v>
      </c>
      <c r="Q375" s="17" t="str">
        <f t="shared" si="17"/>
        <v>Weekdays</v>
      </c>
      <c r="R375" s="17" t="str">
        <f t="shared" si="15"/>
        <v>Morning</v>
      </c>
      <c r="S375" s="9" t="str">
        <f t="shared" si="16"/>
        <v>Mist</v>
      </c>
    </row>
    <row r="376" spans="1:19" x14ac:dyDescent="0.25">
      <c r="A376">
        <v>375</v>
      </c>
      <c r="B376" s="19">
        <v>40560</v>
      </c>
      <c r="C376">
        <v>1</v>
      </c>
      <c r="D376">
        <v>1</v>
      </c>
      <c r="E376">
        <v>2</v>
      </c>
      <c r="F376" t="b">
        <v>1</v>
      </c>
      <c r="G376">
        <v>1</v>
      </c>
      <c r="H376">
        <v>2</v>
      </c>
      <c r="I376">
        <v>0.18</v>
      </c>
      <c r="J376">
        <v>0</v>
      </c>
      <c r="K376">
        <v>0.28789999999999999</v>
      </c>
      <c r="L376">
        <v>0.81</v>
      </c>
      <c r="M376">
        <v>0</v>
      </c>
      <c r="N376">
        <v>3</v>
      </c>
      <c r="O376">
        <v>13</v>
      </c>
      <c r="P376">
        <v>16</v>
      </c>
      <c r="Q376" s="17" t="str">
        <f t="shared" si="17"/>
        <v>Weekdays</v>
      </c>
      <c r="R376" s="17" t="str">
        <f t="shared" si="15"/>
        <v>Morning</v>
      </c>
      <c r="S376" s="9" t="str">
        <f t="shared" si="16"/>
        <v>Mist</v>
      </c>
    </row>
    <row r="377" spans="1:19" x14ac:dyDescent="0.25">
      <c r="A377">
        <v>376</v>
      </c>
      <c r="B377" s="19">
        <v>40560</v>
      </c>
      <c r="C377">
        <v>1</v>
      </c>
      <c r="D377">
        <v>1</v>
      </c>
      <c r="E377">
        <v>3</v>
      </c>
      <c r="F377" t="b">
        <v>1</v>
      </c>
      <c r="G377">
        <v>1</v>
      </c>
      <c r="H377">
        <v>2</v>
      </c>
      <c r="I377">
        <v>0.18</v>
      </c>
      <c r="J377">
        <v>0</v>
      </c>
      <c r="K377">
        <v>0.28789999999999999</v>
      </c>
      <c r="L377">
        <v>0.81</v>
      </c>
      <c r="M377">
        <v>0</v>
      </c>
      <c r="N377">
        <v>3</v>
      </c>
      <c r="O377">
        <v>13</v>
      </c>
      <c r="P377">
        <v>16</v>
      </c>
      <c r="Q377" s="17" t="str">
        <f t="shared" si="17"/>
        <v>Weekdays</v>
      </c>
      <c r="R377" s="17" t="str">
        <f t="shared" si="15"/>
        <v>Morning</v>
      </c>
      <c r="S377" s="9" t="str">
        <f t="shared" si="16"/>
        <v>Mist</v>
      </c>
    </row>
    <row r="378" spans="1:19" x14ac:dyDescent="0.25">
      <c r="A378">
        <v>377</v>
      </c>
      <c r="B378" s="19">
        <v>40560</v>
      </c>
      <c r="C378">
        <v>1</v>
      </c>
      <c r="D378">
        <v>1</v>
      </c>
      <c r="E378">
        <v>4</v>
      </c>
      <c r="F378" t="b">
        <v>1</v>
      </c>
      <c r="G378">
        <v>1</v>
      </c>
      <c r="H378">
        <v>2</v>
      </c>
      <c r="I378">
        <v>0.18</v>
      </c>
      <c r="J378">
        <v>0</v>
      </c>
      <c r="K378">
        <v>0.28789999999999999</v>
      </c>
      <c r="L378">
        <v>0.81</v>
      </c>
      <c r="M378">
        <v>0</v>
      </c>
      <c r="N378">
        <v>3</v>
      </c>
      <c r="O378">
        <v>13</v>
      </c>
      <c r="P378">
        <v>16</v>
      </c>
      <c r="Q378" s="17" t="str">
        <f t="shared" si="17"/>
        <v>Weekdays</v>
      </c>
      <c r="R378" s="17" t="str">
        <f t="shared" si="15"/>
        <v>Morning</v>
      </c>
      <c r="S378" s="9" t="str">
        <f t="shared" si="16"/>
        <v>Mist</v>
      </c>
    </row>
    <row r="379" spans="1:19" x14ac:dyDescent="0.25">
      <c r="A379">
        <v>378</v>
      </c>
      <c r="B379" s="19">
        <v>40560</v>
      </c>
      <c r="C379">
        <v>1</v>
      </c>
      <c r="D379">
        <v>1</v>
      </c>
      <c r="E379">
        <v>5</v>
      </c>
      <c r="F379" t="b">
        <v>1</v>
      </c>
      <c r="G379">
        <v>1</v>
      </c>
      <c r="H379">
        <v>2</v>
      </c>
      <c r="I379">
        <v>0.18</v>
      </c>
      <c r="J379">
        <v>0</v>
      </c>
      <c r="K379">
        <v>0.28789999999999999</v>
      </c>
      <c r="L379">
        <v>0.81</v>
      </c>
      <c r="M379">
        <v>0</v>
      </c>
      <c r="N379">
        <v>3</v>
      </c>
      <c r="O379">
        <v>13</v>
      </c>
      <c r="P379">
        <v>16</v>
      </c>
      <c r="Q379" s="17" t="str">
        <f t="shared" si="17"/>
        <v>Weekdays</v>
      </c>
      <c r="R379" s="17" t="str">
        <f t="shared" si="15"/>
        <v>Morning</v>
      </c>
      <c r="S379" s="9" t="str">
        <f t="shared" si="16"/>
        <v>Mist</v>
      </c>
    </row>
    <row r="380" spans="1:19" x14ac:dyDescent="0.25">
      <c r="A380">
        <v>379</v>
      </c>
      <c r="B380" s="19">
        <v>40560</v>
      </c>
      <c r="C380">
        <v>1</v>
      </c>
      <c r="D380">
        <v>1</v>
      </c>
      <c r="E380">
        <v>6</v>
      </c>
      <c r="F380" t="b">
        <v>1</v>
      </c>
      <c r="G380">
        <v>1</v>
      </c>
      <c r="H380">
        <v>2</v>
      </c>
      <c r="I380">
        <v>0.18</v>
      </c>
      <c r="J380">
        <v>0</v>
      </c>
      <c r="K380">
        <v>0.28789999999999999</v>
      </c>
      <c r="L380">
        <v>0.81</v>
      </c>
      <c r="M380">
        <v>0</v>
      </c>
      <c r="N380">
        <v>3</v>
      </c>
      <c r="O380">
        <v>13</v>
      </c>
      <c r="P380">
        <v>16</v>
      </c>
      <c r="Q380" s="17" t="str">
        <f t="shared" si="17"/>
        <v>Weekdays</v>
      </c>
      <c r="R380" s="17" t="str">
        <f t="shared" si="15"/>
        <v>Morning</v>
      </c>
      <c r="S380" s="9" t="str">
        <f t="shared" si="16"/>
        <v>Mist</v>
      </c>
    </row>
    <row r="381" spans="1:19" x14ac:dyDescent="0.25">
      <c r="A381">
        <v>380</v>
      </c>
      <c r="B381" s="19">
        <v>40560</v>
      </c>
      <c r="C381">
        <v>1</v>
      </c>
      <c r="D381">
        <v>1</v>
      </c>
      <c r="E381">
        <v>7</v>
      </c>
      <c r="F381" t="b">
        <v>1</v>
      </c>
      <c r="G381">
        <v>1</v>
      </c>
      <c r="H381">
        <v>2</v>
      </c>
      <c r="I381">
        <v>0.16</v>
      </c>
      <c r="J381">
        <v>0</v>
      </c>
      <c r="K381">
        <v>0.28789999999999999</v>
      </c>
      <c r="L381">
        <v>0.81</v>
      </c>
      <c r="M381">
        <v>0</v>
      </c>
      <c r="N381">
        <v>3</v>
      </c>
      <c r="O381">
        <v>13</v>
      </c>
      <c r="P381">
        <v>16</v>
      </c>
      <c r="Q381" s="17" t="str">
        <f t="shared" si="17"/>
        <v>Weekdays</v>
      </c>
      <c r="R381" s="17" t="str">
        <f t="shared" si="15"/>
        <v>Morning</v>
      </c>
      <c r="S381" s="9" t="str">
        <f t="shared" si="16"/>
        <v>Mist</v>
      </c>
    </row>
    <row r="382" spans="1:19" x14ac:dyDescent="0.25">
      <c r="A382">
        <v>381</v>
      </c>
      <c r="B382" s="19">
        <v>40560</v>
      </c>
      <c r="C382">
        <v>1</v>
      </c>
      <c r="D382">
        <v>1</v>
      </c>
      <c r="E382">
        <v>8</v>
      </c>
      <c r="F382" t="b">
        <v>1</v>
      </c>
      <c r="G382">
        <v>1</v>
      </c>
      <c r="H382">
        <v>2</v>
      </c>
      <c r="I382">
        <v>0.16</v>
      </c>
      <c r="J382">
        <v>0</v>
      </c>
      <c r="K382">
        <v>0.28789999999999999</v>
      </c>
      <c r="L382">
        <v>0.81</v>
      </c>
      <c r="M382">
        <v>0</v>
      </c>
      <c r="N382">
        <v>3</v>
      </c>
      <c r="O382">
        <v>13</v>
      </c>
      <c r="P382">
        <v>16</v>
      </c>
      <c r="Q382" s="17" t="str">
        <f t="shared" si="17"/>
        <v>Weekdays</v>
      </c>
      <c r="R382" s="17" t="str">
        <f t="shared" si="15"/>
        <v>Morning</v>
      </c>
      <c r="S382" s="9" t="str">
        <f t="shared" si="16"/>
        <v>Mist</v>
      </c>
    </row>
    <row r="383" spans="1:19" x14ac:dyDescent="0.25">
      <c r="A383">
        <v>382</v>
      </c>
      <c r="B383" s="19">
        <v>40560</v>
      </c>
      <c r="C383">
        <v>1</v>
      </c>
      <c r="D383">
        <v>1</v>
      </c>
      <c r="E383">
        <v>9</v>
      </c>
      <c r="F383" t="b">
        <v>1</v>
      </c>
      <c r="G383">
        <v>1</v>
      </c>
      <c r="H383">
        <v>2</v>
      </c>
      <c r="I383">
        <v>0.16</v>
      </c>
      <c r="J383">
        <v>0</v>
      </c>
      <c r="K383">
        <v>0.28789999999999999</v>
      </c>
      <c r="L383">
        <v>0.81</v>
      </c>
      <c r="M383">
        <v>0</v>
      </c>
      <c r="N383">
        <v>3</v>
      </c>
      <c r="O383">
        <v>13</v>
      </c>
      <c r="P383">
        <v>16</v>
      </c>
      <c r="Q383" s="17" t="str">
        <f t="shared" si="17"/>
        <v>Weekdays</v>
      </c>
      <c r="R383" s="17" t="str">
        <f t="shared" si="15"/>
        <v>Morning</v>
      </c>
      <c r="S383" s="9" t="str">
        <f t="shared" si="16"/>
        <v>Mist</v>
      </c>
    </row>
    <row r="384" spans="1:19" x14ac:dyDescent="0.25">
      <c r="A384">
        <v>383</v>
      </c>
      <c r="B384" s="19">
        <v>40560</v>
      </c>
      <c r="C384">
        <v>1</v>
      </c>
      <c r="D384">
        <v>1</v>
      </c>
      <c r="E384">
        <v>10</v>
      </c>
      <c r="F384" t="b">
        <v>1</v>
      </c>
      <c r="G384">
        <v>1</v>
      </c>
      <c r="H384">
        <v>2</v>
      </c>
      <c r="I384">
        <v>0.16</v>
      </c>
      <c r="J384">
        <v>0</v>
      </c>
      <c r="K384">
        <v>0.28789999999999999</v>
      </c>
      <c r="L384">
        <v>0.81</v>
      </c>
      <c r="M384">
        <v>0</v>
      </c>
      <c r="N384">
        <v>3</v>
      </c>
      <c r="O384">
        <v>13</v>
      </c>
      <c r="P384">
        <v>16</v>
      </c>
      <c r="Q384" s="17" t="str">
        <f t="shared" si="17"/>
        <v>Weekdays</v>
      </c>
      <c r="R384" s="17" t="str">
        <f t="shared" si="15"/>
        <v>Morning</v>
      </c>
      <c r="S384" s="9" t="str">
        <f t="shared" si="16"/>
        <v>Mist</v>
      </c>
    </row>
    <row r="385" spans="1:19" x14ac:dyDescent="0.25">
      <c r="A385">
        <v>384</v>
      </c>
      <c r="B385" s="19">
        <v>40560</v>
      </c>
      <c r="C385">
        <v>1</v>
      </c>
      <c r="D385">
        <v>1</v>
      </c>
      <c r="E385">
        <v>11</v>
      </c>
      <c r="F385" t="b">
        <v>1</v>
      </c>
      <c r="G385">
        <v>1</v>
      </c>
      <c r="H385">
        <v>2</v>
      </c>
      <c r="I385">
        <v>0.16</v>
      </c>
      <c r="J385">
        <v>0</v>
      </c>
      <c r="K385">
        <v>0.28789999999999999</v>
      </c>
      <c r="L385">
        <v>0.81</v>
      </c>
      <c r="M385">
        <v>0</v>
      </c>
      <c r="N385">
        <v>3</v>
      </c>
      <c r="O385">
        <v>13</v>
      </c>
      <c r="P385">
        <v>16</v>
      </c>
      <c r="Q385" s="17" t="str">
        <f t="shared" si="17"/>
        <v>Weekdays</v>
      </c>
      <c r="R385" s="17" t="str">
        <f t="shared" si="15"/>
        <v>Morning</v>
      </c>
      <c r="S385" s="9" t="str">
        <f t="shared" si="16"/>
        <v>Mist</v>
      </c>
    </row>
    <row r="386" spans="1:19" x14ac:dyDescent="0.25">
      <c r="A386">
        <v>385</v>
      </c>
      <c r="B386" s="19">
        <v>40560</v>
      </c>
      <c r="C386">
        <v>1</v>
      </c>
      <c r="D386">
        <v>1</v>
      </c>
      <c r="E386">
        <v>12</v>
      </c>
      <c r="F386" t="b">
        <v>1</v>
      </c>
      <c r="G386">
        <v>1</v>
      </c>
      <c r="H386">
        <v>2</v>
      </c>
      <c r="I386">
        <v>0.18</v>
      </c>
      <c r="J386">
        <v>0</v>
      </c>
      <c r="K386">
        <v>0.28789999999999999</v>
      </c>
      <c r="L386">
        <v>0.81</v>
      </c>
      <c r="M386">
        <v>0</v>
      </c>
      <c r="N386">
        <v>3</v>
      </c>
      <c r="O386">
        <v>13</v>
      </c>
      <c r="P386">
        <v>16</v>
      </c>
      <c r="Q386" s="17" t="str">
        <f t="shared" si="17"/>
        <v>Weekdays</v>
      </c>
      <c r="R386" s="17" t="str">
        <f t="shared" ref="R386:R449" si="18">IF(E386&lt;12,"Morning",IF(E386&lt;16,"Afternoon",IF(E386&lt;21,"Evening","Night")))</f>
        <v>Afternoon</v>
      </c>
      <c r="S386" s="9" t="str">
        <f t="shared" ref="S386:S449" si="19">IF(H386=1,"Clear",IF(H386=2,"Mist",IF(H386=3,"Light Snow/Rain","Heavy Rain/Snow")))</f>
        <v>Mist</v>
      </c>
    </row>
    <row r="387" spans="1:19" x14ac:dyDescent="0.25">
      <c r="A387">
        <v>386</v>
      </c>
      <c r="B387" s="19">
        <v>40560</v>
      </c>
      <c r="C387">
        <v>1</v>
      </c>
      <c r="D387">
        <v>1</v>
      </c>
      <c r="E387">
        <v>13</v>
      </c>
      <c r="F387" t="b">
        <v>1</v>
      </c>
      <c r="G387">
        <v>1</v>
      </c>
      <c r="H387">
        <v>2</v>
      </c>
      <c r="I387">
        <v>0.18</v>
      </c>
      <c r="J387">
        <v>0</v>
      </c>
      <c r="K387">
        <v>0.28789999999999999</v>
      </c>
      <c r="L387">
        <v>0.81</v>
      </c>
      <c r="M387">
        <v>0</v>
      </c>
      <c r="N387">
        <v>3</v>
      </c>
      <c r="O387">
        <v>13</v>
      </c>
      <c r="P387">
        <v>16</v>
      </c>
      <c r="Q387" s="17" t="str">
        <f t="shared" ref="Q387:Q450" si="20">IF(G387&gt;=5,"Weekends","Weekdays")</f>
        <v>Weekdays</v>
      </c>
      <c r="R387" s="17" t="str">
        <f t="shared" si="18"/>
        <v>Afternoon</v>
      </c>
      <c r="S387" s="9" t="str">
        <f t="shared" si="19"/>
        <v>Mist</v>
      </c>
    </row>
    <row r="388" spans="1:19" x14ac:dyDescent="0.25">
      <c r="A388">
        <v>387</v>
      </c>
      <c r="B388" s="19">
        <v>40560</v>
      </c>
      <c r="C388">
        <v>1</v>
      </c>
      <c r="D388">
        <v>1</v>
      </c>
      <c r="E388">
        <v>14</v>
      </c>
      <c r="F388" t="b">
        <v>1</v>
      </c>
      <c r="G388">
        <v>1</v>
      </c>
      <c r="H388">
        <v>2</v>
      </c>
      <c r="I388">
        <v>0.18</v>
      </c>
      <c r="J388">
        <v>0</v>
      </c>
      <c r="K388">
        <v>0.28789999999999999</v>
      </c>
      <c r="L388">
        <v>0.81</v>
      </c>
      <c r="M388">
        <v>0</v>
      </c>
      <c r="N388">
        <v>3</v>
      </c>
      <c r="O388">
        <v>13</v>
      </c>
      <c r="P388">
        <v>16</v>
      </c>
      <c r="Q388" s="17" t="str">
        <f t="shared" si="20"/>
        <v>Weekdays</v>
      </c>
      <c r="R388" s="17" t="str">
        <f t="shared" si="18"/>
        <v>Afternoon</v>
      </c>
      <c r="S388" s="9" t="str">
        <f t="shared" si="19"/>
        <v>Mist</v>
      </c>
    </row>
    <row r="389" spans="1:19" x14ac:dyDescent="0.25">
      <c r="A389">
        <v>388</v>
      </c>
      <c r="B389" s="19">
        <v>40560</v>
      </c>
      <c r="C389">
        <v>1</v>
      </c>
      <c r="D389">
        <v>1</v>
      </c>
      <c r="E389">
        <v>15</v>
      </c>
      <c r="F389" t="b">
        <v>1</v>
      </c>
      <c r="G389">
        <v>1</v>
      </c>
      <c r="H389">
        <v>2</v>
      </c>
      <c r="I389">
        <v>0.2</v>
      </c>
      <c r="J389">
        <v>0</v>
      </c>
      <c r="K389">
        <v>0.28789999999999999</v>
      </c>
      <c r="L389">
        <v>0.81</v>
      </c>
      <c r="M389">
        <v>0</v>
      </c>
      <c r="N389">
        <v>3</v>
      </c>
      <c r="O389">
        <v>13</v>
      </c>
      <c r="P389">
        <v>16</v>
      </c>
      <c r="Q389" s="17" t="str">
        <f t="shared" si="20"/>
        <v>Weekdays</v>
      </c>
      <c r="R389" s="17" t="str">
        <f t="shared" si="18"/>
        <v>Afternoon</v>
      </c>
      <c r="S389" s="9" t="str">
        <f t="shared" si="19"/>
        <v>Mist</v>
      </c>
    </row>
    <row r="390" spans="1:19" x14ac:dyDescent="0.25">
      <c r="A390">
        <v>389</v>
      </c>
      <c r="B390" s="19">
        <v>40560</v>
      </c>
      <c r="C390">
        <v>1</v>
      </c>
      <c r="D390">
        <v>1</v>
      </c>
      <c r="E390">
        <v>16</v>
      </c>
      <c r="F390" t="b">
        <v>1</v>
      </c>
      <c r="G390">
        <v>1</v>
      </c>
      <c r="H390">
        <v>2</v>
      </c>
      <c r="I390">
        <v>0.2</v>
      </c>
      <c r="J390">
        <v>0</v>
      </c>
      <c r="K390">
        <v>0.28789999999999999</v>
      </c>
      <c r="L390">
        <v>0.81</v>
      </c>
      <c r="M390">
        <v>0</v>
      </c>
      <c r="N390">
        <v>3</v>
      </c>
      <c r="O390">
        <v>13</v>
      </c>
      <c r="P390">
        <v>16</v>
      </c>
      <c r="Q390" s="17" t="str">
        <f t="shared" si="20"/>
        <v>Weekdays</v>
      </c>
      <c r="R390" s="17" t="str">
        <f t="shared" si="18"/>
        <v>Evening</v>
      </c>
      <c r="S390" s="9" t="str">
        <f t="shared" si="19"/>
        <v>Mist</v>
      </c>
    </row>
    <row r="391" spans="1:19" x14ac:dyDescent="0.25">
      <c r="A391">
        <v>390</v>
      </c>
      <c r="B391" s="19">
        <v>40560</v>
      </c>
      <c r="C391">
        <v>1</v>
      </c>
      <c r="D391">
        <v>1</v>
      </c>
      <c r="E391">
        <v>17</v>
      </c>
      <c r="F391" t="b">
        <v>1</v>
      </c>
      <c r="G391">
        <v>1</v>
      </c>
      <c r="H391">
        <v>1</v>
      </c>
      <c r="I391">
        <v>0.2</v>
      </c>
      <c r="J391">
        <v>0</v>
      </c>
      <c r="K391">
        <v>0.28789999999999999</v>
      </c>
      <c r="L391">
        <v>0.81</v>
      </c>
      <c r="M391">
        <v>0</v>
      </c>
      <c r="N391">
        <v>3</v>
      </c>
      <c r="O391">
        <v>13</v>
      </c>
      <c r="P391">
        <v>16</v>
      </c>
      <c r="Q391" s="17" t="str">
        <f t="shared" si="20"/>
        <v>Weekdays</v>
      </c>
      <c r="R391" s="17" t="str">
        <f t="shared" si="18"/>
        <v>Evening</v>
      </c>
      <c r="S391" s="9" t="str">
        <f t="shared" si="19"/>
        <v>Clear</v>
      </c>
    </row>
    <row r="392" spans="1:19" x14ac:dyDescent="0.25">
      <c r="A392">
        <v>391</v>
      </c>
      <c r="B392" s="19">
        <v>40560</v>
      </c>
      <c r="C392">
        <v>1</v>
      </c>
      <c r="D392">
        <v>1</v>
      </c>
      <c r="E392">
        <v>18</v>
      </c>
      <c r="F392" t="b">
        <v>1</v>
      </c>
      <c r="G392">
        <v>1</v>
      </c>
      <c r="H392">
        <v>2</v>
      </c>
      <c r="I392">
        <v>0.18</v>
      </c>
      <c r="J392">
        <v>0</v>
      </c>
      <c r="K392">
        <v>0.28789999999999999</v>
      </c>
      <c r="L392">
        <v>0.81</v>
      </c>
      <c r="M392">
        <v>0</v>
      </c>
      <c r="N392">
        <v>3</v>
      </c>
      <c r="O392">
        <v>13</v>
      </c>
      <c r="P392">
        <v>16</v>
      </c>
      <c r="Q392" s="17" t="str">
        <f t="shared" si="20"/>
        <v>Weekdays</v>
      </c>
      <c r="R392" s="17" t="str">
        <f t="shared" si="18"/>
        <v>Evening</v>
      </c>
      <c r="S392" s="9" t="str">
        <f t="shared" si="19"/>
        <v>Mist</v>
      </c>
    </row>
    <row r="393" spans="1:19" x14ac:dyDescent="0.25">
      <c r="A393">
        <v>392</v>
      </c>
      <c r="B393" s="19">
        <v>40560</v>
      </c>
      <c r="C393">
        <v>1</v>
      </c>
      <c r="D393">
        <v>1</v>
      </c>
      <c r="E393">
        <v>19</v>
      </c>
      <c r="F393" t="b">
        <v>1</v>
      </c>
      <c r="G393">
        <v>1</v>
      </c>
      <c r="H393">
        <v>3</v>
      </c>
      <c r="I393">
        <v>0.18</v>
      </c>
      <c r="J393">
        <v>0</v>
      </c>
      <c r="K393">
        <v>0.28789999999999999</v>
      </c>
      <c r="L393">
        <v>0.81</v>
      </c>
      <c r="M393">
        <v>0</v>
      </c>
      <c r="N393">
        <v>3</v>
      </c>
      <c r="O393">
        <v>13</v>
      </c>
      <c r="P393">
        <v>16</v>
      </c>
      <c r="Q393" s="17" t="str">
        <f t="shared" si="20"/>
        <v>Weekdays</v>
      </c>
      <c r="R393" s="17" t="str">
        <f t="shared" si="18"/>
        <v>Evening</v>
      </c>
      <c r="S393" s="9" t="str">
        <f t="shared" si="19"/>
        <v>Light Snow/Rain</v>
      </c>
    </row>
    <row r="394" spans="1:19" x14ac:dyDescent="0.25">
      <c r="A394">
        <v>393</v>
      </c>
      <c r="B394" s="19">
        <v>40560</v>
      </c>
      <c r="C394">
        <v>1</v>
      </c>
      <c r="D394">
        <v>1</v>
      </c>
      <c r="E394">
        <v>20</v>
      </c>
      <c r="F394" t="b">
        <v>1</v>
      </c>
      <c r="G394">
        <v>1</v>
      </c>
      <c r="H394">
        <v>3</v>
      </c>
      <c r="I394">
        <v>0.16</v>
      </c>
      <c r="J394">
        <v>0</v>
      </c>
      <c r="K394">
        <v>0.28789999999999999</v>
      </c>
      <c r="L394">
        <v>0.81</v>
      </c>
      <c r="M394">
        <v>0</v>
      </c>
      <c r="N394">
        <v>3</v>
      </c>
      <c r="O394">
        <v>13</v>
      </c>
      <c r="P394">
        <v>16</v>
      </c>
      <c r="Q394" s="17" t="str">
        <f t="shared" si="20"/>
        <v>Weekdays</v>
      </c>
      <c r="R394" s="17" t="str">
        <f t="shared" si="18"/>
        <v>Evening</v>
      </c>
      <c r="S394" s="9" t="str">
        <f t="shared" si="19"/>
        <v>Light Snow/Rain</v>
      </c>
    </row>
    <row r="395" spans="1:19" x14ac:dyDescent="0.25">
      <c r="A395">
        <v>394</v>
      </c>
      <c r="B395" s="19">
        <v>40560</v>
      </c>
      <c r="C395">
        <v>1</v>
      </c>
      <c r="D395">
        <v>1</v>
      </c>
      <c r="E395">
        <v>21</v>
      </c>
      <c r="F395" t="b">
        <v>1</v>
      </c>
      <c r="G395">
        <v>1</v>
      </c>
      <c r="H395">
        <v>3</v>
      </c>
      <c r="I395">
        <v>0.16</v>
      </c>
      <c r="J395">
        <v>0</v>
      </c>
      <c r="K395">
        <v>0.28789999999999999</v>
      </c>
      <c r="L395">
        <v>0.81</v>
      </c>
      <c r="M395">
        <v>0</v>
      </c>
      <c r="N395">
        <v>3</v>
      </c>
      <c r="O395">
        <v>13</v>
      </c>
      <c r="P395">
        <v>16</v>
      </c>
      <c r="Q395" s="17" t="str">
        <f t="shared" si="20"/>
        <v>Weekdays</v>
      </c>
      <c r="R395" s="17" t="str">
        <f t="shared" si="18"/>
        <v>Night</v>
      </c>
      <c r="S395" s="9" t="str">
        <f t="shared" si="19"/>
        <v>Light Snow/Rain</v>
      </c>
    </row>
    <row r="396" spans="1:19" x14ac:dyDescent="0.25">
      <c r="A396">
        <v>395</v>
      </c>
      <c r="B396" s="19">
        <v>40560</v>
      </c>
      <c r="C396">
        <v>1</v>
      </c>
      <c r="D396">
        <v>1</v>
      </c>
      <c r="E396">
        <v>22</v>
      </c>
      <c r="F396" t="b">
        <v>1</v>
      </c>
      <c r="G396">
        <v>1</v>
      </c>
      <c r="H396">
        <v>3</v>
      </c>
      <c r="I396">
        <v>0.14000000000000001</v>
      </c>
      <c r="J396">
        <v>0</v>
      </c>
      <c r="K396">
        <v>0.28789999999999999</v>
      </c>
      <c r="L396">
        <v>0.81</v>
      </c>
      <c r="M396">
        <v>0</v>
      </c>
      <c r="N396">
        <v>3</v>
      </c>
      <c r="O396">
        <v>13</v>
      </c>
      <c r="P396">
        <v>16</v>
      </c>
      <c r="Q396" s="17" t="str">
        <f t="shared" si="20"/>
        <v>Weekdays</v>
      </c>
      <c r="R396" s="17" t="str">
        <f t="shared" si="18"/>
        <v>Night</v>
      </c>
      <c r="S396" s="9" t="str">
        <f t="shared" si="19"/>
        <v>Light Snow/Rain</v>
      </c>
    </row>
    <row r="397" spans="1:19" x14ac:dyDescent="0.25">
      <c r="A397">
        <v>396</v>
      </c>
      <c r="B397" s="19">
        <v>40560</v>
      </c>
      <c r="C397">
        <v>1</v>
      </c>
      <c r="D397">
        <v>1</v>
      </c>
      <c r="E397">
        <v>23</v>
      </c>
      <c r="F397" t="b">
        <v>1</v>
      </c>
      <c r="G397">
        <v>1</v>
      </c>
      <c r="H397">
        <v>3</v>
      </c>
      <c r="I397">
        <v>0.16</v>
      </c>
      <c r="J397">
        <v>0</v>
      </c>
      <c r="K397">
        <v>0.28789999999999999</v>
      </c>
      <c r="L397">
        <v>0.81</v>
      </c>
      <c r="M397">
        <v>0</v>
      </c>
      <c r="N397">
        <v>3</v>
      </c>
      <c r="O397">
        <v>13</v>
      </c>
      <c r="P397">
        <v>16</v>
      </c>
      <c r="Q397" s="17" t="str">
        <f t="shared" si="20"/>
        <v>Weekdays</v>
      </c>
      <c r="R397" s="17" t="str">
        <f t="shared" si="18"/>
        <v>Night</v>
      </c>
      <c r="S397" s="9" t="str">
        <f t="shared" si="19"/>
        <v>Light Snow/Rain</v>
      </c>
    </row>
    <row r="398" spans="1:19" x14ac:dyDescent="0.25">
      <c r="A398">
        <v>397</v>
      </c>
      <c r="B398" s="19">
        <v>40561</v>
      </c>
      <c r="C398">
        <v>1</v>
      </c>
      <c r="D398">
        <v>1</v>
      </c>
      <c r="E398">
        <v>12</v>
      </c>
      <c r="F398" t="b">
        <v>0</v>
      </c>
      <c r="G398">
        <v>2</v>
      </c>
      <c r="H398">
        <v>2</v>
      </c>
      <c r="I398">
        <v>0.2</v>
      </c>
      <c r="J398">
        <v>0</v>
      </c>
      <c r="K398">
        <v>0.28789999999999999</v>
      </c>
      <c r="L398">
        <v>0.81</v>
      </c>
      <c r="M398">
        <v>0</v>
      </c>
      <c r="N398">
        <v>3</v>
      </c>
      <c r="O398">
        <v>13</v>
      </c>
      <c r="P398">
        <v>16</v>
      </c>
      <c r="Q398" s="17" t="str">
        <f t="shared" si="20"/>
        <v>Weekdays</v>
      </c>
      <c r="R398" s="17" t="str">
        <f t="shared" si="18"/>
        <v>Afternoon</v>
      </c>
      <c r="S398" s="9" t="str">
        <f t="shared" si="19"/>
        <v>Mist</v>
      </c>
    </row>
    <row r="399" spans="1:19" x14ac:dyDescent="0.25">
      <c r="A399">
        <v>398</v>
      </c>
      <c r="B399" s="19">
        <v>40561</v>
      </c>
      <c r="C399">
        <v>1</v>
      </c>
      <c r="D399">
        <v>1</v>
      </c>
      <c r="E399">
        <v>13</v>
      </c>
      <c r="F399" t="b">
        <v>0</v>
      </c>
      <c r="G399">
        <v>2</v>
      </c>
      <c r="H399">
        <v>2</v>
      </c>
      <c r="I399">
        <v>0.2</v>
      </c>
      <c r="J399">
        <v>0</v>
      </c>
      <c r="K399">
        <v>0.28789999999999999</v>
      </c>
      <c r="L399">
        <v>0.81</v>
      </c>
      <c r="M399">
        <v>0</v>
      </c>
      <c r="N399">
        <v>3</v>
      </c>
      <c r="O399">
        <v>13</v>
      </c>
      <c r="P399">
        <v>16</v>
      </c>
      <c r="Q399" s="17" t="str">
        <f t="shared" si="20"/>
        <v>Weekdays</v>
      </c>
      <c r="R399" s="17" t="str">
        <f t="shared" si="18"/>
        <v>Afternoon</v>
      </c>
      <c r="S399" s="9" t="str">
        <f t="shared" si="19"/>
        <v>Mist</v>
      </c>
    </row>
    <row r="400" spans="1:19" x14ac:dyDescent="0.25">
      <c r="A400">
        <v>399</v>
      </c>
      <c r="B400" s="19">
        <v>40561</v>
      </c>
      <c r="C400">
        <v>1</v>
      </c>
      <c r="D400">
        <v>1</v>
      </c>
      <c r="E400">
        <v>14</v>
      </c>
      <c r="F400" t="b">
        <v>0</v>
      </c>
      <c r="G400">
        <v>2</v>
      </c>
      <c r="H400">
        <v>2</v>
      </c>
      <c r="I400">
        <v>0.22</v>
      </c>
      <c r="J400">
        <v>0</v>
      </c>
      <c r="K400">
        <v>0.28789999999999999</v>
      </c>
      <c r="L400">
        <v>0.81</v>
      </c>
      <c r="M400">
        <v>0</v>
      </c>
      <c r="N400">
        <v>3</v>
      </c>
      <c r="O400">
        <v>13</v>
      </c>
      <c r="P400">
        <v>16</v>
      </c>
      <c r="Q400" s="17" t="str">
        <f t="shared" si="20"/>
        <v>Weekdays</v>
      </c>
      <c r="R400" s="17" t="str">
        <f t="shared" si="18"/>
        <v>Afternoon</v>
      </c>
      <c r="S400" s="9" t="str">
        <f t="shared" si="19"/>
        <v>Mist</v>
      </c>
    </row>
    <row r="401" spans="1:19" x14ac:dyDescent="0.25">
      <c r="A401">
        <v>400</v>
      </c>
      <c r="B401" s="19">
        <v>40561</v>
      </c>
      <c r="C401">
        <v>1</v>
      </c>
      <c r="D401">
        <v>1</v>
      </c>
      <c r="E401">
        <v>15</v>
      </c>
      <c r="F401" t="b">
        <v>0</v>
      </c>
      <c r="G401">
        <v>2</v>
      </c>
      <c r="H401">
        <v>2</v>
      </c>
      <c r="I401">
        <v>0.22</v>
      </c>
      <c r="J401">
        <v>0</v>
      </c>
      <c r="K401">
        <v>0.28789999999999999</v>
      </c>
      <c r="L401">
        <v>0.81</v>
      </c>
      <c r="M401">
        <v>0</v>
      </c>
      <c r="N401">
        <v>3</v>
      </c>
      <c r="O401">
        <v>13</v>
      </c>
      <c r="P401">
        <v>16</v>
      </c>
      <c r="Q401" s="17" t="str">
        <f t="shared" si="20"/>
        <v>Weekdays</v>
      </c>
      <c r="R401" s="17" t="str">
        <f t="shared" si="18"/>
        <v>Afternoon</v>
      </c>
      <c r="S401" s="9" t="str">
        <f t="shared" si="19"/>
        <v>Mist</v>
      </c>
    </row>
    <row r="402" spans="1:19" x14ac:dyDescent="0.25">
      <c r="A402">
        <v>401</v>
      </c>
      <c r="B402" s="19">
        <v>40561</v>
      </c>
      <c r="C402">
        <v>1</v>
      </c>
      <c r="D402">
        <v>1</v>
      </c>
      <c r="E402">
        <v>16</v>
      </c>
      <c r="F402" t="b">
        <v>0</v>
      </c>
      <c r="G402">
        <v>2</v>
      </c>
      <c r="H402">
        <v>2</v>
      </c>
      <c r="I402">
        <v>0.22</v>
      </c>
      <c r="J402">
        <v>0</v>
      </c>
      <c r="K402">
        <v>0.28789999999999999</v>
      </c>
      <c r="L402">
        <v>0.81</v>
      </c>
      <c r="M402">
        <v>0</v>
      </c>
      <c r="N402">
        <v>3</v>
      </c>
      <c r="O402">
        <v>13</v>
      </c>
      <c r="P402">
        <v>16</v>
      </c>
      <c r="Q402" s="17" t="str">
        <f t="shared" si="20"/>
        <v>Weekdays</v>
      </c>
      <c r="R402" s="17" t="str">
        <f t="shared" si="18"/>
        <v>Evening</v>
      </c>
      <c r="S402" s="9" t="str">
        <f t="shared" si="19"/>
        <v>Mist</v>
      </c>
    </row>
    <row r="403" spans="1:19" x14ac:dyDescent="0.25">
      <c r="A403">
        <v>402</v>
      </c>
      <c r="B403" s="19">
        <v>40561</v>
      </c>
      <c r="C403">
        <v>1</v>
      </c>
      <c r="D403">
        <v>1</v>
      </c>
      <c r="E403">
        <v>17</v>
      </c>
      <c r="F403" t="b">
        <v>0</v>
      </c>
      <c r="G403">
        <v>2</v>
      </c>
      <c r="H403">
        <v>2</v>
      </c>
      <c r="I403">
        <v>0.22</v>
      </c>
      <c r="J403">
        <v>0</v>
      </c>
      <c r="K403">
        <v>0.28789999999999999</v>
      </c>
      <c r="L403">
        <v>0.81</v>
      </c>
      <c r="M403">
        <v>0</v>
      </c>
      <c r="N403">
        <v>3</v>
      </c>
      <c r="O403">
        <v>13</v>
      </c>
      <c r="P403">
        <v>16</v>
      </c>
      <c r="Q403" s="17" t="str">
        <f t="shared" si="20"/>
        <v>Weekdays</v>
      </c>
      <c r="R403" s="17" t="str">
        <f t="shared" si="18"/>
        <v>Evening</v>
      </c>
      <c r="S403" s="9" t="str">
        <f t="shared" si="19"/>
        <v>Mist</v>
      </c>
    </row>
    <row r="404" spans="1:19" x14ac:dyDescent="0.25">
      <c r="A404">
        <v>403</v>
      </c>
      <c r="B404" s="19">
        <v>40561</v>
      </c>
      <c r="C404">
        <v>1</v>
      </c>
      <c r="D404">
        <v>1</v>
      </c>
      <c r="E404">
        <v>18</v>
      </c>
      <c r="F404" t="b">
        <v>0</v>
      </c>
      <c r="G404">
        <v>2</v>
      </c>
      <c r="H404">
        <v>2</v>
      </c>
      <c r="I404">
        <v>0.22</v>
      </c>
      <c r="J404">
        <v>0</v>
      </c>
      <c r="K404">
        <v>0.28789999999999999</v>
      </c>
      <c r="L404">
        <v>0.81</v>
      </c>
      <c r="M404">
        <v>0</v>
      </c>
      <c r="N404">
        <v>3</v>
      </c>
      <c r="O404">
        <v>13</v>
      </c>
      <c r="P404">
        <v>16</v>
      </c>
      <c r="Q404" s="17" t="str">
        <f t="shared" si="20"/>
        <v>Weekdays</v>
      </c>
      <c r="R404" s="17" t="str">
        <f t="shared" si="18"/>
        <v>Evening</v>
      </c>
      <c r="S404" s="9" t="str">
        <f t="shared" si="19"/>
        <v>Mist</v>
      </c>
    </row>
    <row r="405" spans="1:19" x14ac:dyDescent="0.25">
      <c r="A405">
        <v>404</v>
      </c>
      <c r="B405" s="19">
        <v>40561</v>
      </c>
      <c r="C405">
        <v>1</v>
      </c>
      <c r="D405">
        <v>1</v>
      </c>
      <c r="E405">
        <v>19</v>
      </c>
      <c r="F405" t="b">
        <v>0</v>
      </c>
      <c r="G405">
        <v>2</v>
      </c>
      <c r="H405">
        <v>2</v>
      </c>
      <c r="I405">
        <v>0.22</v>
      </c>
      <c r="J405">
        <v>0</v>
      </c>
      <c r="K405">
        <v>0.28789999999999999</v>
      </c>
      <c r="L405">
        <v>0.81</v>
      </c>
      <c r="M405">
        <v>0</v>
      </c>
      <c r="N405">
        <v>3</v>
      </c>
      <c r="O405">
        <v>13</v>
      </c>
      <c r="P405">
        <v>16</v>
      </c>
      <c r="Q405" s="17" t="str">
        <f t="shared" si="20"/>
        <v>Weekdays</v>
      </c>
      <c r="R405" s="17" t="str">
        <f t="shared" si="18"/>
        <v>Evening</v>
      </c>
      <c r="S405" s="9" t="str">
        <f t="shared" si="19"/>
        <v>Mist</v>
      </c>
    </row>
    <row r="406" spans="1:19" x14ac:dyDescent="0.25">
      <c r="A406">
        <v>405</v>
      </c>
      <c r="B406" s="19">
        <v>40561</v>
      </c>
      <c r="C406">
        <v>1</v>
      </c>
      <c r="D406">
        <v>1</v>
      </c>
      <c r="E406">
        <v>20</v>
      </c>
      <c r="F406" t="b">
        <v>0</v>
      </c>
      <c r="G406">
        <v>2</v>
      </c>
      <c r="H406">
        <v>2</v>
      </c>
      <c r="I406">
        <v>0.22</v>
      </c>
      <c r="J406">
        <v>0</v>
      </c>
      <c r="K406">
        <v>0.28789999999999999</v>
      </c>
      <c r="L406">
        <v>0.81</v>
      </c>
      <c r="M406">
        <v>0</v>
      </c>
      <c r="N406">
        <v>3</v>
      </c>
      <c r="O406">
        <v>13</v>
      </c>
      <c r="P406">
        <v>16</v>
      </c>
      <c r="Q406" s="17" t="str">
        <f t="shared" si="20"/>
        <v>Weekdays</v>
      </c>
      <c r="R406" s="17" t="str">
        <f t="shared" si="18"/>
        <v>Evening</v>
      </c>
      <c r="S406" s="9" t="str">
        <f t="shared" si="19"/>
        <v>Mist</v>
      </c>
    </row>
    <row r="407" spans="1:19" x14ac:dyDescent="0.25">
      <c r="A407">
        <v>406</v>
      </c>
      <c r="B407" s="19">
        <v>40561</v>
      </c>
      <c r="C407">
        <v>1</v>
      </c>
      <c r="D407">
        <v>1</v>
      </c>
      <c r="E407">
        <v>21</v>
      </c>
      <c r="F407" t="b">
        <v>0</v>
      </c>
      <c r="G407">
        <v>2</v>
      </c>
      <c r="H407">
        <v>2</v>
      </c>
      <c r="I407">
        <v>0.22</v>
      </c>
      <c r="J407">
        <v>0</v>
      </c>
      <c r="K407">
        <v>0.28789999999999999</v>
      </c>
      <c r="L407">
        <v>0.81</v>
      </c>
      <c r="M407">
        <v>0</v>
      </c>
      <c r="N407">
        <v>3</v>
      </c>
      <c r="O407">
        <v>13</v>
      </c>
      <c r="P407">
        <v>16</v>
      </c>
      <c r="Q407" s="17" t="str">
        <f t="shared" si="20"/>
        <v>Weekdays</v>
      </c>
      <c r="R407" s="17" t="str">
        <f t="shared" si="18"/>
        <v>Night</v>
      </c>
      <c r="S407" s="9" t="str">
        <f t="shared" si="19"/>
        <v>Mist</v>
      </c>
    </row>
    <row r="408" spans="1:19" x14ac:dyDescent="0.25">
      <c r="A408">
        <v>407</v>
      </c>
      <c r="B408" s="19">
        <v>40561</v>
      </c>
      <c r="C408">
        <v>1</v>
      </c>
      <c r="D408">
        <v>1</v>
      </c>
      <c r="E408">
        <v>22</v>
      </c>
      <c r="F408" t="b">
        <v>0</v>
      </c>
      <c r="G408">
        <v>2</v>
      </c>
      <c r="H408">
        <v>2</v>
      </c>
      <c r="I408">
        <v>0.22</v>
      </c>
      <c r="J408">
        <v>0</v>
      </c>
      <c r="K408">
        <v>0.28789999999999999</v>
      </c>
      <c r="L408">
        <v>0.81</v>
      </c>
      <c r="M408">
        <v>0</v>
      </c>
      <c r="N408">
        <v>3</v>
      </c>
      <c r="O408">
        <v>13</v>
      </c>
      <c r="P408">
        <v>16</v>
      </c>
      <c r="Q408" s="17" t="str">
        <f t="shared" si="20"/>
        <v>Weekdays</v>
      </c>
      <c r="R408" s="17" t="str">
        <f t="shared" si="18"/>
        <v>Night</v>
      </c>
      <c r="S408" s="9" t="str">
        <f t="shared" si="19"/>
        <v>Mist</v>
      </c>
    </row>
    <row r="409" spans="1:19" x14ac:dyDescent="0.25">
      <c r="A409">
        <v>408</v>
      </c>
      <c r="B409" s="19">
        <v>40561</v>
      </c>
      <c r="C409">
        <v>1</v>
      </c>
      <c r="D409">
        <v>1</v>
      </c>
      <c r="E409">
        <v>23</v>
      </c>
      <c r="F409" t="b">
        <v>0</v>
      </c>
      <c r="G409">
        <v>2</v>
      </c>
      <c r="H409">
        <v>2</v>
      </c>
      <c r="I409">
        <v>0.22</v>
      </c>
      <c r="J409">
        <v>0</v>
      </c>
      <c r="K409">
        <v>0.28789999999999999</v>
      </c>
      <c r="L409">
        <v>0.81</v>
      </c>
      <c r="M409">
        <v>0</v>
      </c>
      <c r="N409">
        <v>3</v>
      </c>
      <c r="O409">
        <v>13</v>
      </c>
      <c r="P409">
        <v>16</v>
      </c>
      <c r="Q409" s="17" t="str">
        <f t="shared" si="20"/>
        <v>Weekdays</v>
      </c>
      <c r="R409" s="17" t="str">
        <f t="shared" si="18"/>
        <v>Night</v>
      </c>
      <c r="S409" s="9" t="str">
        <f t="shared" si="19"/>
        <v>Mist</v>
      </c>
    </row>
    <row r="410" spans="1:19" x14ac:dyDescent="0.25">
      <c r="A410">
        <v>409</v>
      </c>
      <c r="B410" s="19">
        <v>40562</v>
      </c>
      <c r="C410">
        <v>1</v>
      </c>
      <c r="D410">
        <v>1</v>
      </c>
      <c r="E410">
        <v>0</v>
      </c>
      <c r="F410" t="b">
        <v>0</v>
      </c>
      <c r="G410">
        <v>3</v>
      </c>
      <c r="H410">
        <v>2</v>
      </c>
      <c r="I410">
        <v>0.22</v>
      </c>
      <c r="J410">
        <v>0</v>
      </c>
      <c r="K410">
        <v>0.28789999999999999</v>
      </c>
      <c r="L410">
        <v>0.81</v>
      </c>
      <c r="M410">
        <v>0</v>
      </c>
      <c r="N410">
        <v>3</v>
      </c>
      <c r="O410">
        <v>13</v>
      </c>
      <c r="P410">
        <v>16</v>
      </c>
      <c r="Q410" s="17" t="str">
        <f t="shared" si="20"/>
        <v>Weekdays</v>
      </c>
      <c r="R410" s="17" t="str">
        <f t="shared" si="18"/>
        <v>Morning</v>
      </c>
      <c r="S410" s="9" t="str">
        <f t="shared" si="19"/>
        <v>Mist</v>
      </c>
    </row>
    <row r="411" spans="1:19" x14ac:dyDescent="0.25">
      <c r="A411">
        <v>410</v>
      </c>
      <c r="B411" s="19">
        <v>40562</v>
      </c>
      <c r="C411">
        <v>1</v>
      </c>
      <c r="D411">
        <v>1</v>
      </c>
      <c r="E411">
        <v>1</v>
      </c>
      <c r="F411" t="b">
        <v>0</v>
      </c>
      <c r="G411">
        <v>3</v>
      </c>
      <c r="H411">
        <v>3</v>
      </c>
      <c r="I411">
        <v>0.22</v>
      </c>
      <c r="J411">
        <v>0</v>
      </c>
      <c r="K411">
        <v>0.28789999999999999</v>
      </c>
      <c r="L411">
        <v>0.81</v>
      </c>
      <c r="M411">
        <v>0</v>
      </c>
      <c r="N411">
        <v>3</v>
      </c>
      <c r="O411">
        <v>13</v>
      </c>
      <c r="P411">
        <v>16</v>
      </c>
      <c r="Q411" s="17" t="str">
        <f t="shared" si="20"/>
        <v>Weekdays</v>
      </c>
      <c r="R411" s="17" t="str">
        <f t="shared" si="18"/>
        <v>Morning</v>
      </c>
      <c r="S411" s="9" t="str">
        <f t="shared" si="19"/>
        <v>Light Snow/Rain</v>
      </c>
    </row>
    <row r="412" spans="1:19" x14ac:dyDescent="0.25">
      <c r="A412">
        <v>411</v>
      </c>
      <c r="B412" s="19">
        <v>40562</v>
      </c>
      <c r="C412">
        <v>1</v>
      </c>
      <c r="D412">
        <v>1</v>
      </c>
      <c r="E412">
        <v>2</v>
      </c>
      <c r="F412" t="b">
        <v>0</v>
      </c>
      <c r="G412">
        <v>3</v>
      </c>
      <c r="H412">
        <v>3</v>
      </c>
      <c r="I412">
        <v>0.22</v>
      </c>
      <c r="J412">
        <v>0</v>
      </c>
      <c r="K412">
        <v>0.28789999999999999</v>
      </c>
      <c r="L412">
        <v>0.81</v>
      </c>
      <c r="M412">
        <v>0</v>
      </c>
      <c r="N412">
        <v>3</v>
      </c>
      <c r="O412">
        <v>13</v>
      </c>
      <c r="P412">
        <v>16</v>
      </c>
      <c r="Q412" s="17" t="str">
        <f t="shared" si="20"/>
        <v>Weekdays</v>
      </c>
      <c r="R412" s="17" t="str">
        <f t="shared" si="18"/>
        <v>Morning</v>
      </c>
      <c r="S412" s="9" t="str">
        <f t="shared" si="19"/>
        <v>Light Snow/Rain</v>
      </c>
    </row>
    <row r="413" spans="1:19" x14ac:dyDescent="0.25">
      <c r="A413">
        <v>412</v>
      </c>
      <c r="B413" s="19">
        <v>40562</v>
      </c>
      <c r="C413">
        <v>1</v>
      </c>
      <c r="D413">
        <v>1</v>
      </c>
      <c r="E413">
        <v>4</v>
      </c>
      <c r="F413" t="b">
        <v>0</v>
      </c>
      <c r="G413">
        <v>3</v>
      </c>
      <c r="H413">
        <v>3</v>
      </c>
      <c r="I413">
        <v>0.22</v>
      </c>
      <c r="J413">
        <v>0</v>
      </c>
      <c r="K413">
        <v>0.28789999999999999</v>
      </c>
      <c r="L413">
        <v>0.81</v>
      </c>
      <c r="M413">
        <v>0</v>
      </c>
      <c r="N413">
        <v>3</v>
      </c>
      <c r="O413">
        <v>13</v>
      </c>
      <c r="P413">
        <v>16</v>
      </c>
      <c r="Q413" s="17" t="str">
        <f t="shared" si="20"/>
        <v>Weekdays</v>
      </c>
      <c r="R413" s="17" t="str">
        <f t="shared" si="18"/>
        <v>Morning</v>
      </c>
      <c r="S413" s="9" t="str">
        <f t="shared" si="19"/>
        <v>Light Snow/Rain</v>
      </c>
    </row>
    <row r="414" spans="1:19" x14ac:dyDescent="0.25">
      <c r="A414">
        <v>413</v>
      </c>
      <c r="B414" s="19">
        <v>40562</v>
      </c>
      <c r="C414">
        <v>1</v>
      </c>
      <c r="D414">
        <v>1</v>
      </c>
      <c r="E414">
        <v>5</v>
      </c>
      <c r="F414" t="b">
        <v>0</v>
      </c>
      <c r="G414">
        <v>3</v>
      </c>
      <c r="H414">
        <v>2</v>
      </c>
      <c r="I414">
        <v>0.22</v>
      </c>
      <c r="J414">
        <v>0</v>
      </c>
      <c r="K414">
        <v>0.28789999999999999</v>
      </c>
      <c r="L414">
        <v>0.81</v>
      </c>
      <c r="M414">
        <v>0</v>
      </c>
      <c r="N414">
        <v>3</v>
      </c>
      <c r="O414">
        <v>13</v>
      </c>
      <c r="P414">
        <v>16</v>
      </c>
      <c r="Q414" s="17" t="str">
        <f t="shared" si="20"/>
        <v>Weekdays</v>
      </c>
      <c r="R414" s="17" t="str">
        <f t="shared" si="18"/>
        <v>Morning</v>
      </c>
      <c r="S414" s="9" t="str">
        <f t="shared" si="19"/>
        <v>Mist</v>
      </c>
    </row>
    <row r="415" spans="1:19" x14ac:dyDescent="0.25">
      <c r="A415">
        <v>414</v>
      </c>
      <c r="B415" s="19">
        <v>40562</v>
      </c>
      <c r="C415">
        <v>1</v>
      </c>
      <c r="D415">
        <v>1</v>
      </c>
      <c r="E415">
        <v>6</v>
      </c>
      <c r="F415" t="b">
        <v>0</v>
      </c>
      <c r="G415">
        <v>3</v>
      </c>
      <c r="H415">
        <v>2</v>
      </c>
      <c r="I415">
        <v>0.22</v>
      </c>
      <c r="J415">
        <v>0</v>
      </c>
      <c r="K415">
        <v>0.28789999999999999</v>
      </c>
      <c r="L415">
        <v>0.81</v>
      </c>
      <c r="M415">
        <v>0</v>
      </c>
      <c r="N415">
        <v>3</v>
      </c>
      <c r="O415">
        <v>13</v>
      </c>
      <c r="P415">
        <v>16</v>
      </c>
      <c r="Q415" s="17" t="str">
        <f t="shared" si="20"/>
        <v>Weekdays</v>
      </c>
      <c r="R415" s="17" t="str">
        <f t="shared" si="18"/>
        <v>Morning</v>
      </c>
      <c r="S415" s="9" t="str">
        <f t="shared" si="19"/>
        <v>Mist</v>
      </c>
    </row>
    <row r="416" spans="1:19" x14ac:dyDescent="0.25">
      <c r="A416">
        <v>415</v>
      </c>
      <c r="B416" s="19">
        <v>40562</v>
      </c>
      <c r="C416">
        <v>1</v>
      </c>
      <c r="D416">
        <v>1</v>
      </c>
      <c r="E416">
        <v>7</v>
      </c>
      <c r="F416" t="b">
        <v>0</v>
      </c>
      <c r="G416">
        <v>3</v>
      </c>
      <c r="H416">
        <v>2</v>
      </c>
      <c r="I416">
        <v>0.24</v>
      </c>
      <c r="J416">
        <v>0</v>
      </c>
      <c r="K416">
        <v>0.28789999999999999</v>
      </c>
      <c r="L416">
        <v>0.81</v>
      </c>
      <c r="M416">
        <v>0</v>
      </c>
      <c r="N416">
        <v>3</v>
      </c>
      <c r="O416">
        <v>13</v>
      </c>
      <c r="P416">
        <v>16</v>
      </c>
      <c r="Q416" s="17" t="str">
        <f t="shared" si="20"/>
        <v>Weekdays</v>
      </c>
      <c r="R416" s="17" t="str">
        <f t="shared" si="18"/>
        <v>Morning</v>
      </c>
      <c r="S416" s="9" t="str">
        <f t="shared" si="19"/>
        <v>Mist</v>
      </c>
    </row>
    <row r="417" spans="1:19" x14ac:dyDescent="0.25">
      <c r="A417">
        <v>416</v>
      </c>
      <c r="B417" s="19">
        <v>40562</v>
      </c>
      <c r="C417">
        <v>1</v>
      </c>
      <c r="D417">
        <v>1</v>
      </c>
      <c r="E417">
        <v>8</v>
      </c>
      <c r="F417" t="b">
        <v>0</v>
      </c>
      <c r="G417">
        <v>3</v>
      </c>
      <c r="H417">
        <v>2</v>
      </c>
      <c r="I417">
        <v>0.24</v>
      </c>
      <c r="J417">
        <v>0</v>
      </c>
      <c r="K417">
        <v>0.28789999999999999</v>
      </c>
      <c r="L417">
        <v>0.81</v>
      </c>
      <c r="M417">
        <v>0</v>
      </c>
      <c r="N417">
        <v>3</v>
      </c>
      <c r="O417">
        <v>13</v>
      </c>
      <c r="P417">
        <v>16</v>
      </c>
      <c r="Q417" s="17" t="str">
        <f t="shared" si="20"/>
        <v>Weekdays</v>
      </c>
      <c r="R417" s="17" t="str">
        <f t="shared" si="18"/>
        <v>Morning</v>
      </c>
      <c r="S417" s="9" t="str">
        <f t="shared" si="19"/>
        <v>Mist</v>
      </c>
    </row>
    <row r="418" spans="1:19" x14ac:dyDescent="0.25">
      <c r="A418">
        <v>417</v>
      </c>
      <c r="B418" s="19">
        <v>40562</v>
      </c>
      <c r="C418">
        <v>1</v>
      </c>
      <c r="D418">
        <v>1</v>
      </c>
      <c r="E418">
        <v>9</v>
      </c>
      <c r="F418" t="b">
        <v>0</v>
      </c>
      <c r="G418">
        <v>3</v>
      </c>
      <c r="H418">
        <v>2</v>
      </c>
      <c r="I418">
        <v>0.24</v>
      </c>
      <c r="J418">
        <v>0</v>
      </c>
      <c r="K418">
        <v>0.28789999999999999</v>
      </c>
      <c r="L418">
        <v>0.81</v>
      </c>
      <c r="M418">
        <v>0</v>
      </c>
      <c r="N418">
        <v>3</v>
      </c>
      <c r="O418">
        <v>13</v>
      </c>
      <c r="P418">
        <v>16</v>
      </c>
      <c r="Q418" s="17" t="str">
        <f t="shared" si="20"/>
        <v>Weekdays</v>
      </c>
      <c r="R418" s="17" t="str">
        <f t="shared" si="18"/>
        <v>Morning</v>
      </c>
      <c r="S418" s="9" t="str">
        <f t="shared" si="19"/>
        <v>Mist</v>
      </c>
    </row>
    <row r="419" spans="1:19" x14ac:dyDescent="0.25">
      <c r="A419">
        <v>418</v>
      </c>
      <c r="B419" s="19">
        <v>40562</v>
      </c>
      <c r="C419">
        <v>1</v>
      </c>
      <c r="D419">
        <v>1</v>
      </c>
      <c r="E419">
        <v>10</v>
      </c>
      <c r="F419" t="b">
        <v>0</v>
      </c>
      <c r="G419">
        <v>3</v>
      </c>
      <c r="H419">
        <v>2</v>
      </c>
      <c r="I419">
        <v>0.26</v>
      </c>
      <c r="J419">
        <v>0</v>
      </c>
      <c r="K419">
        <v>0.28789999999999999</v>
      </c>
      <c r="L419">
        <v>0.81</v>
      </c>
      <c r="M419">
        <v>0</v>
      </c>
      <c r="N419">
        <v>3</v>
      </c>
      <c r="O419">
        <v>13</v>
      </c>
      <c r="P419">
        <v>16</v>
      </c>
      <c r="Q419" s="17" t="str">
        <f t="shared" si="20"/>
        <v>Weekdays</v>
      </c>
      <c r="R419" s="17" t="str">
        <f t="shared" si="18"/>
        <v>Morning</v>
      </c>
      <c r="S419" s="9" t="str">
        <f t="shared" si="19"/>
        <v>Mist</v>
      </c>
    </row>
    <row r="420" spans="1:19" x14ac:dyDescent="0.25">
      <c r="A420">
        <v>419</v>
      </c>
      <c r="B420" s="19">
        <v>40562</v>
      </c>
      <c r="C420">
        <v>1</v>
      </c>
      <c r="D420">
        <v>1</v>
      </c>
      <c r="E420">
        <v>11</v>
      </c>
      <c r="F420" t="b">
        <v>0</v>
      </c>
      <c r="G420">
        <v>3</v>
      </c>
      <c r="H420">
        <v>2</v>
      </c>
      <c r="I420">
        <v>0.28000000000000003</v>
      </c>
      <c r="J420">
        <v>0</v>
      </c>
      <c r="K420">
        <v>0.28789999999999999</v>
      </c>
      <c r="L420">
        <v>0.81</v>
      </c>
      <c r="M420">
        <v>0</v>
      </c>
      <c r="N420">
        <v>3</v>
      </c>
      <c r="O420">
        <v>13</v>
      </c>
      <c r="P420">
        <v>16</v>
      </c>
      <c r="Q420" s="17" t="str">
        <f t="shared" si="20"/>
        <v>Weekdays</v>
      </c>
      <c r="R420" s="17" t="str">
        <f t="shared" si="18"/>
        <v>Morning</v>
      </c>
      <c r="S420" s="9" t="str">
        <f t="shared" si="19"/>
        <v>Mist</v>
      </c>
    </row>
    <row r="421" spans="1:19" x14ac:dyDescent="0.25">
      <c r="A421">
        <v>420</v>
      </c>
      <c r="B421" s="19">
        <v>40562</v>
      </c>
      <c r="C421">
        <v>1</v>
      </c>
      <c r="D421">
        <v>1</v>
      </c>
      <c r="E421">
        <v>12</v>
      </c>
      <c r="F421" t="b">
        <v>0</v>
      </c>
      <c r="G421">
        <v>3</v>
      </c>
      <c r="H421">
        <v>2</v>
      </c>
      <c r="I421">
        <v>0.3</v>
      </c>
      <c r="J421">
        <v>0</v>
      </c>
      <c r="K421">
        <v>0.28789999999999999</v>
      </c>
      <c r="L421">
        <v>0.81</v>
      </c>
      <c r="M421">
        <v>0</v>
      </c>
      <c r="N421">
        <v>3</v>
      </c>
      <c r="O421">
        <v>13</v>
      </c>
      <c r="P421">
        <v>16</v>
      </c>
      <c r="Q421" s="17" t="str">
        <f t="shared" si="20"/>
        <v>Weekdays</v>
      </c>
      <c r="R421" s="17" t="str">
        <f t="shared" si="18"/>
        <v>Afternoon</v>
      </c>
      <c r="S421" s="9" t="str">
        <f t="shared" si="19"/>
        <v>Mist</v>
      </c>
    </row>
    <row r="422" spans="1:19" x14ac:dyDescent="0.25">
      <c r="A422">
        <v>421</v>
      </c>
      <c r="B422" s="19">
        <v>40562</v>
      </c>
      <c r="C422">
        <v>1</v>
      </c>
      <c r="D422">
        <v>1</v>
      </c>
      <c r="E422">
        <v>13</v>
      </c>
      <c r="F422" t="b">
        <v>0</v>
      </c>
      <c r="G422">
        <v>3</v>
      </c>
      <c r="H422">
        <v>1</v>
      </c>
      <c r="I422">
        <v>0.4</v>
      </c>
      <c r="J422">
        <v>0</v>
      </c>
      <c r="K422">
        <v>0.28789999999999999</v>
      </c>
      <c r="L422">
        <v>0.81</v>
      </c>
      <c r="M422">
        <v>0</v>
      </c>
      <c r="N422">
        <v>3</v>
      </c>
      <c r="O422">
        <v>13</v>
      </c>
      <c r="P422">
        <v>16</v>
      </c>
      <c r="Q422" s="17" t="str">
        <f t="shared" si="20"/>
        <v>Weekdays</v>
      </c>
      <c r="R422" s="17" t="str">
        <f t="shared" si="18"/>
        <v>Afternoon</v>
      </c>
      <c r="S422" s="9" t="str">
        <f t="shared" si="19"/>
        <v>Clear</v>
      </c>
    </row>
    <row r="423" spans="1:19" x14ac:dyDescent="0.25">
      <c r="A423">
        <v>422</v>
      </c>
      <c r="B423" s="19">
        <v>40562</v>
      </c>
      <c r="C423">
        <v>1</v>
      </c>
      <c r="D423">
        <v>1</v>
      </c>
      <c r="E423">
        <v>14</v>
      </c>
      <c r="F423" t="b">
        <v>0</v>
      </c>
      <c r="G423">
        <v>3</v>
      </c>
      <c r="H423">
        <v>1</v>
      </c>
      <c r="I423">
        <v>0.4</v>
      </c>
      <c r="J423">
        <v>0</v>
      </c>
      <c r="K423">
        <v>0.28789999999999999</v>
      </c>
      <c r="L423">
        <v>0.81</v>
      </c>
      <c r="M423">
        <v>0</v>
      </c>
      <c r="N423">
        <v>3</v>
      </c>
      <c r="O423">
        <v>13</v>
      </c>
      <c r="P423">
        <v>16</v>
      </c>
      <c r="Q423" s="17" t="str">
        <f t="shared" si="20"/>
        <v>Weekdays</v>
      </c>
      <c r="R423" s="17" t="str">
        <f t="shared" si="18"/>
        <v>Afternoon</v>
      </c>
      <c r="S423" s="9" t="str">
        <f t="shared" si="19"/>
        <v>Clear</v>
      </c>
    </row>
    <row r="424" spans="1:19" x14ac:dyDescent="0.25">
      <c r="A424">
        <v>423</v>
      </c>
      <c r="B424" s="19">
        <v>40562</v>
      </c>
      <c r="C424">
        <v>1</v>
      </c>
      <c r="D424">
        <v>1</v>
      </c>
      <c r="E424">
        <v>15</v>
      </c>
      <c r="F424" t="b">
        <v>0</v>
      </c>
      <c r="G424">
        <v>3</v>
      </c>
      <c r="H424">
        <v>1</v>
      </c>
      <c r="I424">
        <v>0.4</v>
      </c>
      <c r="J424">
        <v>0</v>
      </c>
      <c r="K424">
        <v>0.28789999999999999</v>
      </c>
      <c r="L424">
        <v>0.81</v>
      </c>
      <c r="M424">
        <v>0</v>
      </c>
      <c r="N424">
        <v>3</v>
      </c>
      <c r="O424">
        <v>13</v>
      </c>
      <c r="P424">
        <v>16</v>
      </c>
      <c r="Q424" s="17" t="str">
        <f t="shared" si="20"/>
        <v>Weekdays</v>
      </c>
      <c r="R424" s="17" t="str">
        <f t="shared" si="18"/>
        <v>Afternoon</v>
      </c>
      <c r="S424" s="9" t="str">
        <f t="shared" si="19"/>
        <v>Clear</v>
      </c>
    </row>
    <row r="425" spans="1:19" x14ac:dyDescent="0.25">
      <c r="A425">
        <v>424</v>
      </c>
      <c r="B425" s="19">
        <v>40562</v>
      </c>
      <c r="C425">
        <v>1</v>
      </c>
      <c r="D425">
        <v>1</v>
      </c>
      <c r="E425">
        <v>16</v>
      </c>
      <c r="F425" t="b">
        <v>0</v>
      </c>
      <c r="G425">
        <v>3</v>
      </c>
      <c r="H425">
        <v>1</v>
      </c>
      <c r="I425">
        <v>0.38</v>
      </c>
      <c r="J425">
        <v>0</v>
      </c>
      <c r="K425">
        <v>0.28789999999999999</v>
      </c>
      <c r="L425">
        <v>0.81</v>
      </c>
      <c r="M425">
        <v>0</v>
      </c>
      <c r="N425">
        <v>3</v>
      </c>
      <c r="O425">
        <v>13</v>
      </c>
      <c r="P425">
        <v>16</v>
      </c>
      <c r="Q425" s="17" t="str">
        <f t="shared" si="20"/>
        <v>Weekdays</v>
      </c>
      <c r="R425" s="17" t="str">
        <f t="shared" si="18"/>
        <v>Evening</v>
      </c>
      <c r="S425" s="9" t="str">
        <f t="shared" si="19"/>
        <v>Clear</v>
      </c>
    </row>
    <row r="426" spans="1:19" x14ac:dyDescent="0.25">
      <c r="A426">
        <v>425</v>
      </c>
      <c r="B426" s="19">
        <v>40562</v>
      </c>
      <c r="C426">
        <v>1</v>
      </c>
      <c r="D426">
        <v>1</v>
      </c>
      <c r="E426">
        <v>17</v>
      </c>
      <c r="F426" t="b">
        <v>0</v>
      </c>
      <c r="G426">
        <v>3</v>
      </c>
      <c r="H426">
        <v>1</v>
      </c>
      <c r="I426">
        <v>0.36</v>
      </c>
      <c r="J426">
        <v>0</v>
      </c>
      <c r="K426">
        <v>0.28789999999999999</v>
      </c>
      <c r="L426">
        <v>0.81</v>
      </c>
      <c r="M426">
        <v>0</v>
      </c>
      <c r="N426">
        <v>3</v>
      </c>
      <c r="O426">
        <v>13</v>
      </c>
      <c r="P426">
        <v>16</v>
      </c>
      <c r="Q426" s="17" t="str">
        <f t="shared" si="20"/>
        <v>Weekdays</v>
      </c>
      <c r="R426" s="17" t="str">
        <f t="shared" si="18"/>
        <v>Evening</v>
      </c>
      <c r="S426" s="9" t="str">
        <f t="shared" si="19"/>
        <v>Clear</v>
      </c>
    </row>
    <row r="427" spans="1:19" x14ac:dyDescent="0.25">
      <c r="A427">
        <v>426</v>
      </c>
      <c r="B427" s="19">
        <v>40562</v>
      </c>
      <c r="C427">
        <v>1</v>
      </c>
      <c r="D427">
        <v>1</v>
      </c>
      <c r="E427">
        <v>18</v>
      </c>
      <c r="F427" t="b">
        <v>0</v>
      </c>
      <c r="G427">
        <v>3</v>
      </c>
      <c r="H427">
        <v>1</v>
      </c>
      <c r="I427">
        <v>0.34</v>
      </c>
      <c r="J427">
        <v>0</v>
      </c>
      <c r="K427">
        <v>0.28789999999999999</v>
      </c>
      <c r="L427">
        <v>0.81</v>
      </c>
      <c r="M427">
        <v>0</v>
      </c>
      <c r="N427">
        <v>3</v>
      </c>
      <c r="O427">
        <v>13</v>
      </c>
      <c r="P427">
        <v>16</v>
      </c>
      <c r="Q427" s="17" t="str">
        <f t="shared" si="20"/>
        <v>Weekdays</v>
      </c>
      <c r="R427" s="17" t="str">
        <f t="shared" si="18"/>
        <v>Evening</v>
      </c>
      <c r="S427" s="9" t="str">
        <f t="shared" si="19"/>
        <v>Clear</v>
      </c>
    </row>
    <row r="428" spans="1:19" x14ac:dyDescent="0.25">
      <c r="A428">
        <v>427</v>
      </c>
      <c r="B428" s="19">
        <v>40562</v>
      </c>
      <c r="C428">
        <v>1</v>
      </c>
      <c r="D428">
        <v>1</v>
      </c>
      <c r="E428">
        <v>19</v>
      </c>
      <c r="F428" t="b">
        <v>0</v>
      </c>
      <c r="G428">
        <v>3</v>
      </c>
      <c r="H428">
        <v>1</v>
      </c>
      <c r="I428">
        <v>0.32</v>
      </c>
      <c r="J428">
        <v>0</v>
      </c>
      <c r="K428">
        <v>0.28789999999999999</v>
      </c>
      <c r="L428">
        <v>0.81</v>
      </c>
      <c r="M428">
        <v>0</v>
      </c>
      <c r="N428">
        <v>3</v>
      </c>
      <c r="O428">
        <v>13</v>
      </c>
      <c r="P428">
        <v>16</v>
      </c>
      <c r="Q428" s="17" t="str">
        <f t="shared" si="20"/>
        <v>Weekdays</v>
      </c>
      <c r="R428" s="17" t="str">
        <f t="shared" si="18"/>
        <v>Evening</v>
      </c>
      <c r="S428" s="9" t="str">
        <f t="shared" si="19"/>
        <v>Clear</v>
      </c>
    </row>
    <row r="429" spans="1:19" x14ac:dyDescent="0.25">
      <c r="A429">
        <v>428</v>
      </c>
      <c r="B429" s="19">
        <v>40562</v>
      </c>
      <c r="C429">
        <v>1</v>
      </c>
      <c r="D429">
        <v>1</v>
      </c>
      <c r="E429">
        <v>20</v>
      </c>
      <c r="F429" t="b">
        <v>0</v>
      </c>
      <c r="G429">
        <v>3</v>
      </c>
      <c r="H429">
        <v>1</v>
      </c>
      <c r="I429">
        <v>0.32</v>
      </c>
      <c r="J429">
        <v>0</v>
      </c>
      <c r="K429">
        <v>0.28789999999999999</v>
      </c>
      <c r="L429">
        <v>0.81</v>
      </c>
      <c r="M429">
        <v>0</v>
      </c>
      <c r="N429">
        <v>3</v>
      </c>
      <c r="O429">
        <v>13</v>
      </c>
      <c r="P429">
        <v>16</v>
      </c>
      <c r="Q429" s="17" t="str">
        <f t="shared" si="20"/>
        <v>Weekdays</v>
      </c>
      <c r="R429" s="17" t="str">
        <f t="shared" si="18"/>
        <v>Evening</v>
      </c>
      <c r="S429" s="9" t="str">
        <f t="shared" si="19"/>
        <v>Clear</v>
      </c>
    </row>
    <row r="430" spans="1:19" x14ac:dyDescent="0.25">
      <c r="A430">
        <v>429</v>
      </c>
      <c r="B430" s="19">
        <v>40562</v>
      </c>
      <c r="C430">
        <v>1</v>
      </c>
      <c r="D430">
        <v>1</v>
      </c>
      <c r="E430">
        <v>21</v>
      </c>
      <c r="F430" t="b">
        <v>0</v>
      </c>
      <c r="G430">
        <v>3</v>
      </c>
      <c r="H430">
        <v>1</v>
      </c>
      <c r="I430">
        <v>0.32</v>
      </c>
      <c r="J430">
        <v>0</v>
      </c>
      <c r="K430">
        <v>0.28789999999999999</v>
      </c>
      <c r="L430">
        <v>0.81</v>
      </c>
      <c r="M430">
        <v>0</v>
      </c>
      <c r="N430">
        <v>3</v>
      </c>
      <c r="O430">
        <v>13</v>
      </c>
      <c r="P430">
        <v>16</v>
      </c>
      <c r="Q430" s="17" t="str">
        <f t="shared" si="20"/>
        <v>Weekdays</v>
      </c>
      <c r="R430" s="17" t="str">
        <f t="shared" si="18"/>
        <v>Night</v>
      </c>
      <c r="S430" s="9" t="str">
        <f t="shared" si="19"/>
        <v>Clear</v>
      </c>
    </row>
    <row r="431" spans="1:19" x14ac:dyDescent="0.25">
      <c r="A431">
        <v>430</v>
      </c>
      <c r="B431" s="19">
        <v>40562</v>
      </c>
      <c r="C431">
        <v>1</v>
      </c>
      <c r="D431">
        <v>1</v>
      </c>
      <c r="E431">
        <v>22</v>
      </c>
      <c r="F431" t="b">
        <v>0</v>
      </c>
      <c r="G431">
        <v>3</v>
      </c>
      <c r="H431">
        <v>1</v>
      </c>
      <c r="I431">
        <v>0.3</v>
      </c>
      <c r="J431">
        <v>0</v>
      </c>
      <c r="K431">
        <v>0.28789999999999999</v>
      </c>
      <c r="L431">
        <v>0.81</v>
      </c>
      <c r="M431">
        <v>0</v>
      </c>
      <c r="N431">
        <v>3</v>
      </c>
      <c r="O431">
        <v>13</v>
      </c>
      <c r="P431">
        <v>16</v>
      </c>
      <c r="Q431" s="17" t="str">
        <f t="shared" si="20"/>
        <v>Weekdays</v>
      </c>
      <c r="R431" s="17" t="str">
        <f t="shared" si="18"/>
        <v>Night</v>
      </c>
      <c r="S431" s="9" t="str">
        <f t="shared" si="19"/>
        <v>Clear</v>
      </c>
    </row>
    <row r="432" spans="1:19" x14ac:dyDescent="0.25">
      <c r="A432">
        <v>431</v>
      </c>
      <c r="B432" s="19">
        <v>40562</v>
      </c>
      <c r="C432">
        <v>1</v>
      </c>
      <c r="D432">
        <v>1</v>
      </c>
      <c r="E432">
        <v>23</v>
      </c>
      <c r="F432" t="b">
        <v>0</v>
      </c>
      <c r="G432">
        <v>3</v>
      </c>
      <c r="H432">
        <v>1</v>
      </c>
      <c r="I432">
        <v>0.3</v>
      </c>
      <c r="J432">
        <v>0</v>
      </c>
      <c r="K432">
        <v>0.28789999999999999</v>
      </c>
      <c r="L432">
        <v>0.81</v>
      </c>
      <c r="M432">
        <v>0</v>
      </c>
      <c r="N432">
        <v>3</v>
      </c>
      <c r="O432">
        <v>13</v>
      </c>
      <c r="P432">
        <v>16</v>
      </c>
      <c r="Q432" s="17" t="str">
        <f t="shared" si="20"/>
        <v>Weekdays</v>
      </c>
      <c r="R432" s="17" t="str">
        <f t="shared" si="18"/>
        <v>Night</v>
      </c>
      <c r="S432" s="9" t="str">
        <f t="shared" si="19"/>
        <v>Clear</v>
      </c>
    </row>
    <row r="433" spans="1:19" x14ac:dyDescent="0.25">
      <c r="A433">
        <v>432</v>
      </c>
      <c r="B433" s="19">
        <v>40563</v>
      </c>
      <c r="C433">
        <v>1</v>
      </c>
      <c r="D433">
        <v>1</v>
      </c>
      <c r="E433">
        <v>0</v>
      </c>
      <c r="F433" t="b">
        <v>0</v>
      </c>
      <c r="G433">
        <v>4</v>
      </c>
      <c r="H433">
        <v>1</v>
      </c>
      <c r="I433">
        <v>0.26</v>
      </c>
      <c r="J433">
        <v>0</v>
      </c>
      <c r="K433">
        <v>0.28789999999999999</v>
      </c>
      <c r="L433">
        <v>0.81</v>
      </c>
      <c r="M433">
        <v>0</v>
      </c>
      <c r="N433">
        <v>3</v>
      </c>
      <c r="O433">
        <v>13</v>
      </c>
      <c r="P433">
        <v>16</v>
      </c>
      <c r="Q433" s="17" t="str">
        <f t="shared" si="20"/>
        <v>Weekdays</v>
      </c>
      <c r="R433" s="17" t="str">
        <f t="shared" si="18"/>
        <v>Morning</v>
      </c>
      <c r="S433" s="9" t="str">
        <f t="shared" si="19"/>
        <v>Clear</v>
      </c>
    </row>
    <row r="434" spans="1:19" x14ac:dyDescent="0.25">
      <c r="A434">
        <v>433</v>
      </c>
      <c r="B434" s="19">
        <v>40563</v>
      </c>
      <c r="C434">
        <v>1</v>
      </c>
      <c r="D434">
        <v>1</v>
      </c>
      <c r="E434">
        <v>1</v>
      </c>
      <c r="F434" t="b">
        <v>0</v>
      </c>
      <c r="G434">
        <v>4</v>
      </c>
      <c r="H434">
        <v>1</v>
      </c>
      <c r="I434">
        <v>0.26</v>
      </c>
      <c r="J434">
        <v>0</v>
      </c>
      <c r="K434">
        <v>0.28789999999999999</v>
      </c>
      <c r="L434">
        <v>0.81</v>
      </c>
      <c r="M434">
        <v>0</v>
      </c>
      <c r="N434">
        <v>3</v>
      </c>
      <c r="O434">
        <v>13</v>
      </c>
      <c r="P434">
        <v>16</v>
      </c>
      <c r="Q434" s="17" t="str">
        <f t="shared" si="20"/>
        <v>Weekdays</v>
      </c>
      <c r="R434" s="17" t="str">
        <f t="shared" si="18"/>
        <v>Morning</v>
      </c>
      <c r="S434" s="9" t="str">
        <f t="shared" si="19"/>
        <v>Clear</v>
      </c>
    </row>
    <row r="435" spans="1:19" x14ac:dyDescent="0.25">
      <c r="A435">
        <v>434</v>
      </c>
      <c r="B435" s="19">
        <v>40563</v>
      </c>
      <c r="C435">
        <v>1</v>
      </c>
      <c r="D435">
        <v>1</v>
      </c>
      <c r="E435">
        <v>2</v>
      </c>
      <c r="F435" t="b">
        <v>0</v>
      </c>
      <c r="G435">
        <v>4</v>
      </c>
      <c r="H435">
        <v>1</v>
      </c>
      <c r="I435">
        <v>0.26</v>
      </c>
      <c r="J435">
        <v>0</v>
      </c>
      <c r="K435">
        <v>0.28789999999999999</v>
      </c>
      <c r="L435">
        <v>0.81</v>
      </c>
      <c r="M435">
        <v>0</v>
      </c>
      <c r="N435">
        <v>3</v>
      </c>
      <c r="O435">
        <v>13</v>
      </c>
      <c r="P435">
        <v>16</v>
      </c>
      <c r="Q435" s="17" t="str">
        <f t="shared" si="20"/>
        <v>Weekdays</v>
      </c>
      <c r="R435" s="17" t="str">
        <f t="shared" si="18"/>
        <v>Morning</v>
      </c>
      <c r="S435" s="9" t="str">
        <f t="shared" si="19"/>
        <v>Clear</v>
      </c>
    </row>
    <row r="436" spans="1:19" x14ac:dyDescent="0.25">
      <c r="A436">
        <v>435</v>
      </c>
      <c r="B436" s="19">
        <v>40563</v>
      </c>
      <c r="C436">
        <v>1</v>
      </c>
      <c r="D436">
        <v>1</v>
      </c>
      <c r="E436">
        <v>3</v>
      </c>
      <c r="F436" t="b">
        <v>0</v>
      </c>
      <c r="G436">
        <v>4</v>
      </c>
      <c r="H436">
        <v>1</v>
      </c>
      <c r="I436">
        <v>0.26</v>
      </c>
      <c r="J436">
        <v>0</v>
      </c>
      <c r="K436">
        <v>0.28789999999999999</v>
      </c>
      <c r="L436">
        <v>0.81</v>
      </c>
      <c r="M436">
        <v>0</v>
      </c>
      <c r="N436">
        <v>3</v>
      </c>
      <c r="O436">
        <v>13</v>
      </c>
      <c r="P436">
        <v>16</v>
      </c>
      <c r="Q436" s="17" t="str">
        <f t="shared" si="20"/>
        <v>Weekdays</v>
      </c>
      <c r="R436" s="17" t="str">
        <f t="shared" si="18"/>
        <v>Morning</v>
      </c>
      <c r="S436" s="9" t="str">
        <f t="shared" si="19"/>
        <v>Clear</v>
      </c>
    </row>
    <row r="437" spans="1:19" x14ac:dyDescent="0.25">
      <c r="A437">
        <v>436</v>
      </c>
      <c r="B437" s="19">
        <v>40563</v>
      </c>
      <c r="C437">
        <v>1</v>
      </c>
      <c r="D437">
        <v>1</v>
      </c>
      <c r="E437">
        <v>4</v>
      </c>
      <c r="F437" t="b">
        <v>0</v>
      </c>
      <c r="G437">
        <v>4</v>
      </c>
      <c r="H437">
        <v>1</v>
      </c>
      <c r="I437">
        <v>0.26</v>
      </c>
      <c r="J437">
        <v>0</v>
      </c>
      <c r="K437">
        <v>0.28789999999999999</v>
      </c>
      <c r="L437">
        <v>0.81</v>
      </c>
      <c r="M437">
        <v>0</v>
      </c>
      <c r="N437">
        <v>3</v>
      </c>
      <c r="O437">
        <v>13</v>
      </c>
      <c r="P437">
        <v>16</v>
      </c>
      <c r="Q437" s="17" t="str">
        <f t="shared" si="20"/>
        <v>Weekdays</v>
      </c>
      <c r="R437" s="17" t="str">
        <f t="shared" si="18"/>
        <v>Morning</v>
      </c>
      <c r="S437" s="9" t="str">
        <f t="shared" si="19"/>
        <v>Clear</v>
      </c>
    </row>
    <row r="438" spans="1:19" x14ac:dyDescent="0.25">
      <c r="A438">
        <v>437</v>
      </c>
      <c r="B438" s="19">
        <v>40563</v>
      </c>
      <c r="C438">
        <v>1</v>
      </c>
      <c r="D438">
        <v>1</v>
      </c>
      <c r="E438">
        <v>5</v>
      </c>
      <c r="F438" t="b">
        <v>0</v>
      </c>
      <c r="G438">
        <v>4</v>
      </c>
      <c r="H438">
        <v>1</v>
      </c>
      <c r="I438">
        <v>0.24</v>
      </c>
      <c r="J438">
        <v>0</v>
      </c>
      <c r="K438">
        <v>0.28789999999999999</v>
      </c>
      <c r="L438">
        <v>0.81</v>
      </c>
      <c r="M438">
        <v>0</v>
      </c>
      <c r="N438">
        <v>3</v>
      </c>
      <c r="O438">
        <v>13</v>
      </c>
      <c r="P438">
        <v>16</v>
      </c>
      <c r="Q438" s="17" t="str">
        <f t="shared" si="20"/>
        <v>Weekdays</v>
      </c>
      <c r="R438" s="17" t="str">
        <f t="shared" si="18"/>
        <v>Morning</v>
      </c>
      <c r="S438" s="9" t="str">
        <f t="shared" si="19"/>
        <v>Clear</v>
      </c>
    </row>
    <row r="439" spans="1:19" x14ac:dyDescent="0.25">
      <c r="A439">
        <v>438</v>
      </c>
      <c r="B439" s="19">
        <v>40563</v>
      </c>
      <c r="C439">
        <v>1</v>
      </c>
      <c r="D439">
        <v>1</v>
      </c>
      <c r="E439">
        <v>6</v>
      </c>
      <c r="F439" t="b">
        <v>0</v>
      </c>
      <c r="G439">
        <v>4</v>
      </c>
      <c r="H439">
        <v>1</v>
      </c>
      <c r="I439">
        <v>0.22</v>
      </c>
      <c r="J439">
        <v>0</v>
      </c>
      <c r="K439">
        <v>0.28789999999999999</v>
      </c>
      <c r="L439">
        <v>0.81</v>
      </c>
      <c r="M439">
        <v>0</v>
      </c>
      <c r="N439">
        <v>3</v>
      </c>
      <c r="O439">
        <v>13</v>
      </c>
      <c r="P439">
        <v>16</v>
      </c>
      <c r="Q439" s="17" t="str">
        <f t="shared" si="20"/>
        <v>Weekdays</v>
      </c>
      <c r="R439" s="17" t="str">
        <f t="shared" si="18"/>
        <v>Morning</v>
      </c>
      <c r="S439" s="9" t="str">
        <f t="shared" si="19"/>
        <v>Clear</v>
      </c>
    </row>
    <row r="440" spans="1:19" x14ac:dyDescent="0.25">
      <c r="A440">
        <v>439</v>
      </c>
      <c r="B440" s="19">
        <v>40563</v>
      </c>
      <c r="C440">
        <v>1</v>
      </c>
      <c r="D440">
        <v>1</v>
      </c>
      <c r="E440">
        <v>7</v>
      </c>
      <c r="F440" t="b">
        <v>0</v>
      </c>
      <c r="G440">
        <v>4</v>
      </c>
      <c r="H440">
        <v>1</v>
      </c>
      <c r="I440">
        <v>0.22</v>
      </c>
      <c r="J440">
        <v>0</v>
      </c>
      <c r="K440">
        <v>0.28789999999999999</v>
      </c>
      <c r="L440">
        <v>0.81</v>
      </c>
      <c r="M440">
        <v>0</v>
      </c>
      <c r="N440">
        <v>3</v>
      </c>
      <c r="O440">
        <v>13</v>
      </c>
      <c r="P440">
        <v>16</v>
      </c>
      <c r="Q440" s="17" t="str">
        <f t="shared" si="20"/>
        <v>Weekdays</v>
      </c>
      <c r="R440" s="17" t="str">
        <f t="shared" si="18"/>
        <v>Morning</v>
      </c>
      <c r="S440" s="9" t="str">
        <f t="shared" si="19"/>
        <v>Clear</v>
      </c>
    </row>
    <row r="441" spans="1:19" x14ac:dyDescent="0.25">
      <c r="A441">
        <v>440</v>
      </c>
      <c r="B441" s="19">
        <v>40563</v>
      </c>
      <c r="C441">
        <v>1</v>
      </c>
      <c r="D441">
        <v>1</v>
      </c>
      <c r="E441">
        <v>8</v>
      </c>
      <c r="F441" t="b">
        <v>0</v>
      </c>
      <c r="G441">
        <v>4</v>
      </c>
      <c r="H441">
        <v>1</v>
      </c>
      <c r="I441">
        <v>0.22</v>
      </c>
      <c r="J441">
        <v>0</v>
      </c>
      <c r="K441">
        <v>0.28789999999999999</v>
      </c>
      <c r="L441">
        <v>0.81</v>
      </c>
      <c r="M441">
        <v>0</v>
      </c>
      <c r="N441">
        <v>3</v>
      </c>
      <c r="O441">
        <v>13</v>
      </c>
      <c r="P441">
        <v>16</v>
      </c>
      <c r="Q441" s="17" t="str">
        <f t="shared" si="20"/>
        <v>Weekdays</v>
      </c>
      <c r="R441" s="17" t="str">
        <f t="shared" si="18"/>
        <v>Morning</v>
      </c>
      <c r="S441" s="9" t="str">
        <f t="shared" si="19"/>
        <v>Clear</v>
      </c>
    </row>
    <row r="442" spans="1:19" x14ac:dyDescent="0.25">
      <c r="A442">
        <v>441</v>
      </c>
      <c r="B442" s="19">
        <v>40563</v>
      </c>
      <c r="C442">
        <v>1</v>
      </c>
      <c r="D442">
        <v>1</v>
      </c>
      <c r="E442">
        <v>9</v>
      </c>
      <c r="F442" t="b">
        <v>0</v>
      </c>
      <c r="G442">
        <v>4</v>
      </c>
      <c r="H442">
        <v>2</v>
      </c>
      <c r="I442">
        <v>0.24</v>
      </c>
      <c r="J442">
        <v>0</v>
      </c>
      <c r="K442">
        <v>0.28789999999999999</v>
      </c>
      <c r="L442">
        <v>0.81</v>
      </c>
      <c r="M442">
        <v>0</v>
      </c>
      <c r="N442">
        <v>3</v>
      </c>
      <c r="O442">
        <v>13</v>
      </c>
      <c r="P442">
        <v>16</v>
      </c>
      <c r="Q442" s="17" t="str">
        <f t="shared" si="20"/>
        <v>Weekdays</v>
      </c>
      <c r="R442" s="17" t="str">
        <f t="shared" si="18"/>
        <v>Morning</v>
      </c>
      <c r="S442" s="9" t="str">
        <f t="shared" si="19"/>
        <v>Mist</v>
      </c>
    </row>
    <row r="443" spans="1:19" x14ac:dyDescent="0.25">
      <c r="A443">
        <v>442</v>
      </c>
      <c r="B443" s="19">
        <v>40563</v>
      </c>
      <c r="C443">
        <v>1</v>
      </c>
      <c r="D443">
        <v>1</v>
      </c>
      <c r="E443">
        <v>10</v>
      </c>
      <c r="F443" t="b">
        <v>0</v>
      </c>
      <c r="G443">
        <v>4</v>
      </c>
      <c r="H443">
        <v>1</v>
      </c>
      <c r="I443">
        <v>0.26</v>
      </c>
      <c r="J443">
        <v>0</v>
      </c>
      <c r="K443">
        <v>0.28789999999999999</v>
      </c>
      <c r="L443">
        <v>0.81</v>
      </c>
      <c r="M443">
        <v>0</v>
      </c>
      <c r="N443">
        <v>3</v>
      </c>
      <c r="O443">
        <v>13</v>
      </c>
      <c r="P443">
        <v>16</v>
      </c>
      <c r="Q443" s="17" t="str">
        <f t="shared" si="20"/>
        <v>Weekdays</v>
      </c>
      <c r="R443" s="17" t="str">
        <f t="shared" si="18"/>
        <v>Morning</v>
      </c>
      <c r="S443" s="9" t="str">
        <f t="shared" si="19"/>
        <v>Clear</v>
      </c>
    </row>
    <row r="444" spans="1:19" x14ac:dyDescent="0.25">
      <c r="A444">
        <v>443</v>
      </c>
      <c r="B444" s="19">
        <v>40563</v>
      </c>
      <c r="C444">
        <v>1</v>
      </c>
      <c r="D444">
        <v>1</v>
      </c>
      <c r="E444">
        <v>11</v>
      </c>
      <c r="F444" t="b">
        <v>0</v>
      </c>
      <c r="G444">
        <v>4</v>
      </c>
      <c r="H444">
        <v>2</v>
      </c>
      <c r="I444">
        <v>0.28000000000000003</v>
      </c>
      <c r="J444">
        <v>0</v>
      </c>
      <c r="K444">
        <v>0.28789999999999999</v>
      </c>
      <c r="L444">
        <v>0.81</v>
      </c>
      <c r="M444">
        <v>0</v>
      </c>
      <c r="N444">
        <v>3</v>
      </c>
      <c r="O444">
        <v>13</v>
      </c>
      <c r="P444">
        <v>16</v>
      </c>
      <c r="Q444" s="17" t="str">
        <f t="shared" si="20"/>
        <v>Weekdays</v>
      </c>
      <c r="R444" s="17" t="str">
        <f t="shared" si="18"/>
        <v>Morning</v>
      </c>
      <c r="S444" s="9" t="str">
        <f t="shared" si="19"/>
        <v>Mist</v>
      </c>
    </row>
    <row r="445" spans="1:19" x14ac:dyDescent="0.25">
      <c r="A445">
        <v>444</v>
      </c>
      <c r="B445" s="19">
        <v>40563</v>
      </c>
      <c r="C445">
        <v>1</v>
      </c>
      <c r="D445">
        <v>1</v>
      </c>
      <c r="E445">
        <v>12</v>
      </c>
      <c r="F445" t="b">
        <v>0</v>
      </c>
      <c r="G445">
        <v>4</v>
      </c>
      <c r="H445">
        <v>2</v>
      </c>
      <c r="I445">
        <v>0.3</v>
      </c>
      <c r="J445">
        <v>0</v>
      </c>
      <c r="K445">
        <v>0.28789999999999999</v>
      </c>
      <c r="L445">
        <v>0.81</v>
      </c>
      <c r="M445">
        <v>0</v>
      </c>
      <c r="N445">
        <v>3</v>
      </c>
      <c r="O445">
        <v>13</v>
      </c>
      <c r="P445">
        <v>16</v>
      </c>
      <c r="Q445" s="17" t="str">
        <f t="shared" si="20"/>
        <v>Weekdays</v>
      </c>
      <c r="R445" s="17" t="str">
        <f t="shared" si="18"/>
        <v>Afternoon</v>
      </c>
      <c r="S445" s="9" t="str">
        <f t="shared" si="19"/>
        <v>Mist</v>
      </c>
    </row>
    <row r="446" spans="1:19" x14ac:dyDescent="0.25">
      <c r="A446">
        <v>445</v>
      </c>
      <c r="B446" s="19">
        <v>40563</v>
      </c>
      <c r="C446">
        <v>1</v>
      </c>
      <c r="D446">
        <v>1</v>
      </c>
      <c r="E446">
        <v>13</v>
      </c>
      <c r="F446" t="b">
        <v>0</v>
      </c>
      <c r="G446">
        <v>4</v>
      </c>
      <c r="H446">
        <v>2</v>
      </c>
      <c r="I446">
        <v>0.28000000000000003</v>
      </c>
      <c r="J446">
        <v>0</v>
      </c>
      <c r="K446">
        <v>0.28789999999999999</v>
      </c>
      <c r="L446">
        <v>0.81</v>
      </c>
      <c r="M446">
        <v>0</v>
      </c>
      <c r="N446">
        <v>3</v>
      </c>
      <c r="O446">
        <v>13</v>
      </c>
      <c r="P446">
        <v>16</v>
      </c>
      <c r="Q446" s="17" t="str">
        <f t="shared" si="20"/>
        <v>Weekdays</v>
      </c>
      <c r="R446" s="17" t="str">
        <f t="shared" si="18"/>
        <v>Afternoon</v>
      </c>
      <c r="S446" s="9" t="str">
        <f t="shared" si="19"/>
        <v>Mist</v>
      </c>
    </row>
    <row r="447" spans="1:19" x14ac:dyDescent="0.25">
      <c r="A447">
        <v>446</v>
      </c>
      <c r="B447" s="19">
        <v>40563</v>
      </c>
      <c r="C447">
        <v>1</v>
      </c>
      <c r="D447">
        <v>1</v>
      </c>
      <c r="E447">
        <v>14</v>
      </c>
      <c r="F447" t="b">
        <v>0</v>
      </c>
      <c r="G447">
        <v>4</v>
      </c>
      <c r="H447">
        <v>2</v>
      </c>
      <c r="I447">
        <v>0.3</v>
      </c>
      <c r="J447">
        <v>0</v>
      </c>
      <c r="K447">
        <v>0.28789999999999999</v>
      </c>
      <c r="L447">
        <v>0.81</v>
      </c>
      <c r="M447">
        <v>0</v>
      </c>
      <c r="N447">
        <v>3</v>
      </c>
      <c r="O447">
        <v>13</v>
      </c>
      <c r="P447">
        <v>16</v>
      </c>
      <c r="Q447" s="17" t="str">
        <f t="shared" si="20"/>
        <v>Weekdays</v>
      </c>
      <c r="R447" s="17" t="str">
        <f t="shared" si="18"/>
        <v>Afternoon</v>
      </c>
      <c r="S447" s="9" t="str">
        <f t="shared" si="19"/>
        <v>Mist</v>
      </c>
    </row>
    <row r="448" spans="1:19" x14ac:dyDescent="0.25">
      <c r="A448">
        <v>447</v>
      </c>
      <c r="B448" s="19">
        <v>40563</v>
      </c>
      <c r="C448">
        <v>1</v>
      </c>
      <c r="D448">
        <v>1</v>
      </c>
      <c r="E448">
        <v>15</v>
      </c>
      <c r="F448" t="b">
        <v>0</v>
      </c>
      <c r="G448">
        <v>4</v>
      </c>
      <c r="H448">
        <v>2</v>
      </c>
      <c r="I448">
        <v>0.32</v>
      </c>
      <c r="J448">
        <v>0</v>
      </c>
      <c r="K448">
        <v>0.28789999999999999</v>
      </c>
      <c r="L448">
        <v>0.81</v>
      </c>
      <c r="M448">
        <v>0</v>
      </c>
      <c r="N448">
        <v>3</v>
      </c>
      <c r="O448">
        <v>13</v>
      </c>
      <c r="P448">
        <v>16</v>
      </c>
      <c r="Q448" s="17" t="str">
        <f t="shared" si="20"/>
        <v>Weekdays</v>
      </c>
      <c r="R448" s="17" t="str">
        <f t="shared" si="18"/>
        <v>Afternoon</v>
      </c>
      <c r="S448" s="9" t="str">
        <f t="shared" si="19"/>
        <v>Mist</v>
      </c>
    </row>
    <row r="449" spans="1:19" x14ac:dyDescent="0.25">
      <c r="A449">
        <v>448</v>
      </c>
      <c r="B449" s="19">
        <v>40563</v>
      </c>
      <c r="C449">
        <v>1</v>
      </c>
      <c r="D449">
        <v>1</v>
      </c>
      <c r="E449">
        <v>16</v>
      </c>
      <c r="F449" t="b">
        <v>0</v>
      </c>
      <c r="G449">
        <v>4</v>
      </c>
      <c r="H449">
        <v>2</v>
      </c>
      <c r="I449">
        <v>0.3</v>
      </c>
      <c r="J449">
        <v>0</v>
      </c>
      <c r="K449">
        <v>0.28789999999999999</v>
      </c>
      <c r="L449">
        <v>0.81</v>
      </c>
      <c r="M449">
        <v>0</v>
      </c>
      <c r="N449">
        <v>3</v>
      </c>
      <c r="O449">
        <v>13</v>
      </c>
      <c r="P449">
        <v>16</v>
      </c>
      <c r="Q449" s="17" t="str">
        <f t="shared" si="20"/>
        <v>Weekdays</v>
      </c>
      <c r="R449" s="17" t="str">
        <f t="shared" si="18"/>
        <v>Evening</v>
      </c>
      <c r="S449" s="9" t="str">
        <f t="shared" si="19"/>
        <v>Mist</v>
      </c>
    </row>
    <row r="450" spans="1:19" x14ac:dyDescent="0.25">
      <c r="A450">
        <v>449</v>
      </c>
      <c r="B450" s="19">
        <v>40563</v>
      </c>
      <c r="C450">
        <v>1</v>
      </c>
      <c r="D450">
        <v>1</v>
      </c>
      <c r="E450">
        <v>17</v>
      </c>
      <c r="F450" t="b">
        <v>0</v>
      </c>
      <c r="G450">
        <v>4</v>
      </c>
      <c r="H450">
        <v>2</v>
      </c>
      <c r="I450">
        <v>0.3</v>
      </c>
      <c r="J450">
        <v>0</v>
      </c>
      <c r="K450">
        <v>0.28789999999999999</v>
      </c>
      <c r="L450">
        <v>0.81</v>
      </c>
      <c r="M450">
        <v>0</v>
      </c>
      <c r="N450">
        <v>3</v>
      </c>
      <c r="O450">
        <v>13</v>
      </c>
      <c r="P450">
        <v>16</v>
      </c>
      <c r="Q450" s="17" t="str">
        <f t="shared" si="20"/>
        <v>Weekdays</v>
      </c>
      <c r="R450" s="17" t="str">
        <f t="shared" ref="R450:R513" si="21">IF(E450&lt;12,"Morning",IF(E450&lt;16,"Afternoon",IF(E450&lt;21,"Evening","Night")))</f>
        <v>Evening</v>
      </c>
      <c r="S450" s="9" t="str">
        <f t="shared" ref="S450:S513" si="22">IF(H450=1,"Clear",IF(H450=2,"Mist",IF(H450=3,"Light Snow/Rain","Heavy Rain/Snow")))</f>
        <v>Mist</v>
      </c>
    </row>
    <row r="451" spans="1:19" x14ac:dyDescent="0.25">
      <c r="A451">
        <v>450</v>
      </c>
      <c r="B451" s="19">
        <v>40563</v>
      </c>
      <c r="C451">
        <v>1</v>
      </c>
      <c r="D451">
        <v>1</v>
      </c>
      <c r="E451">
        <v>18</v>
      </c>
      <c r="F451" t="b">
        <v>0</v>
      </c>
      <c r="G451">
        <v>4</v>
      </c>
      <c r="H451">
        <v>2</v>
      </c>
      <c r="I451">
        <v>0.26</v>
      </c>
      <c r="J451">
        <v>0</v>
      </c>
      <c r="K451">
        <v>0.28789999999999999</v>
      </c>
      <c r="L451">
        <v>0.81</v>
      </c>
      <c r="M451">
        <v>0</v>
      </c>
      <c r="N451">
        <v>3</v>
      </c>
      <c r="O451">
        <v>13</v>
      </c>
      <c r="P451">
        <v>16</v>
      </c>
      <c r="Q451" s="17" t="str">
        <f t="shared" ref="Q451:Q514" si="23">IF(G451&gt;=5,"Weekends","Weekdays")</f>
        <v>Weekdays</v>
      </c>
      <c r="R451" s="17" t="str">
        <f t="shared" si="21"/>
        <v>Evening</v>
      </c>
      <c r="S451" s="9" t="str">
        <f t="shared" si="22"/>
        <v>Mist</v>
      </c>
    </row>
    <row r="452" spans="1:19" x14ac:dyDescent="0.25">
      <c r="A452">
        <v>451</v>
      </c>
      <c r="B452" s="19">
        <v>40563</v>
      </c>
      <c r="C452">
        <v>1</v>
      </c>
      <c r="D452">
        <v>1</v>
      </c>
      <c r="E452">
        <v>19</v>
      </c>
      <c r="F452" t="b">
        <v>0</v>
      </c>
      <c r="G452">
        <v>4</v>
      </c>
      <c r="H452">
        <v>1</v>
      </c>
      <c r="I452">
        <v>0.26</v>
      </c>
      <c r="J452">
        <v>0</v>
      </c>
      <c r="K452">
        <v>0.28789999999999999</v>
      </c>
      <c r="L452">
        <v>0.81</v>
      </c>
      <c r="M452">
        <v>0</v>
      </c>
      <c r="N452">
        <v>3</v>
      </c>
      <c r="O452">
        <v>13</v>
      </c>
      <c r="P452">
        <v>16</v>
      </c>
      <c r="Q452" s="17" t="str">
        <f t="shared" si="23"/>
        <v>Weekdays</v>
      </c>
      <c r="R452" s="17" t="str">
        <f t="shared" si="21"/>
        <v>Evening</v>
      </c>
      <c r="S452" s="9" t="str">
        <f t="shared" si="22"/>
        <v>Clear</v>
      </c>
    </row>
    <row r="453" spans="1:19" x14ac:dyDescent="0.25">
      <c r="A453">
        <v>452</v>
      </c>
      <c r="B453" s="19">
        <v>40563</v>
      </c>
      <c r="C453">
        <v>1</v>
      </c>
      <c r="D453">
        <v>1</v>
      </c>
      <c r="E453">
        <v>20</v>
      </c>
      <c r="F453" t="b">
        <v>0</v>
      </c>
      <c r="G453">
        <v>4</v>
      </c>
      <c r="H453">
        <v>2</v>
      </c>
      <c r="I453">
        <v>0.26</v>
      </c>
      <c r="J453">
        <v>0</v>
      </c>
      <c r="K453">
        <v>0.28789999999999999</v>
      </c>
      <c r="L453">
        <v>0.81</v>
      </c>
      <c r="M453">
        <v>0</v>
      </c>
      <c r="N453">
        <v>3</v>
      </c>
      <c r="O453">
        <v>13</v>
      </c>
      <c r="P453">
        <v>16</v>
      </c>
      <c r="Q453" s="17" t="str">
        <f t="shared" si="23"/>
        <v>Weekdays</v>
      </c>
      <c r="R453" s="17" t="str">
        <f t="shared" si="21"/>
        <v>Evening</v>
      </c>
      <c r="S453" s="9" t="str">
        <f t="shared" si="22"/>
        <v>Mist</v>
      </c>
    </row>
    <row r="454" spans="1:19" x14ac:dyDescent="0.25">
      <c r="A454">
        <v>453</v>
      </c>
      <c r="B454" s="19">
        <v>40563</v>
      </c>
      <c r="C454">
        <v>1</v>
      </c>
      <c r="D454">
        <v>1</v>
      </c>
      <c r="E454">
        <v>21</v>
      </c>
      <c r="F454" t="b">
        <v>0</v>
      </c>
      <c r="G454">
        <v>4</v>
      </c>
      <c r="H454">
        <v>2</v>
      </c>
      <c r="I454">
        <v>0.24</v>
      </c>
      <c r="J454">
        <v>0</v>
      </c>
      <c r="K454">
        <v>0.28789999999999999</v>
      </c>
      <c r="L454">
        <v>0.81</v>
      </c>
      <c r="M454">
        <v>0</v>
      </c>
      <c r="N454">
        <v>3</v>
      </c>
      <c r="O454">
        <v>13</v>
      </c>
      <c r="P454">
        <v>16</v>
      </c>
      <c r="Q454" s="17" t="str">
        <f t="shared" si="23"/>
        <v>Weekdays</v>
      </c>
      <c r="R454" s="17" t="str">
        <f t="shared" si="21"/>
        <v>Night</v>
      </c>
      <c r="S454" s="9" t="str">
        <f t="shared" si="22"/>
        <v>Mist</v>
      </c>
    </row>
    <row r="455" spans="1:19" x14ac:dyDescent="0.25">
      <c r="A455">
        <v>454</v>
      </c>
      <c r="B455" s="19">
        <v>40563</v>
      </c>
      <c r="C455">
        <v>1</v>
      </c>
      <c r="D455">
        <v>1</v>
      </c>
      <c r="E455">
        <v>22</v>
      </c>
      <c r="F455" t="b">
        <v>0</v>
      </c>
      <c r="G455">
        <v>4</v>
      </c>
      <c r="H455">
        <v>2</v>
      </c>
      <c r="I455">
        <v>0.24</v>
      </c>
      <c r="J455">
        <v>0</v>
      </c>
      <c r="K455">
        <v>0.28789999999999999</v>
      </c>
      <c r="L455">
        <v>0.81</v>
      </c>
      <c r="M455">
        <v>0</v>
      </c>
      <c r="N455">
        <v>3</v>
      </c>
      <c r="O455">
        <v>13</v>
      </c>
      <c r="P455">
        <v>16</v>
      </c>
      <c r="Q455" s="17" t="str">
        <f t="shared" si="23"/>
        <v>Weekdays</v>
      </c>
      <c r="R455" s="17" t="str">
        <f t="shared" si="21"/>
        <v>Night</v>
      </c>
      <c r="S455" s="9" t="str">
        <f t="shared" si="22"/>
        <v>Mist</v>
      </c>
    </row>
    <row r="456" spans="1:19" x14ac:dyDescent="0.25">
      <c r="A456">
        <v>455</v>
      </c>
      <c r="B456" s="19">
        <v>40563</v>
      </c>
      <c r="C456">
        <v>1</v>
      </c>
      <c r="D456">
        <v>1</v>
      </c>
      <c r="E456">
        <v>23</v>
      </c>
      <c r="F456" t="b">
        <v>0</v>
      </c>
      <c r="G456">
        <v>4</v>
      </c>
      <c r="H456">
        <v>2</v>
      </c>
      <c r="I456">
        <v>0.24</v>
      </c>
      <c r="J456">
        <v>0</v>
      </c>
      <c r="K456">
        <v>0.28789999999999999</v>
      </c>
      <c r="L456">
        <v>0.81</v>
      </c>
      <c r="M456">
        <v>0</v>
      </c>
      <c r="N456">
        <v>3</v>
      </c>
      <c r="O456">
        <v>13</v>
      </c>
      <c r="P456">
        <v>16</v>
      </c>
      <c r="Q456" s="17" t="str">
        <f t="shared" si="23"/>
        <v>Weekdays</v>
      </c>
      <c r="R456" s="17" t="str">
        <f t="shared" si="21"/>
        <v>Night</v>
      </c>
      <c r="S456" s="9" t="str">
        <f t="shared" si="22"/>
        <v>Mist</v>
      </c>
    </row>
    <row r="457" spans="1:19" x14ac:dyDescent="0.25">
      <c r="A457">
        <v>456</v>
      </c>
      <c r="B457" s="19">
        <v>40564</v>
      </c>
      <c r="C457">
        <v>1</v>
      </c>
      <c r="D457">
        <v>1</v>
      </c>
      <c r="E457">
        <v>0</v>
      </c>
      <c r="F457" t="b">
        <v>0</v>
      </c>
      <c r="G457">
        <v>5</v>
      </c>
      <c r="H457">
        <v>2</v>
      </c>
      <c r="I457">
        <v>0.24</v>
      </c>
      <c r="J457">
        <v>0</v>
      </c>
      <c r="K457">
        <v>0.28789999999999999</v>
      </c>
      <c r="L457">
        <v>0.81</v>
      </c>
      <c r="M457">
        <v>0</v>
      </c>
      <c r="N457">
        <v>3</v>
      </c>
      <c r="O457">
        <v>13</v>
      </c>
      <c r="P457">
        <v>16</v>
      </c>
      <c r="Q457" s="17" t="str">
        <f t="shared" si="23"/>
        <v>Weekends</v>
      </c>
      <c r="R457" s="17" t="str">
        <f t="shared" si="21"/>
        <v>Morning</v>
      </c>
      <c r="S457" s="9" t="str">
        <f t="shared" si="22"/>
        <v>Mist</v>
      </c>
    </row>
    <row r="458" spans="1:19" x14ac:dyDescent="0.25">
      <c r="A458">
        <v>457</v>
      </c>
      <c r="B458" s="19">
        <v>40564</v>
      </c>
      <c r="C458">
        <v>1</v>
      </c>
      <c r="D458">
        <v>1</v>
      </c>
      <c r="E458">
        <v>1</v>
      </c>
      <c r="F458" t="b">
        <v>0</v>
      </c>
      <c r="G458">
        <v>5</v>
      </c>
      <c r="H458">
        <v>2</v>
      </c>
      <c r="I458">
        <v>0.24</v>
      </c>
      <c r="J458">
        <v>0</v>
      </c>
      <c r="K458">
        <v>0.28789999999999999</v>
      </c>
      <c r="L458">
        <v>0.81</v>
      </c>
      <c r="M458">
        <v>0</v>
      </c>
      <c r="N458">
        <v>3</v>
      </c>
      <c r="O458">
        <v>13</v>
      </c>
      <c r="P458">
        <v>16</v>
      </c>
      <c r="Q458" s="17" t="str">
        <f t="shared" si="23"/>
        <v>Weekends</v>
      </c>
      <c r="R458" s="17" t="str">
        <f t="shared" si="21"/>
        <v>Morning</v>
      </c>
      <c r="S458" s="9" t="str">
        <f t="shared" si="22"/>
        <v>Mist</v>
      </c>
    </row>
    <row r="459" spans="1:19" x14ac:dyDescent="0.25">
      <c r="A459">
        <v>458</v>
      </c>
      <c r="B459" s="19">
        <v>40564</v>
      </c>
      <c r="C459">
        <v>1</v>
      </c>
      <c r="D459">
        <v>1</v>
      </c>
      <c r="E459">
        <v>2</v>
      </c>
      <c r="F459" t="b">
        <v>0</v>
      </c>
      <c r="G459">
        <v>5</v>
      </c>
      <c r="H459">
        <v>3</v>
      </c>
      <c r="I459">
        <v>0.24</v>
      </c>
      <c r="J459">
        <v>0</v>
      </c>
      <c r="K459">
        <v>0.28789999999999999</v>
      </c>
      <c r="L459">
        <v>0.81</v>
      </c>
      <c r="M459">
        <v>0</v>
      </c>
      <c r="N459">
        <v>3</v>
      </c>
      <c r="O459">
        <v>13</v>
      </c>
      <c r="P459">
        <v>16</v>
      </c>
      <c r="Q459" s="17" t="str">
        <f t="shared" si="23"/>
        <v>Weekends</v>
      </c>
      <c r="R459" s="17" t="str">
        <f t="shared" si="21"/>
        <v>Morning</v>
      </c>
      <c r="S459" s="9" t="str">
        <f t="shared" si="22"/>
        <v>Light Snow/Rain</v>
      </c>
    </row>
    <row r="460" spans="1:19" x14ac:dyDescent="0.25">
      <c r="A460">
        <v>459</v>
      </c>
      <c r="B460" s="19">
        <v>40564</v>
      </c>
      <c r="C460">
        <v>1</v>
      </c>
      <c r="D460">
        <v>1</v>
      </c>
      <c r="E460">
        <v>3</v>
      </c>
      <c r="F460" t="b">
        <v>0</v>
      </c>
      <c r="G460">
        <v>5</v>
      </c>
      <c r="H460">
        <v>3</v>
      </c>
      <c r="I460">
        <v>0.22</v>
      </c>
      <c r="J460">
        <v>0</v>
      </c>
      <c r="K460">
        <v>0.28789999999999999</v>
      </c>
      <c r="L460">
        <v>0.81</v>
      </c>
      <c r="M460">
        <v>0</v>
      </c>
      <c r="N460">
        <v>3</v>
      </c>
      <c r="O460">
        <v>13</v>
      </c>
      <c r="P460">
        <v>16</v>
      </c>
      <c r="Q460" s="17" t="str">
        <f t="shared" si="23"/>
        <v>Weekends</v>
      </c>
      <c r="R460" s="17" t="str">
        <f t="shared" si="21"/>
        <v>Morning</v>
      </c>
      <c r="S460" s="9" t="str">
        <f t="shared" si="22"/>
        <v>Light Snow/Rain</v>
      </c>
    </row>
    <row r="461" spans="1:19" x14ac:dyDescent="0.25">
      <c r="A461">
        <v>460</v>
      </c>
      <c r="B461" s="19">
        <v>40564</v>
      </c>
      <c r="C461">
        <v>1</v>
      </c>
      <c r="D461">
        <v>1</v>
      </c>
      <c r="E461">
        <v>4</v>
      </c>
      <c r="F461" t="b">
        <v>0</v>
      </c>
      <c r="G461">
        <v>5</v>
      </c>
      <c r="H461">
        <v>2</v>
      </c>
      <c r="I461">
        <v>0.22</v>
      </c>
      <c r="J461">
        <v>0</v>
      </c>
      <c r="K461">
        <v>0.28789999999999999</v>
      </c>
      <c r="L461">
        <v>0.81</v>
      </c>
      <c r="M461">
        <v>0</v>
      </c>
      <c r="N461">
        <v>3</v>
      </c>
      <c r="O461">
        <v>13</v>
      </c>
      <c r="P461">
        <v>16</v>
      </c>
      <c r="Q461" s="17" t="str">
        <f t="shared" si="23"/>
        <v>Weekends</v>
      </c>
      <c r="R461" s="17" t="str">
        <f t="shared" si="21"/>
        <v>Morning</v>
      </c>
      <c r="S461" s="9" t="str">
        <f t="shared" si="22"/>
        <v>Mist</v>
      </c>
    </row>
    <row r="462" spans="1:19" x14ac:dyDescent="0.25">
      <c r="A462">
        <v>461</v>
      </c>
      <c r="B462" s="19">
        <v>40564</v>
      </c>
      <c r="C462">
        <v>1</v>
      </c>
      <c r="D462">
        <v>1</v>
      </c>
      <c r="E462">
        <v>5</v>
      </c>
      <c r="F462" t="b">
        <v>0</v>
      </c>
      <c r="G462">
        <v>5</v>
      </c>
      <c r="H462">
        <v>1</v>
      </c>
      <c r="I462">
        <v>0.24</v>
      </c>
      <c r="J462">
        <v>0</v>
      </c>
      <c r="K462">
        <v>0.28789999999999999</v>
      </c>
      <c r="L462">
        <v>0.81</v>
      </c>
      <c r="M462">
        <v>0</v>
      </c>
      <c r="N462">
        <v>3</v>
      </c>
      <c r="O462">
        <v>13</v>
      </c>
      <c r="P462">
        <v>16</v>
      </c>
      <c r="Q462" s="17" t="str">
        <f t="shared" si="23"/>
        <v>Weekends</v>
      </c>
      <c r="R462" s="17" t="str">
        <f t="shared" si="21"/>
        <v>Morning</v>
      </c>
      <c r="S462" s="9" t="str">
        <f t="shared" si="22"/>
        <v>Clear</v>
      </c>
    </row>
    <row r="463" spans="1:19" x14ac:dyDescent="0.25">
      <c r="A463">
        <v>462</v>
      </c>
      <c r="B463" s="19">
        <v>40564</v>
      </c>
      <c r="C463">
        <v>1</v>
      </c>
      <c r="D463">
        <v>1</v>
      </c>
      <c r="E463">
        <v>6</v>
      </c>
      <c r="F463" t="b">
        <v>0</v>
      </c>
      <c r="G463">
        <v>5</v>
      </c>
      <c r="H463">
        <v>1</v>
      </c>
      <c r="I463">
        <v>0.22</v>
      </c>
      <c r="J463">
        <v>0</v>
      </c>
      <c r="K463">
        <v>0.28789999999999999</v>
      </c>
      <c r="L463">
        <v>0.81</v>
      </c>
      <c r="M463">
        <v>0</v>
      </c>
      <c r="N463">
        <v>3</v>
      </c>
      <c r="O463">
        <v>13</v>
      </c>
      <c r="P463">
        <v>16</v>
      </c>
      <c r="Q463" s="17" t="str">
        <f t="shared" si="23"/>
        <v>Weekends</v>
      </c>
      <c r="R463" s="17" t="str">
        <f t="shared" si="21"/>
        <v>Morning</v>
      </c>
      <c r="S463" s="9" t="str">
        <f t="shared" si="22"/>
        <v>Clear</v>
      </c>
    </row>
    <row r="464" spans="1:19" x14ac:dyDescent="0.25">
      <c r="A464">
        <v>463</v>
      </c>
      <c r="B464" s="19">
        <v>40564</v>
      </c>
      <c r="C464">
        <v>1</v>
      </c>
      <c r="D464">
        <v>1</v>
      </c>
      <c r="E464">
        <v>7</v>
      </c>
      <c r="F464" t="b">
        <v>0</v>
      </c>
      <c r="G464">
        <v>5</v>
      </c>
      <c r="H464">
        <v>1</v>
      </c>
      <c r="I464">
        <v>0.2</v>
      </c>
      <c r="J464">
        <v>0</v>
      </c>
      <c r="K464">
        <v>0.28789999999999999</v>
      </c>
      <c r="L464">
        <v>0.81</v>
      </c>
      <c r="M464">
        <v>0</v>
      </c>
      <c r="N464">
        <v>3</v>
      </c>
      <c r="O464">
        <v>13</v>
      </c>
      <c r="P464">
        <v>16</v>
      </c>
      <c r="Q464" s="17" t="str">
        <f t="shared" si="23"/>
        <v>Weekends</v>
      </c>
      <c r="R464" s="17" t="str">
        <f t="shared" si="21"/>
        <v>Morning</v>
      </c>
      <c r="S464" s="9" t="str">
        <f t="shared" si="22"/>
        <v>Clear</v>
      </c>
    </row>
    <row r="465" spans="1:19" x14ac:dyDescent="0.25">
      <c r="A465">
        <v>464</v>
      </c>
      <c r="B465" s="19">
        <v>40564</v>
      </c>
      <c r="C465">
        <v>1</v>
      </c>
      <c r="D465">
        <v>1</v>
      </c>
      <c r="E465">
        <v>8</v>
      </c>
      <c r="F465" t="b">
        <v>0</v>
      </c>
      <c r="G465">
        <v>5</v>
      </c>
      <c r="H465">
        <v>1</v>
      </c>
      <c r="I465">
        <v>0.2</v>
      </c>
      <c r="J465">
        <v>0</v>
      </c>
      <c r="K465">
        <v>0.28789999999999999</v>
      </c>
      <c r="L465">
        <v>0.81</v>
      </c>
      <c r="M465">
        <v>0</v>
      </c>
      <c r="N465">
        <v>3</v>
      </c>
      <c r="O465">
        <v>13</v>
      </c>
      <c r="P465">
        <v>16</v>
      </c>
      <c r="Q465" s="17" t="str">
        <f t="shared" si="23"/>
        <v>Weekends</v>
      </c>
      <c r="R465" s="17" t="str">
        <f t="shared" si="21"/>
        <v>Morning</v>
      </c>
      <c r="S465" s="9" t="str">
        <f t="shared" si="22"/>
        <v>Clear</v>
      </c>
    </row>
    <row r="466" spans="1:19" x14ac:dyDescent="0.25">
      <c r="A466">
        <v>465</v>
      </c>
      <c r="B466" s="19">
        <v>40564</v>
      </c>
      <c r="C466">
        <v>1</v>
      </c>
      <c r="D466">
        <v>1</v>
      </c>
      <c r="E466">
        <v>9</v>
      </c>
      <c r="F466" t="b">
        <v>0</v>
      </c>
      <c r="G466">
        <v>5</v>
      </c>
      <c r="H466">
        <v>1</v>
      </c>
      <c r="I466">
        <v>0.2</v>
      </c>
      <c r="J466">
        <v>0</v>
      </c>
      <c r="K466">
        <v>0.28789999999999999</v>
      </c>
      <c r="L466">
        <v>0.81</v>
      </c>
      <c r="M466">
        <v>0</v>
      </c>
      <c r="N466">
        <v>3</v>
      </c>
      <c r="O466">
        <v>13</v>
      </c>
      <c r="P466">
        <v>16</v>
      </c>
      <c r="Q466" s="17" t="str">
        <f t="shared" si="23"/>
        <v>Weekends</v>
      </c>
      <c r="R466" s="17" t="str">
        <f t="shared" si="21"/>
        <v>Morning</v>
      </c>
      <c r="S466" s="9" t="str">
        <f t="shared" si="22"/>
        <v>Clear</v>
      </c>
    </row>
    <row r="467" spans="1:19" x14ac:dyDescent="0.25">
      <c r="A467">
        <v>466</v>
      </c>
      <c r="B467" s="19">
        <v>40564</v>
      </c>
      <c r="C467">
        <v>1</v>
      </c>
      <c r="D467">
        <v>1</v>
      </c>
      <c r="E467">
        <v>10</v>
      </c>
      <c r="F467" t="b">
        <v>0</v>
      </c>
      <c r="G467">
        <v>5</v>
      </c>
      <c r="H467">
        <v>1</v>
      </c>
      <c r="I467">
        <v>0.2</v>
      </c>
      <c r="J467">
        <v>0</v>
      </c>
      <c r="K467">
        <v>0.28789999999999999</v>
      </c>
      <c r="L467">
        <v>0.81</v>
      </c>
      <c r="M467">
        <v>0</v>
      </c>
      <c r="N467">
        <v>3</v>
      </c>
      <c r="O467">
        <v>13</v>
      </c>
      <c r="P467">
        <v>16</v>
      </c>
      <c r="Q467" s="17" t="str">
        <f t="shared" si="23"/>
        <v>Weekends</v>
      </c>
      <c r="R467" s="17" t="str">
        <f t="shared" si="21"/>
        <v>Morning</v>
      </c>
      <c r="S467" s="9" t="str">
        <f t="shared" si="22"/>
        <v>Clear</v>
      </c>
    </row>
    <row r="468" spans="1:19" x14ac:dyDescent="0.25">
      <c r="A468">
        <v>467</v>
      </c>
      <c r="B468" s="19">
        <v>40564</v>
      </c>
      <c r="C468">
        <v>1</v>
      </c>
      <c r="D468">
        <v>1</v>
      </c>
      <c r="E468">
        <v>11</v>
      </c>
      <c r="F468" t="b">
        <v>0</v>
      </c>
      <c r="G468">
        <v>5</v>
      </c>
      <c r="H468">
        <v>1</v>
      </c>
      <c r="I468">
        <v>0.22</v>
      </c>
      <c r="J468">
        <v>0</v>
      </c>
      <c r="K468">
        <v>0.28789999999999999</v>
      </c>
      <c r="L468">
        <v>0.81</v>
      </c>
      <c r="M468">
        <v>0</v>
      </c>
      <c r="N468">
        <v>3</v>
      </c>
      <c r="O468">
        <v>13</v>
      </c>
      <c r="P468">
        <v>16</v>
      </c>
      <c r="Q468" s="17" t="str">
        <f t="shared" si="23"/>
        <v>Weekends</v>
      </c>
      <c r="R468" s="17" t="str">
        <f t="shared" si="21"/>
        <v>Morning</v>
      </c>
      <c r="S468" s="9" t="str">
        <f t="shared" si="22"/>
        <v>Clear</v>
      </c>
    </row>
    <row r="469" spans="1:19" x14ac:dyDescent="0.25">
      <c r="A469">
        <v>468</v>
      </c>
      <c r="B469" s="19">
        <v>40564</v>
      </c>
      <c r="C469">
        <v>1</v>
      </c>
      <c r="D469">
        <v>1</v>
      </c>
      <c r="E469">
        <v>12</v>
      </c>
      <c r="F469" t="b">
        <v>0</v>
      </c>
      <c r="G469">
        <v>5</v>
      </c>
      <c r="H469">
        <v>1</v>
      </c>
      <c r="I469">
        <v>0.22</v>
      </c>
      <c r="J469">
        <v>0</v>
      </c>
      <c r="K469">
        <v>0.28789999999999999</v>
      </c>
      <c r="L469">
        <v>0.81</v>
      </c>
      <c r="M469">
        <v>0</v>
      </c>
      <c r="N469">
        <v>3</v>
      </c>
      <c r="O469">
        <v>13</v>
      </c>
      <c r="P469">
        <v>16</v>
      </c>
      <c r="Q469" s="17" t="str">
        <f t="shared" si="23"/>
        <v>Weekends</v>
      </c>
      <c r="R469" s="17" t="str">
        <f t="shared" si="21"/>
        <v>Afternoon</v>
      </c>
      <c r="S469" s="9" t="str">
        <f t="shared" si="22"/>
        <v>Clear</v>
      </c>
    </row>
    <row r="470" spans="1:19" x14ac:dyDescent="0.25">
      <c r="A470">
        <v>469</v>
      </c>
      <c r="B470" s="19">
        <v>40564</v>
      </c>
      <c r="C470">
        <v>1</v>
      </c>
      <c r="D470">
        <v>1</v>
      </c>
      <c r="E470">
        <v>13</v>
      </c>
      <c r="F470" t="b">
        <v>0</v>
      </c>
      <c r="G470">
        <v>5</v>
      </c>
      <c r="H470">
        <v>1</v>
      </c>
      <c r="I470">
        <v>0.2</v>
      </c>
      <c r="J470">
        <v>0</v>
      </c>
      <c r="K470">
        <v>0.28789999999999999</v>
      </c>
      <c r="L470">
        <v>0.81</v>
      </c>
      <c r="M470">
        <v>0</v>
      </c>
      <c r="N470">
        <v>3</v>
      </c>
      <c r="O470">
        <v>13</v>
      </c>
      <c r="P470">
        <v>16</v>
      </c>
      <c r="Q470" s="17" t="str">
        <f t="shared" si="23"/>
        <v>Weekends</v>
      </c>
      <c r="R470" s="17" t="str">
        <f t="shared" si="21"/>
        <v>Afternoon</v>
      </c>
      <c r="S470" s="9" t="str">
        <f t="shared" si="22"/>
        <v>Clear</v>
      </c>
    </row>
    <row r="471" spans="1:19" x14ac:dyDescent="0.25">
      <c r="A471">
        <v>470</v>
      </c>
      <c r="B471" s="19">
        <v>40564</v>
      </c>
      <c r="C471">
        <v>1</v>
      </c>
      <c r="D471">
        <v>1</v>
      </c>
      <c r="E471">
        <v>14</v>
      </c>
      <c r="F471" t="b">
        <v>0</v>
      </c>
      <c r="G471">
        <v>5</v>
      </c>
      <c r="H471">
        <v>1</v>
      </c>
      <c r="I471">
        <v>0.2</v>
      </c>
      <c r="J471">
        <v>0</v>
      </c>
      <c r="K471">
        <v>0.28789999999999999</v>
      </c>
      <c r="L471">
        <v>0.81</v>
      </c>
      <c r="M471">
        <v>0</v>
      </c>
      <c r="N471">
        <v>3</v>
      </c>
      <c r="O471">
        <v>13</v>
      </c>
      <c r="P471">
        <v>16</v>
      </c>
      <c r="Q471" s="17" t="str">
        <f t="shared" si="23"/>
        <v>Weekends</v>
      </c>
      <c r="R471" s="17" t="str">
        <f t="shared" si="21"/>
        <v>Afternoon</v>
      </c>
      <c r="S471" s="9" t="str">
        <f t="shared" si="22"/>
        <v>Clear</v>
      </c>
    </row>
    <row r="472" spans="1:19" x14ac:dyDescent="0.25">
      <c r="A472">
        <v>471</v>
      </c>
      <c r="B472" s="19">
        <v>40564</v>
      </c>
      <c r="C472">
        <v>1</v>
      </c>
      <c r="D472">
        <v>1</v>
      </c>
      <c r="E472">
        <v>15</v>
      </c>
      <c r="F472" t="b">
        <v>0</v>
      </c>
      <c r="G472">
        <v>5</v>
      </c>
      <c r="H472">
        <v>1</v>
      </c>
      <c r="I472">
        <v>0.16</v>
      </c>
      <c r="J472">
        <v>0</v>
      </c>
      <c r="K472">
        <v>0.28789999999999999</v>
      </c>
      <c r="L472">
        <v>0.81</v>
      </c>
      <c r="M472">
        <v>0</v>
      </c>
      <c r="N472">
        <v>3</v>
      </c>
      <c r="O472">
        <v>13</v>
      </c>
      <c r="P472">
        <v>16</v>
      </c>
      <c r="Q472" s="17" t="str">
        <f t="shared" si="23"/>
        <v>Weekends</v>
      </c>
      <c r="R472" s="17" t="str">
        <f t="shared" si="21"/>
        <v>Afternoon</v>
      </c>
      <c r="S472" s="9" t="str">
        <f t="shared" si="22"/>
        <v>Clear</v>
      </c>
    </row>
    <row r="473" spans="1:19" x14ac:dyDescent="0.25">
      <c r="A473">
        <v>472</v>
      </c>
      <c r="B473" s="19">
        <v>40564</v>
      </c>
      <c r="C473">
        <v>1</v>
      </c>
      <c r="D473">
        <v>1</v>
      </c>
      <c r="E473">
        <v>16</v>
      </c>
      <c r="F473" t="b">
        <v>0</v>
      </c>
      <c r="G473">
        <v>5</v>
      </c>
      <c r="H473">
        <v>1</v>
      </c>
      <c r="I473">
        <v>0.16</v>
      </c>
      <c r="J473">
        <v>0</v>
      </c>
      <c r="K473">
        <v>0.28789999999999999</v>
      </c>
      <c r="L473">
        <v>0.81</v>
      </c>
      <c r="M473">
        <v>0</v>
      </c>
      <c r="N473">
        <v>3</v>
      </c>
      <c r="O473">
        <v>13</v>
      </c>
      <c r="P473">
        <v>16</v>
      </c>
      <c r="Q473" s="17" t="str">
        <f t="shared" si="23"/>
        <v>Weekends</v>
      </c>
      <c r="R473" s="17" t="str">
        <f t="shared" si="21"/>
        <v>Evening</v>
      </c>
      <c r="S473" s="9" t="str">
        <f t="shared" si="22"/>
        <v>Clear</v>
      </c>
    </row>
    <row r="474" spans="1:19" x14ac:dyDescent="0.25">
      <c r="A474">
        <v>473</v>
      </c>
      <c r="B474" s="19">
        <v>40564</v>
      </c>
      <c r="C474">
        <v>1</v>
      </c>
      <c r="D474">
        <v>1</v>
      </c>
      <c r="E474">
        <v>17</v>
      </c>
      <c r="F474" t="b">
        <v>0</v>
      </c>
      <c r="G474">
        <v>5</v>
      </c>
      <c r="H474">
        <v>1</v>
      </c>
      <c r="I474">
        <v>0.14000000000000001</v>
      </c>
      <c r="J474">
        <v>0</v>
      </c>
      <c r="K474">
        <v>0.28789999999999999</v>
      </c>
      <c r="L474">
        <v>0.81</v>
      </c>
      <c r="M474">
        <v>0</v>
      </c>
      <c r="N474">
        <v>3</v>
      </c>
      <c r="O474">
        <v>13</v>
      </c>
      <c r="P474">
        <v>16</v>
      </c>
      <c r="Q474" s="17" t="str">
        <f t="shared" si="23"/>
        <v>Weekends</v>
      </c>
      <c r="R474" s="17" t="str">
        <f t="shared" si="21"/>
        <v>Evening</v>
      </c>
      <c r="S474" s="9" t="str">
        <f t="shared" si="22"/>
        <v>Clear</v>
      </c>
    </row>
    <row r="475" spans="1:19" x14ac:dyDescent="0.25">
      <c r="A475">
        <v>474</v>
      </c>
      <c r="B475" s="19">
        <v>40564</v>
      </c>
      <c r="C475">
        <v>1</v>
      </c>
      <c r="D475">
        <v>1</v>
      </c>
      <c r="E475">
        <v>18</v>
      </c>
      <c r="F475" t="b">
        <v>0</v>
      </c>
      <c r="G475">
        <v>5</v>
      </c>
      <c r="H475">
        <v>1</v>
      </c>
      <c r="I475">
        <v>0.12</v>
      </c>
      <c r="J475">
        <v>0</v>
      </c>
      <c r="K475">
        <v>0.28789999999999999</v>
      </c>
      <c r="L475">
        <v>0.81</v>
      </c>
      <c r="M475">
        <v>0</v>
      </c>
      <c r="N475">
        <v>3</v>
      </c>
      <c r="O475">
        <v>13</v>
      </c>
      <c r="P475">
        <v>16</v>
      </c>
      <c r="Q475" s="17" t="str">
        <f t="shared" si="23"/>
        <v>Weekends</v>
      </c>
      <c r="R475" s="17" t="str">
        <f t="shared" si="21"/>
        <v>Evening</v>
      </c>
      <c r="S475" s="9" t="str">
        <f t="shared" si="22"/>
        <v>Clear</v>
      </c>
    </row>
    <row r="476" spans="1:19" x14ac:dyDescent="0.25">
      <c r="A476">
        <v>475</v>
      </c>
      <c r="B476" s="19">
        <v>40564</v>
      </c>
      <c r="C476">
        <v>1</v>
      </c>
      <c r="D476">
        <v>1</v>
      </c>
      <c r="E476">
        <v>19</v>
      </c>
      <c r="F476" t="b">
        <v>0</v>
      </c>
      <c r="G476">
        <v>5</v>
      </c>
      <c r="H476">
        <v>1</v>
      </c>
      <c r="I476">
        <v>0.12</v>
      </c>
      <c r="J476">
        <v>0</v>
      </c>
      <c r="K476">
        <v>0.28789999999999999</v>
      </c>
      <c r="L476">
        <v>0.81</v>
      </c>
      <c r="M476">
        <v>0</v>
      </c>
      <c r="N476">
        <v>3</v>
      </c>
      <c r="O476">
        <v>13</v>
      </c>
      <c r="P476">
        <v>16</v>
      </c>
      <c r="Q476" s="17" t="str">
        <f t="shared" si="23"/>
        <v>Weekends</v>
      </c>
      <c r="R476" s="17" t="str">
        <f t="shared" si="21"/>
        <v>Evening</v>
      </c>
      <c r="S476" s="9" t="str">
        <f t="shared" si="22"/>
        <v>Clear</v>
      </c>
    </row>
    <row r="477" spans="1:19" x14ac:dyDescent="0.25">
      <c r="A477">
        <v>476</v>
      </c>
      <c r="B477" s="19">
        <v>40564</v>
      </c>
      <c r="C477">
        <v>1</v>
      </c>
      <c r="D477">
        <v>1</v>
      </c>
      <c r="E477">
        <v>20</v>
      </c>
      <c r="F477" t="b">
        <v>0</v>
      </c>
      <c r="G477">
        <v>5</v>
      </c>
      <c r="H477">
        <v>1</v>
      </c>
      <c r="I477">
        <v>0.1</v>
      </c>
      <c r="J477">
        <v>0</v>
      </c>
      <c r="K477">
        <v>0.28789999999999999</v>
      </c>
      <c r="L477">
        <v>0.81</v>
      </c>
      <c r="M477">
        <v>0</v>
      </c>
      <c r="N477">
        <v>3</v>
      </c>
      <c r="O477">
        <v>13</v>
      </c>
      <c r="P477">
        <v>16</v>
      </c>
      <c r="Q477" s="17" t="str">
        <f t="shared" si="23"/>
        <v>Weekends</v>
      </c>
      <c r="R477" s="17" t="str">
        <f t="shared" si="21"/>
        <v>Evening</v>
      </c>
      <c r="S477" s="9" t="str">
        <f t="shared" si="22"/>
        <v>Clear</v>
      </c>
    </row>
    <row r="478" spans="1:19" x14ac:dyDescent="0.25">
      <c r="A478">
        <v>477</v>
      </c>
      <c r="B478" s="19">
        <v>40564</v>
      </c>
      <c r="C478">
        <v>1</v>
      </c>
      <c r="D478">
        <v>1</v>
      </c>
      <c r="E478">
        <v>21</v>
      </c>
      <c r="F478" t="b">
        <v>0</v>
      </c>
      <c r="G478">
        <v>5</v>
      </c>
      <c r="H478">
        <v>1</v>
      </c>
      <c r="I478">
        <v>0.08</v>
      </c>
      <c r="J478">
        <v>0</v>
      </c>
      <c r="K478">
        <v>0.28789999999999999</v>
      </c>
      <c r="L478">
        <v>0.81</v>
      </c>
      <c r="M478">
        <v>0</v>
      </c>
      <c r="N478">
        <v>3</v>
      </c>
      <c r="O478">
        <v>13</v>
      </c>
      <c r="P478">
        <v>16</v>
      </c>
      <c r="Q478" s="17" t="str">
        <f t="shared" si="23"/>
        <v>Weekends</v>
      </c>
      <c r="R478" s="17" t="str">
        <f t="shared" si="21"/>
        <v>Night</v>
      </c>
      <c r="S478" s="9" t="str">
        <f t="shared" si="22"/>
        <v>Clear</v>
      </c>
    </row>
    <row r="479" spans="1:19" x14ac:dyDescent="0.25">
      <c r="A479">
        <v>478</v>
      </c>
      <c r="B479" s="19">
        <v>40564</v>
      </c>
      <c r="C479">
        <v>1</v>
      </c>
      <c r="D479">
        <v>1</v>
      </c>
      <c r="E479">
        <v>22</v>
      </c>
      <c r="F479" t="b">
        <v>0</v>
      </c>
      <c r="G479">
        <v>5</v>
      </c>
      <c r="H479">
        <v>1</v>
      </c>
      <c r="I479">
        <v>0.06</v>
      </c>
      <c r="J479">
        <v>0</v>
      </c>
      <c r="K479">
        <v>0.28789999999999999</v>
      </c>
      <c r="L479">
        <v>0.81</v>
      </c>
      <c r="M479">
        <v>0</v>
      </c>
      <c r="N479">
        <v>3</v>
      </c>
      <c r="O479">
        <v>13</v>
      </c>
      <c r="P479">
        <v>16</v>
      </c>
      <c r="Q479" s="17" t="str">
        <f t="shared" si="23"/>
        <v>Weekends</v>
      </c>
      <c r="R479" s="17" t="str">
        <f t="shared" si="21"/>
        <v>Night</v>
      </c>
      <c r="S479" s="9" t="str">
        <f t="shared" si="22"/>
        <v>Clear</v>
      </c>
    </row>
    <row r="480" spans="1:19" x14ac:dyDescent="0.25">
      <c r="A480">
        <v>479</v>
      </c>
      <c r="B480" s="19">
        <v>40564</v>
      </c>
      <c r="C480">
        <v>1</v>
      </c>
      <c r="D480">
        <v>1</v>
      </c>
      <c r="E480">
        <v>23</v>
      </c>
      <c r="F480" t="b">
        <v>0</v>
      </c>
      <c r="G480">
        <v>5</v>
      </c>
      <c r="H480">
        <v>1</v>
      </c>
      <c r="I480">
        <v>0.06</v>
      </c>
      <c r="J480">
        <v>0</v>
      </c>
      <c r="K480">
        <v>0.28789999999999999</v>
      </c>
      <c r="L480">
        <v>0.81</v>
      </c>
      <c r="M480">
        <v>0</v>
      </c>
      <c r="N480">
        <v>3</v>
      </c>
      <c r="O480">
        <v>13</v>
      </c>
      <c r="P480">
        <v>16</v>
      </c>
      <c r="Q480" s="17" t="str">
        <f t="shared" si="23"/>
        <v>Weekends</v>
      </c>
      <c r="R480" s="17" t="str">
        <f t="shared" si="21"/>
        <v>Night</v>
      </c>
      <c r="S480" s="9" t="str">
        <f t="shared" si="22"/>
        <v>Clear</v>
      </c>
    </row>
    <row r="481" spans="1:19" x14ac:dyDescent="0.25">
      <c r="A481">
        <v>480</v>
      </c>
      <c r="B481" s="19">
        <v>40565</v>
      </c>
      <c r="C481">
        <v>1</v>
      </c>
      <c r="D481">
        <v>1</v>
      </c>
      <c r="E481">
        <v>0</v>
      </c>
      <c r="F481" t="b">
        <v>0</v>
      </c>
      <c r="G481">
        <v>6</v>
      </c>
      <c r="H481">
        <v>1</v>
      </c>
      <c r="I481">
        <v>0.04</v>
      </c>
      <c r="J481">
        <v>0</v>
      </c>
      <c r="K481">
        <v>0.28789999999999999</v>
      </c>
      <c r="L481">
        <v>0.81</v>
      </c>
      <c r="M481">
        <v>0</v>
      </c>
      <c r="N481">
        <v>3</v>
      </c>
      <c r="O481">
        <v>13</v>
      </c>
      <c r="P481">
        <v>16</v>
      </c>
      <c r="Q481" s="17" t="str">
        <f t="shared" si="23"/>
        <v>Weekends</v>
      </c>
      <c r="R481" s="17" t="str">
        <f t="shared" si="21"/>
        <v>Morning</v>
      </c>
      <c r="S481" s="9" t="str">
        <f t="shared" si="22"/>
        <v>Clear</v>
      </c>
    </row>
    <row r="482" spans="1:19" x14ac:dyDescent="0.25">
      <c r="A482">
        <v>481</v>
      </c>
      <c r="B482" s="19">
        <v>40565</v>
      </c>
      <c r="C482">
        <v>1</v>
      </c>
      <c r="D482">
        <v>1</v>
      </c>
      <c r="E482">
        <v>1</v>
      </c>
      <c r="F482" t="b">
        <v>0</v>
      </c>
      <c r="G482">
        <v>6</v>
      </c>
      <c r="H482">
        <v>2</v>
      </c>
      <c r="I482">
        <v>0.04</v>
      </c>
      <c r="J482">
        <v>0</v>
      </c>
      <c r="K482">
        <v>0.28789999999999999</v>
      </c>
      <c r="L482">
        <v>0.81</v>
      </c>
      <c r="M482">
        <v>0</v>
      </c>
      <c r="N482">
        <v>3</v>
      </c>
      <c r="O482">
        <v>13</v>
      </c>
      <c r="P482">
        <v>16</v>
      </c>
      <c r="Q482" s="17" t="str">
        <f t="shared" si="23"/>
        <v>Weekends</v>
      </c>
      <c r="R482" s="17" t="str">
        <f t="shared" si="21"/>
        <v>Morning</v>
      </c>
      <c r="S482" s="9" t="str">
        <f t="shared" si="22"/>
        <v>Mist</v>
      </c>
    </row>
    <row r="483" spans="1:19" x14ac:dyDescent="0.25">
      <c r="A483">
        <v>482</v>
      </c>
      <c r="B483" s="19">
        <v>40565</v>
      </c>
      <c r="C483">
        <v>1</v>
      </c>
      <c r="D483">
        <v>1</v>
      </c>
      <c r="E483">
        <v>2</v>
      </c>
      <c r="F483" t="b">
        <v>0</v>
      </c>
      <c r="G483">
        <v>6</v>
      </c>
      <c r="H483">
        <v>2</v>
      </c>
      <c r="I483">
        <v>0.04</v>
      </c>
      <c r="J483">
        <v>0</v>
      </c>
      <c r="K483">
        <v>0.28789999999999999</v>
      </c>
      <c r="L483">
        <v>0.81</v>
      </c>
      <c r="M483">
        <v>0</v>
      </c>
      <c r="N483">
        <v>3</v>
      </c>
      <c r="O483">
        <v>13</v>
      </c>
      <c r="P483">
        <v>16</v>
      </c>
      <c r="Q483" s="17" t="str">
        <f t="shared" si="23"/>
        <v>Weekends</v>
      </c>
      <c r="R483" s="17" t="str">
        <f t="shared" si="21"/>
        <v>Morning</v>
      </c>
      <c r="S483" s="9" t="str">
        <f t="shared" si="22"/>
        <v>Mist</v>
      </c>
    </row>
    <row r="484" spans="1:19" x14ac:dyDescent="0.25">
      <c r="A484">
        <v>483</v>
      </c>
      <c r="B484" s="19">
        <v>40565</v>
      </c>
      <c r="C484">
        <v>1</v>
      </c>
      <c r="D484">
        <v>1</v>
      </c>
      <c r="E484">
        <v>3</v>
      </c>
      <c r="F484" t="b">
        <v>0</v>
      </c>
      <c r="G484">
        <v>6</v>
      </c>
      <c r="H484">
        <v>2</v>
      </c>
      <c r="I484">
        <v>0.04</v>
      </c>
      <c r="J484">
        <v>0</v>
      </c>
      <c r="K484">
        <v>0.28789999999999999</v>
      </c>
      <c r="L484">
        <v>0.81</v>
      </c>
      <c r="M484">
        <v>0</v>
      </c>
      <c r="N484">
        <v>3</v>
      </c>
      <c r="O484">
        <v>13</v>
      </c>
      <c r="P484">
        <v>16</v>
      </c>
      <c r="Q484" s="17" t="str">
        <f t="shared" si="23"/>
        <v>Weekends</v>
      </c>
      <c r="R484" s="17" t="str">
        <f t="shared" si="21"/>
        <v>Morning</v>
      </c>
      <c r="S484" s="9" t="str">
        <f t="shared" si="22"/>
        <v>Mist</v>
      </c>
    </row>
    <row r="485" spans="1:19" x14ac:dyDescent="0.25">
      <c r="A485">
        <v>484</v>
      </c>
      <c r="B485" s="19">
        <v>40565</v>
      </c>
      <c r="C485">
        <v>1</v>
      </c>
      <c r="D485">
        <v>1</v>
      </c>
      <c r="E485">
        <v>4</v>
      </c>
      <c r="F485" t="b">
        <v>0</v>
      </c>
      <c r="G485">
        <v>6</v>
      </c>
      <c r="H485">
        <v>2</v>
      </c>
      <c r="I485">
        <v>0.02</v>
      </c>
      <c r="J485">
        <v>0</v>
      </c>
      <c r="K485">
        <v>0.28789999999999999</v>
      </c>
      <c r="L485">
        <v>0.81</v>
      </c>
      <c r="M485">
        <v>0</v>
      </c>
      <c r="N485">
        <v>3</v>
      </c>
      <c r="O485">
        <v>13</v>
      </c>
      <c r="P485">
        <v>16</v>
      </c>
      <c r="Q485" s="17" t="str">
        <f t="shared" si="23"/>
        <v>Weekends</v>
      </c>
      <c r="R485" s="17" t="str">
        <f t="shared" si="21"/>
        <v>Morning</v>
      </c>
      <c r="S485" s="9" t="str">
        <f t="shared" si="22"/>
        <v>Mist</v>
      </c>
    </row>
    <row r="486" spans="1:19" x14ac:dyDescent="0.25">
      <c r="A486">
        <v>485</v>
      </c>
      <c r="B486" s="19">
        <v>40565</v>
      </c>
      <c r="C486">
        <v>1</v>
      </c>
      <c r="D486">
        <v>1</v>
      </c>
      <c r="E486">
        <v>6</v>
      </c>
      <c r="F486" t="b">
        <v>0</v>
      </c>
      <c r="G486">
        <v>6</v>
      </c>
      <c r="H486">
        <v>2</v>
      </c>
      <c r="I486">
        <v>0.02</v>
      </c>
      <c r="J486">
        <v>0</v>
      </c>
      <c r="K486">
        <v>0.28789999999999999</v>
      </c>
      <c r="L486">
        <v>0.81</v>
      </c>
      <c r="M486">
        <v>0</v>
      </c>
      <c r="N486">
        <v>3</v>
      </c>
      <c r="O486">
        <v>13</v>
      </c>
      <c r="P486">
        <v>16</v>
      </c>
      <c r="Q486" s="17" t="str">
        <f t="shared" si="23"/>
        <v>Weekends</v>
      </c>
      <c r="R486" s="17" t="str">
        <f t="shared" si="21"/>
        <v>Morning</v>
      </c>
      <c r="S486" s="9" t="str">
        <f t="shared" si="22"/>
        <v>Mist</v>
      </c>
    </row>
    <row r="487" spans="1:19" x14ac:dyDescent="0.25">
      <c r="A487">
        <v>486</v>
      </c>
      <c r="B487" s="19">
        <v>40565</v>
      </c>
      <c r="C487">
        <v>1</v>
      </c>
      <c r="D487">
        <v>1</v>
      </c>
      <c r="E487">
        <v>7</v>
      </c>
      <c r="F487" t="b">
        <v>0</v>
      </c>
      <c r="G487">
        <v>6</v>
      </c>
      <c r="H487">
        <v>1</v>
      </c>
      <c r="I487">
        <v>0.02</v>
      </c>
      <c r="J487">
        <v>0</v>
      </c>
      <c r="K487">
        <v>0.28789999999999999</v>
      </c>
      <c r="L487">
        <v>0.81</v>
      </c>
      <c r="M487">
        <v>0</v>
      </c>
      <c r="N487">
        <v>3</v>
      </c>
      <c r="O487">
        <v>13</v>
      </c>
      <c r="P487">
        <v>16</v>
      </c>
      <c r="Q487" s="17" t="str">
        <f t="shared" si="23"/>
        <v>Weekends</v>
      </c>
      <c r="R487" s="17" t="str">
        <f t="shared" si="21"/>
        <v>Morning</v>
      </c>
      <c r="S487" s="9" t="str">
        <f t="shared" si="22"/>
        <v>Clear</v>
      </c>
    </row>
    <row r="488" spans="1:19" x14ac:dyDescent="0.25">
      <c r="A488">
        <v>487</v>
      </c>
      <c r="B488" s="19">
        <v>40565</v>
      </c>
      <c r="C488">
        <v>1</v>
      </c>
      <c r="D488">
        <v>1</v>
      </c>
      <c r="E488">
        <v>8</v>
      </c>
      <c r="F488" t="b">
        <v>0</v>
      </c>
      <c r="G488">
        <v>6</v>
      </c>
      <c r="H488">
        <v>1</v>
      </c>
      <c r="I488">
        <v>0.02</v>
      </c>
      <c r="J488">
        <v>0</v>
      </c>
      <c r="K488">
        <v>0.28789999999999999</v>
      </c>
      <c r="L488">
        <v>0.81</v>
      </c>
      <c r="M488">
        <v>0</v>
      </c>
      <c r="N488">
        <v>3</v>
      </c>
      <c r="O488">
        <v>13</v>
      </c>
      <c r="P488">
        <v>16</v>
      </c>
      <c r="Q488" s="17" t="str">
        <f t="shared" si="23"/>
        <v>Weekends</v>
      </c>
      <c r="R488" s="17" t="str">
        <f t="shared" si="21"/>
        <v>Morning</v>
      </c>
      <c r="S488" s="9" t="str">
        <f t="shared" si="22"/>
        <v>Clear</v>
      </c>
    </row>
    <row r="489" spans="1:19" x14ac:dyDescent="0.25">
      <c r="A489">
        <v>488</v>
      </c>
      <c r="B489" s="19">
        <v>40565</v>
      </c>
      <c r="C489">
        <v>1</v>
      </c>
      <c r="D489">
        <v>1</v>
      </c>
      <c r="E489">
        <v>9</v>
      </c>
      <c r="F489" t="b">
        <v>0</v>
      </c>
      <c r="G489">
        <v>6</v>
      </c>
      <c r="H489">
        <v>1</v>
      </c>
      <c r="I489">
        <v>0.04</v>
      </c>
      <c r="J489">
        <v>0</v>
      </c>
      <c r="K489">
        <v>0.28789999999999999</v>
      </c>
      <c r="L489">
        <v>0.81</v>
      </c>
      <c r="M489">
        <v>0</v>
      </c>
      <c r="N489">
        <v>3</v>
      </c>
      <c r="O489">
        <v>13</v>
      </c>
      <c r="P489">
        <v>16</v>
      </c>
      <c r="Q489" s="17" t="str">
        <f t="shared" si="23"/>
        <v>Weekends</v>
      </c>
      <c r="R489" s="17" t="str">
        <f t="shared" si="21"/>
        <v>Morning</v>
      </c>
      <c r="S489" s="9" t="str">
        <f t="shared" si="22"/>
        <v>Clear</v>
      </c>
    </row>
    <row r="490" spans="1:19" x14ac:dyDescent="0.25">
      <c r="A490">
        <v>489</v>
      </c>
      <c r="B490" s="19">
        <v>40565</v>
      </c>
      <c r="C490">
        <v>1</v>
      </c>
      <c r="D490">
        <v>1</v>
      </c>
      <c r="E490">
        <v>10</v>
      </c>
      <c r="F490" t="b">
        <v>0</v>
      </c>
      <c r="G490">
        <v>6</v>
      </c>
      <c r="H490">
        <v>2</v>
      </c>
      <c r="I490">
        <v>0.04</v>
      </c>
      <c r="J490">
        <v>0</v>
      </c>
      <c r="K490">
        <v>0.28789999999999999</v>
      </c>
      <c r="L490">
        <v>0.81</v>
      </c>
      <c r="M490">
        <v>0</v>
      </c>
      <c r="N490">
        <v>3</v>
      </c>
      <c r="O490">
        <v>13</v>
      </c>
      <c r="P490">
        <v>16</v>
      </c>
      <c r="Q490" s="17" t="str">
        <f t="shared" si="23"/>
        <v>Weekends</v>
      </c>
      <c r="R490" s="17" t="str">
        <f t="shared" si="21"/>
        <v>Morning</v>
      </c>
      <c r="S490" s="9" t="str">
        <f t="shared" si="22"/>
        <v>Mist</v>
      </c>
    </row>
    <row r="491" spans="1:19" x14ac:dyDescent="0.25">
      <c r="A491">
        <v>490</v>
      </c>
      <c r="B491" s="19">
        <v>40565</v>
      </c>
      <c r="C491">
        <v>1</v>
      </c>
      <c r="D491">
        <v>1</v>
      </c>
      <c r="E491">
        <v>11</v>
      </c>
      <c r="F491" t="b">
        <v>0</v>
      </c>
      <c r="G491">
        <v>6</v>
      </c>
      <c r="H491">
        <v>2</v>
      </c>
      <c r="I491">
        <v>0.06</v>
      </c>
      <c r="J491">
        <v>0</v>
      </c>
      <c r="K491">
        <v>0.28789999999999999</v>
      </c>
      <c r="L491">
        <v>0.81</v>
      </c>
      <c r="M491">
        <v>0</v>
      </c>
      <c r="N491">
        <v>3</v>
      </c>
      <c r="O491">
        <v>13</v>
      </c>
      <c r="P491">
        <v>16</v>
      </c>
      <c r="Q491" s="17" t="str">
        <f t="shared" si="23"/>
        <v>Weekends</v>
      </c>
      <c r="R491" s="17" t="str">
        <f t="shared" si="21"/>
        <v>Morning</v>
      </c>
      <c r="S491" s="9" t="str">
        <f t="shared" si="22"/>
        <v>Mist</v>
      </c>
    </row>
    <row r="492" spans="1:19" x14ac:dyDescent="0.25">
      <c r="A492">
        <v>491</v>
      </c>
      <c r="B492" s="19">
        <v>40565</v>
      </c>
      <c r="C492">
        <v>1</v>
      </c>
      <c r="D492">
        <v>1</v>
      </c>
      <c r="E492">
        <v>12</v>
      </c>
      <c r="F492" t="b">
        <v>0</v>
      </c>
      <c r="G492">
        <v>6</v>
      </c>
      <c r="H492">
        <v>2</v>
      </c>
      <c r="I492">
        <v>0.06</v>
      </c>
      <c r="J492">
        <v>0</v>
      </c>
      <c r="K492">
        <v>0.28789999999999999</v>
      </c>
      <c r="L492">
        <v>0.81</v>
      </c>
      <c r="M492">
        <v>0</v>
      </c>
      <c r="N492">
        <v>3</v>
      </c>
      <c r="O492">
        <v>13</v>
      </c>
      <c r="P492">
        <v>16</v>
      </c>
      <c r="Q492" s="17" t="str">
        <f t="shared" si="23"/>
        <v>Weekends</v>
      </c>
      <c r="R492" s="17" t="str">
        <f t="shared" si="21"/>
        <v>Afternoon</v>
      </c>
      <c r="S492" s="9" t="str">
        <f t="shared" si="22"/>
        <v>Mist</v>
      </c>
    </row>
    <row r="493" spans="1:19" x14ac:dyDescent="0.25">
      <c r="A493">
        <v>492</v>
      </c>
      <c r="B493" s="19">
        <v>40565</v>
      </c>
      <c r="C493">
        <v>1</v>
      </c>
      <c r="D493">
        <v>1</v>
      </c>
      <c r="E493">
        <v>13</v>
      </c>
      <c r="F493" t="b">
        <v>0</v>
      </c>
      <c r="G493">
        <v>6</v>
      </c>
      <c r="H493">
        <v>1</v>
      </c>
      <c r="I493">
        <v>0.08</v>
      </c>
      <c r="J493">
        <v>0</v>
      </c>
      <c r="K493">
        <v>0.28789999999999999</v>
      </c>
      <c r="L493">
        <v>0.81</v>
      </c>
      <c r="M493">
        <v>0</v>
      </c>
      <c r="N493">
        <v>3</v>
      </c>
      <c r="O493">
        <v>13</v>
      </c>
      <c r="P493">
        <v>16</v>
      </c>
      <c r="Q493" s="17" t="str">
        <f t="shared" si="23"/>
        <v>Weekends</v>
      </c>
      <c r="R493" s="17" t="str">
        <f t="shared" si="21"/>
        <v>Afternoon</v>
      </c>
      <c r="S493" s="9" t="str">
        <f t="shared" si="22"/>
        <v>Clear</v>
      </c>
    </row>
    <row r="494" spans="1:19" x14ac:dyDescent="0.25">
      <c r="A494">
        <v>493</v>
      </c>
      <c r="B494" s="19">
        <v>40565</v>
      </c>
      <c r="C494">
        <v>1</v>
      </c>
      <c r="D494">
        <v>1</v>
      </c>
      <c r="E494">
        <v>14</v>
      </c>
      <c r="F494" t="b">
        <v>0</v>
      </c>
      <c r="G494">
        <v>6</v>
      </c>
      <c r="H494">
        <v>1</v>
      </c>
      <c r="I494">
        <v>0.1</v>
      </c>
      <c r="J494">
        <v>0</v>
      </c>
      <c r="K494">
        <v>0.28789999999999999</v>
      </c>
      <c r="L494">
        <v>0.81</v>
      </c>
      <c r="M494">
        <v>0</v>
      </c>
      <c r="N494">
        <v>3</v>
      </c>
      <c r="O494">
        <v>13</v>
      </c>
      <c r="P494">
        <v>16</v>
      </c>
      <c r="Q494" s="17" t="str">
        <f t="shared" si="23"/>
        <v>Weekends</v>
      </c>
      <c r="R494" s="17" t="str">
        <f t="shared" si="21"/>
        <v>Afternoon</v>
      </c>
      <c r="S494" s="9" t="str">
        <f t="shared" si="22"/>
        <v>Clear</v>
      </c>
    </row>
    <row r="495" spans="1:19" x14ac:dyDescent="0.25">
      <c r="A495">
        <v>494</v>
      </c>
      <c r="B495" s="19">
        <v>40565</v>
      </c>
      <c r="C495">
        <v>1</v>
      </c>
      <c r="D495">
        <v>1</v>
      </c>
      <c r="E495">
        <v>15</v>
      </c>
      <c r="F495" t="b">
        <v>0</v>
      </c>
      <c r="G495">
        <v>6</v>
      </c>
      <c r="H495">
        <v>1</v>
      </c>
      <c r="I495">
        <v>0.12</v>
      </c>
      <c r="J495">
        <v>0</v>
      </c>
      <c r="K495">
        <v>0.28789999999999999</v>
      </c>
      <c r="L495">
        <v>0.81</v>
      </c>
      <c r="M495">
        <v>0</v>
      </c>
      <c r="N495">
        <v>3</v>
      </c>
      <c r="O495">
        <v>13</v>
      </c>
      <c r="P495">
        <v>16</v>
      </c>
      <c r="Q495" s="17" t="str">
        <f t="shared" si="23"/>
        <v>Weekends</v>
      </c>
      <c r="R495" s="17" t="str">
        <f t="shared" si="21"/>
        <v>Afternoon</v>
      </c>
      <c r="S495" s="9" t="str">
        <f t="shared" si="22"/>
        <v>Clear</v>
      </c>
    </row>
    <row r="496" spans="1:19" x14ac:dyDescent="0.25">
      <c r="A496">
        <v>495</v>
      </c>
      <c r="B496" s="19">
        <v>40565</v>
      </c>
      <c r="C496">
        <v>1</v>
      </c>
      <c r="D496">
        <v>1</v>
      </c>
      <c r="E496">
        <v>16</v>
      </c>
      <c r="F496" t="b">
        <v>0</v>
      </c>
      <c r="G496">
        <v>6</v>
      </c>
      <c r="H496">
        <v>1</v>
      </c>
      <c r="I496">
        <v>0.12</v>
      </c>
      <c r="J496">
        <v>0</v>
      </c>
      <c r="K496">
        <v>0.28789999999999999</v>
      </c>
      <c r="L496">
        <v>0.81</v>
      </c>
      <c r="M496">
        <v>0</v>
      </c>
      <c r="N496">
        <v>3</v>
      </c>
      <c r="O496">
        <v>13</v>
      </c>
      <c r="P496">
        <v>16</v>
      </c>
      <c r="Q496" s="17" t="str">
        <f t="shared" si="23"/>
        <v>Weekends</v>
      </c>
      <c r="R496" s="17" t="str">
        <f t="shared" si="21"/>
        <v>Evening</v>
      </c>
      <c r="S496" s="9" t="str">
        <f t="shared" si="22"/>
        <v>Clear</v>
      </c>
    </row>
    <row r="497" spans="1:19" x14ac:dyDescent="0.25">
      <c r="A497">
        <v>496</v>
      </c>
      <c r="B497" s="19">
        <v>40565</v>
      </c>
      <c r="C497">
        <v>1</v>
      </c>
      <c r="D497">
        <v>1</v>
      </c>
      <c r="E497">
        <v>17</v>
      </c>
      <c r="F497" t="b">
        <v>0</v>
      </c>
      <c r="G497">
        <v>6</v>
      </c>
      <c r="H497">
        <v>1</v>
      </c>
      <c r="I497">
        <v>0.12</v>
      </c>
      <c r="J497">
        <v>0</v>
      </c>
      <c r="K497">
        <v>0.28789999999999999</v>
      </c>
      <c r="L497">
        <v>0.81</v>
      </c>
      <c r="M497">
        <v>0</v>
      </c>
      <c r="N497">
        <v>3</v>
      </c>
      <c r="O497">
        <v>13</v>
      </c>
      <c r="P497">
        <v>16</v>
      </c>
      <c r="Q497" s="17" t="str">
        <f t="shared" si="23"/>
        <v>Weekends</v>
      </c>
      <c r="R497" s="17" t="str">
        <f t="shared" si="21"/>
        <v>Evening</v>
      </c>
      <c r="S497" s="9" t="str">
        <f t="shared" si="22"/>
        <v>Clear</v>
      </c>
    </row>
    <row r="498" spans="1:19" x14ac:dyDescent="0.25">
      <c r="A498">
        <v>497</v>
      </c>
      <c r="B498" s="19">
        <v>40565</v>
      </c>
      <c r="C498">
        <v>1</v>
      </c>
      <c r="D498">
        <v>1</v>
      </c>
      <c r="E498">
        <v>18</v>
      </c>
      <c r="F498" t="b">
        <v>0</v>
      </c>
      <c r="G498">
        <v>6</v>
      </c>
      <c r="H498">
        <v>1</v>
      </c>
      <c r="I498">
        <v>0.08</v>
      </c>
      <c r="J498">
        <v>0</v>
      </c>
      <c r="K498">
        <v>0.28789999999999999</v>
      </c>
      <c r="L498">
        <v>0.81</v>
      </c>
      <c r="M498">
        <v>0</v>
      </c>
      <c r="N498">
        <v>3</v>
      </c>
      <c r="O498">
        <v>13</v>
      </c>
      <c r="P498">
        <v>16</v>
      </c>
      <c r="Q498" s="17" t="str">
        <f t="shared" si="23"/>
        <v>Weekends</v>
      </c>
      <c r="R498" s="17" t="str">
        <f t="shared" si="21"/>
        <v>Evening</v>
      </c>
      <c r="S498" s="9" t="str">
        <f t="shared" si="22"/>
        <v>Clear</v>
      </c>
    </row>
    <row r="499" spans="1:19" x14ac:dyDescent="0.25">
      <c r="A499">
        <v>498</v>
      </c>
      <c r="B499" s="19">
        <v>40565</v>
      </c>
      <c r="C499">
        <v>1</v>
      </c>
      <c r="D499">
        <v>1</v>
      </c>
      <c r="E499">
        <v>19</v>
      </c>
      <c r="F499" t="b">
        <v>0</v>
      </c>
      <c r="G499">
        <v>6</v>
      </c>
      <c r="H499">
        <v>1</v>
      </c>
      <c r="I499">
        <v>0.08</v>
      </c>
      <c r="J499">
        <v>0</v>
      </c>
      <c r="K499">
        <v>0.28789999999999999</v>
      </c>
      <c r="L499">
        <v>0.81</v>
      </c>
      <c r="M499">
        <v>0</v>
      </c>
      <c r="N499">
        <v>3</v>
      </c>
      <c r="O499">
        <v>13</v>
      </c>
      <c r="P499">
        <v>16</v>
      </c>
      <c r="Q499" s="17" t="str">
        <f t="shared" si="23"/>
        <v>Weekends</v>
      </c>
      <c r="R499" s="17" t="str">
        <f t="shared" si="21"/>
        <v>Evening</v>
      </c>
      <c r="S499" s="9" t="str">
        <f t="shared" si="22"/>
        <v>Clear</v>
      </c>
    </row>
    <row r="500" spans="1:19" x14ac:dyDescent="0.25">
      <c r="A500">
        <v>499</v>
      </c>
      <c r="B500" s="19">
        <v>40565</v>
      </c>
      <c r="C500">
        <v>1</v>
      </c>
      <c r="D500">
        <v>1</v>
      </c>
      <c r="E500">
        <v>20</v>
      </c>
      <c r="F500" t="b">
        <v>0</v>
      </c>
      <c r="G500">
        <v>6</v>
      </c>
      <c r="H500">
        <v>1</v>
      </c>
      <c r="I500">
        <v>0.06</v>
      </c>
      <c r="J500">
        <v>0</v>
      </c>
      <c r="K500">
        <v>0.28789999999999999</v>
      </c>
      <c r="L500">
        <v>0.81</v>
      </c>
      <c r="M500">
        <v>0</v>
      </c>
      <c r="N500">
        <v>3</v>
      </c>
      <c r="O500">
        <v>13</v>
      </c>
      <c r="P500">
        <v>16</v>
      </c>
      <c r="Q500" s="17" t="str">
        <f t="shared" si="23"/>
        <v>Weekends</v>
      </c>
      <c r="R500" s="17" t="str">
        <f t="shared" si="21"/>
        <v>Evening</v>
      </c>
      <c r="S500" s="9" t="str">
        <f t="shared" si="22"/>
        <v>Clear</v>
      </c>
    </row>
    <row r="501" spans="1:19" x14ac:dyDescent="0.25">
      <c r="A501">
        <v>500</v>
      </c>
      <c r="B501" s="19">
        <v>40565</v>
      </c>
      <c r="C501">
        <v>1</v>
      </c>
      <c r="D501">
        <v>1</v>
      </c>
      <c r="E501">
        <v>21</v>
      </c>
      <c r="F501" t="b">
        <v>0</v>
      </c>
      <c r="G501">
        <v>6</v>
      </c>
      <c r="H501">
        <v>1</v>
      </c>
      <c r="I501">
        <v>0.06</v>
      </c>
      <c r="J501">
        <v>0</v>
      </c>
      <c r="K501">
        <v>0.28789999999999999</v>
      </c>
      <c r="L501">
        <v>0.81</v>
      </c>
      <c r="M501">
        <v>0</v>
      </c>
      <c r="N501">
        <v>3</v>
      </c>
      <c r="O501">
        <v>13</v>
      </c>
      <c r="P501">
        <v>16</v>
      </c>
      <c r="Q501" s="17" t="str">
        <f t="shared" si="23"/>
        <v>Weekends</v>
      </c>
      <c r="R501" s="17" t="str">
        <f t="shared" si="21"/>
        <v>Night</v>
      </c>
      <c r="S501" s="9" t="str">
        <f t="shared" si="22"/>
        <v>Clear</v>
      </c>
    </row>
    <row r="502" spans="1:19" x14ac:dyDescent="0.25">
      <c r="A502">
        <v>501</v>
      </c>
      <c r="B502" s="19">
        <v>40565</v>
      </c>
      <c r="C502">
        <v>1</v>
      </c>
      <c r="D502">
        <v>1</v>
      </c>
      <c r="E502">
        <v>22</v>
      </c>
      <c r="F502" t="b">
        <v>0</v>
      </c>
      <c r="G502">
        <v>6</v>
      </c>
      <c r="H502">
        <v>1</v>
      </c>
      <c r="I502">
        <v>0.06</v>
      </c>
      <c r="J502">
        <v>0</v>
      </c>
      <c r="K502">
        <v>0.28789999999999999</v>
      </c>
      <c r="L502">
        <v>0.81</v>
      </c>
      <c r="M502">
        <v>0</v>
      </c>
      <c r="N502">
        <v>3</v>
      </c>
      <c r="O502">
        <v>13</v>
      </c>
      <c r="P502">
        <v>16</v>
      </c>
      <c r="Q502" s="17" t="str">
        <f t="shared" si="23"/>
        <v>Weekends</v>
      </c>
      <c r="R502" s="17" t="str">
        <f t="shared" si="21"/>
        <v>Night</v>
      </c>
      <c r="S502" s="9" t="str">
        <f t="shared" si="22"/>
        <v>Clear</v>
      </c>
    </row>
    <row r="503" spans="1:19" x14ac:dyDescent="0.25">
      <c r="A503">
        <v>502</v>
      </c>
      <c r="B503" s="19">
        <v>40565</v>
      </c>
      <c r="C503">
        <v>1</v>
      </c>
      <c r="D503">
        <v>1</v>
      </c>
      <c r="E503">
        <v>23</v>
      </c>
      <c r="F503" t="b">
        <v>0</v>
      </c>
      <c r="G503">
        <v>6</v>
      </c>
      <c r="H503">
        <v>1</v>
      </c>
      <c r="I503">
        <v>0.04</v>
      </c>
      <c r="J503">
        <v>0</v>
      </c>
      <c r="K503">
        <v>0.28789999999999999</v>
      </c>
      <c r="L503">
        <v>0.81</v>
      </c>
      <c r="M503">
        <v>0</v>
      </c>
      <c r="N503">
        <v>3</v>
      </c>
      <c r="O503">
        <v>13</v>
      </c>
      <c r="P503">
        <v>16</v>
      </c>
      <c r="Q503" s="17" t="str">
        <f t="shared" si="23"/>
        <v>Weekends</v>
      </c>
      <c r="R503" s="17" t="str">
        <f t="shared" si="21"/>
        <v>Night</v>
      </c>
      <c r="S503" s="9" t="str">
        <f t="shared" si="22"/>
        <v>Clear</v>
      </c>
    </row>
    <row r="504" spans="1:19" x14ac:dyDescent="0.25">
      <c r="A504">
        <v>503</v>
      </c>
      <c r="B504" s="19">
        <v>40566</v>
      </c>
      <c r="C504">
        <v>1</v>
      </c>
      <c r="D504">
        <v>1</v>
      </c>
      <c r="E504">
        <v>0</v>
      </c>
      <c r="F504" t="b">
        <v>0</v>
      </c>
      <c r="G504">
        <v>0</v>
      </c>
      <c r="H504">
        <v>1</v>
      </c>
      <c r="I504">
        <v>0.04</v>
      </c>
      <c r="J504">
        <v>0</v>
      </c>
      <c r="K504">
        <v>0.28789999999999999</v>
      </c>
      <c r="L504">
        <v>0.81</v>
      </c>
      <c r="M504">
        <v>0</v>
      </c>
      <c r="N504">
        <v>3</v>
      </c>
      <c r="O504">
        <v>13</v>
      </c>
      <c r="P504">
        <v>16</v>
      </c>
      <c r="Q504" s="17" t="str">
        <f t="shared" si="23"/>
        <v>Weekdays</v>
      </c>
      <c r="R504" s="17" t="str">
        <f t="shared" si="21"/>
        <v>Morning</v>
      </c>
      <c r="S504" s="9" t="str">
        <f t="shared" si="22"/>
        <v>Clear</v>
      </c>
    </row>
    <row r="505" spans="1:19" x14ac:dyDescent="0.25">
      <c r="A505">
        <v>504</v>
      </c>
      <c r="B505" s="19">
        <v>40566</v>
      </c>
      <c r="C505">
        <v>1</v>
      </c>
      <c r="D505">
        <v>1</v>
      </c>
      <c r="E505">
        <v>1</v>
      </c>
      <c r="F505" t="b">
        <v>0</v>
      </c>
      <c r="G505">
        <v>0</v>
      </c>
      <c r="H505">
        <v>1</v>
      </c>
      <c r="I505">
        <v>0.04</v>
      </c>
      <c r="J505">
        <v>0</v>
      </c>
      <c r="K505">
        <v>0.28789999999999999</v>
      </c>
      <c r="L505">
        <v>0.81</v>
      </c>
      <c r="M505">
        <v>0</v>
      </c>
      <c r="N505">
        <v>3</v>
      </c>
      <c r="O505">
        <v>13</v>
      </c>
      <c r="P505">
        <v>16</v>
      </c>
      <c r="Q505" s="17" t="str">
        <f t="shared" si="23"/>
        <v>Weekdays</v>
      </c>
      <c r="R505" s="17" t="str">
        <f t="shared" si="21"/>
        <v>Morning</v>
      </c>
      <c r="S505" s="9" t="str">
        <f t="shared" si="22"/>
        <v>Clear</v>
      </c>
    </row>
    <row r="506" spans="1:19" x14ac:dyDescent="0.25">
      <c r="A506">
        <v>505</v>
      </c>
      <c r="B506" s="19">
        <v>40566</v>
      </c>
      <c r="C506">
        <v>1</v>
      </c>
      <c r="D506">
        <v>1</v>
      </c>
      <c r="E506">
        <v>2</v>
      </c>
      <c r="F506" t="b">
        <v>0</v>
      </c>
      <c r="G506">
        <v>0</v>
      </c>
      <c r="H506">
        <v>1</v>
      </c>
      <c r="I506">
        <v>0.02</v>
      </c>
      <c r="J506">
        <v>0</v>
      </c>
      <c r="K506">
        <v>0.28789999999999999</v>
      </c>
      <c r="L506">
        <v>0.81</v>
      </c>
      <c r="M506">
        <v>0</v>
      </c>
      <c r="N506">
        <v>3</v>
      </c>
      <c r="O506">
        <v>13</v>
      </c>
      <c r="P506">
        <v>16</v>
      </c>
      <c r="Q506" s="17" t="str">
        <f t="shared" si="23"/>
        <v>Weekdays</v>
      </c>
      <c r="R506" s="17" t="str">
        <f t="shared" si="21"/>
        <v>Morning</v>
      </c>
      <c r="S506" s="9" t="str">
        <f t="shared" si="22"/>
        <v>Clear</v>
      </c>
    </row>
    <row r="507" spans="1:19" x14ac:dyDescent="0.25">
      <c r="A507">
        <v>506</v>
      </c>
      <c r="B507" s="19">
        <v>40566</v>
      </c>
      <c r="C507">
        <v>1</v>
      </c>
      <c r="D507">
        <v>1</v>
      </c>
      <c r="E507">
        <v>3</v>
      </c>
      <c r="F507" t="b">
        <v>0</v>
      </c>
      <c r="G507">
        <v>0</v>
      </c>
      <c r="H507">
        <v>1</v>
      </c>
      <c r="I507">
        <v>0.02</v>
      </c>
      <c r="J507">
        <v>0</v>
      </c>
      <c r="K507">
        <v>0.28789999999999999</v>
      </c>
      <c r="L507">
        <v>0.81</v>
      </c>
      <c r="M507">
        <v>0</v>
      </c>
      <c r="N507">
        <v>3</v>
      </c>
      <c r="O507">
        <v>13</v>
      </c>
      <c r="P507">
        <v>16</v>
      </c>
      <c r="Q507" s="17" t="str">
        <f t="shared" si="23"/>
        <v>Weekdays</v>
      </c>
      <c r="R507" s="17" t="str">
        <f t="shared" si="21"/>
        <v>Morning</v>
      </c>
      <c r="S507" s="9" t="str">
        <f t="shared" si="22"/>
        <v>Clear</v>
      </c>
    </row>
    <row r="508" spans="1:19" x14ac:dyDescent="0.25">
      <c r="A508">
        <v>507</v>
      </c>
      <c r="B508" s="19">
        <v>40566</v>
      </c>
      <c r="C508">
        <v>1</v>
      </c>
      <c r="D508">
        <v>1</v>
      </c>
      <c r="E508">
        <v>5</v>
      </c>
      <c r="F508" t="b">
        <v>0</v>
      </c>
      <c r="G508">
        <v>0</v>
      </c>
      <c r="H508">
        <v>2</v>
      </c>
      <c r="I508">
        <v>0.04</v>
      </c>
      <c r="J508">
        <v>0</v>
      </c>
      <c r="K508">
        <v>0.28789999999999999</v>
      </c>
      <c r="L508">
        <v>0.81</v>
      </c>
      <c r="M508">
        <v>0</v>
      </c>
      <c r="N508">
        <v>3</v>
      </c>
      <c r="O508">
        <v>13</v>
      </c>
      <c r="P508">
        <v>16</v>
      </c>
      <c r="Q508" s="17" t="str">
        <f t="shared" si="23"/>
        <v>Weekdays</v>
      </c>
      <c r="R508" s="17" t="str">
        <f t="shared" si="21"/>
        <v>Morning</v>
      </c>
      <c r="S508" s="9" t="str">
        <f t="shared" si="22"/>
        <v>Mist</v>
      </c>
    </row>
    <row r="509" spans="1:19" x14ac:dyDescent="0.25">
      <c r="A509">
        <v>508</v>
      </c>
      <c r="B509" s="19">
        <v>40566</v>
      </c>
      <c r="C509">
        <v>1</v>
      </c>
      <c r="D509">
        <v>1</v>
      </c>
      <c r="E509">
        <v>6</v>
      </c>
      <c r="F509" t="b">
        <v>0</v>
      </c>
      <c r="G509">
        <v>0</v>
      </c>
      <c r="H509">
        <v>2</v>
      </c>
      <c r="I509">
        <v>0.04</v>
      </c>
      <c r="J509">
        <v>0</v>
      </c>
      <c r="K509">
        <v>0.28789999999999999</v>
      </c>
      <c r="L509">
        <v>0.81</v>
      </c>
      <c r="M509">
        <v>0</v>
      </c>
      <c r="N509">
        <v>3</v>
      </c>
      <c r="O509">
        <v>13</v>
      </c>
      <c r="P509">
        <v>16</v>
      </c>
      <c r="Q509" s="17" t="str">
        <f t="shared" si="23"/>
        <v>Weekdays</v>
      </c>
      <c r="R509" s="17" t="str">
        <f t="shared" si="21"/>
        <v>Morning</v>
      </c>
      <c r="S509" s="9" t="str">
        <f t="shared" si="22"/>
        <v>Mist</v>
      </c>
    </row>
    <row r="510" spans="1:19" x14ac:dyDescent="0.25">
      <c r="A510">
        <v>509</v>
      </c>
      <c r="B510" s="19">
        <v>40566</v>
      </c>
      <c r="C510">
        <v>1</v>
      </c>
      <c r="D510">
        <v>1</v>
      </c>
      <c r="E510">
        <v>7</v>
      </c>
      <c r="F510" t="b">
        <v>0</v>
      </c>
      <c r="G510">
        <v>0</v>
      </c>
      <c r="H510">
        <v>1</v>
      </c>
      <c r="I510">
        <v>0.08</v>
      </c>
      <c r="J510">
        <v>0</v>
      </c>
      <c r="K510">
        <v>0.28789999999999999</v>
      </c>
      <c r="L510">
        <v>0.81</v>
      </c>
      <c r="M510">
        <v>0</v>
      </c>
      <c r="N510">
        <v>3</v>
      </c>
      <c r="O510">
        <v>13</v>
      </c>
      <c r="P510">
        <v>16</v>
      </c>
      <c r="Q510" s="17" t="str">
        <f t="shared" si="23"/>
        <v>Weekdays</v>
      </c>
      <c r="R510" s="17" t="str">
        <f t="shared" si="21"/>
        <v>Morning</v>
      </c>
      <c r="S510" s="9" t="str">
        <f t="shared" si="22"/>
        <v>Clear</v>
      </c>
    </row>
    <row r="511" spans="1:19" x14ac:dyDescent="0.25">
      <c r="A511">
        <v>510</v>
      </c>
      <c r="B511" s="19">
        <v>40566</v>
      </c>
      <c r="C511">
        <v>1</v>
      </c>
      <c r="D511">
        <v>1</v>
      </c>
      <c r="E511">
        <v>8</v>
      </c>
      <c r="F511" t="b">
        <v>0</v>
      </c>
      <c r="G511">
        <v>0</v>
      </c>
      <c r="H511">
        <v>1</v>
      </c>
      <c r="I511">
        <v>0.06</v>
      </c>
      <c r="J511">
        <v>0</v>
      </c>
      <c r="K511">
        <v>0.28789999999999999</v>
      </c>
      <c r="L511">
        <v>0.81</v>
      </c>
      <c r="M511">
        <v>0</v>
      </c>
      <c r="N511">
        <v>3</v>
      </c>
      <c r="O511">
        <v>13</v>
      </c>
      <c r="P511">
        <v>16</v>
      </c>
      <c r="Q511" s="17" t="str">
        <f t="shared" si="23"/>
        <v>Weekdays</v>
      </c>
      <c r="R511" s="17" t="str">
        <f t="shared" si="21"/>
        <v>Morning</v>
      </c>
      <c r="S511" s="9" t="str">
        <f t="shared" si="22"/>
        <v>Clear</v>
      </c>
    </row>
    <row r="512" spans="1:19" x14ac:dyDescent="0.25">
      <c r="A512">
        <v>511</v>
      </c>
      <c r="B512" s="19">
        <v>40566</v>
      </c>
      <c r="C512">
        <v>1</v>
      </c>
      <c r="D512">
        <v>1</v>
      </c>
      <c r="E512">
        <v>9</v>
      </c>
      <c r="F512" t="b">
        <v>0</v>
      </c>
      <c r="G512">
        <v>0</v>
      </c>
      <c r="H512">
        <v>1</v>
      </c>
      <c r="I512">
        <v>0.1</v>
      </c>
      <c r="J512">
        <v>0</v>
      </c>
      <c r="K512">
        <v>0.28789999999999999</v>
      </c>
      <c r="L512">
        <v>0.81</v>
      </c>
      <c r="M512">
        <v>0</v>
      </c>
      <c r="N512">
        <v>3</v>
      </c>
      <c r="O512">
        <v>13</v>
      </c>
      <c r="P512">
        <v>16</v>
      </c>
      <c r="Q512" s="17" t="str">
        <f t="shared" si="23"/>
        <v>Weekdays</v>
      </c>
      <c r="R512" s="17" t="str">
        <f t="shared" si="21"/>
        <v>Morning</v>
      </c>
      <c r="S512" s="9" t="str">
        <f t="shared" si="22"/>
        <v>Clear</v>
      </c>
    </row>
    <row r="513" spans="1:19" x14ac:dyDescent="0.25">
      <c r="A513">
        <v>512</v>
      </c>
      <c r="B513" s="19">
        <v>40566</v>
      </c>
      <c r="C513">
        <v>1</v>
      </c>
      <c r="D513">
        <v>1</v>
      </c>
      <c r="E513">
        <v>10</v>
      </c>
      <c r="F513" t="b">
        <v>0</v>
      </c>
      <c r="G513">
        <v>0</v>
      </c>
      <c r="H513">
        <v>1</v>
      </c>
      <c r="I513">
        <v>0.14000000000000001</v>
      </c>
      <c r="J513">
        <v>0</v>
      </c>
      <c r="K513">
        <v>0.28789999999999999</v>
      </c>
      <c r="L513">
        <v>0.81</v>
      </c>
      <c r="M513">
        <v>0</v>
      </c>
      <c r="N513">
        <v>3</v>
      </c>
      <c r="O513">
        <v>13</v>
      </c>
      <c r="P513">
        <v>16</v>
      </c>
      <c r="Q513" s="17" t="str">
        <f t="shared" si="23"/>
        <v>Weekdays</v>
      </c>
      <c r="R513" s="17" t="str">
        <f t="shared" si="21"/>
        <v>Morning</v>
      </c>
      <c r="S513" s="9" t="str">
        <f t="shared" si="22"/>
        <v>Clear</v>
      </c>
    </row>
    <row r="514" spans="1:19" x14ac:dyDescent="0.25">
      <c r="A514">
        <v>513</v>
      </c>
      <c r="B514" s="19">
        <v>40566</v>
      </c>
      <c r="C514">
        <v>1</v>
      </c>
      <c r="D514">
        <v>1</v>
      </c>
      <c r="E514">
        <v>11</v>
      </c>
      <c r="F514" t="b">
        <v>0</v>
      </c>
      <c r="G514">
        <v>0</v>
      </c>
      <c r="H514">
        <v>1</v>
      </c>
      <c r="I514">
        <v>0.14000000000000001</v>
      </c>
      <c r="J514">
        <v>0</v>
      </c>
      <c r="K514">
        <v>0.28789999999999999</v>
      </c>
      <c r="L514">
        <v>0.81</v>
      </c>
      <c r="M514">
        <v>0</v>
      </c>
      <c r="N514">
        <v>3</v>
      </c>
      <c r="O514">
        <v>13</v>
      </c>
      <c r="P514">
        <v>16</v>
      </c>
      <c r="Q514" s="17" t="str">
        <f t="shared" si="23"/>
        <v>Weekdays</v>
      </c>
      <c r="R514" s="17" t="str">
        <f t="shared" ref="R514:R577" si="24">IF(E514&lt;12,"Morning",IF(E514&lt;16,"Afternoon",IF(E514&lt;21,"Evening","Night")))</f>
        <v>Morning</v>
      </c>
      <c r="S514" s="9" t="str">
        <f t="shared" ref="S514:S577" si="25">IF(H514=1,"Clear",IF(H514=2,"Mist",IF(H514=3,"Light Snow/Rain","Heavy Rain/Snow")))</f>
        <v>Clear</v>
      </c>
    </row>
    <row r="515" spans="1:19" x14ac:dyDescent="0.25">
      <c r="A515">
        <v>514</v>
      </c>
      <c r="B515" s="19">
        <v>40566</v>
      </c>
      <c r="C515">
        <v>1</v>
      </c>
      <c r="D515">
        <v>1</v>
      </c>
      <c r="E515">
        <v>12</v>
      </c>
      <c r="F515" t="b">
        <v>0</v>
      </c>
      <c r="G515">
        <v>0</v>
      </c>
      <c r="H515">
        <v>1</v>
      </c>
      <c r="I515">
        <v>0.16</v>
      </c>
      <c r="J515">
        <v>0</v>
      </c>
      <c r="K515">
        <v>0.28789999999999999</v>
      </c>
      <c r="L515">
        <v>0.81</v>
      </c>
      <c r="M515">
        <v>0</v>
      </c>
      <c r="N515">
        <v>3</v>
      </c>
      <c r="O515">
        <v>13</v>
      </c>
      <c r="P515">
        <v>16</v>
      </c>
      <c r="Q515" s="17" t="str">
        <f t="shared" ref="Q515:Q578" si="26">IF(G515&gt;=5,"Weekends","Weekdays")</f>
        <v>Weekdays</v>
      </c>
      <c r="R515" s="17" t="str">
        <f t="shared" si="24"/>
        <v>Afternoon</v>
      </c>
      <c r="S515" s="9" t="str">
        <f t="shared" si="25"/>
        <v>Clear</v>
      </c>
    </row>
    <row r="516" spans="1:19" x14ac:dyDescent="0.25">
      <c r="A516">
        <v>515</v>
      </c>
      <c r="B516" s="19">
        <v>40566</v>
      </c>
      <c r="C516">
        <v>1</v>
      </c>
      <c r="D516">
        <v>1</v>
      </c>
      <c r="E516">
        <v>13</v>
      </c>
      <c r="F516" t="b">
        <v>0</v>
      </c>
      <c r="G516">
        <v>0</v>
      </c>
      <c r="H516">
        <v>1</v>
      </c>
      <c r="I516">
        <v>0.14000000000000001</v>
      </c>
      <c r="J516">
        <v>0</v>
      </c>
      <c r="K516">
        <v>0.28789999999999999</v>
      </c>
      <c r="L516">
        <v>0.81</v>
      </c>
      <c r="M516">
        <v>0</v>
      </c>
      <c r="N516">
        <v>3</v>
      </c>
      <c r="O516">
        <v>13</v>
      </c>
      <c r="P516">
        <v>16</v>
      </c>
      <c r="Q516" s="17" t="str">
        <f t="shared" si="26"/>
        <v>Weekdays</v>
      </c>
      <c r="R516" s="17" t="str">
        <f t="shared" si="24"/>
        <v>Afternoon</v>
      </c>
      <c r="S516" s="9" t="str">
        <f t="shared" si="25"/>
        <v>Clear</v>
      </c>
    </row>
    <row r="517" spans="1:19" x14ac:dyDescent="0.25">
      <c r="A517">
        <v>516</v>
      </c>
      <c r="B517" s="19">
        <v>40566</v>
      </c>
      <c r="C517">
        <v>1</v>
      </c>
      <c r="D517">
        <v>1</v>
      </c>
      <c r="E517">
        <v>14</v>
      </c>
      <c r="F517" t="b">
        <v>0</v>
      </c>
      <c r="G517">
        <v>0</v>
      </c>
      <c r="H517">
        <v>1</v>
      </c>
      <c r="I517">
        <v>0.16</v>
      </c>
      <c r="J517">
        <v>0</v>
      </c>
      <c r="K517">
        <v>0.28789999999999999</v>
      </c>
      <c r="L517">
        <v>0.81</v>
      </c>
      <c r="M517">
        <v>0</v>
      </c>
      <c r="N517">
        <v>3</v>
      </c>
      <c r="O517">
        <v>13</v>
      </c>
      <c r="P517">
        <v>16</v>
      </c>
      <c r="Q517" s="17" t="str">
        <f t="shared" si="26"/>
        <v>Weekdays</v>
      </c>
      <c r="R517" s="17" t="str">
        <f t="shared" si="24"/>
        <v>Afternoon</v>
      </c>
      <c r="S517" s="9" t="str">
        <f t="shared" si="25"/>
        <v>Clear</v>
      </c>
    </row>
    <row r="518" spans="1:19" x14ac:dyDescent="0.25">
      <c r="A518">
        <v>517</v>
      </c>
      <c r="B518" s="19">
        <v>40566</v>
      </c>
      <c r="C518">
        <v>1</v>
      </c>
      <c r="D518">
        <v>1</v>
      </c>
      <c r="E518">
        <v>15</v>
      </c>
      <c r="F518" t="b">
        <v>0</v>
      </c>
      <c r="G518">
        <v>0</v>
      </c>
      <c r="H518">
        <v>1</v>
      </c>
      <c r="I518">
        <v>0.16</v>
      </c>
      <c r="J518">
        <v>0</v>
      </c>
      <c r="K518">
        <v>0.28789999999999999</v>
      </c>
      <c r="L518">
        <v>0.81</v>
      </c>
      <c r="M518">
        <v>0</v>
      </c>
      <c r="N518">
        <v>3</v>
      </c>
      <c r="O518">
        <v>13</v>
      </c>
      <c r="P518">
        <v>16</v>
      </c>
      <c r="Q518" s="17" t="str">
        <f t="shared" si="26"/>
        <v>Weekdays</v>
      </c>
      <c r="R518" s="17" t="str">
        <f t="shared" si="24"/>
        <v>Afternoon</v>
      </c>
      <c r="S518" s="9" t="str">
        <f t="shared" si="25"/>
        <v>Clear</v>
      </c>
    </row>
    <row r="519" spans="1:19" x14ac:dyDescent="0.25">
      <c r="A519">
        <v>518</v>
      </c>
      <c r="B519" s="19">
        <v>40566</v>
      </c>
      <c r="C519">
        <v>1</v>
      </c>
      <c r="D519">
        <v>1</v>
      </c>
      <c r="E519">
        <v>16</v>
      </c>
      <c r="F519" t="b">
        <v>0</v>
      </c>
      <c r="G519">
        <v>0</v>
      </c>
      <c r="H519">
        <v>1</v>
      </c>
      <c r="I519">
        <v>0.16</v>
      </c>
      <c r="J519">
        <v>0</v>
      </c>
      <c r="K519">
        <v>0.28789999999999999</v>
      </c>
      <c r="L519">
        <v>0.81</v>
      </c>
      <c r="M519">
        <v>0</v>
      </c>
      <c r="N519">
        <v>3</v>
      </c>
      <c r="O519">
        <v>13</v>
      </c>
      <c r="P519">
        <v>16</v>
      </c>
      <c r="Q519" s="17" t="str">
        <f t="shared" si="26"/>
        <v>Weekdays</v>
      </c>
      <c r="R519" s="17" t="str">
        <f t="shared" si="24"/>
        <v>Evening</v>
      </c>
      <c r="S519" s="9" t="str">
        <f t="shared" si="25"/>
        <v>Clear</v>
      </c>
    </row>
    <row r="520" spans="1:19" x14ac:dyDescent="0.25">
      <c r="A520">
        <v>519</v>
      </c>
      <c r="B520" s="19">
        <v>40566</v>
      </c>
      <c r="C520">
        <v>1</v>
      </c>
      <c r="D520">
        <v>1</v>
      </c>
      <c r="E520">
        <v>17</v>
      </c>
      <c r="F520" t="b">
        <v>0</v>
      </c>
      <c r="G520">
        <v>0</v>
      </c>
      <c r="H520">
        <v>1</v>
      </c>
      <c r="I520">
        <v>0.14000000000000001</v>
      </c>
      <c r="J520">
        <v>0</v>
      </c>
      <c r="K520">
        <v>0.28789999999999999</v>
      </c>
      <c r="L520">
        <v>0.81</v>
      </c>
      <c r="M520">
        <v>0</v>
      </c>
      <c r="N520">
        <v>3</v>
      </c>
      <c r="O520">
        <v>13</v>
      </c>
      <c r="P520">
        <v>16</v>
      </c>
      <c r="Q520" s="17" t="str">
        <f t="shared" si="26"/>
        <v>Weekdays</v>
      </c>
      <c r="R520" s="17" t="str">
        <f t="shared" si="24"/>
        <v>Evening</v>
      </c>
      <c r="S520" s="9" t="str">
        <f t="shared" si="25"/>
        <v>Clear</v>
      </c>
    </row>
    <row r="521" spans="1:19" x14ac:dyDescent="0.25">
      <c r="A521">
        <v>520</v>
      </c>
      <c r="B521" s="19">
        <v>40566</v>
      </c>
      <c r="C521">
        <v>1</v>
      </c>
      <c r="D521">
        <v>1</v>
      </c>
      <c r="E521">
        <v>18</v>
      </c>
      <c r="F521" t="b">
        <v>0</v>
      </c>
      <c r="G521">
        <v>0</v>
      </c>
      <c r="H521">
        <v>1</v>
      </c>
      <c r="I521">
        <v>0.12</v>
      </c>
      <c r="J521">
        <v>0</v>
      </c>
      <c r="K521">
        <v>0.28789999999999999</v>
      </c>
      <c r="L521">
        <v>0.81</v>
      </c>
      <c r="M521">
        <v>0</v>
      </c>
      <c r="N521">
        <v>3</v>
      </c>
      <c r="O521">
        <v>13</v>
      </c>
      <c r="P521">
        <v>16</v>
      </c>
      <c r="Q521" s="17" t="str">
        <f t="shared" si="26"/>
        <v>Weekdays</v>
      </c>
      <c r="R521" s="17" t="str">
        <f t="shared" si="24"/>
        <v>Evening</v>
      </c>
      <c r="S521" s="9" t="str">
        <f t="shared" si="25"/>
        <v>Clear</v>
      </c>
    </row>
    <row r="522" spans="1:19" x14ac:dyDescent="0.25">
      <c r="A522">
        <v>521</v>
      </c>
      <c r="B522" s="19">
        <v>40566</v>
      </c>
      <c r="C522">
        <v>1</v>
      </c>
      <c r="D522">
        <v>1</v>
      </c>
      <c r="E522">
        <v>19</v>
      </c>
      <c r="F522" t="b">
        <v>0</v>
      </c>
      <c r="G522">
        <v>0</v>
      </c>
      <c r="H522">
        <v>1</v>
      </c>
      <c r="I522">
        <v>0.12</v>
      </c>
      <c r="J522">
        <v>0</v>
      </c>
      <c r="K522">
        <v>0.28789999999999999</v>
      </c>
      <c r="L522">
        <v>0.81</v>
      </c>
      <c r="M522">
        <v>0</v>
      </c>
      <c r="N522">
        <v>3</v>
      </c>
      <c r="O522">
        <v>13</v>
      </c>
      <c r="P522">
        <v>16</v>
      </c>
      <c r="Q522" s="17" t="str">
        <f t="shared" si="26"/>
        <v>Weekdays</v>
      </c>
      <c r="R522" s="17" t="str">
        <f t="shared" si="24"/>
        <v>Evening</v>
      </c>
      <c r="S522" s="9" t="str">
        <f t="shared" si="25"/>
        <v>Clear</v>
      </c>
    </row>
    <row r="523" spans="1:19" x14ac:dyDescent="0.25">
      <c r="A523">
        <v>522</v>
      </c>
      <c r="B523" s="19">
        <v>40566</v>
      </c>
      <c r="C523">
        <v>1</v>
      </c>
      <c r="D523">
        <v>1</v>
      </c>
      <c r="E523">
        <v>20</v>
      </c>
      <c r="F523" t="b">
        <v>0</v>
      </c>
      <c r="G523">
        <v>0</v>
      </c>
      <c r="H523">
        <v>1</v>
      </c>
      <c r="I523">
        <v>0.1</v>
      </c>
      <c r="J523">
        <v>0</v>
      </c>
      <c r="K523">
        <v>0.28789999999999999</v>
      </c>
      <c r="L523">
        <v>0.81</v>
      </c>
      <c r="M523">
        <v>0</v>
      </c>
      <c r="N523">
        <v>3</v>
      </c>
      <c r="O523">
        <v>13</v>
      </c>
      <c r="P523">
        <v>16</v>
      </c>
      <c r="Q523" s="17" t="str">
        <f t="shared" si="26"/>
        <v>Weekdays</v>
      </c>
      <c r="R523" s="17" t="str">
        <f t="shared" si="24"/>
        <v>Evening</v>
      </c>
      <c r="S523" s="9" t="str">
        <f t="shared" si="25"/>
        <v>Clear</v>
      </c>
    </row>
    <row r="524" spans="1:19" x14ac:dyDescent="0.25">
      <c r="A524">
        <v>523</v>
      </c>
      <c r="B524" s="19">
        <v>40566</v>
      </c>
      <c r="C524">
        <v>1</v>
      </c>
      <c r="D524">
        <v>1</v>
      </c>
      <c r="E524">
        <v>21</v>
      </c>
      <c r="F524" t="b">
        <v>0</v>
      </c>
      <c r="G524">
        <v>0</v>
      </c>
      <c r="H524">
        <v>1</v>
      </c>
      <c r="I524">
        <v>0.1</v>
      </c>
      <c r="J524">
        <v>0</v>
      </c>
      <c r="K524">
        <v>0.28789999999999999</v>
      </c>
      <c r="L524">
        <v>0.81</v>
      </c>
      <c r="M524">
        <v>0</v>
      </c>
      <c r="N524">
        <v>3</v>
      </c>
      <c r="O524">
        <v>13</v>
      </c>
      <c r="P524">
        <v>16</v>
      </c>
      <c r="Q524" s="17" t="str">
        <f t="shared" si="26"/>
        <v>Weekdays</v>
      </c>
      <c r="R524" s="17" t="str">
        <f t="shared" si="24"/>
        <v>Night</v>
      </c>
      <c r="S524" s="9" t="str">
        <f t="shared" si="25"/>
        <v>Clear</v>
      </c>
    </row>
    <row r="525" spans="1:19" x14ac:dyDescent="0.25">
      <c r="A525">
        <v>524</v>
      </c>
      <c r="B525" s="19">
        <v>40566</v>
      </c>
      <c r="C525">
        <v>1</v>
      </c>
      <c r="D525">
        <v>1</v>
      </c>
      <c r="E525">
        <v>22</v>
      </c>
      <c r="F525" t="b">
        <v>0</v>
      </c>
      <c r="G525">
        <v>0</v>
      </c>
      <c r="H525">
        <v>1</v>
      </c>
      <c r="I525">
        <v>0.08</v>
      </c>
      <c r="J525">
        <v>0</v>
      </c>
      <c r="K525">
        <v>0.28789999999999999</v>
      </c>
      <c r="L525">
        <v>0.81</v>
      </c>
      <c r="M525">
        <v>0</v>
      </c>
      <c r="N525">
        <v>3</v>
      </c>
      <c r="O525">
        <v>13</v>
      </c>
      <c r="P525">
        <v>16</v>
      </c>
      <c r="Q525" s="17" t="str">
        <f t="shared" si="26"/>
        <v>Weekdays</v>
      </c>
      <c r="R525" s="17" t="str">
        <f t="shared" si="24"/>
        <v>Night</v>
      </c>
      <c r="S525" s="9" t="str">
        <f t="shared" si="25"/>
        <v>Clear</v>
      </c>
    </row>
    <row r="526" spans="1:19" x14ac:dyDescent="0.25">
      <c r="A526">
        <v>525</v>
      </c>
      <c r="B526" s="19">
        <v>40566</v>
      </c>
      <c r="C526">
        <v>1</v>
      </c>
      <c r="D526">
        <v>1</v>
      </c>
      <c r="E526">
        <v>23</v>
      </c>
      <c r="F526" t="b">
        <v>0</v>
      </c>
      <c r="G526">
        <v>0</v>
      </c>
      <c r="H526">
        <v>1</v>
      </c>
      <c r="I526">
        <v>0.06</v>
      </c>
      <c r="J526">
        <v>0</v>
      </c>
      <c r="K526">
        <v>0.28789999999999999</v>
      </c>
      <c r="L526">
        <v>0.81</v>
      </c>
      <c r="M526">
        <v>0</v>
      </c>
      <c r="N526">
        <v>3</v>
      </c>
      <c r="O526">
        <v>13</v>
      </c>
      <c r="P526">
        <v>16</v>
      </c>
      <c r="Q526" s="17" t="str">
        <f t="shared" si="26"/>
        <v>Weekdays</v>
      </c>
      <c r="R526" s="17" t="str">
        <f t="shared" si="24"/>
        <v>Night</v>
      </c>
      <c r="S526" s="9" t="str">
        <f t="shared" si="25"/>
        <v>Clear</v>
      </c>
    </row>
    <row r="527" spans="1:19" x14ac:dyDescent="0.25">
      <c r="A527">
        <v>526</v>
      </c>
      <c r="B527" s="19">
        <v>40567</v>
      </c>
      <c r="C527">
        <v>1</v>
      </c>
      <c r="D527">
        <v>1</v>
      </c>
      <c r="E527">
        <v>0</v>
      </c>
      <c r="F527" t="b">
        <v>0</v>
      </c>
      <c r="G527">
        <v>1</v>
      </c>
      <c r="H527">
        <v>1</v>
      </c>
      <c r="I527">
        <v>0.06</v>
      </c>
      <c r="J527">
        <v>0</v>
      </c>
      <c r="K527">
        <v>0.28789999999999999</v>
      </c>
      <c r="L527">
        <v>0.81</v>
      </c>
      <c r="M527">
        <v>0</v>
      </c>
      <c r="N527">
        <v>3</v>
      </c>
      <c r="O527">
        <v>13</v>
      </c>
      <c r="P527">
        <v>16</v>
      </c>
      <c r="Q527" s="17" t="str">
        <f t="shared" si="26"/>
        <v>Weekdays</v>
      </c>
      <c r="R527" s="17" t="str">
        <f t="shared" si="24"/>
        <v>Morning</v>
      </c>
      <c r="S527" s="9" t="str">
        <f t="shared" si="25"/>
        <v>Clear</v>
      </c>
    </row>
    <row r="528" spans="1:19" x14ac:dyDescent="0.25">
      <c r="A528">
        <v>527</v>
      </c>
      <c r="B528" s="19">
        <v>40567</v>
      </c>
      <c r="C528">
        <v>1</v>
      </c>
      <c r="D528">
        <v>1</v>
      </c>
      <c r="E528">
        <v>1</v>
      </c>
      <c r="F528" t="b">
        <v>0</v>
      </c>
      <c r="G528">
        <v>1</v>
      </c>
      <c r="H528">
        <v>1</v>
      </c>
      <c r="I528">
        <v>0.04</v>
      </c>
      <c r="J528">
        <v>0</v>
      </c>
      <c r="K528">
        <v>0.28789999999999999</v>
      </c>
      <c r="L528">
        <v>0.81</v>
      </c>
      <c r="M528">
        <v>0</v>
      </c>
      <c r="N528">
        <v>3</v>
      </c>
      <c r="O528">
        <v>13</v>
      </c>
      <c r="P528">
        <v>16</v>
      </c>
      <c r="Q528" s="17" t="str">
        <f t="shared" si="26"/>
        <v>Weekdays</v>
      </c>
      <c r="R528" s="17" t="str">
        <f t="shared" si="24"/>
        <v>Morning</v>
      </c>
      <c r="S528" s="9" t="str">
        <f t="shared" si="25"/>
        <v>Clear</v>
      </c>
    </row>
    <row r="529" spans="1:19" x14ac:dyDescent="0.25">
      <c r="A529">
        <v>528</v>
      </c>
      <c r="B529" s="19">
        <v>40567</v>
      </c>
      <c r="C529">
        <v>1</v>
      </c>
      <c r="D529">
        <v>1</v>
      </c>
      <c r="E529">
        <v>3</v>
      </c>
      <c r="F529" t="b">
        <v>0</v>
      </c>
      <c r="G529">
        <v>1</v>
      </c>
      <c r="H529">
        <v>1</v>
      </c>
      <c r="I529">
        <v>0.04</v>
      </c>
      <c r="J529">
        <v>0</v>
      </c>
      <c r="K529">
        <v>0.28789999999999999</v>
      </c>
      <c r="L529">
        <v>0.81</v>
      </c>
      <c r="M529">
        <v>0</v>
      </c>
      <c r="N529">
        <v>3</v>
      </c>
      <c r="O529">
        <v>13</v>
      </c>
      <c r="P529">
        <v>16</v>
      </c>
      <c r="Q529" s="17" t="str">
        <f t="shared" si="26"/>
        <v>Weekdays</v>
      </c>
      <c r="R529" s="17" t="str">
        <f t="shared" si="24"/>
        <v>Morning</v>
      </c>
      <c r="S529" s="9" t="str">
        <f t="shared" si="25"/>
        <v>Clear</v>
      </c>
    </row>
    <row r="530" spans="1:19" x14ac:dyDescent="0.25">
      <c r="A530">
        <v>529</v>
      </c>
      <c r="B530" s="19">
        <v>40567</v>
      </c>
      <c r="C530">
        <v>1</v>
      </c>
      <c r="D530">
        <v>1</v>
      </c>
      <c r="E530">
        <v>4</v>
      </c>
      <c r="F530" t="b">
        <v>0</v>
      </c>
      <c r="G530">
        <v>1</v>
      </c>
      <c r="H530">
        <v>1</v>
      </c>
      <c r="I530">
        <v>0.02</v>
      </c>
      <c r="J530">
        <v>0</v>
      </c>
      <c r="K530">
        <v>0.28789999999999999</v>
      </c>
      <c r="L530">
        <v>0.81</v>
      </c>
      <c r="M530">
        <v>0</v>
      </c>
      <c r="N530">
        <v>3</v>
      </c>
      <c r="O530">
        <v>13</v>
      </c>
      <c r="P530">
        <v>16</v>
      </c>
      <c r="Q530" s="17" t="str">
        <f t="shared" si="26"/>
        <v>Weekdays</v>
      </c>
      <c r="R530" s="17" t="str">
        <f t="shared" si="24"/>
        <v>Morning</v>
      </c>
      <c r="S530" s="9" t="str">
        <f t="shared" si="25"/>
        <v>Clear</v>
      </c>
    </row>
    <row r="531" spans="1:19" x14ac:dyDescent="0.25">
      <c r="A531">
        <v>530</v>
      </c>
      <c r="B531" s="19">
        <v>40567</v>
      </c>
      <c r="C531">
        <v>1</v>
      </c>
      <c r="D531">
        <v>1</v>
      </c>
      <c r="E531">
        <v>5</v>
      </c>
      <c r="F531" t="b">
        <v>0</v>
      </c>
      <c r="G531">
        <v>1</v>
      </c>
      <c r="H531">
        <v>1</v>
      </c>
      <c r="I531">
        <v>0.02</v>
      </c>
      <c r="J531">
        <v>0</v>
      </c>
      <c r="K531">
        <v>0.28789999999999999</v>
      </c>
      <c r="L531">
        <v>0.81</v>
      </c>
      <c r="M531">
        <v>0</v>
      </c>
      <c r="N531">
        <v>3</v>
      </c>
      <c r="O531">
        <v>13</v>
      </c>
      <c r="P531">
        <v>16</v>
      </c>
      <c r="Q531" s="17" t="str">
        <f t="shared" si="26"/>
        <v>Weekdays</v>
      </c>
      <c r="R531" s="17" t="str">
        <f t="shared" si="24"/>
        <v>Morning</v>
      </c>
      <c r="S531" s="9" t="str">
        <f t="shared" si="25"/>
        <v>Clear</v>
      </c>
    </row>
    <row r="532" spans="1:19" x14ac:dyDescent="0.25">
      <c r="A532">
        <v>531</v>
      </c>
      <c r="B532" s="19">
        <v>40567</v>
      </c>
      <c r="C532">
        <v>1</v>
      </c>
      <c r="D532">
        <v>1</v>
      </c>
      <c r="E532">
        <v>6</v>
      </c>
      <c r="F532" t="b">
        <v>0</v>
      </c>
      <c r="G532">
        <v>1</v>
      </c>
      <c r="H532">
        <v>1</v>
      </c>
      <c r="I532">
        <v>0.02</v>
      </c>
      <c r="J532">
        <v>0</v>
      </c>
      <c r="K532">
        <v>0.28789999999999999</v>
      </c>
      <c r="L532">
        <v>0.81</v>
      </c>
      <c r="M532">
        <v>0</v>
      </c>
      <c r="N532">
        <v>3</v>
      </c>
      <c r="O532">
        <v>13</v>
      </c>
      <c r="P532">
        <v>16</v>
      </c>
      <c r="Q532" s="17" t="str">
        <f t="shared" si="26"/>
        <v>Weekdays</v>
      </c>
      <c r="R532" s="17" t="str">
        <f t="shared" si="24"/>
        <v>Morning</v>
      </c>
      <c r="S532" s="9" t="str">
        <f t="shared" si="25"/>
        <v>Clear</v>
      </c>
    </row>
    <row r="533" spans="1:19" x14ac:dyDescent="0.25">
      <c r="A533">
        <v>532</v>
      </c>
      <c r="B533" s="19">
        <v>40567</v>
      </c>
      <c r="C533">
        <v>1</v>
      </c>
      <c r="D533">
        <v>1</v>
      </c>
      <c r="E533">
        <v>7</v>
      </c>
      <c r="F533" t="b">
        <v>0</v>
      </c>
      <c r="G533">
        <v>1</v>
      </c>
      <c r="H533">
        <v>1</v>
      </c>
      <c r="I533">
        <v>0.02</v>
      </c>
      <c r="J533">
        <v>0</v>
      </c>
      <c r="K533">
        <v>0.28789999999999999</v>
      </c>
      <c r="L533">
        <v>0.81</v>
      </c>
      <c r="M533">
        <v>0</v>
      </c>
      <c r="N533">
        <v>3</v>
      </c>
      <c r="O533">
        <v>13</v>
      </c>
      <c r="P533">
        <v>16</v>
      </c>
      <c r="Q533" s="17" t="str">
        <f t="shared" si="26"/>
        <v>Weekdays</v>
      </c>
      <c r="R533" s="17" t="str">
        <f t="shared" si="24"/>
        <v>Morning</v>
      </c>
      <c r="S533" s="9" t="str">
        <f t="shared" si="25"/>
        <v>Clear</v>
      </c>
    </row>
    <row r="534" spans="1:19" x14ac:dyDescent="0.25">
      <c r="A534">
        <v>533</v>
      </c>
      <c r="B534" s="19">
        <v>40567</v>
      </c>
      <c r="C534">
        <v>1</v>
      </c>
      <c r="D534">
        <v>1</v>
      </c>
      <c r="E534">
        <v>8</v>
      </c>
      <c r="F534" t="b">
        <v>0</v>
      </c>
      <c r="G534">
        <v>1</v>
      </c>
      <c r="H534">
        <v>1</v>
      </c>
      <c r="I534">
        <v>0.04</v>
      </c>
      <c r="J534">
        <v>0</v>
      </c>
      <c r="K534">
        <v>0.28789999999999999</v>
      </c>
      <c r="L534">
        <v>0.81</v>
      </c>
      <c r="M534">
        <v>0</v>
      </c>
      <c r="N534">
        <v>3</v>
      </c>
      <c r="O534">
        <v>13</v>
      </c>
      <c r="P534">
        <v>16</v>
      </c>
      <c r="Q534" s="17" t="str">
        <f t="shared" si="26"/>
        <v>Weekdays</v>
      </c>
      <c r="R534" s="17" t="str">
        <f t="shared" si="24"/>
        <v>Morning</v>
      </c>
      <c r="S534" s="9" t="str">
        <f t="shared" si="25"/>
        <v>Clear</v>
      </c>
    </row>
    <row r="535" spans="1:19" x14ac:dyDescent="0.25">
      <c r="A535">
        <v>534</v>
      </c>
      <c r="B535" s="19">
        <v>40567</v>
      </c>
      <c r="C535">
        <v>1</v>
      </c>
      <c r="D535">
        <v>1</v>
      </c>
      <c r="E535">
        <v>9</v>
      </c>
      <c r="F535" t="b">
        <v>0</v>
      </c>
      <c r="G535">
        <v>1</v>
      </c>
      <c r="H535">
        <v>1</v>
      </c>
      <c r="I535">
        <v>0.06</v>
      </c>
      <c r="J535">
        <v>0</v>
      </c>
      <c r="K535">
        <v>0.28789999999999999</v>
      </c>
      <c r="L535">
        <v>0.81</v>
      </c>
      <c r="M535">
        <v>0</v>
      </c>
      <c r="N535">
        <v>3</v>
      </c>
      <c r="O535">
        <v>13</v>
      </c>
      <c r="P535">
        <v>16</v>
      </c>
      <c r="Q535" s="17" t="str">
        <f t="shared" si="26"/>
        <v>Weekdays</v>
      </c>
      <c r="R535" s="17" t="str">
        <f t="shared" si="24"/>
        <v>Morning</v>
      </c>
      <c r="S535" s="9" t="str">
        <f t="shared" si="25"/>
        <v>Clear</v>
      </c>
    </row>
    <row r="536" spans="1:19" x14ac:dyDescent="0.25">
      <c r="A536">
        <v>535</v>
      </c>
      <c r="B536" s="19">
        <v>40567</v>
      </c>
      <c r="C536">
        <v>1</v>
      </c>
      <c r="D536">
        <v>1</v>
      </c>
      <c r="E536">
        <v>10</v>
      </c>
      <c r="F536" t="b">
        <v>0</v>
      </c>
      <c r="G536">
        <v>1</v>
      </c>
      <c r="H536">
        <v>1</v>
      </c>
      <c r="I536">
        <v>0.1</v>
      </c>
      <c r="J536">
        <v>0</v>
      </c>
      <c r="K536">
        <v>0.28789999999999999</v>
      </c>
      <c r="L536">
        <v>0.81</v>
      </c>
      <c r="M536">
        <v>0</v>
      </c>
      <c r="N536">
        <v>3</v>
      </c>
      <c r="O536">
        <v>13</v>
      </c>
      <c r="P536">
        <v>16</v>
      </c>
      <c r="Q536" s="17" t="str">
        <f t="shared" si="26"/>
        <v>Weekdays</v>
      </c>
      <c r="R536" s="17" t="str">
        <f t="shared" si="24"/>
        <v>Morning</v>
      </c>
      <c r="S536" s="9" t="str">
        <f t="shared" si="25"/>
        <v>Clear</v>
      </c>
    </row>
    <row r="537" spans="1:19" x14ac:dyDescent="0.25">
      <c r="A537">
        <v>536</v>
      </c>
      <c r="B537" s="19">
        <v>40567</v>
      </c>
      <c r="C537">
        <v>1</v>
      </c>
      <c r="D537">
        <v>1</v>
      </c>
      <c r="E537">
        <v>11</v>
      </c>
      <c r="F537" t="b">
        <v>0</v>
      </c>
      <c r="G537">
        <v>1</v>
      </c>
      <c r="H537">
        <v>1</v>
      </c>
      <c r="I537">
        <v>0.1</v>
      </c>
      <c r="J537">
        <v>0</v>
      </c>
      <c r="K537">
        <v>0.28789999999999999</v>
      </c>
      <c r="L537">
        <v>0.81</v>
      </c>
      <c r="M537">
        <v>0</v>
      </c>
      <c r="N537">
        <v>3</v>
      </c>
      <c r="O537">
        <v>13</v>
      </c>
      <c r="P537">
        <v>16</v>
      </c>
      <c r="Q537" s="17" t="str">
        <f t="shared" si="26"/>
        <v>Weekdays</v>
      </c>
      <c r="R537" s="17" t="str">
        <f t="shared" si="24"/>
        <v>Morning</v>
      </c>
      <c r="S537" s="9" t="str">
        <f t="shared" si="25"/>
        <v>Clear</v>
      </c>
    </row>
    <row r="538" spans="1:19" x14ac:dyDescent="0.25">
      <c r="A538">
        <v>537</v>
      </c>
      <c r="B538" s="19">
        <v>40567</v>
      </c>
      <c r="C538">
        <v>1</v>
      </c>
      <c r="D538">
        <v>1</v>
      </c>
      <c r="E538">
        <v>12</v>
      </c>
      <c r="F538" t="b">
        <v>0</v>
      </c>
      <c r="G538">
        <v>1</v>
      </c>
      <c r="H538">
        <v>2</v>
      </c>
      <c r="I538">
        <v>0.12</v>
      </c>
      <c r="J538">
        <v>0</v>
      </c>
      <c r="K538">
        <v>0.28789999999999999</v>
      </c>
      <c r="L538">
        <v>0.81</v>
      </c>
      <c r="M538">
        <v>0</v>
      </c>
      <c r="N538">
        <v>3</v>
      </c>
      <c r="O538">
        <v>13</v>
      </c>
      <c r="P538">
        <v>16</v>
      </c>
      <c r="Q538" s="17" t="str">
        <f t="shared" si="26"/>
        <v>Weekdays</v>
      </c>
      <c r="R538" s="17" t="str">
        <f t="shared" si="24"/>
        <v>Afternoon</v>
      </c>
      <c r="S538" s="9" t="str">
        <f t="shared" si="25"/>
        <v>Mist</v>
      </c>
    </row>
    <row r="539" spans="1:19" x14ac:dyDescent="0.25">
      <c r="A539">
        <v>538</v>
      </c>
      <c r="B539" s="19">
        <v>40567</v>
      </c>
      <c r="C539">
        <v>1</v>
      </c>
      <c r="D539">
        <v>1</v>
      </c>
      <c r="E539">
        <v>13</v>
      </c>
      <c r="F539" t="b">
        <v>0</v>
      </c>
      <c r="G539">
        <v>1</v>
      </c>
      <c r="H539">
        <v>2</v>
      </c>
      <c r="I539">
        <v>0.14000000000000001</v>
      </c>
      <c r="J539">
        <v>0</v>
      </c>
      <c r="K539">
        <v>0.28789999999999999</v>
      </c>
      <c r="L539">
        <v>0.81</v>
      </c>
      <c r="M539">
        <v>0</v>
      </c>
      <c r="N539">
        <v>3</v>
      </c>
      <c r="O539">
        <v>13</v>
      </c>
      <c r="P539">
        <v>16</v>
      </c>
      <c r="Q539" s="17" t="str">
        <f t="shared" si="26"/>
        <v>Weekdays</v>
      </c>
      <c r="R539" s="17" t="str">
        <f t="shared" si="24"/>
        <v>Afternoon</v>
      </c>
      <c r="S539" s="9" t="str">
        <f t="shared" si="25"/>
        <v>Mist</v>
      </c>
    </row>
    <row r="540" spans="1:19" x14ac:dyDescent="0.25">
      <c r="A540">
        <v>539</v>
      </c>
      <c r="B540" s="19">
        <v>40567</v>
      </c>
      <c r="C540">
        <v>1</v>
      </c>
      <c r="D540">
        <v>1</v>
      </c>
      <c r="E540">
        <v>14</v>
      </c>
      <c r="F540" t="b">
        <v>0</v>
      </c>
      <c r="G540">
        <v>1</v>
      </c>
      <c r="H540">
        <v>2</v>
      </c>
      <c r="I540">
        <v>0.14000000000000001</v>
      </c>
      <c r="J540">
        <v>0</v>
      </c>
      <c r="K540">
        <v>0.28789999999999999</v>
      </c>
      <c r="L540">
        <v>0.81</v>
      </c>
      <c r="M540">
        <v>0</v>
      </c>
      <c r="N540">
        <v>3</v>
      </c>
      <c r="O540">
        <v>13</v>
      </c>
      <c r="P540">
        <v>16</v>
      </c>
      <c r="Q540" s="17" t="str">
        <f t="shared" si="26"/>
        <v>Weekdays</v>
      </c>
      <c r="R540" s="17" t="str">
        <f t="shared" si="24"/>
        <v>Afternoon</v>
      </c>
      <c r="S540" s="9" t="str">
        <f t="shared" si="25"/>
        <v>Mist</v>
      </c>
    </row>
    <row r="541" spans="1:19" x14ac:dyDescent="0.25">
      <c r="A541">
        <v>540</v>
      </c>
      <c r="B541" s="19">
        <v>40567</v>
      </c>
      <c r="C541">
        <v>1</v>
      </c>
      <c r="D541">
        <v>1</v>
      </c>
      <c r="E541">
        <v>15</v>
      </c>
      <c r="F541" t="b">
        <v>0</v>
      </c>
      <c r="G541">
        <v>1</v>
      </c>
      <c r="H541">
        <v>1</v>
      </c>
      <c r="I541">
        <v>0.16</v>
      </c>
      <c r="J541">
        <v>0</v>
      </c>
      <c r="K541">
        <v>0.28789999999999999</v>
      </c>
      <c r="L541">
        <v>0.81</v>
      </c>
      <c r="M541">
        <v>0</v>
      </c>
      <c r="N541">
        <v>3</v>
      </c>
      <c r="O541">
        <v>13</v>
      </c>
      <c r="P541">
        <v>16</v>
      </c>
      <c r="Q541" s="17" t="str">
        <f t="shared" si="26"/>
        <v>Weekdays</v>
      </c>
      <c r="R541" s="17" t="str">
        <f t="shared" si="24"/>
        <v>Afternoon</v>
      </c>
      <c r="S541" s="9" t="str">
        <f t="shared" si="25"/>
        <v>Clear</v>
      </c>
    </row>
    <row r="542" spans="1:19" x14ac:dyDescent="0.25">
      <c r="A542">
        <v>541</v>
      </c>
      <c r="B542" s="19">
        <v>40567</v>
      </c>
      <c r="C542">
        <v>1</v>
      </c>
      <c r="D542">
        <v>1</v>
      </c>
      <c r="E542">
        <v>16</v>
      </c>
      <c r="F542" t="b">
        <v>0</v>
      </c>
      <c r="G542">
        <v>1</v>
      </c>
      <c r="H542">
        <v>1</v>
      </c>
      <c r="I542">
        <v>0.16</v>
      </c>
      <c r="J542">
        <v>0</v>
      </c>
      <c r="K542">
        <v>0.28789999999999999</v>
      </c>
      <c r="L542">
        <v>0.81</v>
      </c>
      <c r="M542">
        <v>0</v>
      </c>
      <c r="N542">
        <v>3</v>
      </c>
      <c r="O542">
        <v>13</v>
      </c>
      <c r="P542">
        <v>16</v>
      </c>
      <c r="Q542" s="17" t="str">
        <f t="shared" si="26"/>
        <v>Weekdays</v>
      </c>
      <c r="R542" s="17" t="str">
        <f t="shared" si="24"/>
        <v>Evening</v>
      </c>
      <c r="S542" s="9" t="str">
        <f t="shared" si="25"/>
        <v>Clear</v>
      </c>
    </row>
    <row r="543" spans="1:19" x14ac:dyDescent="0.25">
      <c r="A543">
        <v>542</v>
      </c>
      <c r="B543" s="19">
        <v>40567</v>
      </c>
      <c r="C543">
        <v>1</v>
      </c>
      <c r="D543">
        <v>1</v>
      </c>
      <c r="E543">
        <v>17</v>
      </c>
      <c r="F543" t="b">
        <v>0</v>
      </c>
      <c r="G543">
        <v>1</v>
      </c>
      <c r="H543">
        <v>1</v>
      </c>
      <c r="I543">
        <v>0.14000000000000001</v>
      </c>
      <c r="J543">
        <v>0</v>
      </c>
      <c r="K543">
        <v>0.28789999999999999</v>
      </c>
      <c r="L543">
        <v>0.81</v>
      </c>
      <c r="M543">
        <v>0</v>
      </c>
      <c r="N543">
        <v>3</v>
      </c>
      <c r="O543">
        <v>13</v>
      </c>
      <c r="P543">
        <v>16</v>
      </c>
      <c r="Q543" s="17" t="str">
        <f t="shared" si="26"/>
        <v>Weekdays</v>
      </c>
      <c r="R543" s="17" t="str">
        <f t="shared" si="24"/>
        <v>Evening</v>
      </c>
      <c r="S543" s="9" t="str">
        <f t="shared" si="25"/>
        <v>Clear</v>
      </c>
    </row>
    <row r="544" spans="1:19" x14ac:dyDescent="0.25">
      <c r="A544">
        <v>543</v>
      </c>
      <c r="B544" s="19">
        <v>40567</v>
      </c>
      <c r="C544">
        <v>1</v>
      </c>
      <c r="D544">
        <v>1</v>
      </c>
      <c r="E544">
        <v>18</v>
      </c>
      <c r="F544" t="b">
        <v>0</v>
      </c>
      <c r="G544">
        <v>1</v>
      </c>
      <c r="H544">
        <v>1</v>
      </c>
      <c r="I544">
        <v>0.14000000000000001</v>
      </c>
      <c r="J544">
        <v>0</v>
      </c>
      <c r="K544">
        <v>0.28789999999999999</v>
      </c>
      <c r="L544">
        <v>0.81</v>
      </c>
      <c r="M544">
        <v>0</v>
      </c>
      <c r="N544">
        <v>3</v>
      </c>
      <c r="O544">
        <v>13</v>
      </c>
      <c r="P544">
        <v>16</v>
      </c>
      <c r="Q544" s="17" t="str">
        <f t="shared" si="26"/>
        <v>Weekdays</v>
      </c>
      <c r="R544" s="17" t="str">
        <f t="shared" si="24"/>
        <v>Evening</v>
      </c>
      <c r="S544" s="9" t="str">
        <f t="shared" si="25"/>
        <v>Clear</v>
      </c>
    </row>
    <row r="545" spans="1:19" x14ac:dyDescent="0.25">
      <c r="A545">
        <v>544</v>
      </c>
      <c r="B545" s="19">
        <v>40567</v>
      </c>
      <c r="C545">
        <v>1</v>
      </c>
      <c r="D545">
        <v>1</v>
      </c>
      <c r="E545">
        <v>19</v>
      </c>
      <c r="F545" t="b">
        <v>0</v>
      </c>
      <c r="G545">
        <v>1</v>
      </c>
      <c r="H545">
        <v>1</v>
      </c>
      <c r="I545">
        <v>0.14000000000000001</v>
      </c>
      <c r="J545">
        <v>0</v>
      </c>
      <c r="K545">
        <v>0.28789999999999999</v>
      </c>
      <c r="L545">
        <v>0.81</v>
      </c>
      <c r="M545">
        <v>0</v>
      </c>
      <c r="N545">
        <v>3</v>
      </c>
      <c r="O545">
        <v>13</v>
      </c>
      <c r="P545">
        <v>16</v>
      </c>
      <c r="Q545" s="17" t="str">
        <f t="shared" si="26"/>
        <v>Weekdays</v>
      </c>
      <c r="R545" s="17" t="str">
        <f t="shared" si="24"/>
        <v>Evening</v>
      </c>
      <c r="S545" s="9" t="str">
        <f t="shared" si="25"/>
        <v>Clear</v>
      </c>
    </row>
    <row r="546" spans="1:19" x14ac:dyDescent="0.25">
      <c r="A546">
        <v>545</v>
      </c>
      <c r="B546" s="19">
        <v>40567</v>
      </c>
      <c r="C546">
        <v>1</v>
      </c>
      <c r="D546">
        <v>1</v>
      </c>
      <c r="E546">
        <v>20</v>
      </c>
      <c r="F546" t="b">
        <v>0</v>
      </c>
      <c r="G546">
        <v>1</v>
      </c>
      <c r="H546">
        <v>1</v>
      </c>
      <c r="I546">
        <v>0.14000000000000001</v>
      </c>
      <c r="J546">
        <v>0</v>
      </c>
      <c r="K546">
        <v>0.28789999999999999</v>
      </c>
      <c r="L546">
        <v>0.81</v>
      </c>
      <c r="M546">
        <v>0</v>
      </c>
      <c r="N546">
        <v>3</v>
      </c>
      <c r="O546">
        <v>13</v>
      </c>
      <c r="P546">
        <v>16</v>
      </c>
      <c r="Q546" s="17" t="str">
        <f t="shared" si="26"/>
        <v>Weekdays</v>
      </c>
      <c r="R546" s="17" t="str">
        <f t="shared" si="24"/>
        <v>Evening</v>
      </c>
      <c r="S546" s="9" t="str">
        <f t="shared" si="25"/>
        <v>Clear</v>
      </c>
    </row>
    <row r="547" spans="1:19" x14ac:dyDescent="0.25">
      <c r="A547">
        <v>546</v>
      </c>
      <c r="B547" s="19">
        <v>40567</v>
      </c>
      <c r="C547">
        <v>1</v>
      </c>
      <c r="D547">
        <v>1</v>
      </c>
      <c r="E547">
        <v>21</v>
      </c>
      <c r="F547" t="b">
        <v>0</v>
      </c>
      <c r="G547">
        <v>1</v>
      </c>
      <c r="H547">
        <v>1</v>
      </c>
      <c r="I547">
        <v>0.14000000000000001</v>
      </c>
      <c r="J547">
        <v>0</v>
      </c>
      <c r="K547">
        <v>0.28789999999999999</v>
      </c>
      <c r="L547">
        <v>0.81</v>
      </c>
      <c r="M547">
        <v>0</v>
      </c>
      <c r="N547">
        <v>3</v>
      </c>
      <c r="O547">
        <v>13</v>
      </c>
      <c r="P547">
        <v>16</v>
      </c>
      <c r="Q547" s="17" t="str">
        <f t="shared" si="26"/>
        <v>Weekdays</v>
      </c>
      <c r="R547" s="17" t="str">
        <f t="shared" si="24"/>
        <v>Night</v>
      </c>
      <c r="S547" s="9" t="str">
        <f t="shared" si="25"/>
        <v>Clear</v>
      </c>
    </row>
    <row r="548" spans="1:19" x14ac:dyDescent="0.25">
      <c r="A548">
        <v>547</v>
      </c>
      <c r="B548" s="19">
        <v>40567</v>
      </c>
      <c r="C548">
        <v>1</v>
      </c>
      <c r="D548">
        <v>1</v>
      </c>
      <c r="E548">
        <v>22</v>
      </c>
      <c r="F548" t="b">
        <v>0</v>
      </c>
      <c r="G548">
        <v>1</v>
      </c>
      <c r="H548">
        <v>2</v>
      </c>
      <c r="I548">
        <v>0.14000000000000001</v>
      </c>
      <c r="J548">
        <v>0</v>
      </c>
      <c r="K548">
        <v>0.28789999999999999</v>
      </c>
      <c r="L548">
        <v>0.81</v>
      </c>
      <c r="M548">
        <v>0</v>
      </c>
      <c r="N548">
        <v>3</v>
      </c>
      <c r="O548">
        <v>13</v>
      </c>
      <c r="P548">
        <v>16</v>
      </c>
      <c r="Q548" s="17" t="str">
        <f t="shared" si="26"/>
        <v>Weekdays</v>
      </c>
      <c r="R548" s="17" t="str">
        <f t="shared" si="24"/>
        <v>Night</v>
      </c>
      <c r="S548" s="9" t="str">
        <f t="shared" si="25"/>
        <v>Mist</v>
      </c>
    </row>
    <row r="549" spans="1:19" x14ac:dyDescent="0.25">
      <c r="A549">
        <v>548</v>
      </c>
      <c r="B549" s="19">
        <v>40567</v>
      </c>
      <c r="C549">
        <v>1</v>
      </c>
      <c r="D549">
        <v>1</v>
      </c>
      <c r="E549">
        <v>23</v>
      </c>
      <c r="F549" t="b">
        <v>0</v>
      </c>
      <c r="G549">
        <v>1</v>
      </c>
      <c r="H549">
        <v>2</v>
      </c>
      <c r="I549">
        <v>0.16</v>
      </c>
      <c r="J549">
        <v>0</v>
      </c>
      <c r="K549">
        <v>0.28789999999999999</v>
      </c>
      <c r="L549">
        <v>0.81</v>
      </c>
      <c r="M549">
        <v>0</v>
      </c>
      <c r="N549">
        <v>3</v>
      </c>
      <c r="O549">
        <v>13</v>
      </c>
      <c r="P549">
        <v>16</v>
      </c>
      <c r="Q549" s="17" t="str">
        <f t="shared" si="26"/>
        <v>Weekdays</v>
      </c>
      <c r="R549" s="17" t="str">
        <f t="shared" si="24"/>
        <v>Night</v>
      </c>
      <c r="S549" s="9" t="str">
        <f t="shared" si="25"/>
        <v>Mist</v>
      </c>
    </row>
    <row r="550" spans="1:19" x14ac:dyDescent="0.25">
      <c r="A550">
        <v>549</v>
      </c>
      <c r="B550" s="19">
        <v>40568</v>
      </c>
      <c r="C550">
        <v>1</v>
      </c>
      <c r="D550">
        <v>1</v>
      </c>
      <c r="E550">
        <v>0</v>
      </c>
      <c r="F550" t="b">
        <v>0</v>
      </c>
      <c r="G550">
        <v>2</v>
      </c>
      <c r="H550">
        <v>2</v>
      </c>
      <c r="I550">
        <v>0.16</v>
      </c>
      <c r="J550">
        <v>0</v>
      </c>
      <c r="K550">
        <v>0.28789999999999999</v>
      </c>
      <c r="L550">
        <v>0.81</v>
      </c>
      <c r="M550">
        <v>0</v>
      </c>
      <c r="N550">
        <v>3</v>
      </c>
      <c r="O550">
        <v>13</v>
      </c>
      <c r="P550">
        <v>16</v>
      </c>
      <c r="Q550" s="17" t="str">
        <f t="shared" si="26"/>
        <v>Weekdays</v>
      </c>
      <c r="R550" s="17" t="str">
        <f t="shared" si="24"/>
        <v>Morning</v>
      </c>
      <c r="S550" s="9" t="str">
        <f t="shared" si="25"/>
        <v>Mist</v>
      </c>
    </row>
    <row r="551" spans="1:19" x14ac:dyDescent="0.25">
      <c r="A551">
        <v>550</v>
      </c>
      <c r="B551" s="19">
        <v>40568</v>
      </c>
      <c r="C551">
        <v>1</v>
      </c>
      <c r="D551">
        <v>1</v>
      </c>
      <c r="E551">
        <v>1</v>
      </c>
      <c r="F551" t="b">
        <v>0</v>
      </c>
      <c r="G551">
        <v>2</v>
      </c>
      <c r="H551">
        <v>2</v>
      </c>
      <c r="I551">
        <v>0.16</v>
      </c>
      <c r="J551">
        <v>0</v>
      </c>
      <c r="K551">
        <v>0.28789999999999999</v>
      </c>
      <c r="L551">
        <v>0.81</v>
      </c>
      <c r="M551">
        <v>0</v>
      </c>
      <c r="N551">
        <v>3</v>
      </c>
      <c r="O551">
        <v>13</v>
      </c>
      <c r="P551">
        <v>16</v>
      </c>
      <c r="Q551" s="17" t="str">
        <f t="shared" si="26"/>
        <v>Weekdays</v>
      </c>
      <c r="R551" s="17" t="str">
        <f t="shared" si="24"/>
        <v>Morning</v>
      </c>
      <c r="S551" s="9" t="str">
        <f t="shared" si="25"/>
        <v>Mist</v>
      </c>
    </row>
    <row r="552" spans="1:19" x14ac:dyDescent="0.25">
      <c r="A552">
        <v>551</v>
      </c>
      <c r="B552" s="19">
        <v>40568</v>
      </c>
      <c r="C552">
        <v>1</v>
      </c>
      <c r="D552">
        <v>1</v>
      </c>
      <c r="E552">
        <v>2</v>
      </c>
      <c r="F552" t="b">
        <v>0</v>
      </c>
      <c r="G552">
        <v>2</v>
      </c>
      <c r="H552">
        <v>1</v>
      </c>
      <c r="I552">
        <v>0.16</v>
      </c>
      <c r="J552">
        <v>0</v>
      </c>
      <c r="K552">
        <v>0.28789999999999999</v>
      </c>
      <c r="L552">
        <v>0.81</v>
      </c>
      <c r="M552">
        <v>0</v>
      </c>
      <c r="N552">
        <v>3</v>
      </c>
      <c r="O552">
        <v>13</v>
      </c>
      <c r="P552">
        <v>16</v>
      </c>
      <c r="Q552" s="17" t="str">
        <f t="shared" si="26"/>
        <v>Weekdays</v>
      </c>
      <c r="R552" s="17" t="str">
        <f t="shared" si="24"/>
        <v>Morning</v>
      </c>
      <c r="S552" s="9" t="str">
        <f t="shared" si="25"/>
        <v>Clear</v>
      </c>
    </row>
    <row r="553" spans="1:19" x14ac:dyDescent="0.25">
      <c r="A553">
        <v>552</v>
      </c>
      <c r="B553" s="19">
        <v>40568</v>
      </c>
      <c r="C553">
        <v>1</v>
      </c>
      <c r="D553">
        <v>1</v>
      </c>
      <c r="E553">
        <v>4</v>
      </c>
      <c r="F553" t="b">
        <v>0</v>
      </c>
      <c r="G553">
        <v>2</v>
      </c>
      <c r="H553">
        <v>1</v>
      </c>
      <c r="I553">
        <v>0.14000000000000001</v>
      </c>
      <c r="J553">
        <v>0</v>
      </c>
      <c r="K553">
        <v>0.28789999999999999</v>
      </c>
      <c r="L553">
        <v>0.81</v>
      </c>
      <c r="M553">
        <v>0</v>
      </c>
      <c r="N553">
        <v>3</v>
      </c>
      <c r="O553">
        <v>13</v>
      </c>
      <c r="P553">
        <v>16</v>
      </c>
      <c r="Q553" s="17" t="str">
        <f t="shared" si="26"/>
        <v>Weekdays</v>
      </c>
      <c r="R553" s="17" t="str">
        <f t="shared" si="24"/>
        <v>Morning</v>
      </c>
      <c r="S553" s="9" t="str">
        <f t="shared" si="25"/>
        <v>Clear</v>
      </c>
    </row>
    <row r="554" spans="1:19" x14ac:dyDescent="0.25">
      <c r="A554">
        <v>553</v>
      </c>
      <c r="B554" s="19">
        <v>40568</v>
      </c>
      <c r="C554">
        <v>1</v>
      </c>
      <c r="D554">
        <v>1</v>
      </c>
      <c r="E554">
        <v>5</v>
      </c>
      <c r="F554" t="b">
        <v>0</v>
      </c>
      <c r="G554">
        <v>2</v>
      </c>
      <c r="H554">
        <v>1</v>
      </c>
      <c r="I554">
        <v>0.14000000000000001</v>
      </c>
      <c r="J554">
        <v>0</v>
      </c>
      <c r="K554">
        <v>0.28789999999999999</v>
      </c>
      <c r="L554">
        <v>0.81</v>
      </c>
      <c r="M554">
        <v>0</v>
      </c>
      <c r="N554">
        <v>3</v>
      </c>
      <c r="O554">
        <v>13</v>
      </c>
      <c r="P554">
        <v>16</v>
      </c>
      <c r="Q554" s="17" t="str">
        <f t="shared" si="26"/>
        <v>Weekdays</v>
      </c>
      <c r="R554" s="17" t="str">
        <f t="shared" si="24"/>
        <v>Morning</v>
      </c>
      <c r="S554" s="9" t="str">
        <f t="shared" si="25"/>
        <v>Clear</v>
      </c>
    </row>
    <row r="555" spans="1:19" x14ac:dyDescent="0.25">
      <c r="A555">
        <v>554</v>
      </c>
      <c r="B555" s="19">
        <v>40568</v>
      </c>
      <c r="C555">
        <v>1</v>
      </c>
      <c r="D555">
        <v>1</v>
      </c>
      <c r="E555">
        <v>6</v>
      </c>
      <c r="F555" t="b">
        <v>0</v>
      </c>
      <c r="G555">
        <v>2</v>
      </c>
      <c r="H555">
        <v>1</v>
      </c>
      <c r="I555">
        <v>0.16</v>
      </c>
      <c r="J555">
        <v>0</v>
      </c>
      <c r="K555">
        <v>0.28789999999999999</v>
      </c>
      <c r="L555">
        <v>0.81</v>
      </c>
      <c r="M555">
        <v>0</v>
      </c>
      <c r="N555">
        <v>3</v>
      </c>
      <c r="O555">
        <v>13</v>
      </c>
      <c r="P555">
        <v>16</v>
      </c>
      <c r="Q555" s="17" t="str">
        <f t="shared" si="26"/>
        <v>Weekdays</v>
      </c>
      <c r="R555" s="17" t="str">
        <f t="shared" si="24"/>
        <v>Morning</v>
      </c>
      <c r="S555" s="9" t="str">
        <f t="shared" si="25"/>
        <v>Clear</v>
      </c>
    </row>
    <row r="556" spans="1:19" x14ac:dyDescent="0.25">
      <c r="A556">
        <v>555</v>
      </c>
      <c r="B556" s="19">
        <v>40568</v>
      </c>
      <c r="C556">
        <v>1</v>
      </c>
      <c r="D556">
        <v>1</v>
      </c>
      <c r="E556">
        <v>7</v>
      </c>
      <c r="F556" t="b">
        <v>0</v>
      </c>
      <c r="G556">
        <v>2</v>
      </c>
      <c r="H556">
        <v>1</v>
      </c>
      <c r="I556">
        <v>0.16</v>
      </c>
      <c r="J556">
        <v>0</v>
      </c>
      <c r="K556">
        <v>0.28789999999999999</v>
      </c>
      <c r="L556">
        <v>0.81</v>
      </c>
      <c r="M556">
        <v>0</v>
      </c>
      <c r="N556">
        <v>3</v>
      </c>
      <c r="O556">
        <v>13</v>
      </c>
      <c r="P556">
        <v>16</v>
      </c>
      <c r="Q556" s="17" t="str">
        <f t="shared" si="26"/>
        <v>Weekdays</v>
      </c>
      <c r="R556" s="17" t="str">
        <f t="shared" si="24"/>
        <v>Morning</v>
      </c>
      <c r="S556" s="9" t="str">
        <f t="shared" si="25"/>
        <v>Clear</v>
      </c>
    </row>
    <row r="557" spans="1:19" x14ac:dyDescent="0.25">
      <c r="A557">
        <v>556</v>
      </c>
      <c r="B557" s="19">
        <v>40568</v>
      </c>
      <c r="C557">
        <v>1</v>
      </c>
      <c r="D557">
        <v>1</v>
      </c>
      <c r="E557">
        <v>8</v>
      </c>
      <c r="F557" t="b">
        <v>0</v>
      </c>
      <c r="G557">
        <v>2</v>
      </c>
      <c r="H557">
        <v>2</v>
      </c>
      <c r="I557">
        <v>0.16</v>
      </c>
      <c r="J557">
        <v>0</v>
      </c>
      <c r="K557">
        <v>0.28789999999999999</v>
      </c>
      <c r="L557">
        <v>0.81</v>
      </c>
      <c r="M557">
        <v>0</v>
      </c>
      <c r="N557">
        <v>3</v>
      </c>
      <c r="O557">
        <v>13</v>
      </c>
      <c r="P557">
        <v>16</v>
      </c>
      <c r="Q557" s="17" t="str">
        <f t="shared" si="26"/>
        <v>Weekdays</v>
      </c>
      <c r="R557" s="17" t="str">
        <f t="shared" si="24"/>
        <v>Morning</v>
      </c>
      <c r="S557" s="9" t="str">
        <f t="shared" si="25"/>
        <v>Mist</v>
      </c>
    </row>
    <row r="558" spans="1:19" x14ac:dyDescent="0.25">
      <c r="A558">
        <v>557</v>
      </c>
      <c r="B558" s="19">
        <v>40568</v>
      </c>
      <c r="C558">
        <v>1</v>
      </c>
      <c r="D558">
        <v>1</v>
      </c>
      <c r="E558">
        <v>9</v>
      </c>
      <c r="F558" t="b">
        <v>0</v>
      </c>
      <c r="G558">
        <v>2</v>
      </c>
      <c r="H558">
        <v>2</v>
      </c>
      <c r="I558">
        <v>0.2</v>
      </c>
      <c r="J558">
        <v>0</v>
      </c>
      <c r="K558">
        <v>0.28789999999999999</v>
      </c>
      <c r="L558">
        <v>0.81</v>
      </c>
      <c r="M558">
        <v>0</v>
      </c>
      <c r="N558">
        <v>3</v>
      </c>
      <c r="O558">
        <v>13</v>
      </c>
      <c r="P558">
        <v>16</v>
      </c>
      <c r="Q558" s="17" t="str">
        <f t="shared" si="26"/>
        <v>Weekdays</v>
      </c>
      <c r="R558" s="17" t="str">
        <f t="shared" si="24"/>
        <v>Morning</v>
      </c>
      <c r="S558" s="9" t="str">
        <f t="shared" si="25"/>
        <v>Mist</v>
      </c>
    </row>
    <row r="559" spans="1:19" x14ac:dyDescent="0.25">
      <c r="A559">
        <v>558</v>
      </c>
      <c r="B559" s="19">
        <v>40568</v>
      </c>
      <c r="C559">
        <v>1</v>
      </c>
      <c r="D559">
        <v>1</v>
      </c>
      <c r="E559">
        <v>10</v>
      </c>
      <c r="F559" t="b">
        <v>0</v>
      </c>
      <c r="G559">
        <v>2</v>
      </c>
      <c r="H559">
        <v>2</v>
      </c>
      <c r="I559">
        <v>0.22</v>
      </c>
      <c r="J559">
        <v>0</v>
      </c>
      <c r="K559">
        <v>0.28789999999999999</v>
      </c>
      <c r="L559">
        <v>0.81</v>
      </c>
      <c r="M559">
        <v>0</v>
      </c>
      <c r="N559">
        <v>3</v>
      </c>
      <c r="O559">
        <v>13</v>
      </c>
      <c r="P559">
        <v>16</v>
      </c>
      <c r="Q559" s="17" t="str">
        <f t="shared" si="26"/>
        <v>Weekdays</v>
      </c>
      <c r="R559" s="17" t="str">
        <f t="shared" si="24"/>
        <v>Morning</v>
      </c>
      <c r="S559" s="9" t="str">
        <f t="shared" si="25"/>
        <v>Mist</v>
      </c>
    </row>
    <row r="560" spans="1:19" x14ac:dyDescent="0.25">
      <c r="A560">
        <v>559</v>
      </c>
      <c r="B560" s="19">
        <v>40568</v>
      </c>
      <c r="C560">
        <v>1</v>
      </c>
      <c r="D560">
        <v>1</v>
      </c>
      <c r="E560">
        <v>11</v>
      </c>
      <c r="F560" t="b">
        <v>0</v>
      </c>
      <c r="G560">
        <v>2</v>
      </c>
      <c r="H560">
        <v>2</v>
      </c>
      <c r="I560">
        <v>0.24</v>
      </c>
      <c r="J560">
        <v>0</v>
      </c>
      <c r="K560">
        <v>0.28789999999999999</v>
      </c>
      <c r="L560">
        <v>0.81</v>
      </c>
      <c r="M560">
        <v>0</v>
      </c>
      <c r="N560">
        <v>3</v>
      </c>
      <c r="O560">
        <v>13</v>
      </c>
      <c r="P560">
        <v>16</v>
      </c>
      <c r="Q560" s="17" t="str">
        <f t="shared" si="26"/>
        <v>Weekdays</v>
      </c>
      <c r="R560" s="17" t="str">
        <f t="shared" si="24"/>
        <v>Morning</v>
      </c>
      <c r="S560" s="9" t="str">
        <f t="shared" si="25"/>
        <v>Mist</v>
      </c>
    </row>
    <row r="561" spans="1:19" x14ac:dyDescent="0.25">
      <c r="A561">
        <v>560</v>
      </c>
      <c r="B561" s="19">
        <v>40568</v>
      </c>
      <c r="C561">
        <v>1</v>
      </c>
      <c r="D561">
        <v>1</v>
      </c>
      <c r="E561">
        <v>12</v>
      </c>
      <c r="F561" t="b">
        <v>0</v>
      </c>
      <c r="G561">
        <v>2</v>
      </c>
      <c r="H561">
        <v>2</v>
      </c>
      <c r="I561">
        <v>0.26</v>
      </c>
      <c r="J561">
        <v>0</v>
      </c>
      <c r="K561">
        <v>0.28789999999999999</v>
      </c>
      <c r="L561">
        <v>0.81</v>
      </c>
      <c r="M561">
        <v>0</v>
      </c>
      <c r="N561">
        <v>3</v>
      </c>
      <c r="O561">
        <v>13</v>
      </c>
      <c r="P561">
        <v>16</v>
      </c>
      <c r="Q561" s="17" t="str">
        <f t="shared" si="26"/>
        <v>Weekdays</v>
      </c>
      <c r="R561" s="17" t="str">
        <f t="shared" si="24"/>
        <v>Afternoon</v>
      </c>
      <c r="S561" s="9" t="str">
        <f t="shared" si="25"/>
        <v>Mist</v>
      </c>
    </row>
    <row r="562" spans="1:19" x14ac:dyDescent="0.25">
      <c r="A562">
        <v>561</v>
      </c>
      <c r="B562" s="19">
        <v>40568</v>
      </c>
      <c r="C562">
        <v>1</v>
      </c>
      <c r="D562">
        <v>1</v>
      </c>
      <c r="E562">
        <v>13</v>
      </c>
      <c r="F562" t="b">
        <v>0</v>
      </c>
      <c r="G562">
        <v>2</v>
      </c>
      <c r="H562">
        <v>2</v>
      </c>
      <c r="I562">
        <v>0.26</v>
      </c>
      <c r="J562">
        <v>0</v>
      </c>
      <c r="K562">
        <v>0.28789999999999999</v>
      </c>
      <c r="L562">
        <v>0.81</v>
      </c>
      <c r="M562">
        <v>0</v>
      </c>
      <c r="N562">
        <v>3</v>
      </c>
      <c r="O562">
        <v>13</v>
      </c>
      <c r="P562">
        <v>16</v>
      </c>
      <c r="Q562" s="17" t="str">
        <f t="shared" si="26"/>
        <v>Weekdays</v>
      </c>
      <c r="R562" s="17" t="str">
        <f t="shared" si="24"/>
        <v>Afternoon</v>
      </c>
      <c r="S562" s="9" t="str">
        <f t="shared" si="25"/>
        <v>Mist</v>
      </c>
    </row>
    <row r="563" spans="1:19" x14ac:dyDescent="0.25">
      <c r="A563">
        <v>562</v>
      </c>
      <c r="B563" s="19">
        <v>40568</v>
      </c>
      <c r="C563">
        <v>1</v>
      </c>
      <c r="D563">
        <v>1</v>
      </c>
      <c r="E563">
        <v>14</v>
      </c>
      <c r="F563" t="b">
        <v>0</v>
      </c>
      <c r="G563">
        <v>2</v>
      </c>
      <c r="H563">
        <v>2</v>
      </c>
      <c r="I563">
        <v>0.3</v>
      </c>
      <c r="J563">
        <v>0</v>
      </c>
      <c r="K563">
        <v>0.28789999999999999</v>
      </c>
      <c r="L563">
        <v>0.81</v>
      </c>
      <c r="M563">
        <v>0</v>
      </c>
      <c r="N563">
        <v>3</v>
      </c>
      <c r="O563">
        <v>13</v>
      </c>
      <c r="P563">
        <v>16</v>
      </c>
      <c r="Q563" s="17" t="str">
        <f t="shared" si="26"/>
        <v>Weekdays</v>
      </c>
      <c r="R563" s="17" t="str">
        <f t="shared" si="24"/>
        <v>Afternoon</v>
      </c>
      <c r="S563" s="9" t="str">
        <f t="shared" si="25"/>
        <v>Mist</v>
      </c>
    </row>
    <row r="564" spans="1:19" x14ac:dyDescent="0.25">
      <c r="A564">
        <v>563</v>
      </c>
      <c r="B564" s="19">
        <v>40568</v>
      </c>
      <c r="C564">
        <v>1</v>
      </c>
      <c r="D564">
        <v>1</v>
      </c>
      <c r="E564">
        <v>15</v>
      </c>
      <c r="F564" t="b">
        <v>0</v>
      </c>
      <c r="G564">
        <v>2</v>
      </c>
      <c r="H564">
        <v>2</v>
      </c>
      <c r="I564">
        <v>0.32</v>
      </c>
      <c r="J564">
        <v>0</v>
      </c>
      <c r="K564">
        <v>0.28789999999999999</v>
      </c>
      <c r="L564">
        <v>0.81</v>
      </c>
      <c r="M564">
        <v>0</v>
      </c>
      <c r="N564">
        <v>3</v>
      </c>
      <c r="O564">
        <v>13</v>
      </c>
      <c r="P564">
        <v>16</v>
      </c>
      <c r="Q564" s="17" t="str">
        <f t="shared" si="26"/>
        <v>Weekdays</v>
      </c>
      <c r="R564" s="17" t="str">
        <f t="shared" si="24"/>
        <v>Afternoon</v>
      </c>
      <c r="S564" s="9" t="str">
        <f t="shared" si="25"/>
        <v>Mist</v>
      </c>
    </row>
    <row r="565" spans="1:19" x14ac:dyDescent="0.25">
      <c r="A565">
        <v>564</v>
      </c>
      <c r="B565" s="19">
        <v>40568</v>
      </c>
      <c r="C565">
        <v>1</v>
      </c>
      <c r="D565">
        <v>1</v>
      </c>
      <c r="E565">
        <v>16</v>
      </c>
      <c r="F565" t="b">
        <v>0</v>
      </c>
      <c r="G565">
        <v>2</v>
      </c>
      <c r="H565">
        <v>2</v>
      </c>
      <c r="I565">
        <v>0.32</v>
      </c>
      <c r="J565">
        <v>0</v>
      </c>
      <c r="K565">
        <v>0.28789999999999999</v>
      </c>
      <c r="L565">
        <v>0.81</v>
      </c>
      <c r="M565">
        <v>0</v>
      </c>
      <c r="N565">
        <v>3</v>
      </c>
      <c r="O565">
        <v>13</v>
      </c>
      <c r="P565">
        <v>16</v>
      </c>
      <c r="Q565" s="17" t="str">
        <f t="shared" si="26"/>
        <v>Weekdays</v>
      </c>
      <c r="R565" s="17" t="str">
        <f t="shared" si="24"/>
        <v>Evening</v>
      </c>
      <c r="S565" s="9" t="str">
        <f t="shared" si="25"/>
        <v>Mist</v>
      </c>
    </row>
    <row r="566" spans="1:19" x14ac:dyDescent="0.25">
      <c r="A566">
        <v>565</v>
      </c>
      <c r="B566" s="19">
        <v>40568</v>
      </c>
      <c r="C566">
        <v>1</v>
      </c>
      <c r="D566">
        <v>1</v>
      </c>
      <c r="E566">
        <v>17</v>
      </c>
      <c r="F566" t="b">
        <v>0</v>
      </c>
      <c r="G566">
        <v>2</v>
      </c>
      <c r="H566">
        <v>1</v>
      </c>
      <c r="I566">
        <v>0.3</v>
      </c>
      <c r="J566">
        <v>0</v>
      </c>
      <c r="K566">
        <v>0.28789999999999999</v>
      </c>
      <c r="L566">
        <v>0.81</v>
      </c>
      <c r="M566">
        <v>0</v>
      </c>
      <c r="N566">
        <v>3</v>
      </c>
      <c r="O566">
        <v>13</v>
      </c>
      <c r="P566">
        <v>16</v>
      </c>
      <c r="Q566" s="17" t="str">
        <f t="shared" si="26"/>
        <v>Weekdays</v>
      </c>
      <c r="R566" s="17" t="str">
        <f t="shared" si="24"/>
        <v>Evening</v>
      </c>
      <c r="S566" s="9" t="str">
        <f t="shared" si="25"/>
        <v>Clear</v>
      </c>
    </row>
    <row r="567" spans="1:19" x14ac:dyDescent="0.25">
      <c r="A567">
        <v>566</v>
      </c>
      <c r="B567" s="19">
        <v>40568</v>
      </c>
      <c r="C567">
        <v>1</v>
      </c>
      <c r="D567">
        <v>1</v>
      </c>
      <c r="E567">
        <v>18</v>
      </c>
      <c r="F567" t="b">
        <v>0</v>
      </c>
      <c r="G567">
        <v>2</v>
      </c>
      <c r="H567">
        <v>2</v>
      </c>
      <c r="I567">
        <v>0.3</v>
      </c>
      <c r="J567">
        <v>0</v>
      </c>
      <c r="K567">
        <v>0.28789999999999999</v>
      </c>
      <c r="L567">
        <v>0.81</v>
      </c>
      <c r="M567">
        <v>0</v>
      </c>
      <c r="N567">
        <v>3</v>
      </c>
      <c r="O567">
        <v>13</v>
      </c>
      <c r="P567">
        <v>16</v>
      </c>
      <c r="Q567" s="17" t="str">
        <f t="shared" si="26"/>
        <v>Weekdays</v>
      </c>
      <c r="R567" s="17" t="str">
        <f t="shared" si="24"/>
        <v>Evening</v>
      </c>
      <c r="S567" s="9" t="str">
        <f t="shared" si="25"/>
        <v>Mist</v>
      </c>
    </row>
    <row r="568" spans="1:19" x14ac:dyDescent="0.25">
      <c r="A568">
        <v>567</v>
      </c>
      <c r="B568" s="19">
        <v>40568</v>
      </c>
      <c r="C568">
        <v>1</v>
      </c>
      <c r="D568">
        <v>1</v>
      </c>
      <c r="E568">
        <v>19</v>
      </c>
      <c r="F568" t="b">
        <v>0</v>
      </c>
      <c r="G568">
        <v>2</v>
      </c>
      <c r="H568">
        <v>2</v>
      </c>
      <c r="I568">
        <v>0.26</v>
      </c>
      <c r="J568">
        <v>0</v>
      </c>
      <c r="K568">
        <v>0.28789999999999999</v>
      </c>
      <c r="L568">
        <v>0.81</v>
      </c>
      <c r="M568">
        <v>0</v>
      </c>
      <c r="N568">
        <v>3</v>
      </c>
      <c r="O568">
        <v>13</v>
      </c>
      <c r="P568">
        <v>16</v>
      </c>
      <c r="Q568" s="17" t="str">
        <f t="shared" si="26"/>
        <v>Weekdays</v>
      </c>
      <c r="R568" s="17" t="str">
        <f t="shared" si="24"/>
        <v>Evening</v>
      </c>
      <c r="S568" s="9" t="str">
        <f t="shared" si="25"/>
        <v>Mist</v>
      </c>
    </row>
    <row r="569" spans="1:19" x14ac:dyDescent="0.25">
      <c r="A569">
        <v>568</v>
      </c>
      <c r="B569" s="19">
        <v>40568</v>
      </c>
      <c r="C569">
        <v>1</v>
      </c>
      <c r="D569">
        <v>1</v>
      </c>
      <c r="E569">
        <v>20</v>
      </c>
      <c r="F569" t="b">
        <v>0</v>
      </c>
      <c r="G569">
        <v>2</v>
      </c>
      <c r="H569">
        <v>1</v>
      </c>
      <c r="I569">
        <v>0.24</v>
      </c>
      <c r="J569">
        <v>0</v>
      </c>
      <c r="K569">
        <v>0.28789999999999999</v>
      </c>
      <c r="L569">
        <v>0.81</v>
      </c>
      <c r="M569">
        <v>0</v>
      </c>
      <c r="N569">
        <v>3</v>
      </c>
      <c r="O569">
        <v>13</v>
      </c>
      <c r="P569">
        <v>16</v>
      </c>
      <c r="Q569" s="17" t="str">
        <f t="shared" si="26"/>
        <v>Weekdays</v>
      </c>
      <c r="R569" s="17" t="str">
        <f t="shared" si="24"/>
        <v>Evening</v>
      </c>
      <c r="S569" s="9" t="str">
        <f t="shared" si="25"/>
        <v>Clear</v>
      </c>
    </row>
    <row r="570" spans="1:19" x14ac:dyDescent="0.25">
      <c r="A570">
        <v>569</v>
      </c>
      <c r="B570" s="19">
        <v>40568</v>
      </c>
      <c r="C570">
        <v>1</v>
      </c>
      <c r="D570">
        <v>1</v>
      </c>
      <c r="E570">
        <v>21</v>
      </c>
      <c r="F570" t="b">
        <v>0</v>
      </c>
      <c r="G570">
        <v>2</v>
      </c>
      <c r="H570">
        <v>1</v>
      </c>
      <c r="I570">
        <v>0.24</v>
      </c>
      <c r="J570">
        <v>0</v>
      </c>
      <c r="K570">
        <v>0.28789999999999999</v>
      </c>
      <c r="L570">
        <v>0.81</v>
      </c>
      <c r="M570">
        <v>0</v>
      </c>
      <c r="N570">
        <v>3</v>
      </c>
      <c r="O570">
        <v>13</v>
      </c>
      <c r="P570">
        <v>16</v>
      </c>
      <c r="Q570" s="17" t="str">
        <f t="shared" si="26"/>
        <v>Weekdays</v>
      </c>
      <c r="R570" s="17" t="str">
        <f t="shared" si="24"/>
        <v>Night</v>
      </c>
      <c r="S570" s="9" t="str">
        <f t="shared" si="25"/>
        <v>Clear</v>
      </c>
    </row>
    <row r="571" spans="1:19" x14ac:dyDescent="0.25">
      <c r="A571">
        <v>570</v>
      </c>
      <c r="B571" s="19">
        <v>40568</v>
      </c>
      <c r="C571">
        <v>1</v>
      </c>
      <c r="D571">
        <v>1</v>
      </c>
      <c r="E571">
        <v>22</v>
      </c>
      <c r="F571" t="b">
        <v>0</v>
      </c>
      <c r="G571">
        <v>2</v>
      </c>
      <c r="H571">
        <v>1</v>
      </c>
      <c r="I571">
        <v>0.22</v>
      </c>
      <c r="J571">
        <v>0</v>
      </c>
      <c r="K571">
        <v>0.28789999999999999</v>
      </c>
      <c r="L571">
        <v>0.81</v>
      </c>
      <c r="M571">
        <v>0</v>
      </c>
      <c r="N571">
        <v>3</v>
      </c>
      <c r="O571">
        <v>13</v>
      </c>
      <c r="P571">
        <v>16</v>
      </c>
      <c r="Q571" s="17" t="str">
        <f t="shared" si="26"/>
        <v>Weekdays</v>
      </c>
      <c r="R571" s="17" t="str">
        <f t="shared" si="24"/>
        <v>Night</v>
      </c>
      <c r="S571" s="9" t="str">
        <f t="shared" si="25"/>
        <v>Clear</v>
      </c>
    </row>
    <row r="572" spans="1:19" x14ac:dyDescent="0.25">
      <c r="A572">
        <v>571</v>
      </c>
      <c r="B572" s="19">
        <v>40568</v>
      </c>
      <c r="C572">
        <v>1</v>
      </c>
      <c r="D572">
        <v>1</v>
      </c>
      <c r="E572">
        <v>23</v>
      </c>
      <c r="F572" t="b">
        <v>0</v>
      </c>
      <c r="G572">
        <v>2</v>
      </c>
      <c r="H572">
        <v>2</v>
      </c>
      <c r="I572">
        <v>0.22</v>
      </c>
      <c r="J572">
        <v>0</v>
      </c>
      <c r="K572">
        <v>0.28789999999999999</v>
      </c>
      <c r="L572">
        <v>0.81</v>
      </c>
      <c r="M572">
        <v>0</v>
      </c>
      <c r="N572">
        <v>3</v>
      </c>
      <c r="O572">
        <v>13</v>
      </c>
      <c r="P572">
        <v>16</v>
      </c>
      <c r="Q572" s="17" t="str">
        <f t="shared" si="26"/>
        <v>Weekdays</v>
      </c>
      <c r="R572" s="17" t="str">
        <f t="shared" si="24"/>
        <v>Night</v>
      </c>
      <c r="S572" s="9" t="str">
        <f t="shared" si="25"/>
        <v>Mist</v>
      </c>
    </row>
    <row r="573" spans="1:19" x14ac:dyDescent="0.25">
      <c r="A573">
        <v>572</v>
      </c>
      <c r="B573" s="19">
        <v>40569</v>
      </c>
      <c r="C573">
        <v>1</v>
      </c>
      <c r="D573">
        <v>1</v>
      </c>
      <c r="E573">
        <v>0</v>
      </c>
      <c r="F573" t="b">
        <v>0</v>
      </c>
      <c r="G573">
        <v>3</v>
      </c>
      <c r="H573">
        <v>2</v>
      </c>
      <c r="I573">
        <v>0.22</v>
      </c>
      <c r="J573">
        <v>0</v>
      </c>
      <c r="K573">
        <v>0.28789999999999999</v>
      </c>
      <c r="L573">
        <v>0.81</v>
      </c>
      <c r="M573">
        <v>0</v>
      </c>
      <c r="N573">
        <v>3</v>
      </c>
      <c r="O573">
        <v>13</v>
      </c>
      <c r="P573">
        <v>16</v>
      </c>
      <c r="Q573" s="17" t="str">
        <f t="shared" si="26"/>
        <v>Weekdays</v>
      </c>
      <c r="R573" s="17" t="str">
        <f t="shared" si="24"/>
        <v>Morning</v>
      </c>
      <c r="S573" s="9" t="str">
        <f t="shared" si="25"/>
        <v>Mist</v>
      </c>
    </row>
    <row r="574" spans="1:19" x14ac:dyDescent="0.25">
      <c r="A574">
        <v>573</v>
      </c>
      <c r="B574" s="19">
        <v>40569</v>
      </c>
      <c r="C574">
        <v>1</v>
      </c>
      <c r="D574">
        <v>1</v>
      </c>
      <c r="E574">
        <v>1</v>
      </c>
      <c r="F574" t="b">
        <v>0</v>
      </c>
      <c r="G574">
        <v>3</v>
      </c>
      <c r="H574">
        <v>2</v>
      </c>
      <c r="I574">
        <v>0.24</v>
      </c>
      <c r="J574">
        <v>0</v>
      </c>
      <c r="K574">
        <v>0.28789999999999999</v>
      </c>
      <c r="L574">
        <v>0.81</v>
      </c>
      <c r="M574">
        <v>0</v>
      </c>
      <c r="N574">
        <v>3</v>
      </c>
      <c r="O574">
        <v>13</v>
      </c>
      <c r="P574">
        <v>16</v>
      </c>
      <c r="Q574" s="17" t="str">
        <f t="shared" si="26"/>
        <v>Weekdays</v>
      </c>
      <c r="R574" s="17" t="str">
        <f t="shared" si="24"/>
        <v>Morning</v>
      </c>
      <c r="S574" s="9" t="str">
        <f t="shared" si="25"/>
        <v>Mist</v>
      </c>
    </row>
    <row r="575" spans="1:19" x14ac:dyDescent="0.25">
      <c r="A575">
        <v>574</v>
      </c>
      <c r="B575" s="19">
        <v>40569</v>
      </c>
      <c r="C575">
        <v>1</v>
      </c>
      <c r="D575">
        <v>1</v>
      </c>
      <c r="E575">
        <v>2</v>
      </c>
      <c r="F575" t="b">
        <v>0</v>
      </c>
      <c r="G575">
        <v>3</v>
      </c>
      <c r="H575">
        <v>3</v>
      </c>
      <c r="I575">
        <v>0.22</v>
      </c>
      <c r="J575">
        <v>0</v>
      </c>
      <c r="K575">
        <v>0.28789999999999999</v>
      </c>
      <c r="L575">
        <v>0.81</v>
      </c>
      <c r="M575">
        <v>0</v>
      </c>
      <c r="N575">
        <v>3</v>
      </c>
      <c r="O575">
        <v>13</v>
      </c>
      <c r="P575">
        <v>16</v>
      </c>
      <c r="Q575" s="17" t="str">
        <f t="shared" si="26"/>
        <v>Weekdays</v>
      </c>
      <c r="R575" s="17" t="str">
        <f t="shared" si="24"/>
        <v>Morning</v>
      </c>
      <c r="S575" s="9" t="str">
        <f t="shared" si="25"/>
        <v>Light Snow/Rain</v>
      </c>
    </row>
    <row r="576" spans="1:19" x14ac:dyDescent="0.25">
      <c r="A576">
        <v>575</v>
      </c>
      <c r="B576" s="19">
        <v>40569</v>
      </c>
      <c r="C576">
        <v>1</v>
      </c>
      <c r="D576">
        <v>1</v>
      </c>
      <c r="E576">
        <v>5</v>
      </c>
      <c r="F576" t="b">
        <v>0</v>
      </c>
      <c r="G576">
        <v>3</v>
      </c>
      <c r="H576">
        <v>3</v>
      </c>
      <c r="I576">
        <v>0.2</v>
      </c>
      <c r="J576">
        <v>0</v>
      </c>
      <c r="K576">
        <v>0.28789999999999999</v>
      </c>
      <c r="L576">
        <v>0.81</v>
      </c>
      <c r="M576">
        <v>0</v>
      </c>
      <c r="N576">
        <v>3</v>
      </c>
      <c r="O576">
        <v>13</v>
      </c>
      <c r="P576">
        <v>16</v>
      </c>
      <c r="Q576" s="17" t="str">
        <f t="shared" si="26"/>
        <v>Weekdays</v>
      </c>
      <c r="R576" s="17" t="str">
        <f t="shared" si="24"/>
        <v>Morning</v>
      </c>
      <c r="S576" s="9" t="str">
        <f t="shared" si="25"/>
        <v>Light Snow/Rain</v>
      </c>
    </row>
    <row r="577" spans="1:19" x14ac:dyDescent="0.25">
      <c r="A577">
        <v>576</v>
      </c>
      <c r="B577" s="19">
        <v>40569</v>
      </c>
      <c r="C577">
        <v>1</v>
      </c>
      <c r="D577">
        <v>1</v>
      </c>
      <c r="E577">
        <v>6</v>
      </c>
      <c r="F577" t="b">
        <v>0</v>
      </c>
      <c r="G577">
        <v>3</v>
      </c>
      <c r="H577">
        <v>3</v>
      </c>
      <c r="I577">
        <v>0.2</v>
      </c>
      <c r="J577">
        <v>0</v>
      </c>
      <c r="K577">
        <v>0.28789999999999999</v>
      </c>
      <c r="L577">
        <v>0.81</v>
      </c>
      <c r="M577">
        <v>0</v>
      </c>
      <c r="N577">
        <v>3</v>
      </c>
      <c r="O577">
        <v>13</v>
      </c>
      <c r="P577">
        <v>16</v>
      </c>
      <c r="Q577" s="17" t="str">
        <f t="shared" si="26"/>
        <v>Weekdays</v>
      </c>
      <c r="R577" s="17" t="str">
        <f t="shared" si="24"/>
        <v>Morning</v>
      </c>
      <c r="S577" s="9" t="str">
        <f t="shared" si="25"/>
        <v>Light Snow/Rain</v>
      </c>
    </row>
    <row r="578" spans="1:19" x14ac:dyDescent="0.25">
      <c r="A578">
        <v>577</v>
      </c>
      <c r="B578" s="19">
        <v>40569</v>
      </c>
      <c r="C578">
        <v>1</v>
      </c>
      <c r="D578">
        <v>1</v>
      </c>
      <c r="E578">
        <v>7</v>
      </c>
      <c r="F578" t="b">
        <v>0</v>
      </c>
      <c r="G578">
        <v>3</v>
      </c>
      <c r="H578">
        <v>3</v>
      </c>
      <c r="I578">
        <v>0.22</v>
      </c>
      <c r="J578">
        <v>0</v>
      </c>
      <c r="K578">
        <v>0.28789999999999999</v>
      </c>
      <c r="L578">
        <v>0.81</v>
      </c>
      <c r="M578">
        <v>0</v>
      </c>
      <c r="N578">
        <v>3</v>
      </c>
      <c r="O578">
        <v>13</v>
      </c>
      <c r="P578">
        <v>16</v>
      </c>
      <c r="Q578" s="17" t="str">
        <f t="shared" si="26"/>
        <v>Weekdays</v>
      </c>
      <c r="R578" s="17" t="str">
        <f t="shared" ref="R578:R641" si="27">IF(E578&lt;12,"Morning",IF(E578&lt;16,"Afternoon",IF(E578&lt;21,"Evening","Night")))</f>
        <v>Morning</v>
      </c>
      <c r="S578" s="9" t="str">
        <f t="shared" ref="S578:S641" si="28">IF(H578=1,"Clear",IF(H578=2,"Mist",IF(H578=3,"Light Snow/Rain","Heavy Rain/Snow")))</f>
        <v>Light Snow/Rain</v>
      </c>
    </row>
    <row r="579" spans="1:19" x14ac:dyDescent="0.25">
      <c r="A579">
        <v>578</v>
      </c>
      <c r="B579" s="19">
        <v>40569</v>
      </c>
      <c r="C579">
        <v>1</v>
      </c>
      <c r="D579">
        <v>1</v>
      </c>
      <c r="E579">
        <v>8</v>
      </c>
      <c r="F579" t="b">
        <v>0</v>
      </c>
      <c r="G579">
        <v>3</v>
      </c>
      <c r="H579">
        <v>3</v>
      </c>
      <c r="I579">
        <v>0.22</v>
      </c>
      <c r="J579">
        <v>0</v>
      </c>
      <c r="K579">
        <v>0.28789999999999999</v>
      </c>
      <c r="L579">
        <v>0.81</v>
      </c>
      <c r="M579">
        <v>0</v>
      </c>
      <c r="N579">
        <v>3</v>
      </c>
      <c r="O579">
        <v>13</v>
      </c>
      <c r="P579">
        <v>16</v>
      </c>
      <c r="Q579" s="17" t="str">
        <f t="shared" ref="Q579:Q642" si="29">IF(G579&gt;=5,"Weekends","Weekdays")</f>
        <v>Weekdays</v>
      </c>
      <c r="R579" s="17" t="str">
        <f t="shared" si="27"/>
        <v>Morning</v>
      </c>
      <c r="S579" s="9" t="str">
        <f t="shared" si="28"/>
        <v>Light Snow/Rain</v>
      </c>
    </row>
    <row r="580" spans="1:19" x14ac:dyDescent="0.25">
      <c r="A580">
        <v>579</v>
      </c>
      <c r="B580" s="19">
        <v>40569</v>
      </c>
      <c r="C580">
        <v>1</v>
      </c>
      <c r="D580">
        <v>1</v>
      </c>
      <c r="E580">
        <v>9</v>
      </c>
      <c r="F580" t="b">
        <v>0</v>
      </c>
      <c r="G580">
        <v>3</v>
      </c>
      <c r="H580">
        <v>3</v>
      </c>
      <c r="I580">
        <v>0.22</v>
      </c>
      <c r="J580">
        <v>0</v>
      </c>
      <c r="K580">
        <v>0.28789999999999999</v>
      </c>
      <c r="L580">
        <v>0.81</v>
      </c>
      <c r="M580">
        <v>0</v>
      </c>
      <c r="N580">
        <v>3</v>
      </c>
      <c r="O580">
        <v>13</v>
      </c>
      <c r="P580">
        <v>16</v>
      </c>
      <c r="Q580" s="17" t="str">
        <f t="shared" si="29"/>
        <v>Weekdays</v>
      </c>
      <c r="R580" s="17" t="str">
        <f t="shared" si="27"/>
        <v>Morning</v>
      </c>
      <c r="S580" s="9" t="str">
        <f t="shared" si="28"/>
        <v>Light Snow/Rain</v>
      </c>
    </row>
    <row r="581" spans="1:19" x14ac:dyDescent="0.25">
      <c r="A581">
        <v>580</v>
      </c>
      <c r="B581" s="19">
        <v>40569</v>
      </c>
      <c r="C581">
        <v>1</v>
      </c>
      <c r="D581">
        <v>1</v>
      </c>
      <c r="E581">
        <v>10</v>
      </c>
      <c r="F581" t="b">
        <v>0</v>
      </c>
      <c r="G581">
        <v>3</v>
      </c>
      <c r="H581">
        <v>3</v>
      </c>
      <c r="I581">
        <v>0.22</v>
      </c>
      <c r="J581">
        <v>0</v>
      </c>
      <c r="K581">
        <v>0.28789999999999999</v>
      </c>
      <c r="L581">
        <v>0.81</v>
      </c>
      <c r="M581">
        <v>0</v>
      </c>
      <c r="N581">
        <v>3</v>
      </c>
      <c r="O581">
        <v>13</v>
      </c>
      <c r="P581">
        <v>16</v>
      </c>
      <c r="Q581" s="17" t="str">
        <f t="shared" si="29"/>
        <v>Weekdays</v>
      </c>
      <c r="R581" s="17" t="str">
        <f t="shared" si="27"/>
        <v>Morning</v>
      </c>
      <c r="S581" s="9" t="str">
        <f t="shared" si="28"/>
        <v>Light Snow/Rain</v>
      </c>
    </row>
    <row r="582" spans="1:19" x14ac:dyDescent="0.25">
      <c r="A582">
        <v>581</v>
      </c>
      <c r="B582" s="19">
        <v>40569</v>
      </c>
      <c r="C582">
        <v>1</v>
      </c>
      <c r="D582">
        <v>1</v>
      </c>
      <c r="E582">
        <v>11</v>
      </c>
      <c r="F582" t="b">
        <v>0</v>
      </c>
      <c r="G582">
        <v>3</v>
      </c>
      <c r="H582">
        <v>3</v>
      </c>
      <c r="I582">
        <v>0.22</v>
      </c>
      <c r="J582">
        <v>0</v>
      </c>
      <c r="K582">
        <v>0.28789999999999999</v>
      </c>
      <c r="L582">
        <v>0.81</v>
      </c>
      <c r="M582">
        <v>0</v>
      </c>
      <c r="N582">
        <v>3</v>
      </c>
      <c r="O582">
        <v>13</v>
      </c>
      <c r="P582">
        <v>16</v>
      </c>
      <c r="Q582" s="17" t="str">
        <f t="shared" si="29"/>
        <v>Weekdays</v>
      </c>
      <c r="R582" s="17" t="str">
        <f t="shared" si="27"/>
        <v>Morning</v>
      </c>
      <c r="S582" s="9" t="str">
        <f t="shared" si="28"/>
        <v>Light Snow/Rain</v>
      </c>
    </row>
    <row r="583" spans="1:19" x14ac:dyDescent="0.25">
      <c r="A583">
        <v>582</v>
      </c>
      <c r="B583" s="19">
        <v>40569</v>
      </c>
      <c r="C583">
        <v>1</v>
      </c>
      <c r="D583">
        <v>1</v>
      </c>
      <c r="E583">
        <v>12</v>
      </c>
      <c r="F583" t="b">
        <v>0</v>
      </c>
      <c r="G583">
        <v>3</v>
      </c>
      <c r="H583">
        <v>3</v>
      </c>
      <c r="I583">
        <v>0.22</v>
      </c>
      <c r="J583">
        <v>0</v>
      </c>
      <c r="K583">
        <v>0.28789999999999999</v>
      </c>
      <c r="L583">
        <v>0.81</v>
      </c>
      <c r="M583">
        <v>0</v>
      </c>
      <c r="N583">
        <v>3</v>
      </c>
      <c r="O583">
        <v>13</v>
      </c>
      <c r="P583">
        <v>16</v>
      </c>
      <c r="Q583" s="17" t="str">
        <f t="shared" si="29"/>
        <v>Weekdays</v>
      </c>
      <c r="R583" s="17" t="str">
        <f t="shared" si="27"/>
        <v>Afternoon</v>
      </c>
      <c r="S583" s="9" t="str">
        <f t="shared" si="28"/>
        <v>Light Snow/Rain</v>
      </c>
    </row>
    <row r="584" spans="1:19" x14ac:dyDescent="0.25">
      <c r="A584">
        <v>583</v>
      </c>
      <c r="B584" s="19">
        <v>40569</v>
      </c>
      <c r="C584">
        <v>1</v>
      </c>
      <c r="D584">
        <v>1</v>
      </c>
      <c r="E584">
        <v>13</v>
      </c>
      <c r="F584" t="b">
        <v>0</v>
      </c>
      <c r="G584">
        <v>3</v>
      </c>
      <c r="H584">
        <v>3</v>
      </c>
      <c r="I584">
        <v>0.22</v>
      </c>
      <c r="J584">
        <v>0</v>
      </c>
      <c r="K584">
        <v>0.28789999999999999</v>
      </c>
      <c r="L584">
        <v>0.81</v>
      </c>
      <c r="M584">
        <v>0</v>
      </c>
      <c r="N584">
        <v>3</v>
      </c>
      <c r="O584">
        <v>13</v>
      </c>
      <c r="P584">
        <v>16</v>
      </c>
      <c r="Q584" s="17" t="str">
        <f t="shared" si="29"/>
        <v>Weekdays</v>
      </c>
      <c r="R584" s="17" t="str">
        <f t="shared" si="27"/>
        <v>Afternoon</v>
      </c>
      <c r="S584" s="9" t="str">
        <f t="shared" si="28"/>
        <v>Light Snow/Rain</v>
      </c>
    </row>
    <row r="585" spans="1:19" x14ac:dyDescent="0.25">
      <c r="A585">
        <v>584</v>
      </c>
      <c r="B585" s="19">
        <v>40569</v>
      </c>
      <c r="C585">
        <v>1</v>
      </c>
      <c r="D585">
        <v>1</v>
      </c>
      <c r="E585">
        <v>14</v>
      </c>
      <c r="F585" t="b">
        <v>0</v>
      </c>
      <c r="G585">
        <v>3</v>
      </c>
      <c r="H585">
        <v>3</v>
      </c>
      <c r="I585">
        <v>0.22</v>
      </c>
      <c r="J585">
        <v>0</v>
      </c>
      <c r="K585">
        <v>0.28789999999999999</v>
      </c>
      <c r="L585">
        <v>0.81</v>
      </c>
      <c r="M585">
        <v>0</v>
      </c>
      <c r="N585">
        <v>3</v>
      </c>
      <c r="O585">
        <v>13</v>
      </c>
      <c r="P585">
        <v>16</v>
      </c>
      <c r="Q585" s="17" t="str">
        <f t="shared" si="29"/>
        <v>Weekdays</v>
      </c>
      <c r="R585" s="17" t="str">
        <f t="shared" si="27"/>
        <v>Afternoon</v>
      </c>
      <c r="S585" s="9" t="str">
        <f t="shared" si="28"/>
        <v>Light Snow/Rain</v>
      </c>
    </row>
    <row r="586" spans="1:19" x14ac:dyDescent="0.25">
      <c r="A586">
        <v>585</v>
      </c>
      <c r="B586" s="19">
        <v>40569</v>
      </c>
      <c r="C586">
        <v>1</v>
      </c>
      <c r="D586">
        <v>1</v>
      </c>
      <c r="E586">
        <v>15</v>
      </c>
      <c r="F586" t="b">
        <v>0</v>
      </c>
      <c r="G586">
        <v>3</v>
      </c>
      <c r="H586">
        <v>3</v>
      </c>
      <c r="I586">
        <v>0.22</v>
      </c>
      <c r="J586">
        <v>0</v>
      </c>
      <c r="K586">
        <v>0.28789999999999999</v>
      </c>
      <c r="L586">
        <v>0.81</v>
      </c>
      <c r="M586">
        <v>0</v>
      </c>
      <c r="N586">
        <v>3</v>
      </c>
      <c r="O586">
        <v>13</v>
      </c>
      <c r="P586">
        <v>16</v>
      </c>
      <c r="Q586" s="17" t="str">
        <f t="shared" si="29"/>
        <v>Weekdays</v>
      </c>
      <c r="R586" s="17" t="str">
        <f t="shared" si="27"/>
        <v>Afternoon</v>
      </c>
      <c r="S586" s="9" t="str">
        <f t="shared" si="28"/>
        <v>Light Snow/Rain</v>
      </c>
    </row>
    <row r="587" spans="1:19" x14ac:dyDescent="0.25">
      <c r="A587">
        <v>586</v>
      </c>
      <c r="B587" s="19">
        <v>40569</v>
      </c>
      <c r="C587">
        <v>1</v>
      </c>
      <c r="D587">
        <v>1</v>
      </c>
      <c r="E587">
        <v>16</v>
      </c>
      <c r="F587" t="b">
        <v>0</v>
      </c>
      <c r="G587">
        <v>3</v>
      </c>
      <c r="H587">
        <v>4</v>
      </c>
      <c r="I587">
        <v>0.22</v>
      </c>
      <c r="J587">
        <v>0</v>
      </c>
      <c r="K587">
        <v>0.28789999999999999</v>
      </c>
      <c r="L587">
        <v>0.81</v>
      </c>
      <c r="M587">
        <v>0</v>
      </c>
      <c r="N587">
        <v>3</v>
      </c>
      <c r="O587">
        <v>13</v>
      </c>
      <c r="P587">
        <v>16</v>
      </c>
      <c r="Q587" s="17" t="str">
        <f t="shared" si="29"/>
        <v>Weekdays</v>
      </c>
      <c r="R587" s="17" t="str">
        <f t="shared" si="27"/>
        <v>Evening</v>
      </c>
      <c r="S587" s="9" t="str">
        <f t="shared" si="28"/>
        <v>Heavy Rain/Snow</v>
      </c>
    </row>
    <row r="588" spans="1:19" x14ac:dyDescent="0.25">
      <c r="A588">
        <v>587</v>
      </c>
      <c r="B588" s="19">
        <v>40569</v>
      </c>
      <c r="C588">
        <v>1</v>
      </c>
      <c r="D588">
        <v>1</v>
      </c>
      <c r="E588">
        <v>17</v>
      </c>
      <c r="F588" t="b">
        <v>0</v>
      </c>
      <c r="G588">
        <v>3</v>
      </c>
      <c r="H588">
        <v>3</v>
      </c>
      <c r="I588">
        <v>0.2</v>
      </c>
      <c r="J588">
        <v>0</v>
      </c>
      <c r="K588">
        <v>0.28789999999999999</v>
      </c>
      <c r="L588">
        <v>0.81</v>
      </c>
      <c r="M588">
        <v>0</v>
      </c>
      <c r="N588">
        <v>3</v>
      </c>
      <c r="O588">
        <v>13</v>
      </c>
      <c r="P588">
        <v>16</v>
      </c>
      <c r="Q588" s="17" t="str">
        <f t="shared" si="29"/>
        <v>Weekdays</v>
      </c>
      <c r="R588" s="17" t="str">
        <f t="shared" si="27"/>
        <v>Evening</v>
      </c>
      <c r="S588" s="9" t="str">
        <f t="shared" si="28"/>
        <v>Light Snow/Rain</v>
      </c>
    </row>
    <row r="589" spans="1:19" x14ac:dyDescent="0.25">
      <c r="A589">
        <v>588</v>
      </c>
      <c r="B589" s="19">
        <v>40570</v>
      </c>
      <c r="C589">
        <v>1</v>
      </c>
      <c r="D589">
        <v>1</v>
      </c>
      <c r="E589">
        <v>16</v>
      </c>
      <c r="F589" t="b">
        <v>0</v>
      </c>
      <c r="G589">
        <v>4</v>
      </c>
      <c r="H589">
        <v>1</v>
      </c>
      <c r="I589">
        <v>0.22</v>
      </c>
      <c r="J589">
        <v>0</v>
      </c>
      <c r="K589">
        <v>0.28789999999999999</v>
      </c>
      <c r="L589">
        <v>0.81</v>
      </c>
      <c r="M589">
        <v>0</v>
      </c>
      <c r="N589">
        <v>3</v>
      </c>
      <c r="O589">
        <v>13</v>
      </c>
      <c r="P589">
        <v>16</v>
      </c>
      <c r="Q589" s="17" t="str">
        <f t="shared" si="29"/>
        <v>Weekdays</v>
      </c>
      <c r="R589" s="17" t="str">
        <f t="shared" si="27"/>
        <v>Evening</v>
      </c>
      <c r="S589" s="9" t="str">
        <f t="shared" si="28"/>
        <v>Clear</v>
      </c>
    </row>
    <row r="590" spans="1:19" x14ac:dyDescent="0.25">
      <c r="A590">
        <v>589</v>
      </c>
      <c r="B590" s="19">
        <v>40570</v>
      </c>
      <c r="C590">
        <v>1</v>
      </c>
      <c r="D590">
        <v>1</v>
      </c>
      <c r="E590">
        <v>17</v>
      </c>
      <c r="F590" t="b">
        <v>0</v>
      </c>
      <c r="G590">
        <v>4</v>
      </c>
      <c r="H590">
        <v>1</v>
      </c>
      <c r="I590">
        <v>0.22</v>
      </c>
      <c r="J590">
        <v>0</v>
      </c>
      <c r="K590">
        <v>0.28789999999999999</v>
      </c>
      <c r="L590">
        <v>0.81</v>
      </c>
      <c r="M590">
        <v>0</v>
      </c>
      <c r="N590">
        <v>3</v>
      </c>
      <c r="O590">
        <v>13</v>
      </c>
      <c r="P590">
        <v>16</v>
      </c>
      <c r="Q590" s="17" t="str">
        <f t="shared" si="29"/>
        <v>Weekdays</v>
      </c>
      <c r="R590" s="17" t="str">
        <f t="shared" si="27"/>
        <v>Evening</v>
      </c>
      <c r="S590" s="9" t="str">
        <f t="shared" si="28"/>
        <v>Clear</v>
      </c>
    </row>
    <row r="591" spans="1:19" x14ac:dyDescent="0.25">
      <c r="A591">
        <v>590</v>
      </c>
      <c r="B591" s="19">
        <v>40570</v>
      </c>
      <c r="C591">
        <v>1</v>
      </c>
      <c r="D591">
        <v>1</v>
      </c>
      <c r="E591">
        <v>18</v>
      </c>
      <c r="F591" t="b">
        <v>0</v>
      </c>
      <c r="G591">
        <v>4</v>
      </c>
      <c r="H591">
        <v>1</v>
      </c>
      <c r="I591">
        <v>0.2</v>
      </c>
      <c r="J591">
        <v>0</v>
      </c>
      <c r="K591">
        <v>0.28789999999999999</v>
      </c>
      <c r="L591">
        <v>0.81</v>
      </c>
      <c r="M591">
        <v>0</v>
      </c>
      <c r="N591">
        <v>3</v>
      </c>
      <c r="O591">
        <v>13</v>
      </c>
      <c r="P591">
        <v>16</v>
      </c>
      <c r="Q591" s="17" t="str">
        <f t="shared" si="29"/>
        <v>Weekdays</v>
      </c>
      <c r="R591" s="17" t="str">
        <f t="shared" si="27"/>
        <v>Evening</v>
      </c>
      <c r="S591" s="9" t="str">
        <f t="shared" si="28"/>
        <v>Clear</v>
      </c>
    </row>
    <row r="592" spans="1:19" x14ac:dyDescent="0.25">
      <c r="A592">
        <v>591</v>
      </c>
      <c r="B592" s="19">
        <v>40570</v>
      </c>
      <c r="C592">
        <v>1</v>
      </c>
      <c r="D592">
        <v>1</v>
      </c>
      <c r="E592">
        <v>19</v>
      </c>
      <c r="F592" t="b">
        <v>0</v>
      </c>
      <c r="G592">
        <v>4</v>
      </c>
      <c r="H592">
        <v>1</v>
      </c>
      <c r="I592">
        <v>0.2</v>
      </c>
      <c r="J592">
        <v>0</v>
      </c>
      <c r="K592">
        <v>0.28789999999999999</v>
      </c>
      <c r="L592">
        <v>0.81</v>
      </c>
      <c r="M592">
        <v>0</v>
      </c>
      <c r="N592">
        <v>3</v>
      </c>
      <c r="O592">
        <v>13</v>
      </c>
      <c r="P592">
        <v>16</v>
      </c>
      <c r="Q592" s="17" t="str">
        <f t="shared" si="29"/>
        <v>Weekdays</v>
      </c>
      <c r="R592" s="17" t="str">
        <f t="shared" si="27"/>
        <v>Evening</v>
      </c>
      <c r="S592" s="9" t="str">
        <f t="shared" si="28"/>
        <v>Clear</v>
      </c>
    </row>
    <row r="593" spans="1:19" x14ac:dyDescent="0.25">
      <c r="A593">
        <v>592</v>
      </c>
      <c r="B593" s="19">
        <v>40570</v>
      </c>
      <c r="C593">
        <v>1</v>
      </c>
      <c r="D593">
        <v>1</v>
      </c>
      <c r="E593">
        <v>20</v>
      </c>
      <c r="F593" t="b">
        <v>0</v>
      </c>
      <c r="G593">
        <v>4</v>
      </c>
      <c r="H593">
        <v>1</v>
      </c>
      <c r="I593">
        <v>0.18</v>
      </c>
      <c r="J593">
        <v>0</v>
      </c>
      <c r="K593">
        <v>0.28789999999999999</v>
      </c>
      <c r="L593">
        <v>0.81</v>
      </c>
      <c r="M593">
        <v>0</v>
      </c>
      <c r="N593">
        <v>3</v>
      </c>
      <c r="O593">
        <v>13</v>
      </c>
      <c r="P593">
        <v>16</v>
      </c>
      <c r="Q593" s="17" t="str">
        <f t="shared" si="29"/>
        <v>Weekdays</v>
      </c>
      <c r="R593" s="17" t="str">
        <f t="shared" si="27"/>
        <v>Evening</v>
      </c>
      <c r="S593" s="9" t="str">
        <f t="shared" si="28"/>
        <v>Clear</v>
      </c>
    </row>
    <row r="594" spans="1:19" x14ac:dyDescent="0.25">
      <c r="A594">
        <v>593</v>
      </c>
      <c r="B594" s="19">
        <v>40570</v>
      </c>
      <c r="C594">
        <v>1</v>
      </c>
      <c r="D594">
        <v>1</v>
      </c>
      <c r="E594">
        <v>21</v>
      </c>
      <c r="F594" t="b">
        <v>0</v>
      </c>
      <c r="G594">
        <v>4</v>
      </c>
      <c r="H594">
        <v>1</v>
      </c>
      <c r="I594">
        <v>0.18</v>
      </c>
      <c r="J594">
        <v>0</v>
      </c>
      <c r="K594">
        <v>0.28789999999999999</v>
      </c>
      <c r="L594">
        <v>0.81</v>
      </c>
      <c r="M594">
        <v>0</v>
      </c>
      <c r="N594">
        <v>3</v>
      </c>
      <c r="O594">
        <v>13</v>
      </c>
      <c r="P594">
        <v>16</v>
      </c>
      <c r="Q594" s="17" t="str">
        <f t="shared" si="29"/>
        <v>Weekdays</v>
      </c>
      <c r="R594" s="17" t="str">
        <f t="shared" si="27"/>
        <v>Night</v>
      </c>
      <c r="S594" s="9" t="str">
        <f t="shared" si="28"/>
        <v>Clear</v>
      </c>
    </row>
    <row r="595" spans="1:19" x14ac:dyDescent="0.25">
      <c r="A595">
        <v>594</v>
      </c>
      <c r="B595" s="19">
        <v>40570</v>
      </c>
      <c r="C595">
        <v>1</v>
      </c>
      <c r="D595">
        <v>1</v>
      </c>
      <c r="E595">
        <v>22</v>
      </c>
      <c r="F595" t="b">
        <v>0</v>
      </c>
      <c r="G595">
        <v>4</v>
      </c>
      <c r="H595">
        <v>1</v>
      </c>
      <c r="I595">
        <v>0.18</v>
      </c>
      <c r="J595">
        <v>0</v>
      </c>
      <c r="K595">
        <v>0.28789999999999999</v>
      </c>
      <c r="L595">
        <v>0.81</v>
      </c>
      <c r="M595">
        <v>0</v>
      </c>
      <c r="N595">
        <v>3</v>
      </c>
      <c r="O595">
        <v>13</v>
      </c>
      <c r="P595">
        <v>16</v>
      </c>
      <c r="Q595" s="17" t="str">
        <f t="shared" si="29"/>
        <v>Weekdays</v>
      </c>
      <c r="R595" s="17" t="str">
        <f t="shared" si="27"/>
        <v>Night</v>
      </c>
      <c r="S595" s="9" t="str">
        <f t="shared" si="28"/>
        <v>Clear</v>
      </c>
    </row>
    <row r="596" spans="1:19" x14ac:dyDescent="0.25">
      <c r="A596">
        <v>595</v>
      </c>
      <c r="B596" s="19">
        <v>40570</v>
      </c>
      <c r="C596">
        <v>1</v>
      </c>
      <c r="D596">
        <v>1</v>
      </c>
      <c r="E596">
        <v>23</v>
      </c>
      <c r="F596" t="b">
        <v>0</v>
      </c>
      <c r="G596">
        <v>4</v>
      </c>
      <c r="H596">
        <v>1</v>
      </c>
      <c r="I596">
        <v>0.18</v>
      </c>
      <c r="J596">
        <v>0</v>
      </c>
      <c r="K596">
        <v>0.28789999999999999</v>
      </c>
      <c r="L596">
        <v>0.81</v>
      </c>
      <c r="M596">
        <v>0</v>
      </c>
      <c r="N596">
        <v>3</v>
      </c>
      <c r="O596">
        <v>13</v>
      </c>
      <c r="P596">
        <v>16</v>
      </c>
      <c r="Q596" s="17" t="str">
        <f t="shared" si="29"/>
        <v>Weekdays</v>
      </c>
      <c r="R596" s="17" t="str">
        <f t="shared" si="27"/>
        <v>Night</v>
      </c>
      <c r="S596" s="9" t="str">
        <f t="shared" si="28"/>
        <v>Clear</v>
      </c>
    </row>
    <row r="597" spans="1:19" x14ac:dyDescent="0.25">
      <c r="A597">
        <v>596</v>
      </c>
      <c r="B597" s="19">
        <v>40571</v>
      </c>
      <c r="C597">
        <v>1</v>
      </c>
      <c r="D597">
        <v>1</v>
      </c>
      <c r="E597">
        <v>0</v>
      </c>
      <c r="F597" t="b">
        <v>0</v>
      </c>
      <c r="G597">
        <v>5</v>
      </c>
      <c r="H597">
        <v>2</v>
      </c>
      <c r="I597">
        <v>0.2</v>
      </c>
      <c r="J597">
        <v>0</v>
      </c>
      <c r="K597">
        <v>0.28789999999999999</v>
      </c>
      <c r="L597">
        <v>0.81</v>
      </c>
      <c r="M597">
        <v>0</v>
      </c>
      <c r="N597">
        <v>3</v>
      </c>
      <c r="O597">
        <v>13</v>
      </c>
      <c r="P597">
        <v>16</v>
      </c>
      <c r="Q597" s="17" t="str">
        <f t="shared" si="29"/>
        <v>Weekends</v>
      </c>
      <c r="R597" s="17" t="str">
        <f t="shared" si="27"/>
        <v>Morning</v>
      </c>
      <c r="S597" s="9" t="str">
        <f t="shared" si="28"/>
        <v>Mist</v>
      </c>
    </row>
    <row r="598" spans="1:19" x14ac:dyDescent="0.25">
      <c r="A598">
        <v>597</v>
      </c>
      <c r="B598" s="19">
        <v>40571</v>
      </c>
      <c r="C598">
        <v>1</v>
      </c>
      <c r="D598">
        <v>1</v>
      </c>
      <c r="E598">
        <v>1</v>
      </c>
      <c r="F598" t="b">
        <v>0</v>
      </c>
      <c r="G598">
        <v>5</v>
      </c>
      <c r="H598">
        <v>2</v>
      </c>
      <c r="I598">
        <v>0.2</v>
      </c>
      <c r="J598">
        <v>0</v>
      </c>
      <c r="K598">
        <v>0.28789999999999999</v>
      </c>
      <c r="L598">
        <v>0.81</v>
      </c>
      <c r="M598">
        <v>0</v>
      </c>
      <c r="N598">
        <v>3</v>
      </c>
      <c r="O598">
        <v>13</v>
      </c>
      <c r="P598">
        <v>16</v>
      </c>
      <c r="Q598" s="17" t="str">
        <f t="shared" si="29"/>
        <v>Weekends</v>
      </c>
      <c r="R598" s="17" t="str">
        <f t="shared" si="27"/>
        <v>Morning</v>
      </c>
      <c r="S598" s="9" t="str">
        <f t="shared" si="28"/>
        <v>Mist</v>
      </c>
    </row>
    <row r="599" spans="1:19" x14ac:dyDescent="0.25">
      <c r="A599">
        <v>598</v>
      </c>
      <c r="B599" s="19">
        <v>40571</v>
      </c>
      <c r="C599">
        <v>1</v>
      </c>
      <c r="D599">
        <v>1</v>
      </c>
      <c r="E599">
        <v>2</v>
      </c>
      <c r="F599" t="b">
        <v>0</v>
      </c>
      <c r="G599">
        <v>5</v>
      </c>
      <c r="H599">
        <v>2</v>
      </c>
      <c r="I599">
        <v>0.2</v>
      </c>
      <c r="J599">
        <v>0</v>
      </c>
      <c r="K599">
        <v>0.28789999999999999</v>
      </c>
      <c r="L599">
        <v>0.81</v>
      </c>
      <c r="M599">
        <v>0</v>
      </c>
      <c r="N599">
        <v>3</v>
      </c>
      <c r="O599">
        <v>13</v>
      </c>
      <c r="P599">
        <v>16</v>
      </c>
      <c r="Q599" s="17" t="str">
        <f t="shared" si="29"/>
        <v>Weekends</v>
      </c>
      <c r="R599" s="17" t="str">
        <f t="shared" si="27"/>
        <v>Morning</v>
      </c>
      <c r="S599" s="9" t="str">
        <f t="shared" si="28"/>
        <v>Mist</v>
      </c>
    </row>
    <row r="600" spans="1:19" x14ac:dyDescent="0.25">
      <c r="A600">
        <v>599</v>
      </c>
      <c r="B600" s="19">
        <v>40571</v>
      </c>
      <c r="C600">
        <v>1</v>
      </c>
      <c r="D600">
        <v>1</v>
      </c>
      <c r="E600">
        <v>3</v>
      </c>
      <c r="F600" t="b">
        <v>0</v>
      </c>
      <c r="G600">
        <v>5</v>
      </c>
      <c r="H600">
        <v>2</v>
      </c>
      <c r="I600">
        <v>0.2</v>
      </c>
      <c r="J600">
        <v>0</v>
      </c>
      <c r="K600">
        <v>0.28789999999999999</v>
      </c>
      <c r="L600">
        <v>0.81</v>
      </c>
      <c r="M600">
        <v>0</v>
      </c>
      <c r="N600">
        <v>3</v>
      </c>
      <c r="O600">
        <v>13</v>
      </c>
      <c r="P600">
        <v>16</v>
      </c>
      <c r="Q600" s="17" t="str">
        <f t="shared" si="29"/>
        <v>Weekends</v>
      </c>
      <c r="R600" s="17" t="str">
        <f t="shared" si="27"/>
        <v>Morning</v>
      </c>
      <c r="S600" s="9" t="str">
        <f t="shared" si="28"/>
        <v>Mist</v>
      </c>
    </row>
    <row r="601" spans="1:19" x14ac:dyDescent="0.25">
      <c r="A601">
        <v>600</v>
      </c>
      <c r="B601" s="19">
        <v>40571</v>
      </c>
      <c r="C601">
        <v>1</v>
      </c>
      <c r="D601">
        <v>1</v>
      </c>
      <c r="E601">
        <v>5</v>
      </c>
      <c r="F601" t="b">
        <v>0</v>
      </c>
      <c r="G601">
        <v>5</v>
      </c>
      <c r="H601">
        <v>2</v>
      </c>
      <c r="I601">
        <v>0.18</v>
      </c>
      <c r="J601">
        <v>0</v>
      </c>
      <c r="K601">
        <v>0.28789999999999999</v>
      </c>
      <c r="L601">
        <v>0.81</v>
      </c>
      <c r="M601">
        <v>0</v>
      </c>
      <c r="N601">
        <v>3</v>
      </c>
      <c r="O601">
        <v>13</v>
      </c>
      <c r="P601">
        <v>16</v>
      </c>
      <c r="Q601" s="17" t="str">
        <f t="shared" si="29"/>
        <v>Weekends</v>
      </c>
      <c r="R601" s="17" t="str">
        <f t="shared" si="27"/>
        <v>Morning</v>
      </c>
      <c r="S601" s="9" t="str">
        <f t="shared" si="28"/>
        <v>Mist</v>
      </c>
    </row>
    <row r="602" spans="1:19" x14ac:dyDescent="0.25">
      <c r="A602">
        <v>601</v>
      </c>
      <c r="B602" s="19">
        <v>40571</v>
      </c>
      <c r="C602">
        <v>1</v>
      </c>
      <c r="D602">
        <v>1</v>
      </c>
      <c r="E602">
        <v>6</v>
      </c>
      <c r="F602" t="b">
        <v>0</v>
      </c>
      <c r="G602">
        <v>5</v>
      </c>
      <c r="H602">
        <v>2</v>
      </c>
      <c r="I602">
        <v>0.18</v>
      </c>
      <c r="J602">
        <v>0</v>
      </c>
      <c r="K602">
        <v>0.28789999999999999</v>
      </c>
      <c r="L602">
        <v>0.81</v>
      </c>
      <c r="M602">
        <v>0</v>
      </c>
      <c r="N602">
        <v>3</v>
      </c>
      <c r="O602">
        <v>13</v>
      </c>
      <c r="P602">
        <v>16</v>
      </c>
      <c r="Q602" s="17" t="str">
        <f t="shared" si="29"/>
        <v>Weekends</v>
      </c>
      <c r="R602" s="17" t="str">
        <f t="shared" si="27"/>
        <v>Morning</v>
      </c>
      <c r="S602" s="9" t="str">
        <f t="shared" si="28"/>
        <v>Mist</v>
      </c>
    </row>
    <row r="603" spans="1:19" x14ac:dyDescent="0.25">
      <c r="A603">
        <v>602</v>
      </c>
      <c r="B603" s="19">
        <v>40571</v>
      </c>
      <c r="C603">
        <v>1</v>
      </c>
      <c r="D603">
        <v>1</v>
      </c>
      <c r="E603">
        <v>7</v>
      </c>
      <c r="F603" t="b">
        <v>0</v>
      </c>
      <c r="G603">
        <v>5</v>
      </c>
      <c r="H603">
        <v>2</v>
      </c>
      <c r="I603">
        <v>0.16</v>
      </c>
      <c r="J603">
        <v>0</v>
      </c>
      <c r="K603">
        <v>0.28789999999999999</v>
      </c>
      <c r="L603">
        <v>0.81</v>
      </c>
      <c r="M603">
        <v>0</v>
      </c>
      <c r="N603">
        <v>3</v>
      </c>
      <c r="O603">
        <v>13</v>
      </c>
      <c r="P603">
        <v>16</v>
      </c>
      <c r="Q603" s="17" t="str">
        <f t="shared" si="29"/>
        <v>Weekends</v>
      </c>
      <c r="R603" s="17" t="str">
        <f t="shared" si="27"/>
        <v>Morning</v>
      </c>
      <c r="S603" s="9" t="str">
        <f t="shared" si="28"/>
        <v>Mist</v>
      </c>
    </row>
    <row r="604" spans="1:19" x14ac:dyDescent="0.25">
      <c r="A604">
        <v>603</v>
      </c>
      <c r="B604" s="19">
        <v>40571</v>
      </c>
      <c r="C604">
        <v>1</v>
      </c>
      <c r="D604">
        <v>1</v>
      </c>
      <c r="E604">
        <v>8</v>
      </c>
      <c r="F604" t="b">
        <v>0</v>
      </c>
      <c r="G604">
        <v>5</v>
      </c>
      <c r="H604">
        <v>2</v>
      </c>
      <c r="I604">
        <v>0.16</v>
      </c>
      <c r="J604">
        <v>0</v>
      </c>
      <c r="K604">
        <v>0.28789999999999999</v>
      </c>
      <c r="L604">
        <v>0.81</v>
      </c>
      <c r="M604">
        <v>0</v>
      </c>
      <c r="N604">
        <v>3</v>
      </c>
      <c r="O604">
        <v>13</v>
      </c>
      <c r="P604">
        <v>16</v>
      </c>
      <c r="Q604" s="17" t="str">
        <f t="shared" si="29"/>
        <v>Weekends</v>
      </c>
      <c r="R604" s="17" t="str">
        <f t="shared" si="27"/>
        <v>Morning</v>
      </c>
      <c r="S604" s="9" t="str">
        <f t="shared" si="28"/>
        <v>Mist</v>
      </c>
    </row>
    <row r="605" spans="1:19" x14ac:dyDescent="0.25">
      <c r="A605">
        <v>604</v>
      </c>
      <c r="B605" s="19">
        <v>40571</v>
      </c>
      <c r="C605">
        <v>1</v>
      </c>
      <c r="D605">
        <v>1</v>
      </c>
      <c r="E605">
        <v>9</v>
      </c>
      <c r="F605" t="b">
        <v>0</v>
      </c>
      <c r="G605">
        <v>5</v>
      </c>
      <c r="H605">
        <v>3</v>
      </c>
      <c r="I605">
        <v>0.18</v>
      </c>
      <c r="J605">
        <v>0</v>
      </c>
      <c r="K605">
        <v>0.28789999999999999</v>
      </c>
      <c r="L605">
        <v>0.81</v>
      </c>
      <c r="M605">
        <v>0</v>
      </c>
      <c r="N605">
        <v>3</v>
      </c>
      <c r="O605">
        <v>13</v>
      </c>
      <c r="P605">
        <v>16</v>
      </c>
      <c r="Q605" s="17" t="str">
        <f t="shared" si="29"/>
        <v>Weekends</v>
      </c>
      <c r="R605" s="17" t="str">
        <f t="shared" si="27"/>
        <v>Morning</v>
      </c>
      <c r="S605" s="9" t="str">
        <f t="shared" si="28"/>
        <v>Light Snow/Rain</v>
      </c>
    </row>
    <row r="606" spans="1:19" x14ac:dyDescent="0.25">
      <c r="A606">
        <v>605</v>
      </c>
      <c r="B606" s="19">
        <v>40571</v>
      </c>
      <c r="C606">
        <v>1</v>
      </c>
      <c r="D606">
        <v>1</v>
      </c>
      <c r="E606">
        <v>10</v>
      </c>
      <c r="F606" t="b">
        <v>0</v>
      </c>
      <c r="G606">
        <v>5</v>
      </c>
      <c r="H606">
        <v>3</v>
      </c>
      <c r="I606">
        <v>0.18</v>
      </c>
      <c r="J606">
        <v>0</v>
      </c>
      <c r="K606">
        <v>0.28789999999999999</v>
      </c>
      <c r="L606">
        <v>0.81</v>
      </c>
      <c r="M606">
        <v>0</v>
      </c>
      <c r="N606">
        <v>3</v>
      </c>
      <c r="O606">
        <v>13</v>
      </c>
      <c r="P606">
        <v>16</v>
      </c>
      <c r="Q606" s="17" t="str">
        <f t="shared" si="29"/>
        <v>Weekends</v>
      </c>
      <c r="R606" s="17" t="str">
        <f t="shared" si="27"/>
        <v>Morning</v>
      </c>
      <c r="S606" s="9" t="str">
        <f t="shared" si="28"/>
        <v>Light Snow/Rain</v>
      </c>
    </row>
    <row r="607" spans="1:19" x14ac:dyDescent="0.25">
      <c r="A607">
        <v>606</v>
      </c>
      <c r="B607" s="19">
        <v>40571</v>
      </c>
      <c r="C607">
        <v>1</v>
      </c>
      <c r="D607">
        <v>1</v>
      </c>
      <c r="E607">
        <v>11</v>
      </c>
      <c r="F607" t="b">
        <v>0</v>
      </c>
      <c r="G607">
        <v>5</v>
      </c>
      <c r="H607">
        <v>3</v>
      </c>
      <c r="I607">
        <v>0.18</v>
      </c>
      <c r="J607">
        <v>0</v>
      </c>
      <c r="K607">
        <v>0.28789999999999999</v>
      </c>
      <c r="L607">
        <v>0.81</v>
      </c>
      <c r="M607">
        <v>0</v>
      </c>
      <c r="N607">
        <v>3</v>
      </c>
      <c r="O607">
        <v>13</v>
      </c>
      <c r="P607">
        <v>16</v>
      </c>
      <c r="Q607" s="17" t="str">
        <f t="shared" si="29"/>
        <v>Weekends</v>
      </c>
      <c r="R607" s="17" t="str">
        <f t="shared" si="27"/>
        <v>Morning</v>
      </c>
      <c r="S607" s="9" t="str">
        <f t="shared" si="28"/>
        <v>Light Snow/Rain</v>
      </c>
    </row>
    <row r="608" spans="1:19" x14ac:dyDescent="0.25">
      <c r="A608">
        <v>607</v>
      </c>
      <c r="B608" s="19">
        <v>40571</v>
      </c>
      <c r="C608">
        <v>1</v>
      </c>
      <c r="D608">
        <v>1</v>
      </c>
      <c r="E608">
        <v>12</v>
      </c>
      <c r="F608" t="b">
        <v>0</v>
      </c>
      <c r="G608">
        <v>5</v>
      </c>
      <c r="H608">
        <v>3</v>
      </c>
      <c r="I608">
        <v>0.18</v>
      </c>
      <c r="J608">
        <v>0</v>
      </c>
      <c r="K608">
        <v>0.28789999999999999</v>
      </c>
      <c r="L608">
        <v>0.81</v>
      </c>
      <c r="M608">
        <v>0</v>
      </c>
      <c r="N608">
        <v>3</v>
      </c>
      <c r="O608">
        <v>13</v>
      </c>
      <c r="P608">
        <v>16</v>
      </c>
      <c r="Q608" s="17" t="str">
        <f t="shared" si="29"/>
        <v>Weekends</v>
      </c>
      <c r="R608" s="17" t="str">
        <f t="shared" si="27"/>
        <v>Afternoon</v>
      </c>
      <c r="S608" s="9" t="str">
        <f t="shared" si="28"/>
        <v>Light Snow/Rain</v>
      </c>
    </row>
    <row r="609" spans="1:19" x14ac:dyDescent="0.25">
      <c r="A609">
        <v>608</v>
      </c>
      <c r="B609" s="19">
        <v>40571</v>
      </c>
      <c r="C609">
        <v>1</v>
      </c>
      <c r="D609">
        <v>1</v>
      </c>
      <c r="E609">
        <v>13</v>
      </c>
      <c r="F609" t="b">
        <v>0</v>
      </c>
      <c r="G609">
        <v>5</v>
      </c>
      <c r="H609">
        <v>3</v>
      </c>
      <c r="I609">
        <v>0.18</v>
      </c>
      <c r="J609">
        <v>0</v>
      </c>
      <c r="K609">
        <v>0.28789999999999999</v>
      </c>
      <c r="L609">
        <v>0.81</v>
      </c>
      <c r="M609">
        <v>0</v>
      </c>
      <c r="N609">
        <v>3</v>
      </c>
      <c r="O609">
        <v>13</v>
      </c>
      <c r="P609">
        <v>16</v>
      </c>
      <c r="Q609" s="17" t="str">
        <f t="shared" si="29"/>
        <v>Weekends</v>
      </c>
      <c r="R609" s="17" t="str">
        <f t="shared" si="27"/>
        <v>Afternoon</v>
      </c>
      <c r="S609" s="9" t="str">
        <f t="shared" si="28"/>
        <v>Light Snow/Rain</v>
      </c>
    </row>
    <row r="610" spans="1:19" x14ac:dyDescent="0.25">
      <c r="A610">
        <v>609</v>
      </c>
      <c r="B610" s="19">
        <v>40571</v>
      </c>
      <c r="C610">
        <v>1</v>
      </c>
      <c r="D610">
        <v>1</v>
      </c>
      <c r="E610">
        <v>14</v>
      </c>
      <c r="F610" t="b">
        <v>0</v>
      </c>
      <c r="G610">
        <v>5</v>
      </c>
      <c r="H610">
        <v>3</v>
      </c>
      <c r="I610">
        <v>0.22</v>
      </c>
      <c r="J610">
        <v>0</v>
      </c>
      <c r="K610">
        <v>0.28789999999999999</v>
      </c>
      <c r="L610">
        <v>0.81</v>
      </c>
      <c r="M610">
        <v>0</v>
      </c>
      <c r="N610">
        <v>3</v>
      </c>
      <c r="O610">
        <v>13</v>
      </c>
      <c r="P610">
        <v>16</v>
      </c>
      <c r="Q610" s="17" t="str">
        <f t="shared" si="29"/>
        <v>Weekends</v>
      </c>
      <c r="R610" s="17" t="str">
        <f t="shared" si="27"/>
        <v>Afternoon</v>
      </c>
      <c r="S610" s="9" t="str">
        <f t="shared" si="28"/>
        <v>Light Snow/Rain</v>
      </c>
    </row>
    <row r="611" spans="1:19" x14ac:dyDescent="0.25">
      <c r="A611">
        <v>610</v>
      </c>
      <c r="B611" s="19">
        <v>40571</v>
      </c>
      <c r="C611">
        <v>1</v>
      </c>
      <c r="D611">
        <v>1</v>
      </c>
      <c r="E611">
        <v>15</v>
      </c>
      <c r="F611" t="b">
        <v>0</v>
      </c>
      <c r="G611">
        <v>5</v>
      </c>
      <c r="H611">
        <v>2</v>
      </c>
      <c r="I611">
        <v>0.2</v>
      </c>
      <c r="J611">
        <v>0</v>
      </c>
      <c r="K611">
        <v>0.28789999999999999</v>
      </c>
      <c r="L611">
        <v>0.81</v>
      </c>
      <c r="M611">
        <v>0</v>
      </c>
      <c r="N611">
        <v>3</v>
      </c>
      <c r="O611">
        <v>13</v>
      </c>
      <c r="P611">
        <v>16</v>
      </c>
      <c r="Q611" s="17" t="str">
        <f t="shared" si="29"/>
        <v>Weekends</v>
      </c>
      <c r="R611" s="17" t="str">
        <f t="shared" si="27"/>
        <v>Afternoon</v>
      </c>
      <c r="S611" s="9" t="str">
        <f t="shared" si="28"/>
        <v>Mist</v>
      </c>
    </row>
    <row r="612" spans="1:19" x14ac:dyDescent="0.25">
      <c r="A612">
        <v>1</v>
      </c>
      <c r="B612" s="19">
        <v>40571</v>
      </c>
      <c r="C612">
        <v>1</v>
      </c>
      <c r="D612">
        <v>1</v>
      </c>
      <c r="E612">
        <v>15</v>
      </c>
      <c r="F612" t="b">
        <v>0</v>
      </c>
      <c r="G612">
        <v>5</v>
      </c>
      <c r="H612">
        <v>2</v>
      </c>
      <c r="I612">
        <v>0.2</v>
      </c>
      <c r="J612">
        <v>0</v>
      </c>
      <c r="K612">
        <v>0.28789999999999999</v>
      </c>
      <c r="L612">
        <v>0.81</v>
      </c>
      <c r="M612">
        <v>0</v>
      </c>
      <c r="N612">
        <v>3</v>
      </c>
      <c r="O612">
        <v>13</v>
      </c>
      <c r="P612">
        <v>16</v>
      </c>
      <c r="Q612" s="17" t="str">
        <f t="shared" si="29"/>
        <v>Weekends</v>
      </c>
      <c r="R612" s="17" t="str">
        <f t="shared" si="27"/>
        <v>Afternoon</v>
      </c>
      <c r="S612" s="9" t="str">
        <f t="shared" si="28"/>
        <v>Mist</v>
      </c>
    </row>
    <row r="613" spans="1:19" x14ac:dyDescent="0.25">
      <c r="A613">
        <v>2</v>
      </c>
      <c r="B613" s="19">
        <v>40571</v>
      </c>
      <c r="C613">
        <v>1</v>
      </c>
      <c r="D613">
        <v>1</v>
      </c>
      <c r="E613">
        <v>15</v>
      </c>
      <c r="F613" t="b">
        <v>0</v>
      </c>
      <c r="G613">
        <v>5</v>
      </c>
      <c r="H613">
        <v>2</v>
      </c>
      <c r="I613">
        <v>0.2</v>
      </c>
      <c r="J613">
        <v>1</v>
      </c>
      <c r="K613">
        <v>0.2727</v>
      </c>
      <c r="L613">
        <v>0.8</v>
      </c>
      <c r="M613">
        <v>0</v>
      </c>
      <c r="N613">
        <v>8</v>
      </c>
      <c r="O613">
        <v>32</v>
      </c>
      <c r="P613">
        <v>40</v>
      </c>
      <c r="Q613" s="17" t="str">
        <f t="shared" si="29"/>
        <v>Weekends</v>
      </c>
      <c r="R613" s="17" t="str">
        <f t="shared" si="27"/>
        <v>Afternoon</v>
      </c>
      <c r="S613" s="9" t="str">
        <f t="shared" si="28"/>
        <v>Mist</v>
      </c>
    </row>
    <row r="614" spans="1:19" x14ac:dyDescent="0.25">
      <c r="A614">
        <v>3</v>
      </c>
      <c r="B614" s="19">
        <v>40571</v>
      </c>
      <c r="C614">
        <v>1</v>
      </c>
      <c r="D614">
        <v>1</v>
      </c>
      <c r="E614">
        <v>15</v>
      </c>
      <c r="F614" t="b">
        <v>0</v>
      </c>
      <c r="G614">
        <v>5</v>
      </c>
      <c r="H614">
        <v>2</v>
      </c>
      <c r="I614">
        <v>0.2</v>
      </c>
      <c r="J614">
        <v>2</v>
      </c>
      <c r="K614">
        <v>0.2727</v>
      </c>
      <c r="L614">
        <v>0.8</v>
      </c>
      <c r="M614">
        <v>0</v>
      </c>
      <c r="N614">
        <v>5</v>
      </c>
      <c r="O614">
        <v>27</v>
      </c>
      <c r="P614">
        <v>32</v>
      </c>
      <c r="Q614" s="17" t="str">
        <f t="shared" si="29"/>
        <v>Weekends</v>
      </c>
      <c r="R614" s="17" t="str">
        <f t="shared" si="27"/>
        <v>Afternoon</v>
      </c>
      <c r="S614" s="9" t="str">
        <f t="shared" si="28"/>
        <v>Mist</v>
      </c>
    </row>
    <row r="615" spans="1:19" x14ac:dyDescent="0.25">
      <c r="A615">
        <v>4</v>
      </c>
      <c r="B615" s="19">
        <v>40571</v>
      </c>
      <c r="C615">
        <v>1</v>
      </c>
      <c r="D615">
        <v>1</v>
      </c>
      <c r="E615">
        <v>15</v>
      </c>
      <c r="F615" t="b">
        <v>0</v>
      </c>
      <c r="G615">
        <v>5</v>
      </c>
      <c r="H615">
        <v>2</v>
      </c>
      <c r="I615">
        <v>0.2</v>
      </c>
      <c r="J615">
        <v>3</v>
      </c>
      <c r="K615">
        <v>0.28789999999999999</v>
      </c>
      <c r="L615">
        <v>0.75</v>
      </c>
      <c r="M615">
        <v>0</v>
      </c>
      <c r="N615">
        <v>3</v>
      </c>
      <c r="O615">
        <v>10</v>
      </c>
      <c r="P615">
        <v>13</v>
      </c>
      <c r="Q615" s="17" t="str">
        <f t="shared" si="29"/>
        <v>Weekends</v>
      </c>
      <c r="R615" s="17" t="str">
        <f t="shared" si="27"/>
        <v>Afternoon</v>
      </c>
      <c r="S615" s="9" t="str">
        <f t="shared" si="28"/>
        <v>Mist</v>
      </c>
    </row>
    <row r="616" spans="1:19" x14ac:dyDescent="0.25">
      <c r="A616">
        <v>5</v>
      </c>
      <c r="B616" s="19">
        <v>40571</v>
      </c>
      <c r="C616">
        <v>1</v>
      </c>
      <c r="D616">
        <v>1</v>
      </c>
      <c r="E616">
        <v>15</v>
      </c>
      <c r="F616" t="b">
        <v>0</v>
      </c>
      <c r="G616">
        <v>5</v>
      </c>
      <c r="H616">
        <v>2</v>
      </c>
      <c r="I616">
        <v>0.2</v>
      </c>
      <c r="J616">
        <v>4</v>
      </c>
      <c r="K616">
        <v>0.28789999999999999</v>
      </c>
      <c r="L616">
        <v>0.75</v>
      </c>
      <c r="M616">
        <v>0</v>
      </c>
      <c r="N616">
        <v>0</v>
      </c>
      <c r="O616">
        <v>1</v>
      </c>
      <c r="P616">
        <v>1</v>
      </c>
      <c r="Q616" s="17" t="str">
        <f t="shared" si="29"/>
        <v>Weekends</v>
      </c>
      <c r="R616" s="17" t="str">
        <f t="shared" si="27"/>
        <v>Afternoon</v>
      </c>
      <c r="S616" s="9" t="str">
        <f t="shared" si="28"/>
        <v>Mist</v>
      </c>
    </row>
    <row r="617" spans="1:19" x14ac:dyDescent="0.25">
      <c r="A617">
        <v>6</v>
      </c>
      <c r="B617" s="19">
        <v>40571</v>
      </c>
      <c r="C617">
        <v>1</v>
      </c>
      <c r="D617">
        <v>1</v>
      </c>
      <c r="E617">
        <v>15</v>
      </c>
      <c r="F617" t="b">
        <v>0</v>
      </c>
      <c r="G617">
        <v>5</v>
      </c>
      <c r="H617">
        <v>2</v>
      </c>
      <c r="I617">
        <v>0.2</v>
      </c>
      <c r="J617">
        <v>5</v>
      </c>
      <c r="K617">
        <v>0.2576</v>
      </c>
      <c r="L617">
        <v>0.75</v>
      </c>
      <c r="M617">
        <v>8.9599999999999999E-2</v>
      </c>
      <c r="N617">
        <v>0</v>
      </c>
      <c r="O617">
        <v>1</v>
      </c>
      <c r="P617">
        <v>1</v>
      </c>
      <c r="Q617" s="17" t="str">
        <f t="shared" si="29"/>
        <v>Weekends</v>
      </c>
      <c r="R617" s="17" t="str">
        <f t="shared" si="27"/>
        <v>Afternoon</v>
      </c>
      <c r="S617" s="9" t="str">
        <f t="shared" si="28"/>
        <v>Mist</v>
      </c>
    </row>
    <row r="618" spans="1:19" x14ac:dyDescent="0.25">
      <c r="A618">
        <v>7</v>
      </c>
      <c r="B618" s="19">
        <v>40571</v>
      </c>
      <c r="C618">
        <v>1</v>
      </c>
      <c r="D618">
        <v>1</v>
      </c>
      <c r="E618">
        <v>15</v>
      </c>
      <c r="F618" t="b">
        <v>0</v>
      </c>
      <c r="G618">
        <v>5</v>
      </c>
      <c r="H618">
        <v>2</v>
      </c>
      <c r="I618">
        <v>0.2</v>
      </c>
      <c r="J618">
        <v>6</v>
      </c>
      <c r="K618">
        <v>0.2727</v>
      </c>
      <c r="L618">
        <v>0.8</v>
      </c>
      <c r="M618">
        <v>0</v>
      </c>
      <c r="N618">
        <v>2</v>
      </c>
      <c r="O618">
        <v>0</v>
      </c>
      <c r="P618">
        <v>2</v>
      </c>
      <c r="Q618" s="17" t="str">
        <f t="shared" si="29"/>
        <v>Weekends</v>
      </c>
      <c r="R618" s="17" t="str">
        <f t="shared" si="27"/>
        <v>Afternoon</v>
      </c>
      <c r="S618" s="9" t="str">
        <f t="shared" si="28"/>
        <v>Mist</v>
      </c>
    </row>
    <row r="619" spans="1:19" x14ac:dyDescent="0.25">
      <c r="A619">
        <v>8</v>
      </c>
      <c r="B619" s="19">
        <v>40571</v>
      </c>
      <c r="C619">
        <v>1</v>
      </c>
      <c r="D619">
        <v>1</v>
      </c>
      <c r="E619">
        <v>15</v>
      </c>
      <c r="F619" t="b">
        <v>0</v>
      </c>
      <c r="G619">
        <v>5</v>
      </c>
      <c r="H619">
        <v>2</v>
      </c>
      <c r="I619">
        <v>0.2</v>
      </c>
      <c r="J619">
        <v>7</v>
      </c>
      <c r="K619">
        <v>0.2576</v>
      </c>
      <c r="L619">
        <v>0.86</v>
      </c>
      <c r="M619">
        <v>0</v>
      </c>
      <c r="N619">
        <v>1</v>
      </c>
      <c r="O619">
        <v>2</v>
      </c>
      <c r="P619">
        <v>3</v>
      </c>
      <c r="Q619" s="17" t="str">
        <f t="shared" si="29"/>
        <v>Weekends</v>
      </c>
      <c r="R619" s="17" t="str">
        <f t="shared" si="27"/>
        <v>Afternoon</v>
      </c>
      <c r="S619" s="9" t="str">
        <f t="shared" si="28"/>
        <v>Mist</v>
      </c>
    </row>
    <row r="620" spans="1:19" x14ac:dyDescent="0.25">
      <c r="A620">
        <v>9</v>
      </c>
      <c r="B620" s="19">
        <v>40571</v>
      </c>
      <c r="C620">
        <v>1</v>
      </c>
      <c r="D620">
        <v>1</v>
      </c>
      <c r="E620">
        <v>15</v>
      </c>
      <c r="F620" t="b">
        <v>0</v>
      </c>
      <c r="G620">
        <v>5</v>
      </c>
      <c r="H620">
        <v>2</v>
      </c>
      <c r="I620">
        <v>0.2</v>
      </c>
      <c r="J620">
        <v>8</v>
      </c>
      <c r="K620">
        <v>0</v>
      </c>
      <c r="L620">
        <v>0.75</v>
      </c>
      <c r="M620">
        <v>0</v>
      </c>
      <c r="N620">
        <v>1</v>
      </c>
      <c r="O620">
        <v>7</v>
      </c>
      <c r="P620">
        <v>8</v>
      </c>
      <c r="Q620" s="17" t="str">
        <f t="shared" si="29"/>
        <v>Weekends</v>
      </c>
      <c r="R620" s="17" t="str">
        <f t="shared" si="27"/>
        <v>Afternoon</v>
      </c>
      <c r="S620" s="9" t="str">
        <f t="shared" si="28"/>
        <v>Mist</v>
      </c>
    </row>
    <row r="621" spans="1:19" x14ac:dyDescent="0.25">
      <c r="A621">
        <v>10</v>
      </c>
      <c r="B621" s="19">
        <v>40571</v>
      </c>
      <c r="C621">
        <v>1</v>
      </c>
      <c r="D621">
        <v>1</v>
      </c>
      <c r="E621">
        <v>15</v>
      </c>
      <c r="F621" t="b">
        <v>0</v>
      </c>
      <c r="G621">
        <v>5</v>
      </c>
      <c r="H621">
        <v>2</v>
      </c>
      <c r="I621">
        <v>0.2</v>
      </c>
      <c r="J621">
        <v>9</v>
      </c>
      <c r="K621">
        <v>0.34849999999999998</v>
      </c>
      <c r="L621">
        <v>0.76</v>
      </c>
      <c r="M621">
        <v>0</v>
      </c>
      <c r="N621">
        <v>8</v>
      </c>
      <c r="O621">
        <v>6</v>
      </c>
      <c r="P621">
        <v>14</v>
      </c>
      <c r="Q621" s="17" t="str">
        <f t="shared" si="29"/>
        <v>Weekends</v>
      </c>
      <c r="R621" s="17" t="str">
        <f t="shared" si="27"/>
        <v>Afternoon</v>
      </c>
      <c r="S621" s="9" t="str">
        <f t="shared" si="28"/>
        <v>Mist</v>
      </c>
    </row>
    <row r="622" spans="1:19" x14ac:dyDescent="0.25">
      <c r="A622">
        <v>11</v>
      </c>
      <c r="B622" s="19">
        <v>40571</v>
      </c>
      <c r="C622">
        <v>1</v>
      </c>
      <c r="D622">
        <v>1</v>
      </c>
      <c r="E622">
        <v>15</v>
      </c>
      <c r="F622" t="b">
        <v>0</v>
      </c>
      <c r="G622">
        <v>5</v>
      </c>
      <c r="H622">
        <v>2</v>
      </c>
      <c r="I622">
        <v>0.2</v>
      </c>
      <c r="J622">
        <v>10</v>
      </c>
      <c r="K622">
        <v>0.39389999999999997</v>
      </c>
      <c r="L622">
        <v>0.76</v>
      </c>
      <c r="M622">
        <v>0.25369999999999998</v>
      </c>
      <c r="N622">
        <v>12</v>
      </c>
      <c r="O622">
        <v>24</v>
      </c>
      <c r="P622">
        <v>36</v>
      </c>
      <c r="Q622" s="17" t="str">
        <f t="shared" si="29"/>
        <v>Weekends</v>
      </c>
      <c r="R622" s="17" t="str">
        <f t="shared" si="27"/>
        <v>Afternoon</v>
      </c>
      <c r="S622" s="9" t="str">
        <f t="shared" si="28"/>
        <v>Mist</v>
      </c>
    </row>
    <row r="623" spans="1:19" x14ac:dyDescent="0.25">
      <c r="A623">
        <v>12</v>
      </c>
      <c r="B623" s="19">
        <v>40571</v>
      </c>
      <c r="C623">
        <v>1</v>
      </c>
      <c r="D623">
        <v>1</v>
      </c>
      <c r="E623">
        <v>15</v>
      </c>
      <c r="F623" t="b">
        <v>0</v>
      </c>
      <c r="G623">
        <v>5</v>
      </c>
      <c r="H623">
        <v>2</v>
      </c>
      <c r="I623">
        <v>0.2</v>
      </c>
      <c r="J623">
        <v>11</v>
      </c>
      <c r="K623">
        <v>0.33329999999999999</v>
      </c>
      <c r="L623">
        <v>0.81</v>
      </c>
      <c r="M623">
        <v>0.28360000000000002</v>
      </c>
      <c r="N623">
        <v>26</v>
      </c>
      <c r="O623">
        <v>30</v>
      </c>
      <c r="P623">
        <v>56</v>
      </c>
      <c r="Q623" s="17" t="str">
        <f t="shared" si="29"/>
        <v>Weekends</v>
      </c>
      <c r="R623" s="17" t="str">
        <f t="shared" si="27"/>
        <v>Afternoon</v>
      </c>
      <c r="S623" s="9" t="str">
        <f t="shared" si="28"/>
        <v>Mist</v>
      </c>
    </row>
    <row r="624" spans="1:19" x14ac:dyDescent="0.25">
      <c r="A624">
        <v>13</v>
      </c>
      <c r="B624" s="19">
        <v>40571</v>
      </c>
      <c r="C624">
        <v>1</v>
      </c>
      <c r="D624">
        <v>1</v>
      </c>
      <c r="E624">
        <v>15</v>
      </c>
      <c r="F624" t="b">
        <v>0</v>
      </c>
      <c r="G624">
        <v>5</v>
      </c>
      <c r="H624">
        <v>2</v>
      </c>
      <c r="I624">
        <v>0.2</v>
      </c>
      <c r="J624">
        <v>12</v>
      </c>
      <c r="K624">
        <v>0.42420000000000002</v>
      </c>
      <c r="L624">
        <v>0.77</v>
      </c>
      <c r="M624">
        <v>0.28360000000000002</v>
      </c>
      <c r="N624">
        <v>29</v>
      </c>
      <c r="O624">
        <v>55</v>
      </c>
      <c r="P624">
        <v>84</v>
      </c>
      <c r="Q624" s="17" t="str">
        <f t="shared" si="29"/>
        <v>Weekends</v>
      </c>
      <c r="R624" s="17" t="str">
        <f t="shared" si="27"/>
        <v>Afternoon</v>
      </c>
      <c r="S624" s="9" t="str">
        <f t="shared" si="28"/>
        <v>Mist</v>
      </c>
    </row>
    <row r="625" spans="1:19" x14ac:dyDescent="0.25">
      <c r="A625">
        <v>14</v>
      </c>
      <c r="B625" s="19">
        <v>40571</v>
      </c>
      <c r="C625">
        <v>1</v>
      </c>
      <c r="D625">
        <v>1</v>
      </c>
      <c r="E625">
        <v>15</v>
      </c>
      <c r="F625" t="b">
        <v>0</v>
      </c>
      <c r="G625">
        <v>5</v>
      </c>
      <c r="H625">
        <v>2</v>
      </c>
      <c r="I625">
        <v>0.2</v>
      </c>
      <c r="J625">
        <v>13</v>
      </c>
      <c r="K625">
        <v>0.45450000000000002</v>
      </c>
      <c r="L625">
        <v>0.72</v>
      </c>
      <c r="M625">
        <v>0.29849999999999999</v>
      </c>
      <c r="N625">
        <v>47</v>
      </c>
      <c r="O625">
        <v>47</v>
      </c>
      <c r="P625">
        <v>94</v>
      </c>
      <c r="Q625" s="17" t="str">
        <f t="shared" si="29"/>
        <v>Weekends</v>
      </c>
      <c r="R625" s="17" t="str">
        <f t="shared" si="27"/>
        <v>Afternoon</v>
      </c>
      <c r="S625" s="9" t="str">
        <f t="shared" si="28"/>
        <v>Mist</v>
      </c>
    </row>
    <row r="626" spans="1:19" x14ac:dyDescent="0.25">
      <c r="A626">
        <v>15</v>
      </c>
      <c r="B626" s="19">
        <v>40571</v>
      </c>
      <c r="C626">
        <v>1</v>
      </c>
      <c r="D626">
        <v>1</v>
      </c>
      <c r="E626">
        <v>15</v>
      </c>
      <c r="F626" t="b">
        <v>0</v>
      </c>
      <c r="G626">
        <v>5</v>
      </c>
      <c r="H626">
        <v>2</v>
      </c>
      <c r="I626">
        <v>0.2</v>
      </c>
      <c r="J626">
        <v>14</v>
      </c>
      <c r="K626">
        <v>0.45450000000000002</v>
      </c>
      <c r="L626">
        <v>0.72</v>
      </c>
      <c r="M626">
        <v>0.28360000000000002</v>
      </c>
      <c r="N626">
        <v>35</v>
      </c>
      <c r="O626">
        <v>71</v>
      </c>
      <c r="P626">
        <v>106</v>
      </c>
      <c r="Q626" s="17" t="str">
        <f t="shared" si="29"/>
        <v>Weekends</v>
      </c>
      <c r="R626" s="17" t="str">
        <f t="shared" si="27"/>
        <v>Afternoon</v>
      </c>
      <c r="S626" s="9" t="str">
        <f t="shared" si="28"/>
        <v>Mist</v>
      </c>
    </row>
    <row r="627" spans="1:19" x14ac:dyDescent="0.25">
      <c r="A627">
        <v>16</v>
      </c>
      <c r="B627" s="19">
        <v>40571</v>
      </c>
      <c r="C627">
        <v>1</v>
      </c>
      <c r="D627">
        <v>1</v>
      </c>
      <c r="E627">
        <v>15</v>
      </c>
      <c r="F627" t="b">
        <v>0</v>
      </c>
      <c r="G627">
        <v>5</v>
      </c>
      <c r="H627">
        <v>2</v>
      </c>
      <c r="I627">
        <v>0.2</v>
      </c>
      <c r="J627">
        <v>15</v>
      </c>
      <c r="K627">
        <v>0.43940000000000001</v>
      </c>
      <c r="L627">
        <v>0.77</v>
      </c>
      <c r="M627">
        <v>0.29849999999999999</v>
      </c>
      <c r="N627">
        <v>40</v>
      </c>
      <c r="O627">
        <v>70</v>
      </c>
      <c r="P627">
        <v>110</v>
      </c>
      <c r="Q627" s="17" t="str">
        <f t="shared" si="29"/>
        <v>Weekends</v>
      </c>
      <c r="R627" s="17" t="str">
        <f t="shared" si="27"/>
        <v>Afternoon</v>
      </c>
      <c r="S627" s="9" t="str">
        <f t="shared" si="28"/>
        <v>Mist</v>
      </c>
    </row>
    <row r="628" spans="1:19" x14ac:dyDescent="0.25">
      <c r="A628">
        <v>17</v>
      </c>
      <c r="B628" s="19">
        <v>40571</v>
      </c>
      <c r="C628">
        <v>1</v>
      </c>
      <c r="D628">
        <v>1</v>
      </c>
      <c r="E628">
        <v>15</v>
      </c>
      <c r="F628" t="b">
        <v>0</v>
      </c>
      <c r="G628">
        <v>5</v>
      </c>
      <c r="H628">
        <v>2</v>
      </c>
      <c r="I628">
        <v>0.2</v>
      </c>
      <c r="J628">
        <v>16</v>
      </c>
      <c r="K628">
        <v>0.42420000000000002</v>
      </c>
      <c r="L628">
        <v>0.82</v>
      </c>
      <c r="M628">
        <v>0.29849999999999999</v>
      </c>
      <c r="N628">
        <v>41</v>
      </c>
      <c r="O628">
        <v>52</v>
      </c>
      <c r="P628">
        <v>93</v>
      </c>
      <c r="Q628" s="17" t="str">
        <f t="shared" si="29"/>
        <v>Weekends</v>
      </c>
      <c r="R628" s="17" t="str">
        <f t="shared" si="27"/>
        <v>Afternoon</v>
      </c>
      <c r="S628" s="9" t="str">
        <f t="shared" si="28"/>
        <v>Mist</v>
      </c>
    </row>
    <row r="629" spans="1:19" x14ac:dyDescent="0.25">
      <c r="A629">
        <v>18</v>
      </c>
      <c r="B629" s="19">
        <v>40571</v>
      </c>
      <c r="C629">
        <v>1</v>
      </c>
      <c r="D629">
        <v>1</v>
      </c>
      <c r="E629">
        <v>15</v>
      </c>
      <c r="F629" t="b">
        <v>0</v>
      </c>
      <c r="G629">
        <v>5</v>
      </c>
      <c r="H629">
        <v>2</v>
      </c>
      <c r="I629">
        <v>0.2</v>
      </c>
      <c r="J629">
        <v>17</v>
      </c>
      <c r="K629">
        <v>0</v>
      </c>
      <c r="L629">
        <v>0.82</v>
      </c>
      <c r="M629">
        <v>0.28360000000000002</v>
      </c>
      <c r="N629">
        <v>15</v>
      </c>
      <c r="O629">
        <v>52</v>
      </c>
      <c r="P629">
        <v>67</v>
      </c>
      <c r="Q629" s="17" t="str">
        <f t="shared" si="29"/>
        <v>Weekends</v>
      </c>
      <c r="R629" s="17" t="str">
        <f t="shared" si="27"/>
        <v>Afternoon</v>
      </c>
      <c r="S629" s="9" t="str">
        <f t="shared" si="28"/>
        <v>Mist</v>
      </c>
    </row>
    <row r="630" spans="1:19" x14ac:dyDescent="0.25">
      <c r="A630">
        <v>19</v>
      </c>
      <c r="B630" s="19">
        <v>40571</v>
      </c>
      <c r="C630">
        <v>1</v>
      </c>
      <c r="D630">
        <v>1</v>
      </c>
      <c r="E630">
        <v>15</v>
      </c>
      <c r="F630" t="b">
        <v>0</v>
      </c>
      <c r="G630">
        <v>5</v>
      </c>
      <c r="H630">
        <v>2</v>
      </c>
      <c r="I630">
        <v>0.2</v>
      </c>
      <c r="J630">
        <v>18</v>
      </c>
      <c r="K630">
        <v>0.42420000000000002</v>
      </c>
      <c r="L630">
        <v>0.88</v>
      </c>
      <c r="M630">
        <v>0.25369999999999998</v>
      </c>
      <c r="N630">
        <v>9</v>
      </c>
      <c r="O630">
        <v>26</v>
      </c>
      <c r="P630">
        <v>35</v>
      </c>
      <c r="Q630" s="17" t="str">
        <f t="shared" si="29"/>
        <v>Weekends</v>
      </c>
      <c r="R630" s="17" t="str">
        <f t="shared" si="27"/>
        <v>Afternoon</v>
      </c>
      <c r="S630" s="9" t="str">
        <f t="shared" si="28"/>
        <v>Mist</v>
      </c>
    </row>
    <row r="631" spans="1:19" x14ac:dyDescent="0.25">
      <c r="A631">
        <v>20</v>
      </c>
      <c r="B631" s="19">
        <v>40571</v>
      </c>
      <c r="C631">
        <v>1</v>
      </c>
      <c r="D631">
        <v>1</v>
      </c>
      <c r="E631">
        <v>15</v>
      </c>
      <c r="F631" t="b">
        <v>0</v>
      </c>
      <c r="G631">
        <v>5</v>
      </c>
      <c r="H631">
        <v>2</v>
      </c>
      <c r="I631">
        <v>0.2</v>
      </c>
      <c r="J631">
        <v>19</v>
      </c>
      <c r="K631">
        <v>0.42420000000000002</v>
      </c>
      <c r="L631">
        <v>0.88</v>
      </c>
      <c r="M631">
        <v>0.25369999999999998</v>
      </c>
      <c r="N631">
        <v>6</v>
      </c>
      <c r="O631">
        <v>31</v>
      </c>
      <c r="P631">
        <v>37</v>
      </c>
      <c r="Q631" s="17" t="str">
        <f t="shared" si="29"/>
        <v>Weekends</v>
      </c>
      <c r="R631" s="17" t="str">
        <f t="shared" si="27"/>
        <v>Afternoon</v>
      </c>
      <c r="S631" s="9" t="str">
        <f t="shared" si="28"/>
        <v>Mist</v>
      </c>
    </row>
    <row r="632" spans="1:19" x14ac:dyDescent="0.25">
      <c r="A632">
        <v>21</v>
      </c>
      <c r="B632" s="19">
        <v>40571</v>
      </c>
      <c r="C632">
        <v>1</v>
      </c>
      <c r="D632">
        <v>1</v>
      </c>
      <c r="E632">
        <v>15</v>
      </c>
      <c r="F632" t="b">
        <v>0</v>
      </c>
      <c r="G632">
        <v>5</v>
      </c>
      <c r="H632">
        <v>2</v>
      </c>
      <c r="I632">
        <v>0.2</v>
      </c>
      <c r="J632">
        <v>20</v>
      </c>
      <c r="K632">
        <v>0.40910000000000002</v>
      </c>
      <c r="L632">
        <v>0.87</v>
      </c>
      <c r="M632">
        <v>0.25369999999999998</v>
      </c>
      <c r="N632">
        <v>11</v>
      </c>
      <c r="O632">
        <v>25</v>
      </c>
      <c r="P632">
        <v>36</v>
      </c>
      <c r="Q632" s="17" t="str">
        <f t="shared" si="29"/>
        <v>Weekends</v>
      </c>
      <c r="R632" s="17" t="str">
        <f t="shared" si="27"/>
        <v>Afternoon</v>
      </c>
      <c r="S632" s="9" t="str">
        <f t="shared" si="28"/>
        <v>Mist</v>
      </c>
    </row>
    <row r="633" spans="1:19" x14ac:dyDescent="0.25">
      <c r="A633">
        <v>22</v>
      </c>
      <c r="B633" s="19">
        <v>40571</v>
      </c>
      <c r="C633">
        <v>1</v>
      </c>
      <c r="D633">
        <v>1</v>
      </c>
      <c r="E633">
        <v>15</v>
      </c>
      <c r="F633" t="b">
        <v>0</v>
      </c>
      <c r="G633">
        <v>5</v>
      </c>
      <c r="H633">
        <v>2</v>
      </c>
      <c r="I633">
        <v>0.2</v>
      </c>
      <c r="J633">
        <v>21</v>
      </c>
      <c r="K633">
        <v>0.40910000000000002</v>
      </c>
      <c r="L633">
        <v>0.87</v>
      </c>
      <c r="M633">
        <v>0.19400000000000001</v>
      </c>
      <c r="N633">
        <v>3</v>
      </c>
      <c r="O633">
        <v>31</v>
      </c>
      <c r="P633">
        <v>34</v>
      </c>
      <c r="Q633" s="17" t="str">
        <f t="shared" si="29"/>
        <v>Weekends</v>
      </c>
      <c r="R633" s="17" t="str">
        <f t="shared" si="27"/>
        <v>Afternoon</v>
      </c>
      <c r="S633" s="9" t="str">
        <f t="shared" si="28"/>
        <v>Mist</v>
      </c>
    </row>
    <row r="634" spans="1:19" x14ac:dyDescent="0.25">
      <c r="A634">
        <v>23</v>
      </c>
      <c r="B634" s="19">
        <v>40571</v>
      </c>
      <c r="C634">
        <v>1</v>
      </c>
      <c r="D634">
        <v>1</v>
      </c>
      <c r="E634">
        <v>15</v>
      </c>
      <c r="F634" t="b">
        <v>0</v>
      </c>
      <c r="G634">
        <v>5</v>
      </c>
      <c r="H634">
        <v>2</v>
      </c>
      <c r="I634">
        <v>0.2</v>
      </c>
      <c r="J634">
        <v>22</v>
      </c>
      <c r="K634">
        <v>0.40910000000000002</v>
      </c>
      <c r="L634">
        <v>0.94</v>
      </c>
      <c r="M634">
        <v>0.22389999999999999</v>
      </c>
      <c r="N634">
        <v>11</v>
      </c>
      <c r="O634">
        <v>17</v>
      </c>
      <c r="P634">
        <v>28</v>
      </c>
      <c r="Q634" s="17" t="str">
        <f t="shared" si="29"/>
        <v>Weekends</v>
      </c>
      <c r="R634" s="17" t="str">
        <f t="shared" si="27"/>
        <v>Afternoon</v>
      </c>
      <c r="S634" s="9" t="str">
        <f t="shared" si="28"/>
        <v>Mist</v>
      </c>
    </row>
    <row r="635" spans="1:19" x14ac:dyDescent="0.25">
      <c r="A635">
        <v>24</v>
      </c>
      <c r="B635" s="19">
        <v>40571</v>
      </c>
      <c r="C635">
        <v>1</v>
      </c>
      <c r="D635">
        <v>1</v>
      </c>
      <c r="E635">
        <v>15</v>
      </c>
      <c r="F635" t="b">
        <v>0</v>
      </c>
      <c r="G635">
        <v>5</v>
      </c>
      <c r="H635">
        <v>2</v>
      </c>
      <c r="I635">
        <v>0.2</v>
      </c>
      <c r="J635">
        <v>23</v>
      </c>
      <c r="K635">
        <v>0</v>
      </c>
      <c r="L635">
        <v>0.88</v>
      </c>
      <c r="M635">
        <v>0.29849999999999999</v>
      </c>
      <c r="N635">
        <v>15</v>
      </c>
      <c r="O635">
        <v>24</v>
      </c>
      <c r="P635">
        <v>39</v>
      </c>
      <c r="Q635" s="17" t="str">
        <f t="shared" si="29"/>
        <v>Weekends</v>
      </c>
      <c r="R635" s="17" t="str">
        <f t="shared" si="27"/>
        <v>Afternoon</v>
      </c>
      <c r="S635" s="9" t="str">
        <f t="shared" si="28"/>
        <v>Mist</v>
      </c>
    </row>
    <row r="636" spans="1:19" x14ac:dyDescent="0.25">
      <c r="A636">
        <v>25</v>
      </c>
      <c r="B636" s="19">
        <v>40571</v>
      </c>
      <c r="C636">
        <v>1</v>
      </c>
      <c r="D636">
        <v>1</v>
      </c>
      <c r="E636">
        <v>15</v>
      </c>
      <c r="F636" t="b">
        <v>0</v>
      </c>
      <c r="G636">
        <v>5</v>
      </c>
      <c r="H636">
        <v>2</v>
      </c>
      <c r="I636">
        <v>0.2</v>
      </c>
      <c r="J636">
        <v>24</v>
      </c>
      <c r="K636">
        <v>0.45450000000000002</v>
      </c>
      <c r="L636">
        <v>0.88</v>
      </c>
      <c r="M636">
        <v>0.29849999999999999</v>
      </c>
      <c r="N636">
        <v>4</v>
      </c>
      <c r="O636">
        <v>13</v>
      </c>
      <c r="P636">
        <v>17</v>
      </c>
      <c r="Q636" s="17" t="str">
        <f t="shared" si="29"/>
        <v>Weekends</v>
      </c>
      <c r="R636" s="17" t="str">
        <f t="shared" si="27"/>
        <v>Afternoon</v>
      </c>
      <c r="S636" s="9" t="str">
        <f t="shared" si="28"/>
        <v>Mist</v>
      </c>
    </row>
    <row r="637" spans="1:19" x14ac:dyDescent="0.25">
      <c r="A637">
        <v>26</v>
      </c>
      <c r="B637" s="19">
        <v>40571</v>
      </c>
      <c r="C637">
        <v>1</v>
      </c>
      <c r="D637">
        <v>1</v>
      </c>
      <c r="E637">
        <v>15</v>
      </c>
      <c r="F637" t="b">
        <v>0</v>
      </c>
      <c r="G637">
        <v>5</v>
      </c>
      <c r="H637">
        <v>2</v>
      </c>
      <c r="I637">
        <v>0.2</v>
      </c>
      <c r="J637">
        <v>25</v>
      </c>
      <c r="K637">
        <v>0.43940000000000001</v>
      </c>
      <c r="L637">
        <v>0.94</v>
      </c>
      <c r="M637">
        <v>0.25369999999999998</v>
      </c>
      <c r="N637">
        <v>1</v>
      </c>
      <c r="O637">
        <v>16</v>
      </c>
      <c r="P637">
        <v>17</v>
      </c>
      <c r="Q637" s="17" t="str">
        <f t="shared" si="29"/>
        <v>Weekends</v>
      </c>
      <c r="R637" s="17" t="str">
        <f t="shared" si="27"/>
        <v>Afternoon</v>
      </c>
      <c r="S637" s="9" t="str">
        <f t="shared" si="28"/>
        <v>Mist</v>
      </c>
    </row>
    <row r="638" spans="1:19" x14ac:dyDescent="0.25">
      <c r="A638">
        <v>27</v>
      </c>
      <c r="B638" s="19">
        <v>40571</v>
      </c>
      <c r="C638">
        <v>1</v>
      </c>
      <c r="D638">
        <v>1</v>
      </c>
      <c r="E638">
        <v>15</v>
      </c>
      <c r="F638" t="b">
        <v>0</v>
      </c>
      <c r="G638">
        <v>5</v>
      </c>
      <c r="H638">
        <v>2</v>
      </c>
      <c r="I638">
        <v>0.2</v>
      </c>
      <c r="J638">
        <v>26</v>
      </c>
      <c r="K638">
        <v>0.42420000000000002</v>
      </c>
      <c r="L638">
        <v>1</v>
      </c>
      <c r="M638">
        <v>0.28360000000000002</v>
      </c>
      <c r="N638">
        <v>1</v>
      </c>
      <c r="O638">
        <v>8</v>
      </c>
      <c r="P638">
        <v>9</v>
      </c>
      <c r="Q638" s="17" t="str">
        <f t="shared" si="29"/>
        <v>Weekends</v>
      </c>
      <c r="R638" s="17" t="str">
        <f t="shared" si="27"/>
        <v>Afternoon</v>
      </c>
      <c r="S638" s="9" t="str">
        <f t="shared" si="28"/>
        <v>Mist</v>
      </c>
    </row>
    <row r="639" spans="1:19" x14ac:dyDescent="0.25">
      <c r="A639">
        <v>28</v>
      </c>
      <c r="B639" s="19">
        <v>40571</v>
      </c>
      <c r="C639">
        <v>1</v>
      </c>
      <c r="D639">
        <v>1</v>
      </c>
      <c r="E639">
        <v>15</v>
      </c>
      <c r="F639" t="b">
        <v>0</v>
      </c>
      <c r="G639">
        <v>5</v>
      </c>
      <c r="H639">
        <v>2</v>
      </c>
      <c r="I639">
        <v>0.2</v>
      </c>
      <c r="J639">
        <v>27</v>
      </c>
      <c r="K639">
        <v>0.45450000000000002</v>
      </c>
      <c r="L639">
        <v>0.94</v>
      </c>
      <c r="M639">
        <v>0.19400000000000001</v>
      </c>
      <c r="N639">
        <v>2</v>
      </c>
      <c r="O639">
        <v>4</v>
      </c>
      <c r="P639">
        <v>6</v>
      </c>
      <c r="Q639" s="17" t="str">
        <f t="shared" si="29"/>
        <v>Weekends</v>
      </c>
      <c r="R639" s="17" t="str">
        <f t="shared" si="27"/>
        <v>Afternoon</v>
      </c>
      <c r="S639" s="9" t="str">
        <f t="shared" si="28"/>
        <v>Mist</v>
      </c>
    </row>
    <row r="640" spans="1:19" x14ac:dyDescent="0.25">
      <c r="A640">
        <v>29</v>
      </c>
      <c r="B640" s="19">
        <v>40571</v>
      </c>
      <c r="C640">
        <v>1</v>
      </c>
      <c r="D640">
        <v>1</v>
      </c>
      <c r="E640">
        <v>15</v>
      </c>
      <c r="F640" t="b">
        <v>0</v>
      </c>
      <c r="G640">
        <v>5</v>
      </c>
      <c r="H640">
        <v>2</v>
      </c>
      <c r="I640">
        <v>0.2</v>
      </c>
      <c r="J640">
        <v>28</v>
      </c>
      <c r="K640">
        <v>0</v>
      </c>
      <c r="L640">
        <v>0.94</v>
      </c>
      <c r="M640">
        <v>0.19400000000000001</v>
      </c>
      <c r="N640">
        <v>2</v>
      </c>
      <c r="O640">
        <v>1</v>
      </c>
      <c r="P640">
        <v>3</v>
      </c>
      <c r="Q640" s="17" t="str">
        <f t="shared" si="29"/>
        <v>Weekends</v>
      </c>
      <c r="R640" s="17" t="str">
        <f t="shared" si="27"/>
        <v>Afternoon</v>
      </c>
      <c r="S640" s="9" t="str">
        <f t="shared" si="28"/>
        <v>Mist</v>
      </c>
    </row>
    <row r="641" spans="1:19" x14ac:dyDescent="0.25">
      <c r="A641">
        <v>30</v>
      </c>
      <c r="B641" s="19">
        <v>40571</v>
      </c>
      <c r="C641">
        <v>1</v>
      </c>
      <c r="D641">
        <v>1</v>
      </c>
      <c r="E641">
        <v>15</v>
      </c>
      <c r="F641" t="b">
        <v>0</v>
      </c>
      <c r="G641">
        <v>5</v>
      </c>
      <c r="H641">
        <v>2</v>
      </c>
      <c r="I641">
        <v>0.2</v>
      </c>
      <c r="J641">
        <v>29</v>
      </c>
      <c r="K641">
        <v>0.42420000000000002</v>
      </c>
      <c r="L641">
        <v>0.77</v>
      </c>
      <c r="M641">
        <v>0.29849999999999999</v>
      </c>
      <c r="N641">
        <v>0</v>
      </c>
      <c r="O641">
        <v>2</v>
      </c>
      <c r="P641">
        <v>2</v>
      </c>
      <c r="Q641" s="17" t="str">
        <f t="shared" si="29"/>
        <v>Weekends</v>
      </c>
      <c r="R641" s="17" t="str">
        <f t="shared" si="27"/>
        <v>Afternoon</v>
      </c>
      <c r="S641" s="9" t="str">
        <f t="shared" si="28"/>
        <v>Mist</v>
      </c>
    </row>
    <row r="642" spans="1:19" x14ac:dyDescent="0.25">
      <c r="A642">
        <v>31</v>
      </c>
      <c r="B642" s="19">
        <v>40571</v>
      </c>
      <c r="C642">
        <v>1</v>
      </c>
      <c r="D642">
        <v>1</v>
      </c>
      <c r="E642">
        <v>15</v>
      </c>
      <c r="F642" t="b">
        <v>0</v>
      </c>
      <c r="G642">
        <v>5</v>
      </c>
      <c r="H642">
        <v>2</v>
      </c>
      <c r="I642">
        <v>0.2</v>
      </c>
      <c r="J642">
        <v>30</v>
      </c>
      <c r="K642">
        <v>0.40910000000000002</v>
      </c>
      <c r="L642">
        <v>0.76</v>
      </c>
      <c r="M642">
        <v>0.19400000000000001</v>
      </c>
      <c r="N642">
        <v>0</v>
      </c>
      <c r="O642">
        <v>1</v>
      </c>
      <c r="P642">
        <v>1</v>
      </c>
      <c r="Q642" s="17" t="str">
        <f t="shared" si="29"/>
        <v>Weekends</v>
      </c>
      <c r="R642" s="17" t="str">
        <f t="shared" ref="R642:R705" si="30">IF(E642&lt;12,"Morning",IF(E642&lt;16,"Afternoon",IF(E642&lt;21,"Evening","Night")))</f>
        <v>Afternoon</v>
      </c>
      <c r="S642" s="9" t="str">
        <f t="shared" ref="S642:S705" si="31">IF(H642=1,"Clear",IF(H642=2,"Mist",IF(H642=3,"Light Snow/Rain","Heavy Rain/Snow")))</f>
        <v>Mist</v>
      </c>
    </row>
    <row r="643" spans="1:19" x14ac:dyDescent="0.25">
      <c r="A643">
        <v>32</v>
      </c>
      <c r="B643" s="19">
        <v>40571</v>
      </c>
      <c r="C643">
        <v>1</v>
      </c>
      <c r="D643">
        <v>1</v>
      </c>
      <c r="E643">
        <v>15</v>
      </c>
      <c r="F643" t="b">
        <v>0</v>
      </c>
      <c r="G643">
        <v>5</v>
      </c>
      <c r="H643">
        <v>2</v>
      </c>
      <c r="I643">
        <v>0.2</v>
      </c>
      <c r="J643">
        <v>31</v>
      </c>
      <c r="K643">
        <v>0.40910000000000002</v>
      </c>
      <c r="L643">
        <v>0.71</v>
      </c>
      <c r="M643">
        <v>0.22389999999999999</v>
      </c>
      <c r="N643">
        <v>0</v>
      </c>
      <c r="O643">
        <v>8</v>
      </c>
      <c r="P643">
        <v>8</v>
      </c>
      <c r="Q643" s="17" t="str">
        <f t="shared" ref="Q643:Q706" si="32">IF(G643&gt;=5,"Weekends","Weekdays")</f>
        <v>Weekends</v>
      </c>
      <c r="R643" s="17" t="str">
        <f t="shared" si="30"/>
        <v>Afternoon</v>
      </c>
      <c r="S643" s="9" t="str">
        <f t="shared" si="31"/>
        <v>Mist</v>
      </c>
    </row>
    <row r="644" spans="1:19" x14ac:dyDescent="0.25">
      <c r="A644">
        <v>33</v>
      </c>
      <c r="B644" s="19">
        <v>40571</v>
      </c>
      <c r="C644">
        <v>1</v>
      </c>
      <c r="D644">
        <v>1</v>
      </c>
      <c r="E644">
        <v>15</v>
      </c>
      <c r="F644" t="b">
        <v>0</v>
      </c>
      <c r="G644">
        <v>5</v>
      </c>
      <c r="H644">
        <v>2</v>
      </c>
      <c r="I644">
        <v>0.2</v>
      </c>
      <c r="J644">
        <v>32</v>
      </c>
      <c r="K644">
        <v>0</v>
      </c>
      <c r="L644">
        <v>0.76</v>
      </c>
      <c r="M644">
        <v>0.22389999999999999</v>
      </c>
      <c r="N644">
        <v>1</v>
      </c>
      <c r="O644">
        <v>19</v>
      </c>
      <c r="P644">
        <v>20</v>
      </c>
      <c r="Q644" s="17" t="str">
        <f t="shared" si="32"/>
        <v>Weekends</v>
      </c>
      <c r="R644" s="17" t="str">
        <f t="shared" si="30"/>
        <v>Afternoon</v>
      </c>
      <c r="S644" s="9" t="str">
        <f t="shared" si="31"/>
        <v>Mist</v>
      </c>
    </row>
    <row r="645" spans="1:19" x14ac:dyDescent="0.25">
      <c r="A645">
        <v>34</v>
      </c>
      <c r="B645" s="19">
        <v>40571</v>
      </c>
      <c r="C645">
        <v>1</v>
      </c>
      <c r="D645">
        <v>1</v>
      </c>
      <c r="E645">
        <v>15</v>
      </c>
      <c r="F645" t="b">
        <v>0</v>
      </c>
      <c r="G645">
        <v>5</v>
      </c>
      <c r="H645">
        <v>2</v>
      </c>
      <c r="I645">
        <v>0.2</v>
      </c>
      <c r="J645">
        <v>33</v>
      </c>
      <c r="K645">
        <v>0.34849999999999998</v>
      </c>
      <c r="L645">
        <v>0.81</v>
      </c>
      <c r="M645">
        <v>0.22389999999999999</v>
      </c>
      <c r="N645">
        <v>7</v>
      </c>
      <c r="O645">
        <v>46</v>
      </c>
      <c r="P645">
        <v>53</v>
      </c>
      <c r="Q645" s="17" t="str">
        <f t="shared" si="32"/>
        <v>Weekends</v>
      </c>
      <c r="R645" s="17" t="str">
        <f t="shared" si="30"/>
        <v>Afternoon</v>
      </c>
      <c r="S645" s="9" t="str">
        <f t="shared" si="31"/>
        <v>Mist</v>
      </c>
    </row>
    <row r="646" spans="1:19" x14ac:dyDescent="0.25">
      <c r="A646">
        <v>35</v>
      </c>
      <c r="B646" s="19">
        <v>40571</v>
      </c>
      <c r="C646">
        <v>1</v>
      </c>
      <c r="D646">
        <v>1</v>
      </c>
      <c r="E646">
        <v>15</v>
      </c>
      <c r="F646" t="b">
        <v>0</v>
      </c>
      <c r="G646">
        <v>5</v>
      </c>
      <c r="H646">
        <v>2</v>
      </c>
      <c r="I646">
        <v>0.2</v>
      </c>
      <c r="J646">
        <v>34</v>
      </c>
      <c r="K646">
        <v>0.33329999999999999</v>
      </c>
      <c r="L646">
        <v>0.71</v>
      </c>
      <c r="M646">
        <v>0.25369999999999998</v>
      </c>
      <c r="N646">
        <v>16</v>
      </c>
      <c r="O646">
        <v>54</v>
      </c>
      <c r="P646">
        <v>70</v>
      </c>
      <c r="Q646" s="17" t="str">
        <f t="shared" si="32"/>
        <v>Weekends</v>
      </c>
      <c r="R646" s="17" t="str">
        <f t="shared" si="30"/>
        <v>Afternoon</v>
      </c>
      <c r="S646" s="9" t="str">
        <f t="shared" si="31"/>
        <v>Mist</v>
      </c>
    </row>
    <row r="647" spans="1:19" x14ac:dyDescent="0.25">
      <c r="A647">
        <v>36</v>
      </c>
      <c r="B647" s="19">
        <v>40571</v>
      </c>
      <c r="C647">
        <v>1</v>
      </c>
      <c r="D647">
        <v>1</v>
      </c>
      <c r="E647">
        <v>15</v>
      </c>
      <c r="F647" t="b">
        <v>0</v>
      </c>
      <c r="G647">
        <v>5</v>
      </c>
      <c r="H647">
        <v>2</v>
      </c>
      <c r="I647">
        <v>0.2</v>
      </c>
      <c r="J647">
        <v>35</v>
      </c>
      <c r="K647">
        <v>0.33329999999999999</v>
      </c>
      <c r="L647">
        <v>0.66</v>
      </c>
      <c r="M647">
        <v>0.29849999999999999</v>
      </c>
      <c r="N647">
        <v>20</v>
      </c>
      <c r="O647">
        <v>73</v>
      </c>
      <c r="P647">
        <v>93</v>
      </c>
      <c r="Q647" s="17" t="str">
        <f t="shared" si="32"/>
        <v>Weekends</v>
      </c>
      <c r="R647" s="17" t="str">
        <f t="shared" si="30"/>
        <v>Afternoon</v>
      </c>
      <c r="S647" s="9" t="str">
        <f t="shared" si="31"/>
        <v>Mist</v>
      </c>
    </row>
    <row r="648" spans="1:19" x14ac:dyDescent="0.25">
      <c r="A648">
        <v>37</v>
      </c>
      <c r="B648" s="19">
        <v>40571</v>
      </c>
      <c r="C648">
        <v>1</v>
      </c>
      <c r="D648">
        <v>1</v>
      </c>
      <c r="E648">
        <v>15</v>
      </c>
      <c r="F648" t="b">
        <v>0</v>
      </c>
      <c r="G648">
        <v>5</v>
      </c>
      <c r="H648">
        <v>2</v>
      </c>
      <c r="I648">
        <v>0.2</v>
      </c>
      <c r="J648">
        <v>36</v>
      </c>
      <c r="K648">
        <v>0.34849999999999998</v>
      </c>
      <c r="L648">
        <v>0.66</v>
      </c>
      <c r="M648">
        <v>0.1343</v>
      </c>
      <c r="N648">
        <v>11</v>
      </c>
      <c r="O648">
        <v>64</v>
      </c>
      <c r="P648">
        <v>75</v>
      </c>
      <c r="Q648" s="17" t="str">
        <f t="shared" si="32"/>
        <v>Weekends</v>
      </c>
      <c r="R648" s="17" t="str">
        <f t="shared" si="30"/>
        <v>Afternoon</v>
      </c>
      <c r="S648" s="9" t="str">
        <f t="shared" si="31"/>
        <v>Mist</v>
      </c>
    </row>
    <row r="649" spans="1:19" x14ac:dyDescent="0.25">
      <c r="A649">
        <v>38</v>
      </c>
      <c r="B649" s="19">
        <v>40571</v>
      </c>
      <c r="C649">
        <v>1</v>
      </c>
      <c r="D649">
        <v>1</v>
      </c>
      <c r="E649">
        <v>15</v>
      </c>
      <c r="F649" t="b">
        <v>0</v>
      </c>
      <c r="G649">
        <v>5</v>
      </c>
      <c r="H649">
        <v>2</v>
      </c>
      <c r="I649">
        <v>0.2</v>
      </c>
      <c r="J649">
        <v>37</v>
      </c>
      <c r="K649">
        <v>0</v>
      </c>
      <c r="L649">
        <v>0.76</v>
      </c>
      <c r="M649">
        <v>0.19400000000000001</v>
      </c>
      <c r="N649">
        <v>4</v>
      </c>
      <c r="O649">
        <v>55</v>
      </c>
      <c r="P649">
        <v>59</v>
      </c>
      <c r="Q649" s="17" t="str">
        <f t="shared" si="32"/>
        <v>Weekends</v>
      </c>
      <c r="R649" s="17" t="str">
        <f t="shared" si="30"/>
        <v>Afternoon</v>
      </c>
      <c r="S649" s="9" t="str">
        <f t="shared" si="31"/>
        <v>Mist</v>
      </c>
    </row>
    <row r="650" spans="1:19" x14ac:dyDescent="0.25">
      <c r="A650">
        <v>39</v>
      </c>
      <c r="B650" s="19">
        <v>40571</v>
      </c>
      <c r="C650">
        <v>1</v>
      </c>
      <c r="D650">
        <v>1</v>
      </c>
      <c r="E650">
        <v>15</v>
      </c>
      <c r="F650" t="b">
        <v>0</v>
      </c>
      <c r="G650">
        <v>5</v>
      </c>
      <c r="H650">
        <v>2</v>
      </c>
      <c r="I650">
        <v>0.2</v>
      </c>
      <c r="J650">
        <v>38</v>
      </c>
      <c r="K650">
        <v>0.33329999999999999</v>
      </c>
      <c r="L650">
        <v>0.81</v>
      </c>
      <c r="M650">
        <v>0.16420000000000001</v>
      </c>
      <c r="N650">
        <v>19</v>
      </c>
      <c r="O650">
        <v>55</v>
      </c>
      <c r="P650">
        <v>74</v>
      </c>
      <c r="Q650" s="17" t="str">
        <f t="shared" si="32"/>
        <v>Weekends</v>
      </c>
      <c r="R650" s="17" t="str">
        <f t="shared" si="30"/>
        <v>Afternoon</v>
      </c>
      <c r="S650" s="9" t="str">
        <f t="shared" si="31"/>
        <v>Mist</v>
      </c>
    </row>
    <row r="651" spans="1:19" x14ac:dyDescent="0.25">
      <c r="A651">
        <v>40</v>
      </c>
      <c r="B651" s="19">
        <v>40571</v>
      </c>
      <c r="C651">
        <v>1</v>
      </c>
      <c r="D651">
        <v>1</v>
      </c>
      <c r="E651">
        <v>15</v>
      </c>
      <c r="F651" t="b">
        <v>0</v>
      </c>
      <c r="G651">
        <v>5</v>
      </c>
      <c r="H651">
        <v>2</v>
      </c>
      <c r="I651">
        <v>0.2</v>
      </c>
      <c r="J651">
        <v>39</v>
      </c>
      <c r="K651">
        <v>0.33329999999999999</v>
      </c>
      <c r="L651">
        <v>0.71</v>
      </c>
      <c r="M651">
        <v>0.16420000000000001</v>
      </c>
      <c r="N651">
        <v>9</v>
      </c>
      <c r="O651">
        <v>67</v>
      </c>
      <c r="P651">
        <v>76</v>
      </c>
      <c r="Q651" s="17" t="str">
        <f t="shared" si="32"/>
        <v>Weekends</v>
      </c>
      <c r="R651" s="17" t="str">
        <f t="shared" si="30"/>
        <v>Afternoon</v>
      </c>
      <c r="S651" s="9" t="str">
        <f t="shared" si="31"/>
        <v>Mist</v>
      </c>
    </row>
    <row r="652" spans="1:19" x14ac:dyDescent="0.25">
      <c r="A652">
        <v>41</v>
      </c>
      <c r="B652" s="19">
        <v>40571</v>
      </c>
      <c r="C652">
        <v>1</v>
      </c>
      <c r="D652">
        <v>1</v>
      </c>
      <c r="E652">
        <v>15</v>
      </c>
      <c r="F652" t="b">
        <v>0</v>
      </c>
      <c r="G652">
        <v>5</v>
      </c>
      <c r="H652">
        <v>2</v>
      </c>
      <c r="I652">
        <v>0.2</v>
      </c>
      <c r="J652">
        <v>40</v>
      </c>
      <c r="K652">
        <v>0.33329999999999999</v>
      </c>
      <c r="L652">
        <v>0.56999999999999995</v>
      </c>
      <c r="M652">
        <v>0.19400000000000001</v>
      </c>
      <c r="N652">
        <v>7</v>
      </c>
      <c r="O652">
        <v>58</v>
      </c>
      <c r="P652">
        <v>65</v>
      </c>
      <c r="Q652" s="17" t="str">
        <f t="shared" si="32"/>
        <v>Weekends</v>
      </c>
      <c r="R652" s="17" t="str">
        <f t="shared" si="30"/>
        <v>Afternoon</v>
      </c>
      <c r="S652" s="9" t="str">
        <f t="shared" si="31"/>
        <v>Mist</v>
      </c>
    </row>
    <row r="653" spans="1:19" x14ac:dyDescent="0.25">
      <c r="A653">
        <v>42</v>
      </c>
      <c r="B653" s="19">
        <v>40571</v>
      </c>
      <c r="C653">
        <v>1</v>
      </c>
      <c r="D653">
        <v>1</v>
      </c>
      <c r="E653">
        <v>15</v>
      </c>
      <c r="F653" t="b">
        <v>0</v>
      </c>
      <c r="G653">
        <v>5</v>
      </c>
      <c r="H653">
        <v>2</v>
      </c>
      <c r="I653">
        <v>0.2</v>
      </c>
      <c r="J653">
        <v>41</v>
      </c>
      <c r="K653">
        <v>0.33329999999999999</v>
      </c>
      <c r="L653">
        <v>0.46</v>
      </c>
      <c r="M653">
        <v>0.32840000000000003</v>
      </c>
      <c r="N653">
        <v>10</v>
      </c>
      <c r="O653">
        <v>43</v>
      </c>
      <c r="P653">
        <v>53</v>
      </c>
      <c r="Q653" s="17" t="str">
        <f t="shared" si="32"/>
        <v>Weekends</v>
      </c>
      <c r="R653" s="17" t="str">
        <f t="shared" si="30"/>
        <v>Afternoon</v>
      </c>
      <c r="S653" s="9" t="str">
        <f t="shared" si="31"/>
        <v>Mist</v>
      </c>
    </row>
    <row r="654" spans="1:19" x14ac:dyDescent="0.25">
      <c r="A654">
        <v>43</v>
      </c>
      <c r="B654" s="19">
        <v>40571</v>
      </c>
      <c r="C654">
        <v>1</v>
      </c>
      <c r="D654">
        <v>1</v>
      </c>
      <c r="E654">
        <v>15</v>
      </c>
      <c r="F654" t="b">
        <v>0</v>
      </c>
      <c r="G654">
        <v>5</v>
      </c>
      <c r="H654">
        <v>2</v>
      </c>
      <c r="I654">
        <v>0.2</v>
      </c>
      <c r="J654">
        <v>42</v>
      </c>
      <c r="K654">
        <v>0.28789999999999999</v>
      </c>
      <c r="L654">
        <v>0.42</v>
      </c>
      <c r="M654">
        <v>0.44779999999999998</v>
      </c>
      <c r="N654">
        <v>1</v>
      </c>
      <c r="O654">
        <v>29</v>
      </c>
      <c r="P654">
        <v>30</v>
      </c>
      <c r="Q654" s="17" t="str">
        <f t="shared" si="32"/>
        <v>Weekends</v>
      </c>
      <c r="R654" s="17" t="str">
        <f t="shared" si="30"/>
        <v>Afternoon</v>
      </c>
      <c r="S654" s="9" t="str">
        <f t="shared" si="31"/>
        <v>Mist</v>
      </c>
    </row>
    <row r="655" spans="1:19" x14ac:dyDescent="0.25">
      <c r="A655">
        <v>44</v>
      </c>
      <c r="B655" s="19">
        <v>40571</v>
      </c>
      <c r="C655">
        <v>1</v>
      </c>
      <c r="D655">
        <v>1</v>
      </c>
      <c r="E655">
        <v>15</v>
      </c>
      <c r="F655" t="b">
        <v>0</v>
      </c>
      <c r="G655">
        <v>5</v>
      </c>
      <c r="H655">
        <v>2</v>
      </c>
      <c r="I655">
        <v>0.2</v>
      </c>
      <c r="J655">
        <v>43</v>
      </c>
      <c r="K655">
        <v>0</v>
      </c>
      <c r="L655">
        <v>0.39</v>
      </c>
      <c r="M655">
        <v>0.35820000000000002</v>
      </c>
      <c r="N655">
        <v>5</v>
      </c>
      <c r="O655">
        <v>17</v>
      </c>
      <c r="P655">
        <v>22</v>
      </c>
      <c r="Q655" s="17" t="str">
        <f t="shared" si="32"/>
        <v>Weekends</v>
      </c>
      <c r="R655" s="17" t="str">
        <f t="shared" si="30"/>
        <v>Afternoon</v>
      </c>
      <c r="S655" s="9" t="str">
        <f t="shared" si="31"/>
        <v>Mist</v>
      </c>
    </row>
    <row r="656" spans="1:19" x14ac:dyDescent="0.25">
      <c r="A656">
        <v>45</v>
      </c>
      <c r="B656" s="19">
        <v>40571</v>
      </c>
      <c r="C656">
        <v>1</v>
      </c>
      <c r="D656">
        <v>1</v>
      </c>
      <c r="E656">
        <v>15</v>
      </c>
      <c r="F656" t="b">
        <v>0</v>
      </c>
      <c r="G656">
        <v>5</v>
      </c>
      <c r="H656">
        <v>2</v>
      </c>
      <c r="I656">
        <v>0.2</v>
      </c>
      <c r="J656">
        <v>44</v>
      </c>
      <c r="K656">
        <v>0.2273</v>
      </c>
      <c r="L656">
        <v>0.44</v>
      </c>
      <c r="M656">
        <v>0.32840000000000003</v>
      </c>
      <c r="N656">
        <v>11</v>
      </c>
      <c r="O656">
        <v>20</v>
      </c>
      <c r="P656">
        <v>31</v>
      </c>
      <c r="Q656" s="17" t="str">
        <f t="shared" si="32"/>
        <v>Weekends</v>
      </c>
      <c r="R656" s="17" t="str">
        <f t="shared" si="30"/>
        <v>Afternoon</v>
      </c>
      <c r="S656" s="9" t="str">
        <f t="shared" si="31"/>
        <v>Mist</v>
      </c>
    </row>
    <row r="657" spans="1:19" x14ac:dyDescent="0.25">
      <c r="A657">
        <v>46</v>
      </c>
      <c r="B657" s="19">
        <v>40571</v>
      </c>
      <c r="C657">
        <v>1</v>
      </c>
      <c r="D657">
        <v>1</v>
      </c>
      <c r="E657">
        <v>15</v>
      </c>
      <c r="F657" t="b">
        <v>0</v>
      </c>
      <c r="G657">
        <v>5</v>
      </c>
      <c r="H657">
        <v>2</v>
      </c>
      <c r="I657">
        <v>0.2</v>
      </c>
      <c r="J657">
        <v>45</v>
      </c>
      <c r="K657">
        <v>0.21210000000000001</v>
      </c>
      <c r="L657">
        <v>0.44</v>
      </c>
      <c r="M657">
        <v>0.29849999999999999</v>
      </c>
      <c r="N657">
        <v>0</v>
      </c>
      <c r="O657">
        <v>9</v>
      </c>
      <c r="P657">
        <v>9</v>
      </c>
      <c r="Q657" s="17" t="str">
        <f t="shared" si="32"/>
        <v>Weekends</v>
      </c>
      <c r="R657" s="17" t="str">
        <f t="shared" si="30"/>
        <v>Afternoon</v>
      </c>
      <c r="S657" s="9" t="str">
        <f t="shared" si="31"/>
        <v>Mist</v>
      </c>
    </row>
    <row r="658" spans="1:19" x14ac:dyDescent="0.25">
      <c r="A658">
        <v>47</v>
      </c>
      <c r="B658" s="19">
        <v>40571</v>
      </c>
      <c r="C658">
        <v>1</v>
      </c>
      <c r="D658">
        <v>1</v>
      </c>
      <c r="E658">
        <v>15</v>
      </c>
      <c r="F658" t="b">
        <v>0</v>
      </c>
      <c r="G658">
        <v>5</v>
      </c>
      <c r="H658">
        <v>2</v>
      </c>
      <c r="I658">
        <v>0.2</v>
      </c>
      <c r="J658">
        <v>46</v>
      </c>
      <c r="K658">
        <v>0.2273</v>
      </c>
      <c r="L658">
        <v>0.47</v>
      </c>
      <c r="M658">
        <v>0.16420000000000001</v>
      </c>
      <c r="N658">
        <v>0</v>
      </c>
      <c r="O658">
        <v>8</v>
      </c>
      <c r="P658">
        <v>8</v>
      </c>
      <c r="Q658" s="17" t="str">
        <f t="shared" si="32"/>
        <v>Weekends</v>
      </c>
      <c r="R658" s="17" t="str">
        <f t="shared" si="30"/>
        <v>Afternoon</v>
      </c>
      <c r="S658" s="9" t="str">
        <f t="shared" si="31"/>
        <v>Mist</v>
      </c>
    </row>
    <row r="659" spans="1:19" x14ac:dyDescent="0.25">
      <c r="A659">
        <v>48</v>
      </c>
      <c r="B659" s="19">
        <v>40571</v>
      </c>
      <c r="C659">
        <v>1</v>
      </c>
      <c r="D659">
        <v>1</v>
      </c>
      <c r="E659">
        <v>15</v>
      </c>
      <c r="F659" t="b">
        <v>0</v>
      </c>
      <c r="G659">
        <v>5</v>
      </c>
      <c r="H659">
        <v>2</v>
      </c>
      <c r="I659">
        <v>0.2</v>
      </c>
      <c r="J659">
        <v>47</v>
      </c>
      <c r="K659">
        <v>0.19700000000000001</v>
      </c>
      <c r="L659">
        <v>0.44</v>
      </c>
      <c r="M659">
        <v>0.35820000000000002</v>
      </c>
      <c r="N659">
        <v>0</v>
      </c>
      <c r="O659">
        <v>5</v>
      </c>
      <c r="P659">
        <v>5</v>
      </c>
      <c r="Q659" s="17" t="str">
        <f t="shared" si="32"/>
        <v>Weekends</v>
      </c>
      <c r="R659" s="17" t="str">
        <f t="shared" si="30"/>
        <v>Afternoon</v>
      </c>
      <c r="S659" s="9" t="str">
        <f t="shared" si="31"/>
        <v>Mist</v>
      </c>
    </row>
    <row r="660" spans="1:19" x14ac:dyDescent="0.25">
      <c r="A660">
        <v>49</v>
      </c>
      <c r="B660" s="19">
        <v>40571</v>
      </c>
      <c r="C660">
        <v>1</v>
      </c>
      <c r="D660">
        <v>1</v>
      </c>
      <c r="E660">
        <v>15</v>
      </c>
      <c r="F660" t="b">
        <v>0</v>
      </c>
      <c r="G660">
        <v>5</v>
      </c>
      <c r="H660">
        <v>2</v>
      </c>
      <c r="I660">
        <v>0.2</v>
      </c>
      <c r="J660">
        <v>48</v>
      </c>
      <c r="K660">
        <v>0</v>
      </c>
      <c r="L660">
        <v>0.44</v>
      </c>
      <c r="M660">
        <v>0.41789999999999999</v>
      </c>
      <c r="N660">
        <v>0</v>
      </c>
      <c r="O660">
        <v>2</v>
      </c>
      <c r="P660">
        <v>2</v>
      </c>
      <c r="Q660" s="17" t="str">
        <f t="shared" si="32"/>
        <v>Weekends</v>
      </c>
      <c r="R660" s="17" t="str">
        <f t="shared" si="30"/>
        <v>Afternoon</v>
      </c>
      <c r="S660" s="9" t="str">
        <f t="shared" si="31"/>
        <v>Mist</v>
      </c>
    </row>
    <row r="661" spans="1:19" x14ac:dyDescent="0.25">
      <c r="A661">
        <v>50</v>
      </c>
      <c r="B661" s="19">
        <v>40571</v>
      </c>
      <c r="C661">
        <v>1</v>
      </c>
      <c r="D661">
        <v>1</v>
      </c>
      <c r="E661">
        <v>15</v>
      </c>
      <c r="F661" t="b">
        <v>0</v>
      </c>
      <c r="G661">
        <v>5</v>
      </c>
      <c r="H661">
        <v>2</v>
      </c>
      <c r="I661">
        <v>0.2</v>
      </c>
      <c r="J661">
        <v>49</v>
      </c>
      <c r="K661">
        <v>0.13639999999999999</v>
      </c>
      <c r="L661">
        <v>0.47</v>
      </c>
      <c r="M661">
        <v>0.3881</v>
      </c>
      <c r="N661">
        <v>0</v>
      </c>
      <c r="O661">
        <v>1</v>
      </c>
      <c r="P661">
        <v>1</v>
      </c>
      <c r="Q661" s="17" t="str">
        <f t="shared" si="32"/>
        <v>Weekends</v>
      </c>
      <c r="R661" s="17" t="str">
        <f t="shared" si="30"/>
        <v>Afternoon</v>
      </c>
      <c r="S661" s="9" t="str">
        <f t="shared" si="31"/>
        <v>Mist</v>
      </c>
    </row>
    <row r="662" spans="1:19" x14ac:dyDescent="0.25">
      <c r="A662">
        <v>51</v>
      </c>
      <c r="B662" s="19">
        <v>40571</v>
      </c>
      <c r="C662">
        <v>1</v>
      </c>
      <c r="D662">
        <v>1</v>
      </c>
      <c r="E662">
        <v>15</v>
      </c>
      <c r="F662" t="b">
        <v>0</v>
      </c>
      <c r="G662">
        <v>5</v>
      </c>
      <c r="H662">
        <v>2</v>
      </c>
      <c r="I662">
        <v>0.2</v>
      </c>
      <c r="J662">
        <v>50</v>
      </c>
      <c r="K662">
        <v>0.13639999999999999</v>
      </c>
      <c r="L662">
        <v>0.47</v>
      </c>
      <c r="M662">
        <v>0.28360000000000002</v>
      </c>
      <c r="N662">
        <v>0</v>
      </c>
      <c r="O662">
        <v>3</v>
      </c>
      <c r="P662">
        <v>3</v>
      </c>
      <c r="Q662" s="17" t="str">
        <f t="shared" si="32"/>
        <v>Weekends</v>
      </c>
      <c r="R662" s="17" t="str">
        <f t="shared" si="30"/>
        <v>Afternoon</v>
      </c>
      <c r="S662" s="9" t="str">
        <f t="shared" si="31"/>
        <v>Mist</v>
      </c>
    </row>
    <row r="663" spans="1:19" x14ac:dyDescent="0.25">
      <c r="A663">
        <v>52</v>
      </c>
      <c r="B663" s="19">
        <v>40571</v>
      </c>
      <c r="C663">
        <v>1</v>
      </c>
      <c r="D663">
        <v>1</v>
      </c>
      <c r="E663">
        <v>15</v>
      </c>
      <c r="F663" t="b">
        <v>0</v>
      </c>
      <c r="G663">
        <v>5</v>
      </c>
      <c r="H663">
        <v>2</v>
      </c>
      <c r="I663">
        <v>0.2</v>
      </c>
      <c r="J663">
        <v>51</v>
      </c>
      <c r="K663">
        <v>0.1061</v>
      </c>
      <c r="L663">
        <v>0.5</v>
      </c>
      <c r="M663">
        <v>0.3881</v>
      </c>
      <c r="N663">
        <v>0</v>
      </c>
      <c r="O663">
        <v>30</v>
      </c>
      <c r="P663">
        <v>30</v>
      </c>
      <c r="Q663" s="17" t="str">
        <f t="shared" si="32"/>
        <v>Weekends</v>
      </c>
      <c r="R663" s="17" t="str">
        <f t="shared" si="30"/>
        <v>Afternoon</v>
      </c>
      <c r="S663" s="9" t="str">
        <f t="shared" si="31"/>
        <v>Mist</v>
      </c>
    </row>
    <row r="664" spans="1:19" x14ac:dyDescent="0.25">
      <c r="A664">
        <v>53</v>
      </c>
      <c r="B664" s="19">
        <v>40571</v>
      </c>
      <c r="C664">
        <v>1</v>
      </c>
      <c r="D664">
        <v>1</v>
      </c>
      <c r="E664">
        <v>15</v>
      </c>
      <c r="F664" t="b">
        <v>0</v>
      </c>
      <c r="G664">
        <v>5</v>
      </c>
      <c r="H664">
        <v>2</v>
      </c>
      <c r="I664">
        <v>0.2</v>
      </c>
      <c r="J664">
        <v>52</v>
      </c>
      <c r="K664">
        <v>0.13639999999999999</v>
      </c>
      <c r="L664">
        <v>0.5</v>
      </c>
      <c r="M664">
        <v>0.19400000000000001</v>
      </c>
      <c r="N664">
        <v>1</v>
      </c>
      <c r="O664">
        <v>63</v>
      </c>
      <c r="P664">
        <v>64</v>
      </c>
      <c r="Q664" s="17" t="str">
        <f t="shared" si="32"/>
        <v>Weekends</v>
      </c>
      <c r="R664" s="17" t="str">
        <f t="shared" si="30"/>
        <v>Afternoon</v>
      </c>
      <c r="S664" s="9" t="str">
        <f t="shared" si="31"/>
        <v>Mist</v>
      </c>
    </row>
    <row r="665" spans="1:19" x14ac:dyDescent="0.25">
      <c r="A665">
        <v>54</v>
      </c>
      <c r="B665" s="19">
        <v>40571</v>
      </c>
      <c r="C665">
        <v>1</v>
      </c>
      <c r="D665">
        <v>1</v>
      </c>
      <c r="E665">
        <v>15</v>
      </c>
      <c r="F665" t="b">
        <v>0</v>
      </c>
      <c r="G665">
        <v>5</v>
      </c>
      <c r="H665">
        <v>2</v>
      </c>
      <c r="I665">
        <v>0.2</v>
      </c>
      <c r="J665">
        <v>53</v>
      </c>
      <c r="K665">
        <v>0.1212</v>
      </c>
      <c r="L665">
        <v>0.5</v>
      </c>
      <c r="M665">
        <v>0.28360000000000002</v>
      </c>
      <c r="N665">
        <v>1</v>
      </c>
      <c r="O665">
        <v>153</v>
      </c>
      <c r="P665">
        <v>154</v>
      </c>
      <c r="Q665" s="17" t="str">
        <f t="shared" si="32"/>
        <v>Weekends</v>
      </c>
      <c r="R665" s="17" t="str">
        <f t="shared" si="30"/>
        <v>Afternoon</v>
      </c>
      <c r="S665" s="9" t="str">
        <f t="shared" si="31"/>
        <v>Mist</v>
      </c>
    </row>
    <row r="666" spans="1:19" x14ac:dyDescent="0.25">
      <c r="A666">
        <v>55</v>
      </c>
      <c r="B666" s="19">
        <v>40571</v>
      </c>
      <c r="C666">
        <v>1</v>
      </c>
      <c r="D666">
        <v>1</v>
      </c>
      <c r="E666">
        <v>15</v>
      </c>
      <c r="F666" t="b">
        <v>0</v>
      </c>
      <c r="G666">
        <v>5</v>
      </c>
      <c r="H666">
        <v>2</v>
      </c>
      <c r="I666">
        <v>0.2</v>
      </c>
      <c r="J666">
        <v>54</v>
      </c>
      <c r="K666">
        <v>0.13639999999999999</v>
      </c>
      <c r="L666">
        <v>0.43</v>
      </c>
      <c r="M666">
        <v>0.3881</v>
      </c>
      <c r="N666">
        <v>7</v>
      </c>
      <c r="O666">
        <v>81</v>
      </c>
      <c r="P666">
        <v>88</v>
      </c>
      <c r="Q666" s="17" t="str">
        <f t="shared" si="32"/>
        <v>Weekends</v>
      </c>
      <c r="R666" s="17" t="str">
        <f t="shared" si="30"/>
        <v>Afternoon</v>
      </c>
      <c r="S666" s="9" t="str">
        <f t="shared" si="31"/>
        <v>Mist</v>
      </c>
    </row>
    <row r="667" spans="1:19" x14ac:dyDescent="0.25">
      <c r="A667">
        <v>56</v>
      </c>
      <c r="B667" s="19">
        <v>40571</v>
      </c>
      <c r="C667">
        <v>1</v>
      </c>
      <c r="D667">
        <v>1</v>
      </c>
      <c r="E667">
        <v>15</v>
      </c>
      <c r="F667" t="b">
        <v>0</v>
      </c>
      <c r="G667">
        <v>5</v>
      </c>
      <c r="H667">
        <v>2</v>
      </c>
      <c r="I667">
        <v>0.2</v>
      </c>
      <c r="J667">
        <v>55</v>
      </c>
      <c r="K667">
        <v>0.16669999999999999</v>
      </c>
      <c r="L667">
        <v>0.43</v>
      </c>
      <c r="M667">
        <v>0.25369999999999998</v>
      </c>
      <c r="N667">
        <v>11</v>
      </c>
      <c r="O667">
        <v>33</v>
      </c>
      <c r="P667">
        <v>44</v>
      </c>
      <c r="Q667" s="17" t="str">
        <f t="shared" si="32"/>
        <v>Weekends</v>
      </c>
      <c r="R667" s="17" t="str">
        <f t="shared" si="30"/>
        <v>Afternoon</v>
      </c>
      <c r="S667" s="9" t="str">
        <f t="shared" si="31"/>
        <v>Mist</v>
      </c>
    </row>
    <row r="668" spans="1:19" x14ac:dyDescent="0.25">
      <c r="A668">
        <v>57</v>
      </c>
      <c r="B668" s="19">
        <v>40571</v>
      </c>
      <c r="C668">
        <v>1</v>
      </c>
      <c r="D668">
        <v>1</v>
      </c>
      <c r="E668">
        <v>15</v>
      </c>
      <c r="F668" t="b">
        <v>0</v>
      </c>
      <c r="G668">
        <v>5</v>
      </c>
      <c r="H668">
        <v>2</v>
      </c>
      <c r="I668">
        <v>0.2</v>
      </c>
      <c r="J668">
        <v>56</v>
      </c>
      <c r="K668">
        <v>0.18179999999999999</v>
      </c>
      <c r="L668">
        <v>0.4</v>
      </c>
      <c r="M668">
        <v>0.32840000000000003</v>
      </c>
      <c r="N668">
        <v>10</v>
      </c>
      <c r="O668">
        <v>41</v>
      </c>
      <c r="P668">
        <v>51</v>
      </c>
      <c r="Q668" s="17" t="str">
        <f t="shared" si="32"/>
        <v>Weekends</v>
      </c>
      <c r="R668" s="17" t="str">
        <f t="shared" si="30"/>
        <v>Afternoon</v>
      </c>
      <c r="S668" s="9" t="str">
        <f t="shared" si="31"/>
        <v>Mist</v>
      </c>
    </row>
    <row r="669" spans="1:19" x14ac:dyDescent="0.25">
      <c r="A669">
        <v>58</v>
      </c>
      <c r="B669" s="19">
        <v>40571</v>
      </c>
      <c r="C669">
        <v>1</v>
      </c>
      <c r="D669">
        <v>1</v>
      </c>
      <c r="E669">
        <v>15</v>
      </c>
      <c r="F669" t="b">
        <v>0</v>
      </c>
      <c r="G669">
        <v>5</v>
      </c>
      <c r="H669">
        <v>2</v>
      </c>
      <c r="I669">
        <v>0.2</v>
      </c>
      <c r="J669">
        <v>57</v>
      </c>
      <c r="K669">
        <v>0.21210000000000001</v>
      </c>
      <c r="L669">
        <v>0.35</v>
      </c>
      <c r="M669">
        <v>0.29849999999999999</v>
      </c>
      <c r="N669">
        <v>13</v>
      </c>
      <c r="O669">
        <v>48</v>
      </c>
      <c r="P669">
        <v>61</v>
      </c>
      <c r="Q669" s="17" t="str">
        <f t="shared" si="32"/>
        <v>Weekends</v>
      </c>
      <c r="R669" s="17" t="str">
        <f t="shared" si="30"/>
        <v>Afternoon</v>
      </c>
      <c r="S669" s="9" t="str">
        <f t="shared" si="31"/>
        <v>Mist</v>
      </c>
    </row>
    <row r="670" spans="1:19" x14ac:dyDescent="0.25">
      <c r="A670">
        <v>59</v>
      </c>
      <c r="B670" s="19">
        <v>40571</v>
      </c>
      <c r="C670">
        <v>1</v>
      </c>
      <c r="D670">
        <v>1</v>
      </c>
      <c r="E670">
        <v>15</v>
      </c>
      <c r="F670" t="b">
        <v>0</v>
      </c>
      <c r="G670">
        <v>5</v>
      </c>
      <c r="H670">
        <v>2</v>
      </c>
      <c r="I670">
        <v>0.2</v>
      </c>
      <c r="J670">
        <v>58</v>
      </c>
      <c r="K670">
        <v>0</v>
      </c>
      <c r="L670">
        <v>0.35</v>
      </c>
      <c r="M670">
        <v>0.28360000000000002</v>
      </c>
      <c r="N670">
        <v>8</v>
      </c>
      <c r="O670">
        <v>53</v>
      </c>
      <c r="P670">
        <v>61</v>
      </c>
      <c r="Q670" s="17" t="str">
        <f t="shared" si="32"/>
        <v>Weekends</v>
      </c>
      <c r="R670" s="17" t="str">
        <f t="shared" si="30"/>
        <v>Afternoon</v>
      </c>
      <c r="S670" s="9" t="str">
        <f t="shared" si="31"/>
        <v>Mist</v>
      </c>
    </row>
    <row r="671" spans="1:19" x14ac:dyDescent="0.25">
      <c r="A671">
        <v>60</v>
      </c>
      <c r="B671" s="19">
        <v>40571</v>
      </c>
      <c r="C671">
        <v>1</v>
      </c>
      <c r="D671">
        <v>1</v>
      </c>
      <c r="E671">
        <v>15</v>
      </c>
      <c r="F671" t="b">
        <v>0</v>
      </c>
      <c r="G671">
        <v>5</v>
      </c>
      <c r="H671">
        <v>2</v>
      </c>
      <c r="I671">
        <v>0.2</v>
      </c>
      <c r="J671">
        <v>59</v>
      </c>
      <c r="K671">
        <v>0.2424</v>
      </c>
      <c r="L671">
        <v>0.3</v>
      </c>
      <c r="M671">
        <v>0.28360000000000002</v>
      </c>
      <c r="N671">
        <v>11</v>
      </c>
      <c r="O671">
        <v>66</v>
      </c>
      <c r="P671">
        <v>77</v>
      </c>
      <c r="Q671" s="17" t="str">
        <f t="shared" si="32"/>
        <v>Weekends</v>
      </c>
      <c r="R671" s="17" t="str">
        <f t="shared" si="30"/>
        <v>Afternoon</v>
      </c>
      <c r="S671" s="9" t="str">
        <f t="shared" si="31"/>
        <v>Mist</v>
      </c>
    </row>
    <row r="672" spans="1:19" x14ac:dyDescent="0.25">
      <c r="A672">
        <v>61</v>
      </c>
      <c r="B672" s="19">
        <v>40571</v>
      </c>
      <c r="C672">
        <v>1</v>
      </c>
      <c r="D672">
        <v>1</v>
      </c>
      <c r="E672">
        <v>15</v>
      </c>
      <c r="F672" t="b">
        <v>0</v>
      </c>
      <c r="G672">
        <v>5</v>
      </c>
      <c r="H672">
        <v>2</v>
      </c>
      <c r="I672">
        <v>0.2</v>
      </c>
      <c r="J672">
        <v>60</v>
      </c>
      <c r="K672">
        <v>0.2424</v>
      </c>
      <c r="L672">
        <v>0.3</v>
      </c>
      <c r="M672">
        <v>0.25369999999999998</v>
      </c>
      <c r="N672">
        <v>14</v>
      </c>
      <c r="O672">
        <v>58</v>
      </c>
      <c r="P672">
        <v>72</v>
      </c>
      <c r="Q672" s="17" t="str">
        <f t="shared" si="32"/>
        <v>Weekends</v>
      </c>
      <c r="R672" s="17" t="str">
        <f t="shared" si="30"/>
        <v>Afternoon</v>
      </c>
      <c r="S672" s="9" t="str">
        <f t="shared" si="31"/>
        <v>Mist</v>
      </c>
    </row>
    <row r="673" spans="1:19" x14ac:dyDescent="0.25">
      <c r="A673">
        <v>62</v>
      </c>
      <c r="B673" s="19">
        <v>40571</v>
      </c>
      <c r="C673">
        <v>1</v>
      </c>
      <c r="D673">
        <v>1</v>
      </c>
      <c r="E673">
        <v>15</v>
      </c>
      <c r="F673" t="b">
        <v>0</v>
      </c>
      <c r="G673">
        <v>5</v>
      </c>
      <c r="H673">
        <v>2</v>
      </c>
      <c r="I673">
        <v>0.2</v>
      </c>
      <c r="J673">
        <v>61</v>
      </c>
      <c r="K673">
        <v>0.2424</v>
      </c>
      <c r="L673">
        <v>0.3</v>
      </c>
      <c r="M673">
        <v>0.25369999999999998</v>
      </c>
      <c r="N673">
        <v>9</v>
      </c>
      <c r="O673">
        <v>67</v>
      </c>
      <c r="P673">
        <v>76</v>
      </c>
      <c r="Q673" s="17" t="str">
        <f t="shared" si="32"/>
        <v>Weekends</v>
      </c>
      <c r="R673" s="17" t="str">
        <f t="shared" si="30"/>
        <v>Afternoon</v>
      </c>
      <c r="S673" s="9" t="str">
        <f t="shared" si="31"/>
        <v>Mist</v>
      </c>
    </row>
    <row r="674" spans="1:19" x14ac:dyDescent="0.25">
      <c r="A674">
        <v>63</v>
      </c>
      <c r="B674" s="19">
        <v>40571</v>
      </c>
      <c r="C674">
        <v>1</v>
      </c>
      <c r="D674">
        <v>1</v>
      </c>
      <c r="E674">
        <v>15</v>
      </c>
      <c r="F674" t="b">
        <v>0</v>
      </c>
      <c r="G674">
        <v>5</v>
      </c>
      <c r="H674">
        <v>2</v>
      </c>
      <c r="I674">
        <v>0.2</v>
      </c>
      <c r="J674">
        <v>62</v>
      </c>
      <c r="K674">
        <v>0.2273</v>
      </c>
      <c r="L674">
        <v>0.3</v>
      </c>
      <c r="M674">
        <v>0.22389999999999999</v>
      </c>
      <c r="N674">
        <v>11</v>
      </c>
      <c r="O674">
        <v>146</v>
      </c>
      <c r="P674">
        <v>157</v>
      </c>
      <c r="Q674" s="17" t="str">
        <f t="shared" si="32"/>
        <v>Weekends</v>
      </c>
      <c r="R674" s="17" t="str">
        <f t="shared" si="30"/>
        <v>Afternoon</v>
      </c>
      <c r="S674" s="9" t="str">
        <f t="shared" si="31"/>
        <v>Mist</v>
      </c>
    </row>
    <row r="675" spans="1:19" x14ac:dyDescent="0.25">
      <c r="A675">
        <v>64</v>
      </c>
      <c r="B675" s="19">
        <v>40571</v>
      </c>
      <c r="C675">
        <v>1</v>
      </c>
      <c r="D675">
        <v>1</v>
      </c>
      <c r="E675">
        <v>15</v>
      </c>
      <c r="F675" t="b">
        <v>0</v>
      </c>
      <c r="G675">
        <v>5</v>
      </c>
      <c r="H675">
        <v>2</v>
      </c>
      <c r="I675">
        <v>0.2</v>
      </c>
      <c r="J675">
        <v>63</v>
      </c>
      <c r="K675">
        <v>0.2576</v>
      </c>
      <c r="L675">
        <v>0.32</v>
      </c>
      <c r="M675">
        <v>0.1045</v>
      </c>
      <c r="N675">
        <v>9</v>
      </c>
      <c r="O675">
        <v>148</v>
      </c>
      <c r="P675">
        <v>157</v>
      </c>
      <c r="Q675" s="17" t="str">
        <f t="shared" si="32"/>
        <v>Weekends</v>
      </c>
      <c r="R675" s="17" t="str">
        <f t="shared" si="30"/>
        <v>Afternoon</v>
      </c>
      <c r="S675" s="9" t="str">
        <f t="shared" si="31"/>
        <v>Mist</v>
      </c>
    </row>
    <row r="676" spans="1:19" x14ac:dyDescent="0.25">
      <c r="A676">
        <v>65</v>
      </c>
      <c r="B676" s="19">
        <v>40571</v>
      </c>
      <c r="C676">
        <v>1</v>
      </c>
      <c r="D676">
        <v>1</v>
      </c>
      <c r="E676">
        <v>15</v>
      </c>
      <c r="F676" t="b">
        <v>0</v>
      </c>
      <c r="G676">
        <v>5</v>
      </c>
      <c r="H676">
        <v>2</v>
      </c>
      <c r="I676">
        <v>0.2</v>
      </c>
      <c r="J676">
        <v>64</v>
      </c>
      <c r="K676">
        <v>0.2576</v>
      </c>
      <c r="L676">
        <v>0.47</v>
      </c>
      <c r="M676">
        <v>0</v>
      </c>
      <c r="N676">
        <v>8</v>
      </c>
      <c r="O676">
        <v>102</v>
      </c>
      <c r="P676">
        <v>110</v>
      </c>
      <c r="Q676" s="17" t="str">
        <f t="shared" si="32"/>
        <v>Weekends</v>
      </c>
      <c r="R676" s="17" t="str">
        <f t="shared" si="30"/>
        <v>Afternoon</v>
      </c>
      <c r="S676" s="9" t="str">
        <f t="shared" si="31"/>
        <v>Mist</v>
      </c>
    </row>
    <row r="677" spans="1:19" x14ac:dyDescent="0.25">
      <c r="A677">
        <v>66</v>
      </c>
      <c r="B677" s="19">
        <v>40571</v>
      </c>
      <c r="C677">
        <v>1</v>
      </c>
      <c r="D677">
        <v>1</v>
      </c>
      <c r="E677">
        <v>15</v>
      </c>
      <c r="F677" t="b">
        <v>0</v>
      </c>
      <c r="G677">
        <v>5</v>
      </c>
      <c r="H677">
        <v>2</v>
      </c>
      <c r="I677">
        <v>0.2</v>
      </c>
      <c r="J677">
        <v>65</v>
      </c>
      <c r="K677">
        <v>0</v>
      </c>
      <c r="L677">
        <v>0.47</v>
      </c>
      <c r="M677">
        <v>0.1045</v>
      </c>
      <c r="N677">
        <v>3</v>
      </c>
      <c r="O677">
        <v>49</v>
      </c>
      <c r="P677">
        <v>52</v>
      </c>
      <c r="Q677" s="17" t="str">
        <f t="shared" si="32"/>
        <v>Weekends</v>
      </c>
      <c r="R677" s="17" t="str">
        <f t="shared" si="30"/>
        <v>Afternoon</v>
      </c>
      <c r="S677" s="9" t="str">
        <f t="shared" si="31"/>
        <v>Mist</v>
      </c>
    </row>
    <row r="678" spans="1:19" x14ac:dyDescent="0.25">
      <c r="A678">
        <v>67</v>
      </c>
      <c r="B678" s="19">
        <v>40571</v>
      </c>
      <c r="C678">
        <v>1</v>
      </c>
      <c r="D678">
        <v>1</v>
      </c>
      <c r="E678">
        <v>15</v>
      </c>
      <c r="F678" t="b">
        <v>0</v>
      </c>
      <c r="G678">
        <v>5</v>
      </c>
      <c r="H678">
        <v>2</v>
      </c>
      <c r="I678">
        <v>0.2</v>
      </c>
      <c r="J678">
        <v>66</v>
      </c>
      <c r="K678">
        <v>0.19700000000000001</v>
      </c>
      <c r="L678">
        <v>0.64</v>
      </c>
      <c r="M678">
        <v>0.1343</v>
      </c>
      <c r="N678">
        <v>3</v>
      </c>
      <c r="O678">
        <v>49</v>
      </c>
      <c r="P678">
        <v>52</v>
      </c>
      <c r="Q678" s="17" t="str">
        <f t="shared" si="32"/>
        <v>Weekends</v>
      </c>
      <c r="R678" s="17" t="str">
        <f t="shared" si="30"/>
        <v>Afternoon</v>
      </c>
      <c r="S678" s="9" t="str">
        <f t="shared" si="31"/>
        <v>Mist</v>
      </c>
    </row>
    <row r="679" spans="1:19" x14ac:dyDescent="0.25">
      <c r="A679">
        <v>68</v>
      </c>
      <c r="B679" s="19">
        <v>40571</v>
      </c>
      <c r="C679">
        <v>1</v>
      </c>
      <c r="D679">
        <v>1</v>
      </c>
      <c r="E679">
        <v>15</v>
      </c>
      <c r="F679" t="b">
        <v>0</v>
      </c>
      <c r="G679">
        <v>5</v>
      </c>
      <c r="H679">
        <v>2</v>
      </c>
      <c r="I679">
        <v>0.2</v>
      </c>
      <c r="J679">
        <v>67</v>
      </c>
      <c r="K679">
        <v>0.1515</v>
      </c>
      <c r="L679">
        <v>0.69</v>
      </c>
      <c r="M679">
        <v>0.1343</v>
      </c>
      <c r="N679">
        <v>0</v>
      </c>
      <c r="O679">
        <v>20</v>
      </c>
      <c r="P679">
        <v>20</v>
      </c>
      <c r="Q679" s="17" t="str">
        <f t="shared" si="32"/>
        <v>Weekends</v>
      </c>
      <c r="R679" s="17" t="str">
        <f t="shared" si="30"/>
        <v>Afternoon</v>
      </c>
      <c r="S679" s="9" t="str">
        <f t="shared" si="31"/>
        <v>Mist</v>
      </c>
    </row>
    <row r="680" spans="1:19" x14ac:dyDescent="0.25">
      <c r="A680">
        <v>69</v>
      </c>
      <c r="B680" s="19">
        <v>40571</v>
      </c>
      <c r="C680">
        <v>1</v>
      </c>
      <c r="D680">
        <v>1</v>
      </c>
      <c r="E680">
        <v>15</v>
      </c>
      <c r="F680" t="b">
        <v>0</v>
      </c>
      <c r="G680">
        <v>5</v>
      </c>
      <c r="H680">
        <v>2</v>
      </c>
      <c r="I680">
        <v>0.2</v>
      </c>
      <c r="J680">
        <v>68</v>
      </c>
      <c r="K680">
        <v>0.21210000000000001</v>
      </c>
      <c r="L680">
        <v>0.55000000000000004</v>
      </c>
      <c r="M680">
        <v>0.1045</v>
      </c>
      <c r="N680">
        <v>1</v>
      </c>
      <c r="O680">
        <v>11</v>
      </c>
      <c r="P680">
        <v>12</v>
      </c>
      <c r="Q680" s="17" t="str">
        <f t="shared" si="32"/>
        <v>Weekends</v>
      </c>
      <c r="R680" s="17" t="str">
        <f t="shared" si="30"/>
        <v>Afternoon</v>
      </c>
      <c r="S680" s="9" t="str">
        <f t="shared" si="31"/>
        <v>Mist</v>
      </c>
    </row>
    <row r="681" spans="1:19" x14ac:dyDescent="0.25">
      <c r="A681">
        <v>70</v>
      </c>
      <c r="B681" s="19">
        <v>40571</v>
      </c>
      <c r="C681">
        <v>1</v>
      </c>
      <c r="D681">
        <v>1</v>
      </c>
      <c r="E681">
        <v>15</v>
      </c>
      <c r="F681" t="b">
        <v>0</v>
      </c>
      <c r="G681">
        <v>5</v>
      </c>
      <c r="H681">
        <v>2</v>
      </c>
      <c r="I681">
        <v>0.2</v>
      </c>
      <c r="J681">
        <v>69</v>
      </c>
      <c r="K681">
        <v>0</v>
      </c>
      <c r="L681">
        <v>0.55000000000000004</v>
      </c>
      <c r="M681">
        <v>0.1045</v>
      </c>
      <c r="N681">
        <v>0</v>
      </c>
      <c r="O681">
        <v>5</v>
      </c>
      <c r="P681">
        <v>5</v>
      </c>
      <c r="Q681" s="17" t="str">
        <f t="shared" si="32"/>
        <v>Weekends</v>
      </c>
      <c r="R681" s="17" t="str">
        <f t="shared" si="30"/>
        <v>Afternoon</v>
      </c>
      <c r="S681" s="9" t="str">
        <f t="shared" si="31"/>
        <v>Mist</v>
      </c>
    </row>
    <row r="682" spans="1:19" x14ac:dyDescent="0.25">
      <c r="A682">
        <v>71</v>
      </c>
      <c r="B682" s="19">
        <v>40571</v>
      </c>
      <c r="C682">
        <v>1</v>
      </c>
      <c r="D682">
        <v>1</v>
      </c>
      <c r="E682">
        <v>15</v>
      </c>
      <c r="F682" t="b">
        <v>0</v>
      </c>
      <c r="G682">
        <v>5</v>
      </c>
      <c r="H682">
        <v>2</v>
      </c>
      <c r="I682">
        <v>0.2</v>
      </c>
      <c r="J682">
        <v>70</v>
      </c>
      <c r="K682">
        <v>0.18179999999999999</v>
      </c>
      <c r="L682">
        <v>0.59</v>
      </c>
      <c r="M682">
        <v>0.1045</v>
      </c>
      <c r="N682">
        <v>0</v>
      </c>
      <c r="O682">
        <v>2</v>
      </c>
      <c r="P682">
        <v>2</v>
      </c>
      <c r="Q682" s="17" t="str">
        <f t="shared" si="32"/>
        <v>Weekends</v>
      </c>
      <c r="R682" s="17" t="str">
        <f t="shared" si="30"/>
        <v>Afternoon</v>
      </c>
      <c r="S682" s="9" t="str">
        <f t="shared" si="31"/>
        <v>Mist</v>
      </c>
    </row>
    <row r="683" spans="1:19" x14ac:dyDescent="0.25">
      <c r="A683">
        <v>72</v>
      </c>
      <c r="B683" s="19">
        <v>40571</v>
      </c>
      <c r="C683">
        <v>1</v>
      </c>
      <c r="D683">
        <v>1</v>
      </c>
      <c r="E683">
        <v>15</v>
      </c>
      <c r="F683" t="b">
        <v>0</v>
      </c>
      <c r="G683">
        <v>5</v>
      </c>
      <c r="H683">
        <v>2</v>
      </c>
      <c r="I683">
        <v>0.2</v>
      </c>
      <c r="J683">
        <v>71</v>
      </c>
      <c r="K683">
        <v>0.1515</v>
      </c>
      <c r="L683">
        <v>0.63</v>
      </c>
      <c r="M683">
        <v>0.1343</v>
      </c>
      <c r="N683">
        <v>0</v>
      </c>
      <c r="O683">
        <v>1</v>
      </c>
      <c r="P683">
        <v>1</v>
      </c>
      <c r="Q683" s="17" t="str">
        <f t="shared" si="32"/>
        <v>Weekends</v>
      </c>
      <c r="R683" s="17" t="str">
        <f t="shared" si="30"/>
        <v>Afternoon</v>
      </c>
      <c r="S683" s="9" t="str">
        <f t="shared" si="31"/>
        <v>Mist</v>
      </c>
    </row>
    <row r="684" spans="1:19" x14ac:dyDescent="0.25">
      <c r="A684">
        <v>73</v>
      </c>
      <c r="B684" s="19">
        <v>40571</v>
      </c>
      <c r="C684">
        <v>1</v>
      </c>
      <c r="D684">
        <v>1</v>
      </c>
      <c r="E684">
        <v>15</v>
      </c>
      <c r="F684" t="b">
        <v>0</v>
      </c>
      <c r="G684">
        <v>5</v>
      </c>
      <c r="H684">
        <v>2</v>
      </c>
      <c r="I684">
        <v>0.2</v>
      </c>
      <c r="J684">
        <v>72</v>
      </c>
      <c r="K684">
        <v>0.18179999999999999</v>
      </c>
      <c r="L684">
        <v>0.63</v>
      </c>
      <c r="M684">
        <v>8.9599999999999999E-2</v>
      </c>
      <c r="N684">
        <v>0</v>
      </c>
      <c r="O684">
        <v>2</v>
      </c>
      <c r="P684">
        <v>2</v>
      </c>
      <c r="Q684" s="17" t="str">
        <f t="shared" si="32"/>
        <v>Weekends</v>
      </c>
      <c r="R684" s="17" t="str">
        <f t="shared" si="30"/>
        <v>Afternoon</v>
      </c>
      <c r="S684" s="9" t="str">
        <f t="shared" si="31"/>
        <v>Mist</v>
      </c>
    </row>
    <row r="685" spans="1:19" x14ac:dyDescent="0.25">
      <c r="A685">
        <v>74</v>
      </c>
      <c r="B685" s="19">
        <v>40571</v>
      </c>
      <c r="C685">
        <v>1</v>
      </c>
      <c r="D685">
        <v>1</v>
      </c>
      <c r="E685">
        <v>15</v>
      </c>
      <c r="F685" t="b">
        <v>0</v>
      </c>
      <c r="G685">
        <v>5</v>
      </c>
      <c r="H685">
        <v>2</v>
      </c>
      <c r="I685">
        <v>0.2</v>
      </c>
      <c r="J685">
        <v>73</v>
      </c>
      <c r="K685">
        <v>0.1515</v>
      </c>
      <c r="L685">
        <v>0.68</v>
      </c>
      <c r="M685">
        <v>0.1045</v>
      </c>
      <c r="N685">
        <v>0</v>
      </c>
      <c r="O685">
        <v>4</v>
      </c>
      <c r="P685">
        <v>4</v>
      </c>
      <c r="Q685" s="17" t="str">
        <f t="shared" si="32"/>
        <v>Weekends</v>
      </c>
      <c r="R685" s="17" t="str">
        <f t="shared" si="30"/>
        <v>Afternoon</v>
      </c>
      <c r="S685" s="9" t="str">
        <f t="shared" si="31"/>
        <v>Mist</v>
      </c>
    </row>
    <row r="686" spans="1:19" x14ac:dyDescent="0.25">
      <c r="A686">
        <v>75</v>
      </c>
      <c r="B686" s="19">
        <v>40571</v>
      </c>
      <c r="C686">
        <v>1</v>
      </c>
      <c r="D686">
        <v>1</v>
      </c>
      <c r="E686">
        <v>15</v>
      </c>
      <c r="F686" t="b">
        <v>0</v>
      </c>
      <c r="G686">
        <v>5</v>
      </c>
      <c r="H686">
        <v>2</v>
      </c>
      <c r="I686">
        <v>0.2</v>
      </c>
      <c r="J686">
        <v>74</v>
      </c>
      <c r="K686">
        <v>0.1515</v>
      </c>
      <c r="L686">
        <v>0.74</v>
      </c>
      <c r="M686">
        <v>0.1045</v>
      </c>
      <c r="N686">
        <v>0</v>
      </c>
      <c r="O686">
        <v>36</v>
      </c>
      <c r="P686">
        <v>36</v>
      </c>
      <c r="Q686" s="17" t="str">
        <f t="shared" si="32"/>
        <v>Weekends</v>
      </c>
      <c r="R686" s="17" t="str">
        <f t="shared" si="30"/>
        <v>Afternoon</v>
      </c>
      <c r="S686" s="9" t="str">
        <f t="shared" si="31"/>
        <v>Mist</v>
      </c>
    </row>
    <row r="687" spans="1:19" x14ac:dyDescent="0.25">
      <c r="A687">
        <v>76</v>
      </c>
      <c r="B687" s="19">
        <v>40571</v>
      </c>
      <c r="C687">
        <v>1</v>
      </c>
      <c r="D687">
        <v>1</v>
      </c>
      <c r="E687">
        <v>15</v>
      </c>
      <c r="F687" t="b">
        <v>0</v>
      </c>
      <c r="G687">
        <v>5</v>
      </c>
      <c r="H687">
        <v>2</v>
      </c>
      <c r="I687">
        <v>0.2</v>
      </c>
      <c r="J687">
        <v>75</v>
      </c>
      <c r="K687">
        <v>0.1515</v>
      </c>
      <c r="L687">
        <v>0.74</v>
      </c>
      <c r="M687">
        <v>0.1343</v>
      </c>
      <c r="N687">
        <v>2</v>
      </c>
      <c r="O687">
        <v>92</v>
      </c>
      <c r="P687">
        <v>94</v>
      </c>
      <c r="Q687" s="17" t="str">
        <f t="shared" si="32"/>
        <v>Weekends</v>
      </c>
      <c r="R687" s="17" t="str">
        <f t="shared" si="30"/>
        <v>Afternoon</v>
      </c>
      <c r="S687" s="9" t="str">
        <f t="shared" si="31"/>
        <v>Mist</v>
      </c>
    </row>
    <row r="688" spans="1:19" x14ac:dyDescent="0.25">
      <c r="A688">
        <v>77</v>
      </c>
      <c r="B688" s="19">
        <v>40571</v>
      </c>
      <c r="C688">
        <v>1</v>
      </c>
      <c r="D688">
        <v>1</v>
      </c>
      <c r="E688">
        <v>15</v>
      </c>
      <c r="F688" t="b">
        <v>0</v>
      </c>
      <c r="G688">
        <v>5</v>
      </c>
      <c r="H688">
        <v>2</v>
      </c>
      <c r="I688">
        <v>0.2</v>
      </c>
      <c r="J688">
        <v>76</v>
      </c>
      <c r="K688">
        <v>0.1515</v>
      </c>
      <c r="L688">
        <v>0.69</v>
      </c>
      <c r="M688">
        <v>0.16420000000000001</v>
      </c>
      <c r="N688">
        <v>2</v>
      </c>
      <c r="O688">
        <v>177</v>
      </c>
      <c r="P688">
        <v>179</v>
      </c>
      <c r="Q688" s="17" t="str">
        <f t="shared" si="32"/>
        <v>Weekends</v>
      </c>
      <c r="R688" s="17" t="str">
        <f t="shared" si="30"/>
        <v>Afternoon</v>
      </c>
      <c r="S688" s="9" t="str">
        <f t="shared" si="31"/>
        <v>Mist</v>
      </c>
    </row>
    <row r="689" spans="1:19" x14ac:dyDescent="0.25">
      <c r="A689">
        <v>78</v>
      </c>
      <c r="B689" s="19">
        <v>40571</v>
      </c>
      <c r="C689">
        <v>1</v>
      </c>
      <c r="D689">
        <v>1</v>
      </c>
      <c r="E689">
        <v>15</v>
      </c>
      <c r="F689" t="b">
        <v>0</v>
      </c>
      <c r="G689">
        <v>5</v>
      </c>
      <c r="H689">
        <v>2</v>
      </c>
      <c r="I689">
        <v>0.2</v>
      </c>
      <c r="J689">
        <v>77</v>
      </c>
      <c r="K689">
        <v>0.1515</v>
      </c>
      <c r="L689">
        <v>0.64</v>
      </c>
      <c r="M689">
        <v>0.22389999999999999</v>
      </c>
      <c r="N689">
        <v>2</v>
      </c>
      <c r="O689">
        <v>98</v>
      </c>
      <c r="P689">
        <v>100</v>
      </c>
      <c r="Q689" s="17" t="str">
        <f t="shared" si="32"/>
        <v>Weekends</v>
      </c>
      <c r="R689" s="17" t="str">
        <f t="shared" si="30"/>
        <v>Afternoon</v>
      </c>
      <c r="S689" s="9" t="str">
        <f t="shared" si="31"/>
        <v>Mist</v>
      </c>
    </row>
    <row r="690" spans="1:19" x14ac:dyDescent="0.25">
      <c r="A690">
        <v>79</v>
      </c>
      <c r="B690" s="19">
        <v>40571</v>
      </c>
      <c r="C690">
        <v>1</v>
      </c>
      <c r="D690">
        <v>1</v>
      </c>
      <c r="E690">
        <v>15</v>
      </c>
      <c r="F690" t="b">
        <v>0</v>
      </c>
      <c r="G690">
        <v>5</v>
      </c>
      <c r="H690">
        <v>2</v>
      </c>
      <c r="I690">
        <v>0.2</v>
      </c>
      <c r="J690">
        <v>78</v>
      </c>
      <c r="K690">
        <v>0.13639999999999999</v>
      </c>
      <c r="L690">
        <v>0.69</v>
      </c>
      <c r="M690">
        <v>0.32840000000000003</v>
      </c>
      <c r="N690">
        <v>5</v>
      </c>
      <c r="O690">
        <v>37</v>
      </c>
      <c r="P690">
        <v>42</v>
      </c>
      <c r="Q690" s="17" t="str">
        <f t="shared" si="32"/>
        <v>Weekends</v>
      </c>
      <c r="R690" s="17" t="str">
        <f t="shared" si="30"/>
        <v>Afternoon</v>
      </c>
      <c r="S690" s="9" t="str">
        <f t="shared" si="31"/>
        <v>Mist</v>
      </c>
    </row>
    <row r="691" spans="1:19" x14ac:dyDescent="0.25">
      <c r="A691">
        <v>80</v>
      </c>
      <c r="B691" s="19">
        <v>40571</v>
      </c>
      <c r="C691">
        <v>1</v>
      </c>
      <c r="D691">
        <v>1</v>
      </c>
      <c r="E691">
        <v>15</v>
      </c>
      <c r="F691" t="b">
        <v>0</v>
      </c>
      <c r="G691">
        <v>5</v>
      </c>
      <c r="H691">
        <v>2</v>
      </c>
      <c r="I691">
        <v>0.2</v>
      </c>
      <c r="J691">
        <v>79</v>
      </c>
      <c r="K691">
        <v>0.21210000000000001</v>
      </c>
      <c r="L691">
        <v>0.51</v>
      </c>
      <c r="M691">
        <v>0.29849999999999999</v>
      </c>
      <c r="N691">
        <v>7</v>
      </c>
      <c r="O691">
        <v>50</v>
      </c>
      <c r="P691">
        <v>57</v>
      </c>
      <c r="Q691" s="17" t="str">
        <f t="shared" si="32"/>
        <v>Weekends</v>
      </c>
      <c r="R691" s="17" t="str">
        <f t="shared" si="30"/>
        <v>Afternoon</v>
      </c>
      <c r="S691" s="9" t="str">
        <f t="shared" si="31"/>
        <v>Mist</v>
      </c>
    </row>
    <row r="692" spans="1:19" x14ac:dyDescent="0.25">
      <c r="A692">
        <v>81</v>
      </c>
      <c r="B692" s="19">
        <v>40571</v>
      </c>
      <c r="C692">
        <v>1</v>
      </c>
      <c r="D692">
        <v>1</v>
      </c>
      <c r="E692">
        <v>15</v>
      </c>
      <c r="F692" t="b">
        <v>0</v>
      </c>
      <c r="G692">
        <v>5</v>
      </c>
      <c r="H692">
        <v>2</v>
      </c>
      <c r="I692">
        <v>0.2</v>
      </c>
      <c r="J692">
        <v>80</v>
      </c>
      <c r="K692">
        <v>0.2273</v>
      </c>
      <c r="L692">
        <v>0.51</v>
      </c>
      <c r="M692">
        <v>0.16420000000000001</v>
      </c>
      <c r="N692">
        <v>12</v>
      </c>
      <c r="O692">
        <v>66</v>
      </c>
      <c r="P692">
        <v>78</v>
      </c>
      <c r="Q692" s="17" t="str">
        <f t="shared" si="32"/>
        <v>Weekends</v>
      </c>
      <c r="R692" s="17" t="str">
        <f t="shared" si="30"/>
        <v>Afternoon</v>
      </c>
      <c r="S692" s="9" t="str">
        <f t="shared" si="31"/>
        <v>Mist</v>
      </c>
    </row>
    <row r="693" spans="1:19" x14ac:dyDescent="0.25">
      <c r="A693">
        <v>82</v>
      </c>
      <c r="B693" s="19">
        <v>40571</v>
      </c>
      <c r="C693">
        <v>1</v>
      </c>
      <c r="D693">
        <v>1</v>
      </c>
      <c r="E693">
        <v>15</v>
      </c>
      <c r="F693" t="b">
        <v>0</v>
      </c>
      <c r="G693">
        <v>5</v>
      </c>
      <c r="H693">
        <v>2</v>
      </c>
      <c r="I693">
        <v>0.2</v>
      </c>
      <c r="J693">
        <v>81</v>
      </c>
      <c r="K693">
        <v>0.2273</v>
      </c>
      <c r="L693">
        <v>0.56000000000000005</v>
      </c>
      <c r="M693">
        <v>0.19400000000000001</v>
      </c>
      <c r="N693">
        <v>18</v>
      </c>
      <c r="O693">
        <v>79</v>
      </c>
      <c r="P693">
        <v>97</v>
      </c>
      <c r="Q693" s="17" t="str">
        <f t="shared" si="32"/>
        <v>Weekends</v>
      </c>
      <c r="R693" s="17" t="str">
        <f t="shared" si="30"/>
        <v>Afternoon</v>
      </c>
      <c r="S693" s="9" t="str">
        <f t="shared" si="31"/>
        <v>Mist</v>
      </c>
    </row>
    <row r="694" spans="1:19" x14ac:dyDescent="0.25">
      <c r="A694">
        <v>83</v>
      </c>
      <c r="B694" s="19">
        <v>40571</v>
      </c>
      <c r="C694">
        <v>1</v>
      </c>
      <c r="D694">
        <v>1</v>
      </c>
      <c r="E694">
        <v>15</v>
      </c>
      <c r="F694" t="b">
        <v>0</v>
      </c>
      <c r="G694">
        <v>5</v>
      </c>
      <c r="H694">
        <v>2</v>
      </c>
      <c r="I694">
        <v>0.2</v>
      </c>
      <c r="J694">
        <v>82</v>
      </c>
      <c r="K694">
        <v>0.2576</v>
      </c>
      <c r="L694">
        <v>0.52</v>
      </c>
      <c r="M694">
        <v>0.22389999999999999</v>
      </c>
      <c r="N694">
        <v>9</v>
      </c>
      <c r="O694">
        <v>54</v>
      </c>
      <c r="P694">
        <v>63</v>
      </c>
      <c r="Q694" s="17" t="str">
        <f t="shared" si="32"/>
        <v>Weekends</v>
      </c>
      <c r="R694" s="17" t="str">
        <f t="shared" si="30"/>
        <v>Afternoon</v>
      </c>
      <c r="S694" s="9" t="str">
        <f t="shared" si="31"/>
        <v>Mist</v>
      </c>
    </row>
    <row r="695" spans="1:19" x14ac:dyDescent="0.25">
      <c r="A695">
        <v>84</v>
      </c>
      <c r="B695" s="19">
        <v>40571</v>
      </c>
      <c r="C695">
        <v>1</v>
      </c>
      <c r="D695">
        <v>1</v>
      </c>
      <c r="E695">
        <v>15</v>
      </c>
      <c r="F695" t="b">
        <v>0</v>
      </c>
      <c r="G695">
        <v>5</v>
      </c>
      <c r="H695">
        <v>2</v>
      </c>
      <c r="I695">
        <v>0.2</v>
      </c>
      <c r="J695">
        <v>83</v>
      </c>
      <c r="K695">
        <v>0.2727</v>
      </c>
      <c r="L695">
        <v>0.52</v>
      </c>
      <c r="M695">
        <v>0.25369999999999998</v>
      </c>
      <c r="N695">
        <v>17</v>
      </c>
      <c r="O695">
        <v>48</v>
      </c>
      <c r="P695">
        <v>65</v>
      </c>
      <c r="Q695" s="17" t="str">
        <f t="shared" si="32"/>
        <v>Weekends</v>
      </c>
      <c r="R695" s="17" t="str">
        <f t="shared" si="30"/>
        <v>Afternoon</v>
      </c>
      <c r="S695" s="9" t="str">
        <f t="shared" si="31"/>
        <v>Mist</v>
      </c>
    </row>
    <row r="696" spans="1:19" x14ac:dyDescent="0.25">
      <c r="A696">
        <v>85</v>
      </c>
      <c r="B696" s="19">
        <v>40571</v>
      </c>
      <c r="C696">
        <v>1</v>
      </c>
      <c r="D696">
        <v>1</v>
      </c>
      <c r="E696">
        <v>15</v>
      </c>
      <c r="F696" t="b">
        <v>0</v>
      </c>
      <c r="G696">
        <v>5</v>
      </c>
      <c r="H696">
        <v>2</v>
      </c>
      <c r="I696">
        <v>0.2</v>
      </c>
      <c r="J696">
        <v>84</v>
      </c>
      <c r="K696">
        <v>0.28789999999999999</v>
      </c>
      <c r="L696">
        <v>0.49</v>
      </c>
      <c r="M696">
        <v>0.25369999999999998</v>
      </c>
      <c r="N696">
        <v>15</v>
      </c>
      <c r="O696">
        <v>68</v>
      </c>
      <c r="P696">
        <v>83</v>
      </c>
      <c r="Q696" s="17" t="str">
        <f t="shared" si="32"/>
        <v>Weekends</v>
      </c>
      <c r="R696" s="17" t="str">
        <f t="shared" si="30"/>
        <v>Afternoon</v>
      </c>
      <c r="S696" s="9" t="str">
        <f t="shared" si="31"/>
        <v>Mist</v>
      </c>
    </row>
    <row r="697" spans="1:19" x14ac:dyDescent="0.25">
      <c r="A697">
        <v>86</v>
      </c>
      <c r="B697" s="19">
        <v>40571</v>
      </c>
      <c r="C697">
        <v>1</v>
      </c>
      <c r="D697">
        <v>1</v>
      </c>
      <c r="E697">
        <v>15</v>
      </c>
      <c r="F697" t="b">
        <v>0</v>
      </c>
      <c r="G697">
        <v>5</v>
      </c>
      <c r="H697">
        <v>2</v>
      </c>
      <c r="I697">
        <v>0.2</v>
      </c>
      <c r="J697">
        <v>85</v>
      </c>
      <c r="K697">
        <v>0.2727</v>
      </c>
      <c r="L697">
        <v>0.48</v>
      </c>
      <c r="M697">
        <v>0.22389999999999999</v>
      </c>
      <c r="N697">
        <v>10</v>
      </c>
      <c r="O697">
        <v>202</v>
      </c>
      <c r="P697">
        <v>212</v>
      </c>
      <c r="Q697" s="17" t="str">
        <f t="shared" si="32"/>
        <v>Weekends</v>
      </c>
      <c r="R697" s="17" t="str">
        <f t="shared" si="30"/>
        <v>Afternoon</v>
      </c>
      <c r="S697" s="9" t="str">
        <f t="shared" si="31"/>
        <v>Mist</v>
      </c>
    </row>
    <row r="698" spans="1:19" x14ac:dyDescent="0.25">
      <c r="A698">
        <v>87</v>
      </c>
      <c r="B698" s="19">
        <v>40571</v>
      </c>
      <c r="C698">
        <v>1</v>
      </c>
      <c r="D698">
        <v>1</v>
      </c>
      <c r="E698">
        <v>15</v>
      </c>
      <c r="F698" t="b">
        <v>0</v>
      </c>
      <c r="G698">
        <v>5</v>
      </c>
      <c r="H698">
        <v>2</v>
      </c>
      <c r="I698">
        <v>0.2</v>
      </c>
      <c r="J698">
        <v>86</v>
      </c>
      <c r="K698">
        <v>0.2576</v>
      </c>
      <c r="L698">
        <v>0.48</v>
      </c>
      <c r="M698">
        <v>0.19400000000000001</v>
      </c>
      <c r="N698">
        <v>3</v>
      </c>
      <c r="O698">
        <v>179</v>
      </c>
      <c r="P698">
        <v>182</v>
      </c>
      <c r="Q698" s="17" t="str">
        <f t="shared" si="32"/>
        <v>Weekends</v>
      </c>
      <c r="R698" s="17" t="str">
        <f t="shared" si="30"/>
        <v>Afternoon</v>
      </c>
      <c r="S698" s="9" t="str">
        <f t="shared" si="31"/>
        <v>Mist</v>
      </c>
    </row>
    <row r="699" spans="1:19" x14ac:dyDescent="0.25">
      <c r="A699">
        <v>88</v>
      </c>
      <c r="B699" s="19">
        <v>40571</v>
      </c>
      <c r="C699">
        <v>1</v>
      </c>
      <c r="D699">
        <v>1</v>
      </c>
      <c r="E699">
        <v>15</v>
      </c>
      <c r="F699" t="b">
        <v>0</v>
      </c>
      <c r="G699">
        <v>5</v>
      </c>
      <c r="H699">
        <v>2</v>
      </c>
      <c r="I699">
        <v>0.2</v>
      </c>
      <c r="J699">
        <v>87</v>
      </c>
      <c r="K699">
        <v>0.2576</v>
      </c>
      <c r="L699">
        <v>0.48</v>
      </c>
      <c r="M699">
        <v>0.1045</v>
      </c>
      <c r="N699">
        <v>2</v>
      </c>
      <c r="O699">
        <v>110</v>
      </c>
      <c r="P699">
        <v>112</v>
      </c>
      <c r="Q699" s="17" t="str">
        <f t="shared" si="32"/>
        <v>Weekends</v>
      </c>
      <c r="R699" s="17" t="str">
        <f t="shared" si="30"/>
        <v>Afternoon</v>
      </c>
      <c r="S699" s="9" t="str">
        <f t="shared" si="31"/>
        <v>Mist</v>
      </c>
    </row>
    <row r="700" spans="1:19" x14ac:dyDescent="0.25">
      <c r="A700">
        <v>89</v>
      </c>
      <c r="B700" s="19">
        <v>40571</v>
      </c>
      <c r="C700">
        <v>1</v>
      </c>
      <c r="D700">
        <v>1</v>
      </c>
      <c r="E700">
        <v>15</v>
      </c>
      <c r="F700" t="b">
        <v>0</v>
      </c>
      <c r="G700">
        <v>5</v>
      </c>
      <c r="H700">
        <v>2</v>
      </c>
      <c r="I700">
        <v>0.2</v>
      </c>
      <c r="J700">
        <v>88</v>
      </c>
      <c r="K700">
        <v>0.2576</v>
      </c>
      <c r="L700">
        <v>0.48</v>
      </c>
      <c r="M700">
        <v>0.1045</v>
      </c>
      <c r="N700">
        <v>1</v>
      </c>
      <c r="O700">
        <v>53</v>
      </c>
      <c r="P700">
        <v>54</v>
      </c>
      <c r="Q700" s="17" t="str">
        <f t="shared" si="32"/>
        <v>Weekends</v>
      </c>
      <c r="R700" s="17" t="str">
        <f t="shared" si="30"/>
        <v>Afternoon</v>
      </c>
      <c r="S700" s="9" t="str">
        <f t="shared" si="31"/>
        <v>Mist</v>
      </c>
    </row>
    <row r="701" spans="1:19" x14ac:dyDescent="0.25">
      <c r="A701">
        <v>90</v>
      </c>
      <c r="B701" s="19">
        <v>40571</v>
      </c>
      <c r="C701">
        <v>1</v>
      </c>
      <c r="D701">
        <v>1</v>
      </c>
      <c r="E701">
        <v>15</v>
      </c>
      <c r="F701" t="b">
        <v>0</v>
      </c>
      <c r="G701">
        <v>5</v>
      </c>
      <c r="H701">
        <v>2</v>
      </c>
      <c r="I701">
        <v>0.2</v>
      </c>
      <c r="J701">
        <v>89</v>
      </c>
      <c r="K701">
        <v>0.2727</v>
      </c>
      <c r="L701">
        <v>0.64</v>
      </c>
      <c r="M701">
        <v>0</v>
      </c>
      <c r="N701">
        <v>0</v>
      </c>
      <c r="O701">
        <v>48</v>
      </c>
      <c r="P701">
        <v>48</v>
      </c>
      <c r="Q701" s="17" t="str">
        <f t="shared" si="32"/>
        <v>Weekends</v>
      </c>
      <c r="R701" s="17" t="str">
        <f t="shared" si="30"/>
        <v>Afternoon</v>
      </c>
      <c r="S701" s="9" t="str">
        <f t="shared" si="31"/>
        <v>Mist</v>
      </c>
    </row>
    <row r="702" spans="1:19" x14ac:dyDescent="0.25">
      <c r="A702">
        <v>91</v>
      </c>
      <c r="B702" s="19">
        <v>40571</v>
      </c>
      <c r="C702">
        <v>1</v>
      </c>
      <c r="D702">
        <v>1</v>
      </c>
      <c r="E702">
        <v>15</v>
      </c>
      <c r="F702" t="b">
        <v>0</v>
      </c>
      <c r="G702">
        <v>5</v>
      </c>
      <c r="H702">
        <v>2</v>
      </c>
      <c r="I702">
        <v>0.2</v>
      </c>
      <c r="J702">
        <v>90</v>
      </c>
      <c r="K702">
        <v>0.2576</v>
      </c>
      <c r="L702">
        <v>0.64</v>
      </c>
      <c r="M702">
        <v>8.9599999999999999E-2</v>
      </c>
      <c r="N702">
        <v>1</v>
      </c>
      <c r="O702">
        <v>34</v>
      </c>
      <c r="P702">
        <v>35</v>
      </c>
      <c r="Q702" s="17" t="str">
        <f t="shared" si="32"/>
        <v>Weekends</v>
      </c>
      <c r="R702" s="17" t="str">
        <f t="shared" si="30"/>
        <v>Afternoon</v>
      </c>
      <c r="S702" s="9" t="str">
        <f t="shared" si="31"/>
        <v>Mist</v>
      </c>
    </row>
    <row r="703" spans="1:19" x14ac:dyDescent="0.25">
      <c r="A703">
        <v>92</v>
      </c>
      <c r="B703" s="19">
        <v>40571</v>
      </c>
      <c r="C703">
        <v>1</v>
      </c>
      <c r="D703">
        <v>1</v>
      </c>
      <c r="E703">
        <v>15</v>
      </c>
      <c r="F703" t="b">
        <v>0</v>
      </c>
      <c r="G703">
        <v>5</v>
      </c>
      <c r="H703">
        <v>2</v>
      </c>
      <c r="I703">
        <v>0.2</v>
      </c>
      <c r="J703">
        <v>91</v>
      </c>
      <c r="K703">
        <v>0.2273</v>
      </c>
      <c r="L703">
        <v>0.69</v>
      </c>
      <c r="M703">
        <v>8.9599999999999999E-2</v>
      </c>
      <c r="N703">
        <v>2</v>
      </c>
      <c r="O703">
        <v>9</v>
      </c>
      <c r="P703">
        <v>11</v>
      </c>
      <c r="Q703" s="17" t="str">
        <f t="shared" si="32"/>
        <v>Weekends</v>
      </c>
      <c r="R703" s="17" t="str">
        <f t="shared" si="30"/>
        <v>Afternoon</v>
      </c>
      <c r="S703" s="9" t="str">
        <f t="shared" si="31"/>
        <v>Mist</v>
      </c>
    </row>
    <row r="704" spans="1:19" x14ac:dyDescent="0.25">
      <c r="A704">
        <v>93</v>
      </c>
      <c r="B704" s="19">
        <v>40571</v>
      </c>
      <c r="C704">
        <v>1</v>
      </c>
      <c r="D704">
        <v>1</v>
      </c>
      <c r="E704">
        <v>15</v>
      </c>
      <c r="F704" t="b">
        <v>0</v>
      </c>
      <c r="G704">
        <v>5</v>
      </c>
      <c r="H704">
        <v>2</v>
      </c>
      <c r="I704">
        <v>0.2</v>
      </c>
      <c r="J704">
        <v>92</v>
      </c>
      <c r="K704">
        <v>0.2576</v>
      </c>
      <c r="L704">
        <v>0.64</v>
      </c>
      <c r="M704">
        <v>0</v>
      </c>
      <c r="N704">
        <v>0</v>
      </c>
      <c r="O704">
        <v>6</v>
      </c>
      <c r="P704">
        <v>6</v>
      </c>
      <c r="Q704" s="17" t="str">
        <f t="shared" si="32"/>
        <v>Weekends</v>
      </c>
      <c r="R704" s="17" t="str">
        <f t="shared" si="30"/>
        <v>Afternoon</v>
      </c>
      <c r="S704" s="9" t="str">
        <f t="shared" si="31"/>
        <v>Mist</v>
      </c>
    </row>
    <row r="705" spans="1:19" x14ac:dyDescent="0.25">
      <c r="A705">
        <v>94</v>
      </c>
      <c r="B705" s="19">
        <v>40571</v>
      </c>
      <c r="C705">
        <v>1</v>
      </c>
      <c r="D705">
        <v>1</v>
      </c>
      <c r="E705">
        <v>15</v>
      </c>
      <c r="F705" t="b">
        <v>0</v>
      </c>
      <c r="G705">
        <v>5</v>
      </c>
      <c r="H705">
        <v>2</v>
      </c>
      <c r="I705">
        <v>0.2</v>
      </c>
      <c r="J705">
        <v>93</v>
      </c>
      <c r="K705">
        <v>0.19700000000000001</v>
      </c>
      <c r="L705">
        <v>0.74</v>
      </c>
      <c r="M705">
        <v>8.9599999999999999E-2</v>
      </c>
      <c r="N705">
        <v>0</v>
      </c>
      <c r="O705">
        <v>6</v>
      </c>
      <c r="P705">
        <v>6</v>
      </c>
      <c r="Q705" s="17" t="str">
        <f t="shared" si="32"/>
        <v>Weekends</v>
      </c>
      <c r="R705" s="17" t="str">
        <f t="shared" si="30"/>
        <v>Afternoon</v>
      </c>
      <c r="S705" s="9" t="str">
        <f t="shared" si="31"/>
        <v>Mist</v>
      </c>
    </row>
    <row r="706" spans="1:19" x14ac:dyDescent="0.25">
      <c r="A706">
        <v>95</v>
      </c>
      <c r="B706" s="19">
        <v>40571</v>
      </c>
      <c r="C706">
        <v>1</v>
      </c>
      <c r="D706">
        <v>1</v>
      </c>
      <c r="E706">
        <v>15</v>
      </c>
      <c r="F706" t="b">
        <v>0</v>
      </c>
      <c r="G706">
        <v>5</v>
      </c>
      <c r="H706">
        <v>2</v>
      </c>
      <c r="I706">
        <v>0.2</v>
      </c>
      <c r="J706">
        <v>94</v>
      </c>
      <c r="K706">
        <v>0.19700000000000001</v>
      </c>
      <c r="L706">
        <v>0.74</v>
      </c>
      <c r="M706">
        <v>8.9599999999999999E-2</v>
      </c>
      <c r="N706">
        <v>0</v>
      </c>
      <c r="O706">
        <v>2</v>
      </c>
      <c r="P706">
        <v>2</v>
      </c>
      <c r="Q706" s="17" t="str">
        <f t="shared" si="32"/>
        <v>Weekends</v>
      </c>
      <c r="R706" s="17" t="str">
        <f t="shared" ref="R706:R769" si="33">IF(E706&lt;12,"Morning",IF(E706&lt;16,"Afternoon",IF(E706&lt;21,"Evening","Night")))</f>
        <v>Afternoon</v>
      </c>
      <c r="S706" s="9" t="str">
        <f t="shared" ref="S706:S769" si="34">IF(H706=1,"Clear",IF(H706=2,"Mist",IF(H706=3,"Light Snow/Rain","Heavy Rain/Snow")))</f>
        <v>Mist</v>
      </c>
    </row>
    <row r="707" spans="1:19" x14ac:dyDescent="0.25">
      <c r="A707">
        <v>96</v>
      </c>
      <c r="B707" s="19">
        <v>40571</v>
      </c>
      <c r="C707">
        <v>1</v>
      </c>
      <c r="D707">
        <v>1</v>
      </c>
      <c r="E707">
        <v>15</v>
      </c>
      <c r="F707" t="b">
        <v>0</v>
      </c>
      <c r="G707">
        <v>5</v>
      </c>
      <c r="H707">
        <v>2</v>
      </c>
      <c r="I707">
        <v>0.2</v>
      </c>
      <c r="J707">
        <v>95</v>
      </c>
      <c r="K707">
        <v>0.2273</v>
      </c>
      <c r="L707">
        <v>0.48</v>
      </c>
      <c r="M707">
        <v>0.22389999999999999</v>
      </c>
      <c r="N707">
        <v>0</v>
      </c>
      <c r="O707">
        <v>2</v>
      </c>
      <c r="P707">
        <v>2</v>
      </c>
      <c r="Q707" s="17" t="str">
        <f t="shared" ref="Q707:Q770" si="35">IF(G707&gt;=5,"Weekends","Weekdays")</f>
        <v>Weekends</v>
      </c>
      <c r="R707" s="17" t="str">
        <f t="shared" si="33"/>
        <v>Afternoon</v>
      </c>
      <c r="S707" s="9" t="str">
        <f t="shared" si="34"/>
        <v>Mist</v>
      </c>
    </row>
    <row r="708" spans="1:19" x14ac:dyDescent="0.25">
      <c r="A708">
        <v>97</v>
      </c>
      <c r="B708" s="19">
        <v>40571</v>
      </c>
      <c r="C708">
        <v>1</v>
      </c>
      <c r="D708">
        <v>1</v>
      </c>
      <c r="E708">
        <v>15</v>
      </c>
      <c r="F708" t="b">
        <v>0</v>
      </c>
      <c r="G708">
        <v>5</v>
      </c>
      <c r="H708">
        <v>2</v>
      </c>
      <c r="I708">
        <v>0.2</v>
      </c>
      <c r="J708">
        <v>96</v>
      </c>
      <c r="K708">
        <v>0.2273</v>
      </c>
      <c r="L708">
        <v>0.47</v>
      </c>
      <c r="M708">
        <v>0.16420000000000001</v>
      </c>
      <c r="N708">
        <v>0</v>
      </c>
      <c r="O708">
        <v>3</v>
      </c>
      <c r="P708">
        <v>3</v>
      </c>
      <c r="Q708" s="17" t="str">
        <f t="shared" si="35"/>
        <v>Weekends</v>
      </c>
      <c r="R708" s="17" t="str">
        <f t="shared" si="33"/>
        <v>Afternoon</v>
      </c>
      <c r="S708" s="9" t="str">
        <f t="shared" si="34"/>
        <v>Mist</v>
      </c>
    </row>
    <row r="709" spans="1:19" x14ac:dyDescent="0.25">
      <c r="A709">
        <v>98</v>
      </c>
      <c r="B709" s="19">
        <v>40571</v>
      </c>
      <c r="C709">
        <v>1</v>
      </c>
      <c r="D709">
        <v>1</v>
      </c>
      <c r="E709">
        <v>15</v>
      </c>
      <c r="F709" t="b">
        <v>0</v>
      </c>
      <c r="G709">
        <v>5</v>
      </c>
      <c r="H709">
        <v>2</v>
      </c>
      <c r="I709">
        <v>0.2</v>
      </c>
      <c r="J709">
        <v>97</v>
      </c>
      <c r="K709">
        <v>0.19700000000000001</v>
      </c>
      <c r="L709">
        <v>0.47</v>
      </c>
      <c r="M709">
        <v>0.22389999999999999</v>
      </c>
      <c r="N709">
        <v>0</v>
      </c>
      <c r="O709">
        <v>33</v>
      </c>
      <c r="P709">
        <v>33</v>
      </c>
      <c r="Q709" s="17" t="str">
        <f t="shared" si="35"/>
        <v>Weekends</v>
      </c>
      <c r="R709" s="17" t="str">
        <f t="shared" si="33"/>
        <v>Afternoon</v>
      </c>
      <c r="S709" s="9" t="str">
        <f t="shared" si="34"/>
        <v>Mist</v>
      </c>
    </row>
    <row r="710" spans="1:19" x14ac:dyDescent="0.25">
      <c r="A710">
        <v>99</v>
      </c>
      <c r="B710" s="19">
        <v>40571</v>
      </c>
      <c r="C710">
        <v>1</v>
      </c>
      <c r="D710">
        <v>1</v>
      </c>
      <c r="E710">
        <v>15</v>
      </c>
      <c r="F710" t="b">
        <v>0</v>
      </c>
      <c r="G710">
        <v>5</v>
      </c>
      <c r="H710">
        <v>2</v>
      </c>
      <c r="I710">
        <v>0.2</v>
      </c>
      <c r="J710">
        <v>98</v>
      </c>
      <c r="K710">
        <v>0.18179999999999999</v>
      </c>
      <c r="L710">
        <v>0.43</v>
      </c>
      <c r="M710">
        <v>0.19400000000000001</v>
      </c>
      <c r="N710">
        <v>1</v>
      </c>
      <c r="O710">
        <v>87</v>
      </c>
      <c r="P710">
        <v>88</v>
      </c>
      <c r="Q710" s="17" t="str">
        <f t="shared" si="35"/>
        <v>Weekends</v>
      </c>
      <c r="R710" s="17" t="str">
        <f t="shared" si="33"/>
        <v>Afternoon</v>
      </c>
      <c r="S710" s="9" t="str">
        <f t="shared" si="34"/>
        <v>Mist</v>
      </c>
    </row>
    <row r="711" spans="1:19" x14ac:dyDescent="0.25">
      <c r="A711">
        <v>100</v>
      </c>
      <c r="B711" s="19">
        <v>40571</v>
      </c>
      <c r="C711">
        <v>1</v>
      </c>
      <c r="D711">
        <v>1</v>
      </c>
      <c r="E711">
        <v>15</v>
      </c>
      <c r="F711" t="b">
        <v>0</v>
      </c>
      <c r="G711">
        <v>5</v>
      </c>
      <c r="H711">
        <v>2</v>
      </c>
      <c r="I711">
        <v>0.2</v>
      </c>
      <c r="J711">
        <v>99</v>
      </c>
      <c r="K711">
        <v>0.18179999999999999</v>
      </c>
      <c r="L711">
        <v>0.4</v>
      </c>
      <c r="M711">
        <v>0.29849999999999999</v>
      </c>
      <c r="N711">
        <v>3</v>
      </c>
      <c r="O711">
        <v>192</v>
      </c>
      <c r="P711">
        <v>195</v>
      </c>
      <c r="Q711" s="17" t="str">
        <f t="shared" si="35"/>
        <v>Weekends</v>
      </c>
      <c r="R711" s="17" t="str">
        <f t="shared" si="33"/>
        <v>Afternoon</v>
      </c>
      <c r="S711" s="9" t="str">
        <f t="shared" si="34"/>
        <v>Mist</v>
      </c>
    </row>
    <row r="712" spans="1:19" x14ac:dyDescent="0.25">
      <c r="A712">
        <v>101</v>
      </c>
      <c r="B712" s="19">
        <v>40571</v>
      </c>
      <c r="C712">
        <v>1</v>
      </c>
      <c r="D712">
        <v>1</v>
      </c>
      <c r="E712">
        <v>15</v>
      </c>
      <c r="F712" t="b">
        <v>0</v>
      </c>
      <c r="G712">
        <v>5</v>
      </c>
      <c r="H712">
        <v>2</v>
      </c>
      <c r="I712">
        <v>0.2</v>
      </c>
      <c r="J712">
        <v>100</v>
      </c>
      <c r="K712">
        <v>0.19700000000000001</v>
      </c>
      <c r="L712">
        <v>0.37</v>
      </c>
      <c r="M712">
        <v>0.32840000000000003</v>
      </c>
      <c r="N712">
        <v>6</v>
      </c>
      <c r="O712">
        <v>109</v>
      </c>
      <c r="P712">
        <v>115</v>
      </c>
      <c r="Q712" s="17" t="str">
        <f t="shared" si="35"/>
        <v>Weekends</v>
      </c>
      <c r="R712" s="17" t="str">
        <f t="shared" si="33"/>
        <v>Afternoon</v>
      </c>
      <c r="S712" s="9" t="str">
        <f t="shared" si="34"/>
        <v>Mist</v>
      </c>
    </row>
    <row r="713" spans="1:19" x14ac:dyDescent="0.25">
      <c r="A713">
        <v>102</v>
      </c>
      <c r="B713" s="19">
        <v>40571</v>
      </c>
      <c r="C713">
        <v>1</v>
      </c>
      <c r="D713">
        <v>1</v>
      </c>
      <c r="E713">
        <v>15</v>
      </c>
      <c r="F713" t="b">
        <v>0</v>
      </c>
      <c r="G713">
        <v>5</v>
      </c>
      <c r="H713">
        <v>2</v>
      </c>
      <c r="I713">
        <v>0.2</v>
      </c>
      <c r="J713">
        <v>101</v>
      </c>
      <c r="K713">
        <v>0.19700000000000001</v>
      </c>
      <c r="L713">
        <v>0.37</v>
      </c>
      <c r="M713">
        <v>0.32840000000000003</v>
      </c>
      <c r="N713">
        <v>4</v>
      </c>
      <c r="O713">
        <v>53</v>
      </c>
      <c r="P713">
        <v>57</v>
      </c>
      <c r="Q713" s="17" t="str">
        <f t="shared" si="35"/>
        <v>Weekends</v>
      </c>
      <c r="R713" s="17" t="str">
        <f t="shared" si="33"/>
        <v>Afternoon</v>
      </c>
      <c r="S713" s="9" t="str">
        <f t="shared" si="34"/>
        <v>Mist</v>
      </c>
    </row>
    <row r="714" spans="1:19" x14ac:dyDescent="0.25">
      <c r="A714">
        <v>103</v>
      </c>
      <c r="B714" s="19">
        <v>40571</v>
      </c>
      <c r="C714">
        <v>1</v>
      </c>
      <c r="D714">
        <v>1</v>
      </c>
      <c r="E714">
        <v>15</v>
      </c>
      <c r="F714" t="b">
        <v>0</v>
      </c>
      <c r="G714">
        <v>5</v>
      </c>
      <c r="H714">
        <v>2</v>
      </c>
      <c r="I714">
        <v>0.2</v>
      </c>
      <c r="J714">
        <v>102</v>
      </c>
      <c r="K714">
        <v>0.2273</v>
      </c>
      <c r="L714">
        <v>0.33</v>
      </c>
      <c r="M714">
        <v>0.32840000000000003</v>
      </c>
      <c r="N714">
        <v>12</v>
      </c>
      <c r="O714">
        <v>34</v>
      </c>
      <c r="P714">
        <v>46</v>
      </c>
      <c r="Q714" s="17" t="str">
        <f t="shared" si="35"/>
        <v>Weekends</v>
      </c>
      <c r="R714" s="17" t="str">
        <f t="shared" si="33"/>
        <v>Afternoon</v>
      </c>
      <c r="S714" s="9" t="str">
        <f t="shared" si="34"/>
        <v>Mist</v>
      </c>
    </row>
    <row r="715" spans="1:19" x14ac:dyDescent="0.25">
      <c r="A715">
        <v>104</v>
      </c>
      <c r="B715" s="19">
        <v>40571</v>
      </c>
      <c r="C715">
        <v>1</v>
      </c>
      <c r="D715">
        <v>1</v>
      </c>
      <c r="E715">
        <v>15</v>
      </c>
      <c r="F715" t="b">
        <v>0</v>
      </c>
      <c r="G715">
        <v>5</v>
      </c>
      <c r="H715">
        <v>2</v>
      </c>
      <c r="I715">
        <v>0.2</v>
      </c>
      <c r="J715">
        <v>103</v>
      </c>
      <c r="K715">
        <v>0.2273</v>
      </c>
      <c r="L715">
        <v>0.33</v>
      </c>
      <c r="M715">
        <v>0.32840000000000003</v>
      </c>
      <c r="N715">
        <v>5</v>
      </c>
      <c r="O715">
        <v>74</v>
      </c>
      <c r="P715">
        <v>79</v>
      </c>
      <c r="Q715" s="17" t="str">
        <f t="shared" si="35"/>
        <v>Weekends</v>
      </c>
      <c r="R715" s="17" t="str">
        <f t="shared" si="33"/>
        <v>Afternoon</v>
      </c>
      <c r="S715" s="9" t="str">
        <f t="shared" si="34"/>
        <v>Mist</v>
      </c>
    </row>
    <row r="716" spans="1:19" x14ac:dyDescent="0.25">
      <c r="A716">
        <v>105</v>
      </c>
      <c r="B716" s="19">
        <v>40571</v>
      </c>
      <c r="C716">
        <v>1</v>
      </c>
      <c r="D716">
        <v>1</v>
      </c>
      <c r="E716">
        <v>15</v>
      </c>
      <c r="F716" t="b">
        <v>0</v>
      </c>
      <c r="G716">
        <v>5</v>
      </c>
      <c r="H716">
        <v>2</v>
      </c>
      <c r="I716">
        <v>0.2</v>
      </c>
      <c r="J716">
        <v>104</v>
      </c>
      <c r="K716">
        <v>0.2576</v>
      </c>
      <c r="L716">
        <v>0.3</v>
      </c>
      <c r="M716">
        <v>0.29849999999999999</v>
      </c>
      <c r="N716">
        <v>6</v>
      </c>
      <c r="O716">
        <v>65</v>
      </c>
      <c r="P716">
        <v>71</v>
      </c>
      <c r="Q716" s="17" t="str">
        <f t="shared" si="35"/>
        <v>Weekends</v>
      </c>
      <c r="R716" s="17" t="str">
        <f t="shared" si="33"/>
        <v>Afternoon</v>
      </c>
      <c r="S716" s="9" t="str">
        <f t="shared" si="34"/>
        <v>Mist</v>
      </c>
    </row>
    <row r="717" spans="1:19" x14ac:dyDescent="0.25">
      <c r="A717">
        <v>106</v>
      </c>
      <c r="B717" s="19">
        <v>40571</v>
      </c>
      <c r="C717">
        <v>1</v>
      </c>
      <c r="D717">
        <v>1</v>
      </c>
      <c r="E717">
        <v>15</v>
      </c>
      <c r="F717" t="b">
        <v>0</v>
      </c>
      <c r="G717">
        <v>5</v>
      </c>
      <c r="H717">
        <v>2</v>
      </c>
      <c r="I717">
        <v>0.2</v>
      </c>
      <c r="J717">
        <v>105</v>
      </c>
      <c r="K717">
        <v>0.28789999999999999</v>
      </c>
      <c r="L717">
        <v>0.28000000000000003</v>
      </c>
      <c r="M717">
        <v>0.19400000000000001</v>
      </c>
      <c r="N717">
        <v>10</v>
      </c>
      <c r="O717">
        <v>52</v>
      </c>
      <c r="P717">
        <v>62</v>
      </c>
      <c r="Q717" s="17" t="str">
        <f t="shared" si="35"/>
        <v>Weekends</v>
      </c>
      <c r="R717" s="17" t="str">
        <f t="shared" si="33"/>
        <v>Afternoon</v>
      </c>
      <c r="S717" s="9" t="str">
        <f t="shared" si="34"/>
        <v>Mist</v>
      </c>
    </row>
    <row r="718" spans="1:19" x14ac:dyDescent="0.25">
      <c r="A718">
        <v>107</v>
      </c>
      <c r="B718" s="19">
        <v>40571</v>
      </c>
      <c r="C718">
        <v>1</v>
      </c>
      <c r="D718">
        <v>1</v>
      </c>
      <c r="E718">
        <v>15</v>
      </c>
      <c r="F718" t="b">
        <v>0</v>
      </c>
      <c r="G718">
        <v>5</v>
      </c>
      <c r="H718">
        <v>2</v>
      </c>
      <c r="I718">
        <v>0.2</v>
      </c>
      <c r="J718">
        <v>106</v>
      </c>
      <c r="K718">
        <v>0.28789999999999999</v>
      </c>
      <c r="L718">
        <v>0.28000000000000003</v>
      </c>
      <c r="M718">
        <v>0.19400000000000001</v>
      </c>
      <c r="N718">
        <v>7</v>
      </c>
      <c r="O718">
        <v>55</v>
      </c>
      <c r="P718">
        <v>62</v>
      </c>
      <c r="Q718" s="17" t="str">
        <f t="shared" si="35"/>
        <v>Weekends</v>
      </c>
      <c r="R718" s="17" t="str">
        <f t="shared" si="33"/>
        <v>Afternoon</v>
      </c>
      <c r="S718" s="9" t="str">
        <f t="shared" si="34"/>
        <v>Mist</v>
      </c>
    </row>
    <row r="719" spans="1:19" x14ac:dyDescent="0.25">
      <c r="A719">
        <v>108</v>
      </c>
      <c r="B719" s="19">
        <v>40571</v>
      </c>
      <c r="C719">
        <v>1</v>
      </c>
      <c r="D719">
        <v>1</v>
      </c>
      <c r="E719">
        <v>15</v>
      </c>
      <c r="F719" t="b">
        <v>0</v>
      </c>
      <c r="G719">
        <v>5</v>
      </c>
      <c r="H719">
        <v>2</v>
      </c>
      <c r="I719">
        <v>0.2</v>
      </c>
      <c r="J719">
        <v>107</v>
      </c>
      <c r="K719">
        <v>0.31819999999999998</v>
      </c>
      <c r="L719">
        <v>0.28000000000000003</v>
      </c>
      <c r="M719">
        <v>8.9599999999999999E-2</v>
      </c>
      <c r="N719">
        <v>4</v>
      </c>
      <c r="O719">
        <v>85</v>
      </c>
      <c r="P719">
        <v>89</v>
      </c>
      <c r="Q719" s="17" t="str">
        <f t="shared" si="35"/>
        <v>Weekends</v>
      </c>
      <c r="R719" s="17" t="str">
        <f t="shared" si="33"/>
        <v>Afternoon</v>
      </c>
      <c r="S719" s="9" t="str">
        <f t="shared" si="34"/>
        <v>Mist</v>
      </c>
    </row>
    <row r="720" spans="1:19" x14ac:dyDescent="0.25">
      <c r="A720">
        <v>109</v>
      </c>
      <c r="B720" s="19">
        <v>40571</v>
      </c>
      <c r="C720">
        <v>1</v>
      </c>
      <c r="D720">
        <v>1</v>
      </c>
      <c r="E720">
        <v>15</v>
      </c>
      <c r="F720" t="b">
        <v>0</v>
      </c>
      <c r="G720">
        <v>5</v>
      </c>
      <c r="H720">
        <v>2</v>
      </c>
      <c r="I720">
        <v>0.2</v>
      </c>
      <c r="J720">
        <v>108</v>
      </c>
      <c r="K720">
        <v>0.2273</v>
      </c>
      <c r="L720">
        <v>0.38</v>
      </c>
      <c r="M720">
        <v>0.19400000000000001</v>
      </c>
      <c r="N720">
        <v>4</v>
      </c>
      <c r="O720">
        <v>186</v>
      </c>
      <c r="P720">
        <v>190</v>
      </c>
      <c r="Q720" s="17" t="str">
        <f t="shared" si="35"/>
        <v>Weekends</v>
      </c>
      <c r="R720" s="17" t="str">
        <f t="shared" si="33"/>
        <v>Afternoon</v>
      </c>
      <c r="S720" s="9" t="str">
        <f t="shared" si="34"/>
        <v>Mist</v>
      </c>
    </row>
    <row r="721" spans="1:19" x14ac:dyDescent="0.25">
      <c r="A721">
        <v>110</v>
      </c>
      <c r="B721" s="19">
        <v>40571</v>
      </c>
      <c r="C721">
        <v>1</v>
      </c>
      <c r="D721">
        <v>1</v>
      </c>
      <c r="E721">
        <v>15</v>
      </c>
      <c r="F721" t="b">
        <v>0</v>
      </c>
      <c r="G721">
        <v>5</v>
      </c>
      <c r="H721">
        <v>2</v>
      </c>
      <c r="I721">
        <v>0.2</v>
      </c>
      <c r="J721">
        <v>109</v>
      </c>
      <c r="K721">
        <v>0.2424</v>
      </c>
      <c r="L721">
        <v>0.38</v>
      </c>
      <c r="M721">
        <v>0.1343</v>
      </c>
      <c r="N721">
        <v>3</v>
      </c>
      <c r="O721">
        <v>166</v>
      </c>
      <c r="P721">
        <v>169</v>
      </c>
      <c r="Q721" s="17" t="str">
        <f t="shared" si="35"/>
        <v>Weekends</v>
      </c>
      <c r="R721" s="17" t="str">
        <f t="shared" si="33"/>
        <v>Afternoon</v>
      </c>
      <c r="S721" s="9" t="str">
        <f t="shared" si="34"/>
        <v>Mist</v>
      </c>
    </row>
    <row r="722" spans="1:19" x14ac:dyDescent="0.25">
      <c r="A722">
        <v>111</v>
      </c>
      <c r="B722" s="19">
        <v>40571</v>
      </c>
      <c r="C722">
        <v>1</v>
      </c>
      <c r="D722">
        <v>1</v>
      </c>
      <c r="E722">
        <v>15</v>
      </c>
      <c r="F722" t="b">
        <v>0</v>
      </c>
      <c r="G722">
        <v>5</v>
      </c>
      <c r="H722">
        <v>2</v>
      </c>
      <c r="I722">
        <v>0.2</v>
      </c>
      <c r="J722">
        <v>110</v>
      </c>
      <c r="K722">
        <v>0.2576</v>
      </c>
      <c r="L722">
        <v>0.38</v>
      </c>
      <c r="M722">
        <v>0.1045</v>
      </c>
      <c r="N722">
        <v>5</v>
      </c>
      <c r="O722">
        <v>127</v>
      </c>
      <c r="P722">
        <v>132</v>
      </c>
      <c r="Q722" s="17" t="str">
        <f t="shared" si="35"/>
        <v>Weekends</v>
      </c>
      <c r="R722" s="17" t="str">
        <f t="shared" si="33"/>
        <v>Afternoon</v>
      </c>
      <c r="S722" s="9" t="str">
        <f t="shared" si="34"/>
        <v>Mist</v>
      </c>
    </row>
    <row r="723" spans="1:19" x14ac:dyDescent="0.25">
      <c r="A723">
        <v>112</v>
      </c>
      <c r="B723" s="19">
        <v>40571</v>
      </c>
      <c r="C723">
        <v>1</v>
      </c>
      <c r="D723">
        <v>1</v>
      </c>
      <c r="E723">
        <v>15</v>
      </c>
      <c r="F723" t="b">
        <v>0</v>
      </c>
      <c r="G723">
        <v>5</v>
      </c>
      <c r="H723">
        <v>2</v>
      </c>
      <c r="I723">
        <v>0.2</v>
      </c>
      <c r="J723">
        <v>111</v>
      </c>
      <c r="K723">
        <v>0.2273</v>
      </c>
      <c r="L723">
        <v>0.47</v>
      </c>
      <c r="M723">
        <v>0.16420000000000001</v>
      </c>
      <c r="N723">
        <v>7</v>
      </c>
      <c r="O723">
        <v>82</v>
      </c>
      <c r="P723">
        <v>89</v>
      </c>
      <c r="Q723" s="17" t="str">
        <f t="shared" si="35"/>
        <v>Weekends</v>
      </c>
      <c r="R723" s="17" t="str">
        <f t="shared" si="33"/>
        <v>Afternoon</v>
      </c>
      <c r="S723" s="9" t="str">
        <f t="shared" si="34"/>
        <v>Mist</v>
      </c>
    </row>
    <row r="724" spans="1:19" x14ac:dyDescent="0.25">
      <c r="A724">
        <v>113</v>
      </c>
      <c r="B724" s="19">
        <v>40571</v>
      </c>
      <c r="C724">
        <v>1</v>
      </c>
      <c r="D724">
        <v>1</v>
      </c>
      <c r="E724">
        <v>15</v>
      </c>
      <c r="F724" t="b">
        <v>0</v>
      </c>
      <c r="G724">
        <v>5</v>
      </c>
      <c r="H724">
        <v>2</v>
      </c>
      <c r="I724">
        <v>0.2</v>
      </c>
      <c r="J724">
        <v>112</v>
      </c>
      <c r="K724">
        <v>0.19700000000000001</v>
      </c>
      <c r="L724">
        <v>0.51</v>
      </c>
      <c r="M724">
        <v>0.19400000000000001</v>
      </c>
      <c r="N724">
        <v>3</v>
      </c>
      <c r="O724">
        <v>40</v>
      </c>
      <c r="P724">
        <v>43</v>
      </c>
      <c r="Q724" s="17" t="str">
        <f t="shared" si="35"/>
        <v>Weekends</v>
      </c>
      <c r="R724" s="17" t="str">
        <f t="shared" si="33"/>
        <v>Afternoon</v>
      </c>
      <c r="S724" s="9" t="str">
        <f t="shared" si="34"/>
        <v>Mist</v>
      </c>
    </row>
    <row r="725" spans="1:19" x14ac:dyDescent="0.25">
      <c r="A725">
        <v>114</v>
      </c>
      <c r="B725" s="19">
        <v>40571</v>
      </c>
      <c r="C725">
        <v>1</v>
      </c>
      <c r="D725">
        <v>1</v>
      </c>
      <c r="E725">
        <v>15</v>
      </c>
      <c r="F725" t="b">
        <v>0</v>
      </c>
      <c r="G725">
        <v>5</v>
      </c>
      <c r="H725">
        <v>2</v>
      </c>
      <c r="I725">
        <v>0.2</v>
      </c>
      <c r="J725">
        <v>113</v>
      </c>
      <c r="K725">
        <v>0.19700000000000001</v>
      </c>
      <c r="L725">
        <v>0.55000000000000004</v>
      </c>
      <c r="M725">
        <v>0.1343</v>
      </c>
      <c r="N725">
        <v>1</v>
      </c>
      <c r="O725">
        <v>41</v>
      </c>
      <c r="P725">
        <v>42</v>
      </c>
      <c r="Q725" s="17" t="str">
        <f t="shared" si="35"/>
        <v>Weekends</v>
      </c>
      <c r="R725" s="17" t="str">
        <f t="shared" si="33"/>
        <v>Afternoon</v>
      </c>
      <c r="S725" s="9" t="str">
        <f t="shared" si="34"/>
        <v>Mist</v>
      </c>
    </row>
    <row r="726" spans="1:19" x14ac:dyDescent="0.25">
      <c r="A726">
        <v>115</v>
      </c>
      <c r="B726" s="19">
        <v>40571</v>
      </c>
      <c r="C726">
        <v>1</v>
      </c>
      <c r="D726">
        <v>1</v>
      </c>
      <c r="E726">
        <v>15</v>
      </c>
      <c r="F726" t="b">
        <v>0</v>
      </c>
      <c r="G726">
        <v>5</v>
      </c>
      <c r="H726">
        <v>2</v>
      </c>
      <c r="I726">
        <v>0.2</v>
      </c>
      <c r="J726">
        <v>114</v>
      </c>
      <c r="K726">
        <v>0.2576</v>
      </c>
      <c r="L726">
        <v>0.47</v>
      </c>
      <c r="M726">
        <v>0</v>
      </c>
      <c r="N726">
        <v>1</v>
      </c>
      <c r="O726">
        <v>18</v>
      </c>
      <c r="P726">
        <v>19</v>
      </c>
      <c r="Q726" s="17" t="str">
        <f t="shared" si="35"/>
        <v>Weekends</v>
      </c>
      <c r="R726" s="17" t="str">
        <f t="shared" si="33"/>
        <v>Afternoon</v>
      </c>
      <c r="S726" s="9" t="str">
        <f t="shared" si="34"/>
        <v>Mist</v>
      </c>
    </row>
    <row r="727" spans="1:19" x14ac:dyDescent="0.25">
      <c r="A727">
        <v>116</v>
      </c>
      <c r="B727" s="19">
        <v>40571</v>
      </c>
      <c r="C727">
        <v>1</v>
      </c>
      <c r="D727">
        <v>1</v>
      </c>
      <c r="E727">
        <v>15</v>
      </c>
      <c r="F727" t="b">
        <v>0</v>
      </c>
      <c r="G727">
        <v>5</v>
      </c>
      <c r="H727">
        <v>2</v>
      </c>
      <c r="I727">
        <v>0.2</v>
      </c>
      <c r="J727">
        <v>115</v>
      </c>
      <c r="K727">
        <v>0.2424</v>
      </c>
      <c r="L727">
        <v>0.55000000000000004</v>
      </c>
      <c r="M727">
        <v>0</v>
      </c>
      <c r="N727">
        <v>0</v>
      </c>
      <c r="O727">
        <v>11</v>
      </c>
      <c r="P727">
        <v>11</v>
      </c>
      <c r="Q727" s="17" t="str">
        <f t="shared" si="35"/>
        <v>Weekends</v>
      </c>
      <c r="R727" s="17" t="str">
        <f t="shared" si="33"/>
        <v>Afternoon</v>
      </c>
      <c r="S727" s="9" t="str">
        <f t="shared" si="34"/>
        <v>Mist</v>
      </c>
    </row>
    <row r="728" spans="1:19" x14ac:dyDescent="0.25">
      <c r="A728">
        <v>117</v>
      </c>
      <c r="B728" s="19">
        <v>40571</v>
      </c>
      <c r="C728">
        <v>1</v>
      </c>
      <c r="D728">
        <v>1</v>
      </c>
      <c r="E728">
        <v>15</v>
      </c>
      <c r="F728" t="b">
        <v>0</v>
      </c>
      <c r="G728">
        <v>5</v>
      </c>
      <c r="H728">
        <v>2</v>
      </c>
      <c r="I728">
        <v>0.2</v>
      </c>
      <c r="J728">
        <v>116</v>
      </c>
      <c r="K728">
        <v>0.2273</v>
      </c>
      <c r="L728">
        <v>0.64</v>
      </c>
      <c r="M728">
        <v>0</v>
      </c>
      <c r="N728">
        <v>0</v>
      </c>
      <c r="O728">
        <v>4</v>
      </c>
      <c r="P728">
        <v>4</v>
      </c>
      <c r="Q728" s="17" t="str">
        <f t="shared" si="35"/>
        <v>Weekends</v>
      </c>
      <c r="R728" s="17" t="str">
        <f t="shared" si="33"/>
        <v>Afternoon</v>
      </c>
      <c r="S728" s="9" t="str">
        <f t="shared" si="34"/>
        <v>Mist</v>
      </c>
    </row>
    <row r="729" spans="1:19" x14ac:dyDescent="0.25">
      <c r="A729">
        <v>118</v>
      </c>
      <c r="B729" s="19">
        <v>40571</v>
      </c>
      <c r="C729">
        <v>1</v>
      </c>
      <c r="D729">
        <v>1</v>
      </c>
      <c r="E729">
        <v>15</v>
      </c>
      <c r="F729" t="b">
        <v>0</v>
      </c>
      <c r="G729">
        <v>5</v>
      </c>
      <c r="H729">
        <v>2</v>
      </c>
      <c r="I729">
        <v>0.2</v>
      </c>
      <c r="J729">
        <v>117</v>
      </c>
      <c r="K729">
        <v>0.2273</v>
      </c>
      <c r="L729">
        <v>0.64</v>
      </c>
      <c r="M729">
        <v>0</v>
      </c>
      <c r="N729">
        <v>0</v>
      </c>
      <c r="O729">
        <v>2</v>
      </c>
      <c r="P729">
        <v>2</v>
      </c>
      <c r="Q729" s="17" t="str">
        <f t="shared" si="35"/>
        <v>Weekends</v>
      </c>
      <c r="R729" s="17" t="str">
        <f t="shared" si="33"/>
        <v>Afternoon</v>
      </c>
      <c r="S729" s="9" t="str">
        <f t="shared" si="34"/>
        <v>Mist</v>
      </c>
    </row>
    <row r="730" spans="1:19" x14ac:dyDescent="0.25">
      <c r="A730">
        <v>119</v>
      </c>
      <c r="B730" s="19">
        <v>40571</v>
      </c>
      <c r="C730">
        <v>1</v>
      </c>
      <c r="D730">
        <v>1</v>
      </c>
      <c r="E730">
        <v>15</v>
      </c>
      <c r="F730" t="b">
        <v>0</v>
      </c>
      <c r="G730">
        <v>5</v>
      </c>
      <c r="H730">
        <v>2</v>
      </c>
      <c r="I730">
        <v>0.2</v>
      </c>
      <c r="J730">
        <v>118</v>
      </c>
      <c r="K730">
        <v>0.19700000000000001</v>
      </c>
      <c r="L730">
        <v>0.64</v>
      </c>
      <c r="M730">
        <v>8.9599999999999999E-2</v>
      </c>
      <c r="N730">
        <v>0</v>
      </c>
      <c r="O730">
        <v>1</v>
      </c>
      <c r="P730">
        <v>1</v>
      </c>
      <c r="Q730" s="17" t="str">
        <f t="shared" si="35"/>
        <v>Weekends</v>
      </c>
      <c r="R730" s="17" t="str">
        <f t="shared" si="33"/>
        <v>Afternoon</v>
      </c>
      <c r="S730" s="9" t="str">
        <f t="shared" si="34"/>
        <v>Mist</v>
      </c>
    </row>
    <row r="731" spans="1:19" x14ac:dyDescent="0.25">
      <c r="A731">
        <v>120</v>
      </c>
      <c r="B731" s="19">
        <v>40571</v>
      </c>
      <c r="C731">
        <v>1</v>
      </c>
      <c r="D731">
        <v>1</v>
      </c>
      <c r="E731">
        <v>15</v>
      </c>
      <c r="F731" t="b">
        <v>0</v>
      </c>
      <c r="G731">
        <v>5</v>
      </c>
      <c r="H731">
        <v>2</v>
      </c>
      <c r="I731">
        <v>0.2</v>
      </c>
      <c r="J731">
        <v>119</v>
      </c>
      <c r="K731">
        <v>0.18179999999999999</v>
      </c>
      <c r="L731">
        <v>0.69</v>
      </c>
      <c r="M731">
        <v>8.9599999999999999E-2</v>
      </c>
      <c r="N731">
        <v>0</v>
      </c>
      <c r="O731">
        <v>4</v>
      </c>
      <c r="P731">
        <v>4</v>
      </c>
      <c r="Q731" s="17" t="str">
        <f t="shared" si="35"/>
        <v>Weekends</v>
      </c>
      <c r="R731" s="17" t="str">
        <f t="shared" si="33"/>
        <v>Afternoon</v>
      </c>
      <c r="S731" s="9" t="str">
        <f t="shared" si="34"/>
        <v>Mist</v>
      </c>
    </row>
    <row r="732" spans="1:19" x14ac:dyDescent="0.25">
      <c r="A732">
        <v>121</v>
      </c>
      <c r="B732" s="19">
        <v>40571</v>
      </c>
      <c r="C732">
        <v>1</v>
      </c>
      <c r="D732">
        <v>1</v>
      </c>
      <c r="E732">
        <v>15</v>
      </c>
      <c r="F732" t="b">
        <v>0</v>
      </c>
      <c r="G732">
        <v>5</v>
      </c>
      <c r="H732">
        <v>2</v>
      </c>
      <c r="I732">
        <v>0.2</v>
      </c>
      <c r="J732">
        <v>120</v>
      </c>
      <c r="K732">
        <v>0.16669999999999999</v>
      </c>
      <c r="L732">
        <v>0.63</v>
      </c>
      <c r="M732">
        <v>0.1045</v>
      </c>
      <c r="N732">
        <v>0</v>
      </c>
      <c r="O732">
        <v>36</v>
      </c>
      <c r="P732">
        <v>36</v>
      </c>
      <c r="Q732" s="17" t="str">
        <f t="shared" si="35"/>
        <v>Weekends</v>
      </c>
      <c r="R732" s="17" t="str">
        <f t="shared" si="33"/>
        <v>Afternoon</v>
      </c>
      <c r="S732" s="9" t="str">
        <f t="shared" si="34"/>
        <v>Mist</v>
      </c>
    </row>
    <row r="733" spans="1:19" x14ac:dyDescent="0.25">
      <c r="A733">
        <v>122</v>
      </c>
      <c r="B733" s="19">
        <v>40571</v>
      </c>
      <c r="C733">
        <v>1</v>
      </c>
      <c r="D733">
        <v>1</v>
      </c>
      <c r="E733">
        <v>15</v>
      </c>
      <c r="F733" t="b">
        <v>0</v>
      </c>
      <c r="G733">
        <v>5</v>
      </c>
      <c r="H733">
        <v>2</v>
      </c>
      <c r="I733">
        <v>0.2</v>
      </c>
      <c r="J733">
        <v>121</v>
      </c>
      <c r="K733">
        <v>0.2273</v>
      </c>
      <c r="L733">
        <v>0.59</v>
      </c>
      <c r="M733">
        <v>0</v>
      </c>
      <c r="N733">
        <v>0</v>
      </c>
      <c r="O733">
        <v>95</v>
      </c>
      <c r="P733">
        <v>95</v>
      </c>
      <c r="Q733" s="17" t="str">
        <f t="shared" si="35"/>
        <v>Weekends</v>
      </c>
      <c r="R733" s="17" t="str">
        <f t="shared" si="33"/>
        <v>Afternoon</v>
      </c>
      <c r="S733" s="9" t="str">
        <f t="shared" si="34"/>
        <v>Mist</v>
      </c>
    </row>
    <row r="734" spans="1:19" x14ac:dyDescent="0.25">
      <c r="A734">
        <v>123</v>
      </c>
      <c r="B734" s="19">
        <v>40571</v>
      </c>
      <c r="C734">
        <v>1</v>
      </c>
      <c r="D734">
        <v>1</v>
      </c>
      <c r="E734">
        <v>15</v>
      </c>
      <c r="F734" t="b">
        <v>0</v>
      </c>
      <c r="G734">
        <v>5</v>
      </c>
      <c r="H734">
        <v>2</v>
      </c>
      <c r="I734">
        <v>0.2</v>
      </c>
      <c r="J734">
        <v>122</v>
      </c>
      <c r="K734">
        <v>0.2273</v>
      </c>
      <c r="L734">
        <v>0.59</v>
      </c>
      <c r="M734">
        <v>0</v>
      </c>
      <c r="N734">
        <v>3</v>
      </c>
      <c r="O734">
        <v>216</v>
      </c>
      <c r="P734">
        <v>219</v>
      </c>
      <c r="Q734" s="17" t="str">
        <f t="shared" si="35"/>
        <v>Weekends</v>
      </c>
      <c r="R734" s="17" t="str">
        <f t="shared" si="33"/>
        <v>Afternoon</v>
      </c>
      <c r="S734" s="9" t="str">
        <f t="shared" si="34"/>
        <v>Mist</v>
      </c>
    </row>
    <row r="735" spans="1:19" x14ac:dyDescent="0.25">
      <c r="A735">
        <v>124</v>
      </c>
      <c r="B735" s="19">
        <v>40571</v>
      </c>
      <c r="C735">
        <v>1</v>
      </c>
      <c r="D735">
        <v>1</v>
      </c>
      <c r="E735">
        <v>15</v>
      </c>
      <c r="F735" t="b">
        <v>0</v>
      </c>
      <c r="G735">
        <v>5</v>
      </c>
      <c r="H735">
        <v>2</v>
      </c>
      <c r="I735">
        <v>0.2</v>
      </c>
      <c r="J735">
        <v>123</v>
      </c>
      <c r="K735">
        <v>0.2424</v>
      </c>
      <c r="L735">
        <v>0.51</v>
      </c>
      <c r="M735">
        <v>0</v>
      </c>
      <c r="N735">
        <v>6</v>
      </c>
      <c r="O735">
        <v>116</v>
      </c>
      <c r="P735">
        <v>122</v>
      </c>
      <c r="Q735" s="17" t="str">
        <f t="shared" si="35"/>
        <v>Weekends</v>
      </c>
      <c r="R735" s="17" t="str">
        <f t="shared" si="33"/>
        <v>Afternoon</v>
      </c>
      <c r="S735" s="9" t="str">
        <f t="shared" si="34"/>
        <v>Mist</v>
      </c>
    </row>
    <row r="736" spans="1:19" x14ac:dyDescent="0.25">
      <c r="A736">
        <v>125</v>
      </c>
      <c r="B736" s="19">
        <v>40571</v>
      </c>
      <c r="C736">
        <v>1</v>
      </c>
      <c r="D736">
        <v>1</v>
      </c>
      <c r="E736">
        <v>15</v>
      </c>
      <c r="F736" t="b">
        <v>0</v>
      </c>
      <c r="G736">
        <v>5</v>
      </c>
      <c r="H736">
        <v>2</v>
      </c>
      <c r="I736">
        <v>0.2</v>
      </c>
      <c r="J736">
        <v>124</v>
      </c>
      <c r="K736">
        <v>0.2576</v>
      </c>
      <c r="L736">
        <v>0.47</v>
      </c>
      <c r="M736">
        <v>0</v>
      </c>
      <c r="N736">
        <v>3</v>
      </c>
      <c r="O736">
        <v>42</v>
      </c>
      <c r="P736">
        <v>45</v>
      </c>
      <c r="Q736" s="17" t="str">
        <f t="shared" si="35"/>
        <v>Weekends</v>
      </c>
      <c r="R736" s="17" t="str">
        <f t="shared" si="33"/>
        <v>Afternoon</v>
      </c>
      <c r="S736" s="9" t="str">
        <f t="shared" si="34"/>
        <v>Mist</v>
      </c>
    </row>
    <row r="737" spans="1:19" x14ac:dyDescent="0.25">
      <c r="A737">
        <v>126</v>
      </c>
      <c r="B737" s="19">
        <v>40571</v>
      </c>
      <c r="C737">
        <v>1</v>
      </c>
      <c r="D737">
        <v>1</v>
      </c>
      <c r="E737">
        <v>15</v>
      </c>
      <c r="F737" t="b">
        <v>0</v>
      </c>
      <c r="G737">
        <v>5</v>
      </c>
      <c r="H737">
        <v>2</v>
      </c>
      <c r="I737">
        <v>0.2</v>
      </c>
      <c r="J737">
        <v>125</v>
      </c>
      <c r="K737">
        <v>0.2576</v>
      </c>
      <c r="L737">
        <v>0.44</v>
      </c>
      <c r="M737">
        <v>8.9599999999999999E-2</v>
      </c>
      <c r="N737">
        <v>2</v>
      </c>
      <c r="O737">
        <v>57</v>
      </c>
      <c r="P737">
        <v>59</v>
      </c>
      <c r="Q737" s="17" t="str">
        <f t="shared" si="35"/>
        <v>Weekends</v>
      </c>
      <c r="R737" s="17" t="str">
        <f t="shared" si="33"/>
        <v>Afternoon</v>
      </c>
      <c r="S737" s="9" t="str">
        <f t="shared" si="34"/>
        <v>Mist</v>
      </c>
    </row>
    <row r="738" spans="1:19" x14ac:dyDescent="0.25">
      <c r="A738">
        <v>127</v>
      </c>
      <c r="B738" s="19">
        <v>40571</v>
      </c>
      <c r="C738">
        <v>1</v>
      </c>
      <c r="D738">
        <v>1</v>
      </c>
      <c r="E738">
        <v>15</v>
      </c>
      <c r="F738" t="b">
        <v>0</v>
      </c>
      <c r="G738">
        <v>5</v>
      </c>
      <c r="H738">
        <v>2</v>
      </c>
      <c r="I738">
        <v>0.2</v>
      </c>
      <c r="J738">
        <v>126</v>
      </c>
      <c r="K738">
        <v>0.28789999999999999</v>
      </c>
      <c r="L738">
        <v>0.35</v>
      </c>
      <c r="M738">
        <v>0</v>
      </c>
      <c r="N738">
        <v>6</v>
      </c>
      <c r="O738">
        <v>78</v>
      </c>
      <c r="P738">
        <v>84</v>
      </c>
      <c r="Q738" s="17" t="str">
        <f t="shared" si="35"/>
        <v>Weekends</v>
      </c>
      <c r="R738" s="17" t="str">
        <f t="shared" si="33"/>
        <v>Afternoon</v>
      </c>
      <c r="S738" s="9" t="str">
        <f t="shared" si="34"/>
        <v>Mist</v>
      </c>
    </row>
    <row r="739" spans="1:19" x14ac:dyDescent="0.25">
      <c r="A739">
        <v>128</v>
      </c>
      <c r="B739" s="19">
        <v>40571</v>
      </c>
      <c r="C739">
        <v>1</v>
      </c>
      <c r="D739">
        <v>1</v>
      </c>
      <c r="E739">
        <v>15</v>
      </c>
      <c r="F739" t="b">
        <v>0</v>
      </c>
      <c r="G739">
        <v>5</v>
      </c>
      <c r="H739">
        <v>2</v>
      </c>
      <c r="I739">
        <v>0.2</v>
      </c>
      <c r="J739">
        <v>127</v>
      </c>
      <c r="K739">
        <v>0.2727</v>
      </c>
      <c r="L739">
        <v>0.35</v>
      </c>
      <c r="M739">
        <v>0.1045</v>
      </c>
      <c r="N739">
        <v>12</v>
      </c>
      <c r="O739">
        <v>55</v>
      </c>
      <c r="P739">
        <v>67</v>
      </c>
      <c r="Q739" s="17" t="str">
        <f t="shared" si="35"/>
        <v>Weekends</v>
      </c>
      <c r="R739" s="17" t="str">
        <f t="shared" si="33"/>
        <v>Afternoon</v>
      </c>
      <c r="S739" s="9" t="str">
        <f t="shared" si="34"/>
        <v>Mist</v>
      </c>
    </row>
    <row r="740" spans="1:19" x14ac:dyDescent="0.25">
      <c r="A740">
        <v>129</v>
      </c>
      <c r="B740" s="19">
        <v>40571</v>
      </c>
      <c r="C740">
        <v>1</v>
      </c>
      <c r="D740">
        <v>1</v>
      </c>
      <c r="E740">
        <v>15</v>
      </c>
      <c r="F740" t="b">
        <v>0</v>
      </c>
      <c r="G740">
        <v>5</v>
      </c>
      <c r="H740">
        <v>2</v>
      </c>
      <c r="I740">
        <v>0.2</v>
      </c>
      <c r="J740">
        <v>128</v>
      </c>
      <c r="K740">
        <v>0.2727</v>
      </c>
      <c r="L740">
        <v>0.36</v>
      </c>
      <c r="M740">
        <v>0.16420000000000001</v>
      </c>
      <c r="N740">
        <v>11</v>
      </c>
      <c r="O740">
        <v>59</v>
      </c>
      <c r="P740">
        <v>70</v>
      </c>
      <c r="Q740" s="17" t="str">
        <f t="shared" si="35"/>
        <v>Weekends</v>
      </c>
      <c r="R740" s="17" t="str">
        <f t="shared" si="33"/>
        <v>Afternoon</v>
      </c>
      <c r="S740" s="9" t="str">
        <f t="shared" si="34"/>
        <v>Mist</v>
      </c>
    </row>
    <row r="741" spans="1:19" x14ac:dyDescent="0.25">
      <c r="A741">
        <v>130</v>
      </c>
      <c r="B741" s="19">
        <v>40571</v>
      </c>
      <c r="C741">
        <v>1</v>
      </c>
      <c r="D741">
        <v>1</v>
      </c>
      <c r="E741">
        <v>15</v>
      </c>
      <c r="F741" t="b">
        <v>0</v>
      </c>
      <c r="G741">
        <v>5</v>
      </c>
      <c r="H741">
        <v>2</v>
      </c>
      <c r="I741">
        <v>0.2</v>
      </c>
      <c r="J741">
        <v>129</v>
      </c>
      <c r="K741">
        <v>0.2727</v>
      </c>
      <c r="L741">
        <v>0.36</v>
      </c>
      <c r="M741">
        <v>0</v>
      </c>
      <c r="N741">
        <v>8</v>
      </c>
      <c r="O741">
        <v>54</v>
      </c>
      <c r="P741">
        <v>62</v>
      </c>
      <c r="Q741" s="17" t="str">
        <f t="shared" si="35"/>
        <v>Weekends</v>
      </c>
      <c r="R741" s="17" t="str">
        <f t="shared" si="33"/>
        <v>Afternoon</v>
      </c>
      <c r="S741" s="9" t="str">
        <f t="shared" si="34"/>
        <v>Mist</v>
      </c>
    </row>
    <row r="742" spans="1:19" x14ac:dyDescent="0.25">
      <c r="A742">
        <v>131</v>
      </c>
      <c r="B742" s="19">
        <v>40571</v>
      </c>
      <c r="C742">
        <v>1</v>
      </c>
      <c r="D742">
        <v>1</v>
      </c>
      <c r="E742">
        <v>15</v>
      </c>
      <c r="F742" t="b">
        <v>0</v>
      </c>
      <c r="G742">
        <v>5</v>
      </c>
      <c r="H742">
        <v>2</v>
      </c>
      <c r="I742">
        <v>0.2</v>
      </c>
      <c r="J742">
        <v>130</v>
      </c>
      <c r="K742">
        <v>0.2576</v>
      </c>
      <c r="L742">
        <v>0.38</v>
      </c>
      <c r="M742">
        <v>0.16420000000000001</v>
      </c>
      <c r="N742">
        <v>12</v>
      </c>
      <c r="O742">
        <v>74</v>
      </c>
      <c r="P742">
        <v>86</v>
      </c>
      <c r="Q742" s="17" t="str">
        <f t="shared" si="35"/>
        <v>Weekends</v>
      </c>
      <c r="R742" s="17" t="str">
        <f t="shared" si="33"/>
        <v>Afternoon</v>
      </c>
      <c r="S742" s="9" t="str">
        <f t="shared" si="34"/>
        <v>Mist</v>
      </c>
    </row>
    <row r="743" spans="1:19" x14ac:dyDescent="0.25">
      <c r="A743">
        <v>132</v>
      </c>
      <c r="B743" s="19">
        <v>40571</v>
      </c>
      <c r="C743">
        <v>1</v>
      </c>
      <c r="D743">
        <v>1</v>
      </c>
      <c r="E743">
        <v>15</v>
      </c>
      <c r="F743" t="b">
        <v>0</v>
      </c>
      <c r="G743">
        <v>5</v>
      </c>
      <c r="H743">
        <v>2</v>
      </c>
      <c r="I743">
        <v>0.2</v>
      </c>
      <c r="J743">
        <v>131</v>
      </c>
      <c r="K743">
        <v>0.2273</v>
      </c>
      <c r="L743">
        <v>0.51</v>
      </c>
      <c r="M743">
        <v>0.16420000000000001</v>
      </c>
      <c r="N743">
        <v>9</v>
      </c>
      <c r="O743">
        <v>163</v>
      </c>
      <c r="P743">
        <v>172</v>
      </c>
      <c r="Q743" s="17" t="str">
        <f t="shared" si="35"/>
        <v>Weekends</v>
      </c>
      <c r="R743" s="17" t="str">
        <f t="shared" si="33"/>
        <v>Afternoon</v>
      </c>
      <c r="S743" s="9" t="str">
        <f t="shared" si="34"/>
        <v>Mist</v>
      </c>
    </row>
    <row r="744" spans="1:19" x14ac:dyDescent="0.25">
      <c r="A744">
        <v>133</v>
      </c>
      <c r="B744" s="19">
        <v>40571</v>
      </c>
      <c r="C744">
        <v>1</v>
      </c>
      <c r="D744">
        <v>1</v>
      </c>
      <c r="E744">
        <v>15</v>
      </c>
      <c r="F744" t="b">
        <v>0</v>
      </c>
      <c r="G744">
        <v>5</v>
      </c>
      <c r="H744">
        <v>2</v>
      </c>
      <c r="I744">
        <v>0.2</v>
      </c>
      <c r="J744">
        <v>132</v>
      </c>
      <c r="K744">
        <v>0.2273</v>
      </c>
      <c r="L744">
        <v>0.51</v>
      </c>
      <c r="M744">
        <v>0.1343</v>
      </c>
      <c r="N744">
        <v>5</v>
      </c>
      <c r="O744">
        <v>158</v>
      </c>
      <c r="P744">
        <v>163</v>
      </c>
      <c r="Q744" s="17" t="str">
        <f t="shared" si="35"/>
        <v>Weekends</v>
      </c>
      <c r="R744" s="17" t="str">
        <f t="shared" si="33"/>
        <v>Afternoon</v>
      </c>
      <c r="S744" s="9" t="str">
        <f t="shared" si="34"/>
        <v>Mist</v>
      </c>
    </row>
    <row r="745" spans="1:19" x14ac:dyDescent="0.25">
      <c r="A745">
        <v>134</v>
      </c>
      <c r="B745" s="19">
        <v>40571</v>
      </c>
      <c r="C745">
        <v>1</v>
      </c>
      <c r="D745">
        <v>1</v>
      </c>
      <c r="E745">
        <v>15</v>
      </c>
      <c r="F745" t="b">
        <v>0</v>
      </c>
      <c r="G745">
        <v>5</v>
      </c>
      <c r="H745">
        <v>2</v>
      </c>
      <c r="I745">
        <v>0.2</v>
      </c>
      <c r="J745">
        <v>133</v>
      </c>
      <c r="K745">
        <v>0.2576</v>
      </c>
      <c r="L745">
        <v>0.55000000000000004</v>
      </c>
      <c r="M745">
        <v>8.9599999999999999E-2</v>
      </c>
      <c r="N745">
        <v>3</v>
      </c>
      <c r="O745">
        <v>109</v>
      </c>
      <c r="P745">
        <v>112</v>
      </c>
      <c r="Q745" s="17" t="str">
        <f t="shared" si="35"/>
        <v>Weekends</v>
      </c>
      <c r="R745" s="17" t="str">
        <f t="shared" si="33"/>
        <v>Afternoon</v>
      </c>
      <c r="S745" s="9" t="str">
        <f t="shared" si="34"/>
        <v>Mist</v>
      </c>
    </row>
    <row r="746" spans="1:19" x14ac:dyDescent="0.25">
      <c r="A746">
        <v>135</v>
      </c>
      <c r="B746" s="19">
        <v>40571</v>
      </c>
      <c r="C746">
        <v>1</v>
      </c>
      <c r="D746">
        <v>1</v>
      </c>
      <c r="E746">
        <v>15</v>
      </c>
      <c r="F746" t="b">
        <v>0</v>
      </c>
      <c r="G746">
        <v>5</v>
      </c>
      <c r="H746">
        <v>2</v>
      </c>
      <c r="I746">
        <v>0.2</v>
      </c>
      <c r="J746">
        <v>134</v>
      </c>
      <c r="K746">
        <v>0.21210000000000001</v>
      </c>
      <c r="L746">
        <v>0.51</v>
      </c>
      <c r="M746">
        <v>0.16420000000000001</v>
      </c>
      <c r="N746">
        <v>3</v>
      </c>
      <c r="O746">
        <v>66</v>
      </c>
      <c r="P746">
        <v>69</v>
      </c>
      <c r="Q746" s="17" t="str">
        <f t="shared" si="35"/>
        <v>Weekends</v>
      </c>
      <c r="R746" s="17" t="str">
        <f t="shared" si="33"/>
        <v>Afternoon</v>
      </c>
      <c r="S746" s="9" t="str">
        <f t="shared" si="34"/>
        <v>Mist</v>
      </c>
    </row>
    <row r="747" spans="1:19" x14ac:dyDescent="0.25">
      <c r="A747">
        <v>136</v>
      </c>
      <c r="B747" s="19">
        <v>40571</v>
      </c>
      <c r="C747">
        <v>1</v>
      </c>
      <c r="D747">
        <v>1</v>
      </c>
      <c r="E747">
        <v>15</v>
      </c>
      <c r="F747" t="b">
        <v>0</v>
      </c>
      <c r="G747">
        <v>5</v>
      </c>
      <c r="H747">
        <v>2</v>
      </c>
      <c r="I747">
        <v>0.2</v>
      </c>
      <c r="J747">
        <v>135</v>
      </c>
      <c r="K747">
        <v>0.21210000000000001</v>
      </c>
      <c r="L747">
        <v>0.55000000000000004</v>
      </c>
      <c r="M747">
        <v>0.22389999999999999</v>
      </c>
      <c r="N747">
        <v>0</v>
      </c>
      <c r="O747">
        <v>48</v>
      </c>
      <c r="P747">
        <v>48</v>
      </c>
      <c r="Q747" s="17" t="str">
        <f t="shared" si="35"/>
        <v>Weekends</v>
      </c>
      <c r="R747" s="17" t="str">
        <f t="shared" si="33"/>
        <v>Afternoon</v>
      </c>
      <c r="S747" s="9" t="str">
        <f t="shared" si="34"/>
        <v>Mist</v>
      </c>
    </row>
    <row r="748" spans="1:19" x14ac:dyDescent="0.25">
      <c r="A748">
        <v>137</v>
      </c>
      <c r="B748" s="19">
        <v>40571</v>
      </c>
      <c r="C748">
        <v>1</v>
      </c>
      <c r="D748">
        <v>1</v>
      </c>
      <c r="E748">
        <v>15</v>
      </c>
      <c r="F748" t="b">
        <v>0</v>
      </c>
      <c r="G748">
        <v>5</v>
      </c>
      <c r="H748">
        <v>2</v>
      </c>
      <c r="I748">
        <v>0.2</v>
      </c>
      <c r="J748">
        <v>136</v>
      </c>
      <c r="K748">
        <v>0.21210000000000001</v>
      </c>
      <c r="L748">
        <v>0.51</v>
      </c>
      <c r="M748">
        <v>0.28360000000000002</v>
      </c>
      <c r="N748">
        <v>1</v>
      </c>
      <c r="O748">
        <v>51</v>
      </c>
      <c r="P748">
        <v>52</v>
      </c>
      <c r="Q748" s="17" t="str">
        <f t="shared" si="35"/>
        <v>Weekends</v>
      </c>
      <c r="R748" s="17" t="str">
        <f t="shared" si="33"/>
        <v>Afternoon</v>
      </c>
      <c r="S748" s="9" t="str">
        <f t="shared" si="34"/>
        <v>Mist</v>
      </c>
    </row>
    <row r="749" spans="1:19" x14ac:dyDescent="0.25">
      <c r="A749">
        <v>138</v>
      </c>
      <c r="B749" s="19">
        <v>40571</v>
      </c>
      <c r="C749">
        <v>1</v>
      </c>
      <c r="D749">
        <v>1</v>
      </c>
      <c r="E749">
        <v>15</v>
      </c>
      <c r="F749" t="b">
        <v>0</v>
      </c>
      <c r="G749">
        <v>5</v>
      </c>
      <c r="H749">
        <v>2</v>
      </c>
      <c r="I749">
        <v>0.2</v>
      </c>
      <c r="J749">
        <v>137</v>
      </c>
      <c r="K749">
        <v>0.19700000000000001</v>
      </c>
      <c r="L749">
        <v>0.59</v>
      </c>
      <c r="M749">
        <v>0.19400000000000001</v>
      </c>
      <c r="N749">
        <v>4</v>
      </c>
      <c r="O749">
        <v>19</v>
      </c>
      <c r="P749">
        <v>23</v>
      </c>
      <c r="Q749" s="17" t="str">
        <f t="shared" si="35"/>
        <v>Weekends</v>
      </c>
      <c r="R749" s="17" t="str">
        <f t="shared" si="33"/>
        <v>Afternoon</v>
      </c>
      <c r="S749" s="9" t="str">
        <f t="shared" si="34"/>
        <v>Mist</v>
      </c>
    </row>
    <row r="750" spans="1:19" x14ac:dyDescent="0.25">
      <c r="A750">
        <v>139</v>
      </c>
      <c r="B750" s="19">
        <v>40571</v>
      </c>
      <c r="C750">
        <v>1</v>
      </c>
      <c r="D750">
        <v>1</v>
      </c>
      <c r="E750">
        <v>15</v>
      </c>
      <c r="F750" t="b">
        <v>0</v>
      </c>
      <c r="G750">
        <v>5</v>
      </c>
      <c r="H750">
        <v>2</v>
      </c>
      <c r="I750">
        <v>0.2</v>
      </c>
      <c r="J750">
        <v>138</v>
      </c>
      <c r="K750">
        <v>0.19700000000000001</v>
      </c>
      <c r="L750">
        <v>0.64</v>
      </c>
      <c r="M750">
        <v>0.19400000000000001</v>
      </c>
      <c r="N750">
        <v>4</v>
      </c>
      <c r="O750">
        <v>13</v>
      </c>
      <c r="P750">
        <v>17</v>
      </c>
      <c r="Q750" s="17" t="str">
        <f t="shared" si="35"/>
        <v>Weekends</v>
      </c>
      <c r="R750" s="17" t="str">
        <f t="shared" si="33"/>
        <v>Afternoon</v>
      </c>
      <c r="S750" s="9" t="str">
        <f t="shared" si="34"/>
        <v>Mist</v>
      </c>
    </row>
    <row r="751" spans="1:19" x14ac:dyDescent="0.25">
      <c r="A751">
        <v>140</v>
      </c>
      <c r="B751" s="19">
        <v>40571</v>
      </c>
      <c r="C751">
        <v>1</v>
      </c>
      <c r="D751">
        <v>1</v>
      </c>
      <c r="E751">
        <v>15</v>
      </c>
      <c r="F751" t="b">
        <v>0</v>
      </c>
      <c r="G751">
        <v>5</v>
      </c>
      <c r="H751">
        <v>2</v>
      </c>
      <c r="I751">
        <v>0.2</v>
      </c>
      <c r="J751">
        <v>139</v>
      </c>
      <c r="K751">
        <v>0.19700000000000001</v>
      </c>
      <c r="L751">
        <v>0.69</v>
      </c>
      <c r="M751">
        <v>0.22389999999999999</v>
      </c>
      <c r="N751">
        <v>2</v>
      </c>
      <c r="O751">
        <v>5</v>
      </c>
      <c r="P751">
        <v>7</v>
      </c>
      <c r="Q751" s="17" t="str">
        <f t="shared" si="35"/>
        <v>Weekends</v>
      </c>
      <c r="R751" s="17" t="str">
        <f t="shared" si="33"/>
        <v>Afternoon</v>
      </c>
      <c r="S751" s="9" t="str">
        <f t="shared" si="34"/>
        <v>Mist</v>
      </c>
    </row>
    <row r="752" spans="1:19" x14ac:dyDescent="0.25">
      <c r="A752">
        <v>141</v>
      </c>
      <c r="B752" s="19">
        <v>40571</v>
      </c>
      <c r="C752">
        <v>1</v>
      </c>
      <c r="D752">
        <v>1</v>
      </c>
      <c r="E752">
        <v>15</v>
      </c>
      <c r="F752" t="b">
        <v>0</v>
      </c>
      <c r="G752">
        <v>5</v>
      </c>
      <c r="H752">
        <v>2</v>
      </c>
      <c r="I752">
        <v>0.2</v>
      </c>
      <c r="J752">
        <v>140</v>
      </c>
      <c r="K752">
        <v>0.19700000000000001</v>
      </c>
      <c r="L752">
        <v>0.69</v>
      </c>
      <c r="M752">
        <v>0.22389999999999999</v>
      </c>
      <c r="N752">
        <v>0</v>
      </c>
      <c r="O752">
        <v>1</v>
      </c>
      <c r="P752">
        <v>1</v>
      </c>
      <c r="Q752" s="17" t="str">
        <f t="shared" si="35"/>
        <v>Weekends</v>
      </c>
      <c r="R752" s="17" t="str">
        <f t="shared" si="33"/>
        <v>Afternoon</v>
      </c>
      <c r="S752" s="9" t="str">
        <f t="shared" si="34"/>
        <v>Mist</v>
      </c>
    </row>
    <row r="753" spans="1:19" x14ac:dyDescent="0.25">
      <c r="A753">
        <v>142</v>
      </c>
      <c r="B753" s="19">
        <v>40571</v>
      </c>
      <c r="C753">
        <v>1</v>
      </c>
      <c r="D753">
        <v>1</v>
      </c>
      <c r="E753">
        <v>15</v>
      </c>
      <c r="F753" t="b">
        <v>0</v>
      </c>
      <c r="G753">
        <v>5</v>
      </c>
      <c r="H753">
        <v>2</v>
      </c>
      <c r="I753">
        <v>0.2</v>
      </c>
      <c r="J753">
        <v>141</v>
      </c>
      <c r="K753">
        <v>0.21210000000000001</v>
      </c>
      <c r="L753">
        <v>0.69</v>
      </c>
      <c r="M753">
        <v>0.1343</v>
      </c>
      <c r="N753">
        <v>0</v>
      </c>
      <c r="O753">
        <v>1</v>
      </c>
      <c r="P753">
        <v>1</v>
      </c>
      <c r="Q753" s="17" t="str">
        <f t="shared" si="35"/>
        <v>Weekends</v>
      </c>
      <c r="R753" s="17" t="str">
        <f t="shared" si="33"/>
        <v>Afternoon</v>
      </c>
      <c r="S753" s="9" t="str">
        <f t="shared" si="34"/>
        <v>Mist</v>
      </c>
    </row>
    <row r="754" spans="1:19" x14ac:dyDescent="0.25">
      <c r="A754">
        <v>143</v>
      </c>
      <c r="B754" s="19">
        <v>40571</v>
      </c>
      <c r="C754">
        <v>1</v>
      </c>
      <c r="D754">
        <v>1</v>
      </c>
      <c r="E754">
        <v>15</v>
      </c>
      <c r="F754" t="b">
        <v>0</v>
      </c>
      <c r="G754">
        <v>5</v>
      </c>
      <c r="H754">
        <v>2</v>
      </c>
      <c r="I754">
        <v>0.2</v>
      </c>
      <c r="J754">
        <v>142</v>
      </c>
      <c r="K754">
        <v>0.2727</v>
      </c>
      <c r="L754">
        <v>0.55000000000000004</v>
      </c>
      <c r="M754">
        <v>0</v>
      </c>
      <c r="N754">
        <v>0</v>
      </c>
      <c r="O754">
        <v>5</v>
      </c>
      <c r="P754">
        <v>5</v>
      </c>
      <c r="Q754" s="17" t="str">
        <f t="shared" si="35"/>
        <v>Weekends</v>
      </c>
      <c r="R754" s="17" t="str">
        <f t="shared" si="33"/>
        <v>Afternoon</v>
      </c>
      <c r="S754" s="9" t="str">
        <f t="shared" si="34"/>
        <v>Mist</v>
      </c>
    </row>
    <row r="755" spans="1:19" x14ac:dyDescent="0.25">
      <c r="A755">
        <v>144</v>
      </c>
      <c r="B755" s="19">
        <v>40571</v>
      </c>
      <c r="C755">
        <v>1</v>
      </c>
      <c r="D755">
        <v>1</v>
      </c>
      <c r="E755">
        <v>15</v>
      </c>
      <c r="F755" t="b">
        <v>0</v>
      </c>
      <c r="G755">
        <v>5</v>
      </c>
      <c r="H755">
        <v>2</v>
      </c>
      <c r="I755">
        <v>0.2</v>
      </c>
      <c r="J755">
        <v>143</v>
      </c>
      <c r="K755">
        <v>0.2576</v>
      </c>
      <c r="L755">
        <v>0.69</v>
      </c>
      <c r="M755">
        <v>0</v>
      </c>
      <c r="N755">
        <v>8</v>
      </c>
      <c r="O755">
        <v>26</v>
      </c>
      <c r="P755">
        <v>34</v>
      </c>
      <c r="Q755" s="17" t="str">
        <f t="shared" si="35"/>
        <v>Weekends</v>
      </c>
      <c r="R755" s="17" t="str">
        <f t="shared" si="33"/>
        <v>Afternoon</v>
      </c>
      <c r="S755" s="9" t="str">
        <f t="shared" si="34"/>
        <v>Mist</v>
      </c>
    </row>
    <row r="756" spans="1:19" x14ac:dyDescent="0.25">
      <c r="A756">
        <v>145</v>
      </c>
      <c r="B756" s="19">
        <v>40571</v>
      </c>
      <c r="C756">
        <v>1</v>
      </c>
      <c r="D756">
        <v>1</v>
      </c>
      <c r="E756">
        <v>15</v>
      </c>
      <c r="F756" t="b">
        <v>0</v>
      </c>
      <c r="G756">
        <v>5</v>
      </c>
      <c r="H756">
        <v>2</v>
      </c>
      <c r="I756">
        <v>0.2</v>
      </c>
      <c r="J756">
        <v>144</v>
      </c>
      <c r="K756">
        <v>0.21210000000000001</v>
      </c>
      <c r="L756">
        <v>0.69</v>
      </c>
      <c r="M756">
        <v>0.1343</v>
      </c>
      <c r="N756">
        <v>8</v>
      </c>
      <c r="O756">
        <v>76</v>
      </c>
      <c r="P756">
        <v>84</v>
      </c>
      <c r="Q756" s="17" t="str">
        <f t="shared" si="35"/>
        <v>Weekends</v>
      </c>
      <c r="R756" s="17" t="str">
        <f t="shared" si="33"/>
        <v>Afternoon</v>
      </c>
      <c r="S756" s="9" t="str">
        <f t="shared" si="34"/>
        <v>Mist</v>
      </c>
    </row>
    <row r="757" spans="1:19" x14ac:dyDescent="0.25">
      <c r="A757">
        <v>146</v>
      </c>
      <c r="B757" s="19">
        <v>40571</v>
      </c>
      <c r="C757">
        <v>1</v>
      </c>
      <c r="D757">
        <v>1</v>
      </c>
      <c r="E757">
        <v>15</v>
      </c>
      <c r="F757" t="b">
        <v>0</v>
      </c>
      <c r="G757">
        <v>5</v>
      </c>
      <c r="H757">
        <v>2</v>
      </c>
      <c r="I757">
        <v>0.2</v>
      </c>
      <c r="J757">
        <v>145</v>
      </c>
      <c r="K757">
        <v>0.19700000000000001</v>
      </c>
      <c r="L757">
        <v>0.51</v>
      </c>
      <c r="M757">
        <v>0.25369999999999998</v>
      </c>
      <c r="N757">
        <v>20</v>
      </c>
      <c r="O757">
        <v>190</v>
      </c>
      <c r="P757">
        <v>210</v>
      </c>
      <c r="Q757" s="17" t="str">
        <f t="shared" si="35"/>
        <v>Weekends</v>
      </c>
      <c r="R757" s="17" t="str">
        <f t="shared" si="33"/>
        <v>Afternoon</v>
      </c>
      <c r="S757" s="9" t="str">
        <f t="shared" si="34"/>
        <v>Mist</v>
      </c>
    </row>
    <row r="758" spans="1:19" x14ac:dyDescent="0.25">
      <c r="A758">
        <v>147</v>
      </c>
      <c r="B758" s="19">
        <v>40571</v>
      </c>
      <c r="C758">
        <v>1</v>
      </c>
      <c r="D758">
        <v>1</v>
      </c>
      <c r="E758">
        <v>15</v>
      </c>
      <c r="F758" t="b">
        <v>0</v>
      </c>
      <c r="G758">
        <v>5</v>
      </c>
      <c r="H758">
        <v>2</v>
      </c>
      <c r="I758">
        <v>0.2</v>
      </c>
      <c r="J758">
        <v>146</v>
      </c>
      <c r="K758">
        <v>0.18179999999999999</v>
      </c>
      <c r="L758">
        <v>0.47</v>
      </c>
      <c r="M758">
        <v>0.29849999999999999</v>
      </c>
      <c r="N758">
        <v>9</v>
      </c>
      <c r="O758">
        <v>125</v>
      </c>
      <c r="P758">
        <v>134</v>
      </c>
      <c r="Q758" s="17" t="str">
        <f t="shared" si="35"/>
        <v>Weekends</v>
      </c>
      <c r="R758" s="17" t="str">
        <f t="shared" si="33"/>
        <v>Afternoon</v>
      </c>
      <c r="S758" s="9" t="str">
        <f t="shared" si="34"/>
        <v>Mist</v>
      </c>
    </row>
    <row r="759" spans="1:19" x14ac:dyDescent="0.25">
      <c r="A759">
        <v>148</v>
      </c>
      <c r="B759" s="19">
        <v>40571</v>
      </c>
      <c r="C759">
        <v>1</v>
      </c>
      <c r="D759">
        <v>1</v>
      </c>
      <c r="E759">
        <v>15</v>
      </c>
      <c r="F759" t="b">
        <v>0</v>
      </c>
      <c r="G759">
        <v>5</v>
      </c>
      <c r="H759">
        <v>2</v>
      </c>
      <c r="I759">
        <v>0.2</v>
      </c>
      <c r="J759">
        <v>147</v>
      </c>
      <c r="K759">
        <v>0.19700000000000001</v>
      </c>
      <c r="L759">
        <v>0.37</v>
      </c>
      <c r="M759">
        <v>0.32840000000000003</v>
      </c>
      <c r="N759">
        <v>16</v>
      </c>
      <c r="O759">
        <v>47</v>
      </c>
      <c r="P759">
        <v>63</v>
      </c>
      <c r="Q759" s="17" t="str">
        <f t="shared" si="35"/>
        <v>Weekends</v>
      </c>
      <c r="R759" s="17" t="str">
        <f t="shared" si="33"/>
        <v>Afternoon</v>
      </c>
      <c r="S759" s="9" t="str">
        <f t="shared" si="34"/>
        <v>Mist</v>
      </c>
    </row>
    <row r="760" spans="1:19" x14ac:dyDescent="0.25">
      <c r="A760">
        <v>149</v>
      </c>
      <c r="B760" s="19">
        <v>40571</v>
      </c>
      <c r="C760">
        <v>1</v>
      </c>
      <c r="D760">
        <v>1</v>
      </c>
      <c r="E760">
        <v>15</v>
      </c>
      <c r="F760" t="b">
        <v>0</v>
      </c>
      <c r="G760">
        <v>5</v>
      </c>
      <c r="H760">
        <v>2</v>
      </c>
      <c r="I760">
        <v>0.2</v>
      </c>
      <c r="J760">
        <v>148</v>
      </c>
      <c r="K760">
        <v>0.19700000000000001</v>
      </c>
      <c r="L760">
        <v>0.4</v>
      </c>
      <c r="M760">
        <v>0.22389999999999999</v>
      </c>
      <c r="N760">
        <v>19</v>
      </c>
      <c r="O760">
        <v>48</v>
      </c>
      <c r="P760">
        <v>67</v>
      </c>
      <c r="Q760" s="17" t="str">
        <f t="shared" si="35"/>
        <v>Weekends</v>
      </c>
      <c r="R760" s="17" t="str">
        <f t="shared" si="33"/>
        <v>Afternoon</v>
      </c>
      <c r="S760" s="9" t="str">
        <f t="shared" si="34"/>
        <v>Mist</v>
      </c>
    </row>
    <row r="761" spans="1:19" x14ac:dyDescent="0.25">
      <c r="A761">
        <v>150</v>
      </c>
      <c r="B761" s="19">
        <v>40571</v>
      </c>
      <c r="C761">
        <v>1</v>
      </c>
      <c r="D761">
        <v>1</v>
      </c>
      <c r="E761">
        <v>15</v>
      </c>
      <c r="F761" t="b">
        <v>0</v>
      </c>
      <c r="G761">
        <v>5</v>
      </c>
      <c r="H761">
        <v>2</v>
      </c>
      <c r="I761">
        <v>0.2</v>
      </c>
      <c r="J761">
        <v>149</v>
      </c>
      <c r="K761">
        <v>0.19700000000000001</v>
      </c>
      <c r="L761">
        <v>0.37</v>
      </c>
      <c r="M761">
        <v>0.25369999999999998</v>
      </c>
      <c r="N761">
        <v>9</v>
      </c>
      <c r="O761">
        <v>50</v>
      </c>
      <c r="P761">
        <v>59</v>
      </c>
      <c r="Q761" s="17" t="str">
        <f t="shared" si="35"/>
        <v>Weekends</v>
      </c>
      <c r="R761" s="17" t="str">
        <f t="shared" si="33"/>
        <v>Afternoon</v>
      </c>
      <c r="S761" s="9" t="str">
        <f t="shared" si="34"/>
        <v>Mist</v>
      </c>
    </row>
    <row r="762" spans="1:19" x14ac:dyDescent="0.25">
      <c r="A762">
        <v>151</v>
      </c>
      <c r="B762" s="19">
        <v>40571</v>
      </c>
      <c r="C762">
        <v>1</v>
      </c>
      <c r="D762">
        <v>1</v>
      </c>
      <c r="E762">
        <v>15</v>
      </c>
      <c r="F762" t="b">
        <v>0</v>
      </c>
      <c r="G762">
        <v>5</v>
      </c>
      <c r="H762">
        <v>2</v>
      </c>
      <c r="I762">
        <v>0.2</v>
      </c>
      <c r="J762">
        <v>150</v>
      </c>
      <c r="K762">
        <v>0.18179999999999999</v>
      </c>
      <c r="L762">
        <v>0.37</v>
      </c>
      <c r="M762">
        <v>0.28360000000000002</v>
      </c>
      <c r="N762">
        <v>9</v>
      </c>
      <c r="O762">
        <v>64</v>
      </c>
      <c r="P762">
        <v>73</v>
      </c>
      <c r="Q762" s="17" t="str">
        <f t="shared" si="35"/>
        <v>Weekends</v>
      </c>
      <c r="R762" s="17" t="str">
        <f t="shared" si="33"/>
        <v>Afternoon</v>
      </c>
      <c r="S762" s="9" t="str">
        <f t="shared" si="34"/>
        <v>Mist</v>
      </c>
    </row>
    <row r="763" spans="1:19" x14ac:dyDescent="0.25">
      <c r="A763">
        <v>152</v>
      </c>
      <c r="B763" s="19">
        <v>40571</v>
      </c>
      <c r="C763">
        <v>1</v>
      </c>
      <c r="D763">
        <v>1</v>
      </c>
      <c r="E763">
        <v>15</v>
      </c>
      <c r="F763" t="b">
        <v>0</v>
      </c>
      <c r="G763">
        <v>5</v>
      </c>
      <c r="H763">
        <v>2</v>
      </c>
      <c r="I763">
        <v>0.2</v>
      </c>
      <c r="J763">
        <v>151</v>
      </c>
      <c r="K763">
        <v>0.19700000000000001</v>
      </c>
      <c r="L763">
        <v>0.4</v>
      </c>
      <c r="M763">
        <v>0.25369999999999998</v>
      </c>
      <c r="N763">
        <v>7</v>
      </c>
      <c r="O763">
        <v>43</v>
      </c>
      <c r="P763">
        <v>50</v>
      </c>
      <c r="Q763" s="17" t="str">
        <f t="shared" si="35"/>
        <v>Weekends</v>
      </c>
      <c r="R763" s="17" t="str">
        <f t="shared" si="33"/>
        <v>Afternoon</v>
      </c>
      <c r="S763" s="9" t="str">
        <f t="shared" si="34"/>
        <v>Mist</v>
      </c>
    </row>
    <row r="764" spans="1:19" x14ac:dyDescent="0.25">
      <c r="A764">
        <v>153</v>
      </c>
      <c r="B764" s="19">
        <v>40571</v>
      </c>
      <c r="C764">
        <v>1</v>
      </c>
      <c r="D764">
        <v>1</v>
      </c>
      <c r="E764">
        <v>15</v>
      </c>
      <c r="F764" t="b">
        <v>0</v>
      </c>
      <c r="G764">
        <v>5</v>
      </c>
      <c r="H764">
        <v>2</v>
      </c>
      <c r="I764">
        <v>0.2</v>
      </c>
      <c r="J764">
        <v>152</v>
      </c>
      <c r="K764">
        <v>0.21210000000000001</v>
      </c>
      <c r="L764">
        <v>0.37</v>
      </c>
      <c r="M764">
        <v>0.16420000000000001</v>
      </c>
      <c r="N764">
        <v>9</v>
      </c>
      <c r="O764">
        <v>63</v>
      </c>
      <c r="P764">
        <v>72</v>
      </c>
      <c r="Q764" s="17" t="str">
        <f t="shared" si="35"/>
        <v>Weekends</v>
      </c>
      <c r="R764" s="17" t="str">
        <f t="shared" si="33"/>
        <v>Afternoon</v>
      </c>
      <c r="S764" s="9" t="str">
        <f t="shared" si="34"/>
        <v>Mist</v>
      </c>
    </row>
    <row r="765" spans="1:19" x14ac:dyDescent="0.25">
      <c r="A765">
        <v>154</v>
      </c>
      <c r="B765" s="19">
        <v>40571</v>
      </c>
      <c r="C765">
        <v>1</v>
      </c>
      <c r="D765">
        <v>1</v>
      </c>
      <c r="E765">
        <v>15</v>
      </c>
      <c r="F765" t="b">
        <v>0</v>
      </c>
      <c r="G765">
        <v>5</v>
      </c>
      <c r="H765">
        <v>2</v>
      </c>
      <c r="I765">
        <v>0.2</v>
      </c>
      <c r="J765">
        <v>153</v>
      </c>
      <c r="K765">
        <v>0.21210000000000001</v>
      </c>
      <c r="L765">
        <v>0.37</v>
      </c>
      <c r="M765">
        <v>0.16420000000000001</v>
      </c>
      <c r="N765">
        <v>5</v>
      </c>
      <c r="O765">
        <v>82</v>
      </c>
      <c r="P765">
        <v>87</v>
      </c>
      <c r="Q765" s="17" t="str">
        <f t="shared" si="35"/>
        <v>Weekends</v>
      </c>
      <c r="R765" s="17" t="str">
        <f t="shared" si="33"/>
        <v>Afternoon</v>
      </c>
      <c r="S765" s="9" t="str">
        <f t="shared" si="34"/>
        <v>Mist</v>
      </c>
    </row>
    <row r="766" spans="1:19" x14ac:dyDescent="0.25">
      <c r="A766">
        <v>155</v>
      </c>
      <c r="B766" s="19">
        <v>40571</v>
      </c>
      <c r="C766">
        <v>1</v>
      </c>
      <c r="D766">
        <v>1</v>
      </c>
      <c r="E766">
        <v>15</v>
      </c>
      <c r="F766" t="b">
        <v>0</v>
      </c>
      <c r="G766">
        <v>5</v>
      </c>
      <c r="H766">
        <v>2</v>
      </c>
      <c r="I766">
        <v>0.2</v>
      </c>
      <c r="J766">
        <v>154</v>
      </c>
      <c r="K766">
        <v>0.2576</v>
      </c>
      <c r="L766">
        <v>0.37</v>
      </c>
      <c r="M766">
        <v>0</v>
      </c>
      <c r="N766">
        <v>9</v>
      </c>
      <c r="O766">
        <v>178</v>
      </c>
      <c r="P766">
        <v>187</v>
      </c>
      <c r="Q766" s="17" t="str">
        <f t="shared" si="35"/>
        <v>Weekends</v>
      </c>
      <c r="R766" s="17" t="str">
        <f t="shared" si="33"/>
        <v>Afternoon</v>
      </c>
      <c r="S766" s="9" t="str">
        <f t="shared" si="34"/>
        <v>Mist</v>
      </c>
    </row>
    <row r="767" spans="1:19" x14ac:dyDescent="0.25">
      <c r="A767">
        <v>156</v>
      </c>
      <c r="B767" s="19">
        <v>40571</v>
      </c>
      <c r="C767">
        <v>1</v>
      </c>
      <c r="D767">
        <v>1</v>
      </c>
      <c r="E767">
        <v>15</v>
      </c>
      <c r="F767" t="b">
        <v>0</v>
      </c>
      <c r="G767">
        <v>5</v>
      </c>
      <c r="H767">
        <v>2</v>
      </c>
      <c r="I767">
        <v>0.2</v>
      </c>
      <c r="J767">
        <v>155</v>
      </c>
      <c r="K767">
        <v>0.2273</v>
      </c>
      <c r="L767">
        <v>0.4</v>
      </c>
      <c r="M767">
        <v>8.9599999999999999E-2</v>
      </c>
      <c r="N767">
        <v>7</v>
      </c>
      <c r="O767">
        <v>116</v>
      </c>
      <c r="P767">
        <v>123</v>
      </c>
      <c r="Q767" s="17" t="str">
        <f t="shared" si="35"/>
        <v>Weekends</v>
      </c>
      <c r="R767" s="17" t="str">
        <f t="shared" si="33"/>
        <v>Afternoon</v>
      </c>
      <c r="S767" s="9" t="str">
        <f t="shared" si="34"/>
        <v>Mist</v>
      </c>
    </row>
    <row r="768" spans="1:19" x14ac:dyDescent="0.25">
      <c r="A768">
        <v>157</v>
      </c>
      <c r="B768" s="19">
        <v>40571</v>
      </c>
      <c r="C768">
        <v>1</v>
      </c>
      <c r="D768">
        <v>1</v>
      </c>
      <c r="E768">
        <v>15</v>
      </c>
      <c r="F768" t="b">
        <v>0</v>
      </c>
      <c r="G768">
        <v>5</v>
      </c>
      <c r="H768">
        <v>2</v>
      </c>
      <c r="I768">
        <v>0.2</v>
      </c>
      <c r="J768">
        <v>156</v>
      </c>
      <c r="K768">
        <v>0.19700000000000001</v>
      </c>
      <c r="L768">
        <v>0.55000000000000004</v>
      </c>
      <c r="M768">
        <v>8.9599999999999999E-2</v>
      </c>
      <c r="N768">
        <v>3</v>
      </c>
      <c r="O768">
        <v>92</v>
      </c>
      <c r="P768">
        <v>95</v>
      </c>
      <c r="Q768" s="17" t="str">
        <f t="shared" si="35"/>
        <v>Weekends</v>
      </c>
      <c r="R768" s="17" t="str">
        <f t="shared" si="33"/>
        <v>Afternoon</v>
      </c>
      <c r="S768" s="9" t="str">
        <f t="shared" si="34"/>
        <v>Mist</v>
      </c>
    </row>
    <row r="769" spans="1:19" x14ac:dyDescent="0.25">
      <c r="A769">
        <v>158</v>
      </c>
      <c r="B769" s="19">
        <v>40571</v>
      </c>
      <c r="C769">
        <v>1</v>
      </c>
      <c r="D769">
        <v>1</v>
      </c>
      <c r="E769">
        <v>15</v>
      </c>
      <c r="F769" t="b">
        <v>0</v>
      </c>
      <c r="G769">
        <v>5</v>
      </c>
      <c r="H769">
        <v>2</v>
      </c>
      <c r="I769">
        <v>0.2</v>
      </c>
      <c r="J769">
        <v>157</v>
      </c>
      <c r="K769">
        <v>0.21210000000000001</v>
      </c>
      <c r="L769">
        <v>0.47</v>
      </c>
      <c r="M769">
        <v>0.1045</v>
      </c>
      <c r="N769">
        <v>1</v>
      </c>
      <c r="O769">
        <v>50</v>
      </c>
      <c r="P769">
        <v>51</v>
      </c>
      <c r="Q769" s="17" t="str">
        <f t="shared" si="35"/>
        <v>Weekends</v>
      </c>
      <c r="R769" s="17" t="str">
        <f t="shared" si="33"/>
        <v>Afternoon</v>
      </c>
      <c r="S769" s="9" t="str">
        <f t="shared" si="34"/>
        <v>Mist</v>
      </c>
    </row>
    <row r="770" spans="1:19" x14ac:dyDescent="0.25">
      <c r="A770">
        <v>159</v>
      </c>
      <c r="B770" s="19">
        <v>40571</v>
      </c>
      <c r="C770">
        <v>1</v>
      </c>
      <c r="D770">
        <v>1</v>
      </c>
      <c r="E770">
        <v>15</v>
      </c>
      <c r="F770" t="b">
        <v>0</v>
      </c>
      <c r="G770">
        <v>5</v>
      </c>
      <c r="H770">
        <v>2</v>
      </c>
      <c r="I770">
        <v>0.2</v>
      </c>
      <c r="J770">
        <v>158</v>
      </c>
      <c r="K770">
        <v>0.19700000000000001</v>
      </c>
      <c r="L770">
        <v>0.47</v>
      </c>
      <c r="M770">
        <v>0.1343</v>
      </c>
      <c r="N770">
        <v>0</v>
      </c>
      <c r="O770">
        <v>39</v>
      </c>
      <c r="P770">
        <v>39</v>
      </c>
      <c r="Q770" s="17" t="str">
        <f t="shared" si="35"/>
        <v>Weekends</v>
      </c>
      <c r="R770" s="17" t="str">
        <f t="shared" ref="R770:R833" si="36">IF(E770&lt;12,"Morning",IF(E770&lt;16,"Afternoon",IF(E770&lt;21,"Evening","Night")))</f>
        <v>Afternoon</v>
      </c>
      <c r="S770" s="9" t="str">
        <f t="shared" ref="S770:S833" si="37">IF(H770=1,"Clear",IF(H770=2,"Mist",IF(H770=3,"Light Snow/Rain","Heavy Rain/Snow")))</f>
        <v>Mist</v>
      </c>
    </row>
    <row r="771" spans="1:19" x14ac:dyDescent="0.25">
      <c r="A771">
        <v>160</v>
      </c>
      <c r="B771" s="19">
        <v>40571</v>
      </c>
      <c r="C771">
        <v>1</v>
      </c>
      <c r="D771">
        <v>1</v>
      </c>
      <c r="E771">
        <v>15</v>
      </c>
      <c r="F771" t="b">
        <v>0</v>
      </c>
      <c r="G771">
        <v>5</v>
      </c>
      <c r="H771">
        <v>2</v>
      </c>
      <c r="I771">
        <v>0.2</v>
      </c>
      <c r="J771">
        <v>159</v>
      </c>
      <c r="K771">
        <v>0.19700000000000001</v>
      </c>
      <c r="L771">
        <v>0.43</v>
      </c>
      <c r="M771">
        <v>0.16420000000000001</v>
      </c>
      <c r="N771">
        <v>2</v>
      </c>
      <c r="O771">
        <v>34</v>
      </c>
      <c r="P771">
        <v>36</v>
      </c>
      <c r="Q771" s="17" t="str">
        <f t="shared" ref="Q771:Q834" si="38">IF(G771&gt;=5,"Weekends","Weekdays")</f>
        <v>Weekends</v>
      </c>
      <c r="R771" s="17" t="str">
        <f t="shared" si="36"/>
        <v>Afternoon</v>
      </c>
      <c r="S771" s="9" t="str">
        <f t="shared" si="37"/>
        <v>Mist</v>
      </c>
    </row>
    <row r="772" spans="1:19" x14ac:dyDescent="0.25">
      <c r="A772">
        <v>161</v>
      </c>
      <c r="B772" s="19">
        <v>40571</v>
      </c>
      <c r="C772">
        <v>1</v>
      </c>
      <c r="D772">
        <v>1</v>
      </c>
      <c r="E772">
        <v>15</v>
      </c>
      <c r="F772" t="b">
        <v>0</v>
      </c>
      <c r="G772">
        <v>5</v>
      </c>
      <c r="H772">
        <v>2</v>
      </c>
      <c r="I772">
        <v>0.2</v>
      </c>
      <c r="J772">
        <v>160</v>
      </c>
      <c r="K772">
        <v>0.19700000000000001</v>
      </c>
      <c r="L772">
        <v>0.51</v>
      </c>
      <c r="M772">
        <v>0.16420000000000001</v>
      </c>
      <c r="N772">
        <v>1</v>
      </c>
      <c r="O772">
        <v>14</v>
      </c>
      <c r="P772">
        <v>15</v>
      </c>
      <c r="Q772" s="17" t="str">
        <f t="shared" si="38"/>
        <v>Weekends</v>
      </c>
      <c r="R772" s="17" t="str">
        <f t="shared" si="36"/>
        <v>Afternoon</v>
      </c>
      <c r="S772" s="9" t="str">
        <f t="shared" si="37"/>
        <v>Mist</v>
      </c>
    </row>
    <row r="773" spans="1:19" x14ac:dyDescent="0.25">
      <c r="A773">
        <v>162</v>
      </c>
      <c r="B773" s="19">
        <v>40571</v>
      </c>
      <c r="C773">
        <v>1</v>
      </c>
      <c r="D773">
        <v>1</v>
      </c>
      <c r="E773">
        <v>15</v>
      </c>
      <c r="F773" t="b">
        <v>0</v>
      </c>
      <c r="G773">
        <v>5</v>
      </c>
      <c r="H773">
        <v>2</v>
      </c>
      <c r="I773">
        <v>0.2</v>
      </c>
      <c r="J773">
        <v>161</v>
      </c>
      <c r="K773">
        <v>0.19700000000000001</v>
      </c>
      <c r="L773">
        <v>0.51</v>
      </c>
      <c r="M773">
        <v>0.16420000000000001</v>
      </c>
      <c r="N773">
        <v>1</v>
      </c>
      <c r="O773">
        <v>24</v>
      </c>
      <c r="P773">
        <v>25</v>
      </c>
      <c r="Q773" s="17" t="str">
        <f t="shared" si="38"/>
        <v>Weekends</v>
      </c>
      <c r="R773" s="17" t="str">
        <f t="shared" si="36"/>
        <v>Afternoon</v>
      </c>
      <c r="S773" s="9" t="str">
        <f t="shared" si="37"/>
        <v>Mist</v>
      </c>
    </row>
    <row r="774" spans="1:19" x14ac:dyDescent="0.25">
      <c r="A774">
        <v>163</v>
      </c>
      <c r="B774" s="19">
        <v>40571</v>
      </c>
      <c r="C774">
        <v>1</v>
      </c>
      <c r="D774">
        <v>1</v>
      </c>
      <c r="E774">
        <v>15</v>
      </c>
      <c r="F774" t="b">
        <v>0</v>
      </c>
      <c r="G774">
        <v>5</v>
      </c>
      <c r="H774">
        <v>2</v>
      </c>
      <c r="I774">
        <v>0.2</v>
      </c>
      <c r="J774">
        <v>162</v>
      </c>
      <c r="K774">
        <v>0.21210000000000001</v>
      </c>
      <c r="L774">
        <v>0.55000000000000004</v>
      </c>
      <c r="M774">
        <v>8.9599999999999999E-2</v>
      </c>
      <c r="N774">
        <v>1</v>
      </c>
      <c r="O774">
        <v>15</v>
      </c>
      <c r="P774">
        <v>16</v>
      </c>
      <c r="Q774" s="17" t="str">
        <f t="shared" si="38"/>
        <v>Weekends</v>
      </c>
      <c r="R774" s="17" t="str">
        <f t="shared" si="36"/>
        <v>Afternoon</v>
      </c>
      <c r="S774" s="9" t="str">
        <f t="shared" si="37"/>
        <v>Mist</v>
      </c>
    </row>
    <row r="775" spans="1:19" x14ac:dyDescent="0.25">
      <c r="A775">
        <v>164</v>
      </c>
      <c r="B775" s="19">
        <v>40571</v>
      </c>
      <c r="C775">
        <v>1</v>
      </c>
      <c r="D775">
        <v>1</v>
      </c>
      <c r="E775">
        <v>15</v>
      </c>
      <c r="F775" t="b">
        <v>0</v>
      </c>
      <c r="G775">
        <v>5</v>
      </c>
      <c r="H775">
        <v>2</v>
      </c>
      <c r="I775">
        <v>0.2</v>
      </c>
      <c r="J775">
        <v>163</v>
      </c>
      <c r="K775">
        <v>0.2424</v>
      </c>
      <c r="L775">
        <v>0.55000000000000004</v>
      </c>
      <c r="M775">
        <v>0</v>
      </c>
      <c r="N775">
        <v>3</v>
      </c>
      <c r="O775">
        <v>13</v>
      </c>
      <c r="P775">
        <v>16</v>
      </c>
      <c r="Q775" s="17" t="str">
        <f t="shared" si="38"/>
        <v>Weekends</v>
      </c>
      <c r="R775" s="17" t="str">
        <f t="shared" si="36"/>
        <v>Afternoon</v>
      </c>
      <c r="S775" s="9" t="str">
        <f t="shared" si="37"/>
        <v>Mist</v>
      </c>
    </row>
    <row r="776" spans="1:19" x14ac:dyDescent="0.25">
      <c r="A776">
        <v>165</v>
      </c>
      <c r="B776" s="19">
        <v>40571</v>
      </c>
      <c r="C776">
        <v>1</v>
      </c>
      <c r="D776">
        <v>1</v>
      </c>
      <c r="E776">
        <v>15</v>
      </c>
      <c r="F776" t="b">
        <v>0</v>
      </c>
      <c r="G776">
        <v>5</v>
      </c>
      <c r="H776">
        <v>2</v>
      </c>
      <c r="I776">
        <v>0.2</v>
      </c>
      <c r="J776">
        <v>164</v>
      </c>
      <c r="K776">
        <v>0.19700000000000001</v>
      </c>
      <c r="L776">
        <v>0.55000000000000004</v>
      </c>
      <c r="M776">
        <v>0.16420000000000001</v>
      </c>
      <c r="N776">
        <v>0</v>
      </c>
      <c r="O776">
        <v>7</v>
      </c>
      <c r="P776">
        <v>7</v>
      </c>
      <c r="Q776" s="17" t="str">
        <f t="shared" si="38"/>
        <v>Weekends</v>
      </c>
      <c r="R776" s="17" t="str">
        <f t="shared" si="36"/>
        <v>Afternoon</v>
      </c>
      <c r="S776" s="9" t="str">
        <f t="shared" si="37"/>
        <v>Mist</v>
      </c>
    </row>
    <row r="777" spans="1:19" x14ac:dyDescent="0.25">
      <c r="A777">
        <v>166</v>
      </c>
      <c r="B777" s="19">
        <v>40571</v>
      </c>
      <c r="C777">
        <v>1</v>
      </c>
      <c r="D777">
        <v>1</v>
      </c>
      <c r="E777">
        <v>15</v>
      </c>
      <c r="F777" t="b">
        <v>0</v>
      </c>
      <c r="G777">
        <v>5</v>
      </c>
      <c r="H777">
        <v>2</v>
      </c>
      <c r="I777">
        <v>0.2</v>
      </c>
      <c r="J777">
        <v>165</v>
      </c>
      <c r="K777">
        <v>0.19700000000000001</v>
      </c>
      <c r="L777">
        <v>0.55000000000000004</v>
      </c>
      <c r="M777">
        <v>0.16420000000000001</v>
      </c>
      <c r="N777">
        <v>0</v>
      </c>
      <c r="O777">
        <v>1</v>
      </c>
      <c r="P777">
        <v>1</v>
      </c>
      <c r="Q777" s="17" t="str">
        <f t="shared" si="38"/>
        <v>Weekends</v>
      </c>
      <c r="R777" s="17" t="str">
        <f t="shared" si="36"/>
        <v>Afternoon</v>
      </c>
      <c r="S777" s="9" t="str">
        <f t="shared" si="37"/>
        <v>Mist</v>
      </c>
    </row>
    <row r="778" spans="1:19" x14ac:dyDescent="0.25">
      <c r="A778">
        <v>167</v>
      </c>
      <c r="B778" s="19">
        <v>40571</v>
      </c>
      <c r="C778">
        <v>1</v>
      </c>
      <c r="D778">
        <v>1</v>
      </c>
      <c r="E778">
        <v>15</v>
      </c>
      <c r="F778" t="b">
        <v>0</v>
      </c>
      <c r="G778">
        <v>5</v>
      </c>
      <c r="H778">
        <v>2</v>
      </c>
      <c r="I778">
        <v>0.2</v>
      </c>
      <c r="J778">
        <v>166</v>
      </c>
      <c r="K778">
        <v>0.16669999999999999</v>
      </c>
      <c r="L778">
        <v>0.74</v>
      </c>
      <c r="M778">
        <v>0.16420000000000001</v>
      </c>
      <c r="N778">
        <v>0</v>
      </c>
      <c r="O778">
        <v>5</v>
      </c>
      <c r="P778">
        <v>5</v>
      </c>
      <c r="Q778" s="17" t="str">
        <f t="shared" si="38"/>
        <v>Weekends</v>
      </c>
      <c r="R778" s="17" t="str">
        <f t="shared" si="36"/>
        <v>Afternoon</v>
      </c>
      <c r="S778" s="9" t="str">
        <f t="shared" si="37"/>
        <v>Mist</v>
      </c>
    </row>
    <row r="779" spans="1:19" x14ac:dyDescent="0.25">
      <c r="A779">
        <v>168</v>
      </c>
      <c r="B779" s="19">
        <v>40571</v>
      </c>
      <c r="C779">
        <v>1</v>
      </c>
      <c r="D779">
        <v>1</v>
      </c>
      <c r="E779">
        <v>15</v>
      </c>
      <c r="F779" t="b">
        <v>0</v>
      </c>
      <c r="G779">
        <v>5</v>
      </c>
      <c r="H779">
        <v>2</v>
      </c>
      <c r="I779">
        <v>0.2</v>
      </c>
      <c r="J779">
        <v>167</v>
      </c>
      <c r="K779">
        <v>0.16669999999999999</v>
      </c>
      <c r="L779">
        <v>0.74</v>
      </c>
      <c r="M779">
        <v>0.16420000000000001</v>
      </c>
      <c r="N779">
        <v>0</v>
      </c>
      <c r="O779">
        <v>2</v>
      </c>
      <c r="P779">
        <v>2</v>
      </c>
      <c r="Q779" s="17" t="str">
        <f t="shared" si="38"/>
        <v>Weekends</v>
      </c>
      <c r="R779" s="17" t="str">
        <f t="shared" si="36"/>
        <v>Afternoon</v>
      </c>
      <c r="S779" s="9" t="str">
        <f t="shared" si="37"/>
        <v>Mist</v>
      </c>
    </row>
    <row r="780" spans="1:19" x14ac:dyDescent="0.25">
      <c r="A780">
        <v>169</v>
      </c>
      <c r="B780" s="19">
        <v>40571</v>
      </c>
      <c r="C780">
        <v>1</v>
      </c>
      <c r="D780">
        <v>1</v>
      </c>
      <c r="E780">
        <v>15</v>
      </c>
      <c r="F780" t="b">
        <v>0</v>
      </c>
      <c r="G780">
        <v>5</v>
      </c>
      <c r="H780">
        <v>2</v>
      </c>
      <c r="I780">
        <v>0.2</v>
      </c>
      <c r="J780">
        <v>168</v>
      </c>
      <c r="K780">
        <v>0.18179999999999999</v>
      </c>
      <c r="L780">
        <v>0.74</v>
      </c>
      <c r="M780">
        <v>0.1045</v>
      </c>
      <c r="N780">
        <v>1</v>
      </c>
      <c r="O780">
        <v>8</v>
      </c>
      <c r="P780">
        <v>9</v>
      </c>
      <c r="Q780" s="17" t="str">
        <f t="shared" si="38"/>
        <v>Weekends</v>
      </c>
      <c r="R780" s="17" t="str">
        <f t="shared" si="36"/>
        <v>Afternoon</v>
      </c>
      <c r="S780" s="9" t="str">
        <f t="shared" si="37"/>
        <v>Mist</v>
      </c>
    </row>
    <row r="781" spans="1:19" x14ac:dyDescent="0.25">
      <c r="A781">
        <v>170</v>
      </c>
      <c r="B781" s="19">
        <v>40571</v>
      </c>
      <c r="C781">
        <v>1</v>
      </c>
      <c r="D781">
        <v>1</v>
      </c>
      <c r="E781">
        <v>15</v>
      </c>
      <c r="F781" t="b">
        <v>0</v>
      </c>
      <c r="G781">
        <v>5</v>
      </c>
      <c r="H781">
        <v>2</v>
      </c>
      <c r="I781">
        <v>0.2</v>
      </c>
      <c r="J781">
        <v>169</v>
      </c>
      <c r="K781">
        <v>0.18179999999999999</v>
      </c>
      <c r="L781">
        <v>0.93</v>
      </c>
      <c r="M781">
        <v>0.1045</v>
      </c>
      <c r="N781">
        <v>0</v>
      </c>
      <c r="O781">
        <v>15</v>
      </c>
      <c r="P781">
        <v>15</v>
      </c>
      <c r="Q781" s="17" t="str">
        <f t="shared" si="38"/>
        <v>Weekends</v>
      </c>
      <c r="R781" s="17" t="str">
        <f t="shared" si="36"/>
        <v>Afternoon</v>
      </c>
      <c r="S781" s="9" t="str">
        <f t="shared" si="37"/>
        <v>Mist</v>
      </c>
    </row>
    <row r="782" spans="1:19" x14ac:dyDescent="0.25">
      <c r="A782">
        <v>171</v>
      </c>
      <c r="B782" s="19">
        <v>40571</v>
      </c>
      <c r="C782">
        <v>1</v>
      </c>
      <c r="D782">
        <v>1</v>
      </c>
      <c r="E782">
        <v>15</v>
      </c>
      <c r="F782" t="b">
        <v>0</v>
      </c>
      <c r="G782">
        <v>5</v>
      </c>
      <c r="H782">
        <v>2</v>
      </c>
      <c r="I782">
        <v>0.2</v>
      </c>
      <c r="J782">
        <v>170</v>
      </c>
      <c r="K782">
        <v>0.18179999999999999</v>
      </c>
      <c r="L782">
        <v>0.93</v>
      </c>
      <c r="M782">
        <v>0.1045</v>
      </c>
      <c r="N782">
        <v>0</v>
      </c>
      <c r="O782">
        <v>20</v>
      </c>
      <c r="P782">
        <v>20</v>
      </c>
      <c r="Q782" s="17" t="str">
        <f t="shared" si="38"/>
        <v>Weekends</v>
      </c>
      <c r="R782" s="17" t="str">
        <f t="shared" si="36"/>
        <v>Afternoon</v>
      </c>
      <c r="S782" s="9" t="str">
        <f t="shared" si="37"/>
        <v>Mist</v>
      </c>
    </row>
    <row r="783" spans="1:19" x14ac:dyDescent="0.25">
      <c r="A783">
        <v>172</v>
      </c>
      <c r="B783" s="19">
        <v>40571</v>
      </c>
      <c r="C783">
        <v>1</v>
      </c>
      <c r="D783">
        <v>1</v>
      </c>
      <c r="E783">
        <v>15</v>
      </c>
      <c r="F783" t="b">
        <v>0</v>
      </c>
      <c r="G783">
        <v>5</v>
      </c>
      <c r="H783">
        <v>2</v>
      </c>
      <c r="I783">
        <v>0.2</v>
      </c>
      <c r="J783">
        <v>171</v>
      </c>
      <c r="K783">
        <v>0.19700000000000001</v>
      </c>
      <c r="L783">
        <v>0.8</v>
      </c>
      <c r="M783">
        <v>0.16420000000000001</v>
      </c>
      <c r="N783">
        <v>5</v>
      </c>
      <c r="O783">
        <v>56</v>
      </c>
      <c r="P783">
        <v>61</v>
      </c>
      <c r="Q783" s="17" t="str">
        <f t="shared" si="38"/>
        <v>Weekends</v>
      </c>
      <c r="R783" s="17" t="str">
        <f t="shared" si="36"/>
        <v>Afternoon</v>
      </c>
      <c r="S783" s="9" t="str">
        <f t="shared" si="37"/>
        <v>Mist</v>
      </c>
    </row>
    <row r="784" spans="1:19" x14ac:dyDescent="0.25">
      <c r="A784">
        <v>173</v>
      </c>
      <c r="B784" s="19">
        <v>40571</v>
      </c>
      <c r="C784">
        <v>1</v>
      </c>
      <c r="D784">
        <v>1</v>
      </c>
      <c r="E784">
        <v>15</v>
      </c>
      <c r="F784" t="b">
        <v>0</v>
      </c>
      <c r="G784">
        <v>5</v>
      </c>
      <c r="H784">
        <v>2</v>
      </c>
      <c r="I784">
        <v>0.2</v>
      </c>
      <c r="J784">
        <v>172</v>
      </c>
      <c r="K784">
        <v>0.18179999999999999</v>
      </c>
      <c r="L784">
        <v>0.69</v>
      </c>
      <c r="M784">
        <v>0.3881</v>
      </c>
      <c r="N784">
        <v>2</v>
      </c>
      <c r="O784">
        <v>60</v>
      </c>
      <c r="P784">
        <v>62</v>
      </c>
      <c r="Q784" s="17" t="str">
        <f t="shared" si="38"/>
        <v>Weekends</v>
      </c>
      <c r="R784" s="17" t="str">
        <f t="shared" si="36"/>
        <v>Afternoon</v>
      </c>
      <c r="S784" s="9" t="str">
        <f t="shared" si="37"/>
        <v>Mist</v>
      </c>
    </row>
    <row r="785" spans="1:19" x14ac:dyDescent="0.25">
      <c r="A785">
        <v>174</v>
      </c>
      <c r="B785" s="19">
        <v>40571</v>
      </c>
      <c r="C785">
        <v>1</v>
      </c>
      <c r="D785">
        <v>1</v>
      </c>
      <c r="E785">
        <v>15</v>
      </c>
      <c r="F785" t="b">
        <v>0</v>
      </c>
      <c r="G785">
        <v>5</v>
      </c>
      <c r="H785">
        <v>2</v>
      </c>
      <c r="I785">
        <v>0.2</v>
      </c>
      <c r="J785">
        <v>173</v>
      </c>
      <c r="K785">
        <v>0.18179999999999999</v>
      </c>
      <c r="L785">
        <v>0.59</v>
      </c>
      <c r="M785">
        <v>0.35820000000000002</v>
      </c>
      <c r="N785">
        <v>8</v>
      </c>
      <c r="O785">
        <v>90</v>
      </c>
      <c r="P785">
        <v>98</v>
      </c>
      <c r="Q785" s="17" t="str">
        <f t="shared" si="38"/>
        <v>Weekends</v>
      </c>
      <c r="R785" s="17" t="str">
        <f t="shared" si="36"/>
        <v>Afternoon</v>
      </c>
      <c r="S785" s="9" t="str">
        <f t="shared" si="37"/>
        <v>Mist</v>
      </c>
    </row>
    <row r="786" spans="1:19" x14ac:dyDescent="0.25">
      <c r="A786">
        <v>175</v>
      </c>
      <c r="B786" s="19">
        <v>40571</v>
      </c>
      <c r="C786">
        <v>1</v>
      </c>
      <c r="D786">
        <v>1</v>
      </c>
      <c r="E786">
        <v>15</v>
      </c>
      <c r="F786" t="b">
        <v>0</v>
      </c>
      <c r="G786">
        <v>5</v>
      </c>
      <c r="H786">
        <v>2</v>
      </c>
      <c r="I786">
        <v>0.2</v>
      </c>
      <c r="J786">
        <v>174</v>
      </c>
      <c r="K786">
        <v>0.18179999999999999</v>
      </c>
      <c r="L786">
        <v>0.44</v>
      </c>
      <c r="M786">
        <v>0.32840000000000003</v>
      </c>
      <c r="N786">
        <v>7</v>
      </c>
      <c r="O786">
        <v>95</v>
      </c>
      <c r="P786">
        <v>102</v>
      </c>
      <c r="Q786" s="17" t="str">
        <f t="shared" si="38"/>
        <v>Weekends</v>
      </c>
      <c r="R786" s="17" t="str">
        <f t="shared" si="36"/>
        <v>Afternoon</v>
      </c>
      <c r="S786" s="9" t="str">
        <f t="shared" si="37"/>
        <v>Mist</v>
      </c>
    </row>
    <row r="787" spans="1:19" x14ac:dyDescent="0.25">
      <c r="A787">
        <v>176</v>
      </c>
      <c r="B787" s="19">
        <v>40571</v>
      </c>
      <c r="C787">
        <v>1</v>
      </c>
      <c r="D787">
        <v>1</v>
      </c>
      <c r="E787">
        <v>15</v>
      </c>
      <c r="F787" t="b">
        <v>0</v>
      </c>
      <c r="G787">
        <v>5</v>
      </c>
      <c r="H787">
        <v>2</v>
      </c>
      <c r="I787">
        <v>0.2</v>
      </c>
      <c r="J787">
        <v>175</v>
      </c>
      <c r="K787">
        <v>0.16669999999999999</v>
      </c>
      <c r="L787">
        <v>0.32</v>
      </c>
      <c r="M787">
        <v>0.49249999999999999</v>
      </c>
      <c r="N787">
        <v>12</v>
      </c>
      <c r="O787">
        <v>83</v>
      </c>
      <c r="P787">
        <v>95</v>
      </c>
      <c r="Q787" s="17" t="str">
        <f t="shared" si="38"/>
        <v>Weekends</v>
      </c>
      <c r="R787" s="17" t="str">
        <f t="shared" si="36"/>
        <v>Afternoon</v>
      </c>
      <c r="S787" s="9" t="str">
        <f t="shared" si="37"/>
        <v>Mist</v>
      </c>
    </row>
    <row r="788" spans="1:19" x14ac:dyDescent="0.25">
      <c r="A788">
        <v>177</v>
      </c>
      <c r="B788" s="19">
        <v>40571</v>
      </c>
      <c r="C788">
        <v>1</v>
      </c>
      <c r="D788">
        <v>1</v>
      </c>
      <c r="E788">
        <v>15</v>
      </c>
      <c r="F788" t="b">
        <v>0</v>
      </c>
      <c r="G788">
        <v>5</v>
      </c>
      <c r="H788">
        <v>2</v>
      </c>
      <c r="I788">
        <v>0.2</v>
      </c>
      <c r="J788">
        <v>176</v>
      </c>
      <c r="K788">
        <v>0.16669999999999999</v>
      </c>
      <c r="L788">
        <v>0.32</v>
      </c>
      <c r="M788">
        <v>0.44779999999999998</v>
      </c>
      <c r="N788">
        <v>5</v>
      </c>
      <c r="O788">
        <v>69</v>
      </c>
      <c r="P788">
        <v>74</v>
      </c>
      <c r="Q788" s="17" t="str">
        <f t="shared" si="38"/>
        <v>Weekends</v>
      </c>
      <c r="R788" s="17" t="str">
        <f t="shared" si="36"/>
        <v>Afternoon</v>
      </c>
      <c r="S788" s="9" t="str">
        <f t="shared" si="37"/>
        <v>Mist</v>
      </c>
    </row>
    <row r="789" spans="1:19" x14ac:dyDescent="0.25">
      <c r="A789">
        <v>178</v>
      </c>
      <c r="B789" s="19">
        <v>40571</v>
      </c>
      <c r="C789">
        <v>1</v>
      </c>
      <c r="D789">
        <v>1</v>
      </c>
      <c r="E789">
        <v>15</v>
      </c>
      <c r="F789" t="b">
        <v>0</v>
      </c>
      <c r="G789">
        <v>5</v>
      </c>
      <c r="H789">
        <v>2</v>
      </c>
      <c r="I789">
        <v>0.2</v>
      </c>
      <c r="J789">
        <v>177</v>
      </c>
      <c r="K789">
        <v>0.13639999999999999</v>
      </c>
      <c r="L789">
        <v>0.28999999999999998</v>
      </c>
      <c r="M789">
        <v>0.44779999999999998</v>
      </c>
      <c r="N789">
        <v>8</v>
      </c>
      <c r="O789">
        <v>68</v>
      </c>
      <c r="P789">
        <v>76</v>
      </c>
      <c r="Q789" s="17" t="str">
        <f t="shared" si="38"/>
        <v>Weekends</v>
      </c>
      <c r="R789" s="17" t="str">
        <f t="shared" si="36"/>
        <v>Afternoon</v>
      </c>
      <c r="S789" s="9" t="str">
        <f t="shared" si="37"/>
        <v>Mist</v>
      </c>
    </row>
    <row r="790" spans="1:19" x14ac:dyDescent="0.25">
      <c r="A790">
        <v>179</v>
      </c>
      <c r="B790" s="19">
        <v>40571</v>
      </c>
      <c r="C790">
        <v>1</v>
      </c>
      <c r="D790">
        <v>1</v>
      </c>
      <c r="E790">
        <v>15</v>
      </c>
      <c r="F790" t="b">
        <v>0</v>
      </c>
      <c r="G790">
        <v>5</v>
      </c>
      <c r="H790">
        <v>2</v>
      </c>
      <c r="I790">
        <v>0.2</v>
      </c>
      <c r="J790">
        <v>178</v>
      </c>
      <c r="K790">
        <v>0.1212</v>
      </c>
      <c r="L790">
        <v>0.37</v>
      </c>
      <c r="M790">
        <v>0.55220000000000002</v>
      </c>
      <c r="N790">
        <v>5</v>
      </c>
      <c r="O790">
        <v>64</v>
      </c>
      <c r="P790">
        <v>69</v>
      </c>
      <c r="Q790" s="17" t="str">
        <f t="shared" si="38"/>
        <v>Weekends</v>
      </c>
      <c r="R790" s="17" t="str">
        <f t="shared" si="36"/>
        <v>Afternoon</v>
      </c>
      <c r="S790" s="9" t="str">
        <f t="shared" si="37"/>
        <v>Mist</v>
      </c>
    </row>
    <row r="791" spans="1:19" x14ac:dyDescent="0.25">
      <c r="A791">
        <v>180</v>
      </c>
      <c r="B791" s="19">
        <v>40571</v>
      </c>
      <c r="C791">
        <v>1</v>
      </c>
      <c r="D791">
        <v>1</v>
      </c>
      <c r="E791">
        <v>15</v>
      </c>
      <c r="F791" t="b">
        <v>0</v>
      </c>
      <c r="G791">
        <v>5</v>
      </c>
      <c r="H791">
        <v>2</v>
      </c>
      <c r="I791">
        <v>0.2</v>
      </c>
      <c r="J791">
        <v>179</v>
      </c>
      <c r="K791">
        <v>0.1212</v>
      </c>
      <c r="L791">
        <v>0.39</v>
      </c>
      <c r="M791">
        <v>0.29849999999999999</v>
      </c>
      <c r="N791">
        <v>3</v>
      </c>
      <c r="O791">
        <v>52</v>
      </c>
      <c r="P791">
        <v>55</v>
      </c>
      <c r="Q791" s="17" t="str">
        <f t="shared" si="38"/>
        <v>Weekends</v>
      </c>
      <c r="R791" s="17" t="str">
        <f t="shared" si="36"/>
        <v>Afternoon</v>
      </c>
      <c r="S791" s="9" t="str">
        <f t="shared" si="37"/>
        <v>Mist</v>
      </c>
    </row>
    <row r="792" spans="1:19" x14ac:dyDescent="0.25">
      <c r="A792">
        <v>181</v>
      </c>
      <c r="B792" s="19">
        <v>40571</v>
      </c>
      <c r="C792">
        <v>1</v>
      </c>
      <c r="D792">
        <v>1</v>
      </c>
      <c r="E792">
        <v>15</v>
      </c>
      <c r="F792" t="b">
        <v>0</v>
      </c>
      <c r="G792">
        <v>5</v>
      </c>
      <c r="H792">
        <v>2</v>
      </c>
      <c r="I792">
        <v>0.2</v>
      </c>
      <c r="J792">
        <v>180</v>
      </c>
      <c r="K792">
        <v>0.1212</v>
      </c>
      <c r="L792">
        <v>0.36</v>
      </c>
      <c r="M792">
        <v>0.25369999999999998</v>
      </c>
      <c r="N792">
        <v>4</v>
      </c>
      <c r="O792">
        <v>26</v>
      </c>
      <c r="P792">
        <v>30</v>
      </c>
      <c r="Q792" s="17" t="str">
        <f t="shared" si="38"/>
        <v>Weekends</v>
      </c>
      <c r="R792" s="17" t="str">
        <f t="shared" si="36"/>
        <v>Afternoon</v>
      </c>
      <c r="S792" s="9" t="str">
        <f t="shared" si="37"/>
        <v>Mist</v>
      </c>
    </row>
    <row r="793" spans="1:19" x14ac:dyDescent="0.25">
      <c r="A793">
        <v>182</v>
      </c>
      <c r="B793" s="19">
        <v>40571</v>
      </c>
      <c r="C793">
        <v>1</v>
      </c>
      <c r="D793">
        <v>1</v>
      </c>
      <c r="E793">
        <v>15</v>
      </c>
      <c r="F793" t="b">
        <v>0</v>
      </c>
      <c r="G793">
        <v>5</v>
      </c>
      <c r="H793">
        <v>2</v>
      </c>
      <c r="I793">
        <v>0.2</v>
      </c>
      <c r="J793">
        <v>181</v>
      </c>
      <c r="K793">
        <v>0.1212</v>
      </c>
      <c r="L793">
        <v>0.36</v>
      </c>
      <c r="M793">
        <v>0.25369999999999998</v>
      </c>
      <c r="N793">
        <v>0</v>
      </c>
      <c r="O793">
        <v>28</v>
      </c>
      <c r="P793">
        <v>28</v>
      </c>
      <c r="Q793" s="17" t="str">
        <f t="shared" si="38"/>
        <v>Weekends</v>
      </c>
      <c r="R793" s="17" t="str">
        <f t="shared" si="36"/>
        <v>Afternoon</v>
      </c>
      <c r="S793" s="9" t="str">
        <f t="shared" si="37"/>
        <v>Mist</v>
      </c>
    </row>
    <row r="794" spans="1:19" x14ac:dyDescent="0.25">
      <c r="A794">
        <v>183</v>
      </c>
      <c r="B794" s="19">
        <v>40571</v>
      </c>
      <c r="C794">
        <v>1</v>
      </c>
      <c r="D794">
        <v>1</v>
      </c>
      <c r="E794">
        <v>15</v>
      </c>
      <c r="F794" t="b">
        <v>0</v>
      </c>
      <c r="G794">
        <v>5</v>
      </c>
      <c r="H794">
        <v>2</v>
      </c>
      <c r="I794">
        <v>0.2</v>
      </c>
      <c r="J794">
        <v>182</v>
      </c>
      <c r="K794">
        <v>0.1061</v>
      </c>
      <c r="L794">
        <v>0.39</v>
      </c>
      <c r="M794">
        <v>0.35820000000000002</v>
      </c>
      <c r="N794">
        <v>2</v>
      </c>
      <c r="O794">
        <v>35</v>
      </c>
      <c r="P794">
        <v>37</v>
      </c>
      <c r="Q794" s="17" t="str">
        <f t="shared" si="38"/>
        <v>Weekends</v>
      </c>
      <c r="R794" s="17" t="str">
        <f t="shared" si="36"/>
        <v>Afternoon</v>
      </c>
      <c r="S794" s="9" t="str">
        <f t="shared" si="37"/>
        <v>Mist</v>
      </c>
    </row>
    <row r="795" spans="1:19" x14ac:dyDescent="0.25">
      <c r="A795">
        <v>184</v>
      </c>
      <c r="B795" s="19">
        <v>40571</v>
      </c>
      <c r="C795">
        <v>1</v>
      </c>
      <c r="D795">
        <v>1</v>
      </c>
      <c r="E795">
        <v>15</v>
      </c>
      <c r="F795" t="b">
        <v>0</v>
      </c>
      <c r="G795">
        <v>5</v>
      </c>
      <c r="H795">
        <v>2</v>
      </c>
      <c r="I795">
        <v>0.2</v>
      </c>
      <c r="J795">
        <v>183</v>
      </c>
      <c r="K795">
        <v>0.1061</v>
      </c>
      <c r="L795">
        <v>0.36</v>
      </c>
      <c r="M795">
        <v>0.3881</v>
      </c>
      <c r="N795">
        <v>1</v>
      </c>
      <c r="O795">
        <v>33</v>
      </c>
      <c r="P795">
        <v>34</v>
      </c>
      <c r="Q795" s="17" t="str">
        <f t="shared" si="38"/>
        <v>Weekends</v>
      </c>
      <c r="R795" s="17" t="str">
        <f t="shared" si="36"/>
        <v>Afternoon</v>
      </c>
      <c r="S795" s="9" t="str">
        <f t="shared" si="37"/>
        <v>Mist</v>
      </c>
    </row>
    <row r="796" spans="1:19" x14ac:dyDescent="0.25">
      <c r="A796">
        <v>185</v>
      </c>
      <c r="B796" s="19">
        <v>40571</v>
      </c>
      <c r="C796">
        <v>1</v>
      </c>
      <c r="D796">
        <v>1</v>
      </c>
      <c r="E796">
        <v>15</v>
      </c>
      <c r="F796" t="b">
        <v>0</v>
      </c>
      <c r="G796">
        <v>5</v>
      </c>
      <c r="H796">
        <v>2</v>
      </c>
      <c r="I796">
        <v>0.2</v>
      </c>
      <c r="J796">
        <v>184</v>
      </c>
      <c r="K796">
        <v>6.0600000000000001E-2</v>
      </c>
      <c r="L796">
        <v>0.39</v>
      </c>
      <c r="M796">
        <v>0.44779999999999998</v>
      </c>
      <c r="N796">
        <v>0</v>
      </c>
      <c r="O796">
        <v>22</v>
      </c>
      <c r="P796">
        <v>22</v>
      </c>
      <c r="Q796" s="17" t="str">
        <f t="shared" si="38"/>
        <v>Weekends</v>
      </c>
      <c r="R796" s="17" t="str">
        <f t="shared" si="36"/>
        <v>Afternoon</v>
      </c>
      <c r="S796" s="9" t="str">
        <f t="shared" si="37"/>
        <v>Mist</v>
      </c>
    </row>
    <row r="797" spans="1:19" x14ac:dyDescent="0.25">
      <c r="A797">
        <v>186</v>
      </c>
      <c r="B797" s="19">
        <v>40571</v>
      </c>
      <c r="C797">
        <v>1</v>
      </c>
      <c r="D797">
        <v>1</v>
      </c>
      <c r="E797">
        <v>15</v>
      </c>
      <c r="F797" t="b">
        <v>0</v>
      </c>
      <c r="G797">
        <v>5</v>
      </c>
      <c r="H797">
        <v>2</v>
      </c>
      <c r="I797">
        <v>0.2</v>
      </c>
      <c r="J797">
        <v>185</v>
      </c>
      <c r="K797">
        <v>7.5800000000000006E-2</v>
      </c>
      <c r="L797">
        <v>0.42</v>
      </c>
      <c r="M797">
        <v>0.3881</v>
      </c>
      <c r="N797">
        <v>1</v>
      </c>
      <c r="O797">
        <v>24</v>
      </c>
      <c r="P797">
        <v>25</v>
      </c>
      <c r="Q797" s="17" t="str">
        <f t="shared" si="38"/>
        <v>Weekends</v>
      </c>
      <c r="R797" s="17" t="str">
        <f t="shared" si="36"/>
        <v>Afternoon</v>
      </c>
      <c r="S797" s="9" t="str">
        <f t="shared" si="37"/>
        <v>Mist</v>
      </c>
    </row>
    <row r="798" spans="1:19" x14ac:dyDescent="0.25">
      <c r="A798">
        <v>187</v>
      </c>
      <c r="B798" s="19">
        <v>40571</v>
      </c>
      <c r="C798">
        <v>1</v>
      </c>
      <c r="D798">
        <v>1</v>
      </c>
      <c r="E798">
        <v>15</v>
      </c>
      <c r="F798" t="b">
        <v>0</v>
      </c>
      <c r="G798">
        <v>5</v>
      </c>
      <c r="H798">
        <v>2</v>
      </c>
      <c r="I798">
        <v>0.2</v>
      </c>
      <c r="J798">
        <v>186</v>
      </c>
      <c r="K798">
        <v>6.0600000000000001E-2</v>
      </c>
      <c r="L798">
        <v>0.42</v>
      </c>
      <c r="M798">
        <v>0.4627</v>
      </c>
      <c r="N798">
        <v>0</v>
      </c>
      <c r="O798">
        <v>12</v>
      </c>
      <c r="P798">
        <v>12</v>
      </c>
      <c r="Q798" s="17" t="str">
        <f t="shared" si="38"/>
        <v>Weekends</v>
      </c>
      <c r="R798" s="17" t="str">
        <f t="shared" si="36"/>
        <v>Afternoon</v>
      </c>
      <c r="S798" s="9" t="str">
        <f t="shared" si="37"/>
        <v>Mist</v>
      </c>
    </row>
    <row r="799" spans="1:19" x14ac:dyDescent="0.25">
      <c r="A799">
        <v>188</v>
      </c>
      <c r="B799" s="19">
        <v>40571</v>
      </c>
      <c r="C799">
        <v>1</v>
      </c>
      <c r="D799">
        <v>1</v>
      </c>
      <c r="E799">
        <v>15</v>
      </c>
      <c r="F799" t="b">
        <v>0</v>
      </c>
      <c r="G799">
        <v>5</v>
      </c>
      <c r="H799">
        <v>2</v>
      </c>
      <c r="I799">
        <v>0.2</v>
      </c>
      <c r="J799">
        <v>187</v>
      </c>
      <c r="K799">
        <v>6.0600000000000001E-2</v>
      </c>
      <c r="L799">
        <v>0.46</v>
      </c>
      <c r="M799">
        <v>0.4627</v>
      </c>
      <c r="N799">
        <v>0</v>
      </c>
      <c r="O799">
        <v>11</v>
      </c>
      <c r="P799">
        <v>11</v>
      </c>
      <c r="Q799" s="17" t="str">
        <f t="shared" si="38"/>
        <v>Weekends</v>
      </c>
      <c r="R799" s="17" t="str">
        <f t="shared" si="36"/>
        <v>Afternoon</v>
      </c>
      <c r="S799" s="9" t="str">
        <f t="shared" si="37"/>
        <v>Mist</v>
      </c>
    </row>
    <row r="800" spans="1:19" x14ac:dyDescent="0.25">
      <c r="A800">
        <v>189</v>
      </c>
      <c r="B800" s="19">
        <v>40571</v>
      </c>
      <c r="C800">
        <v>1</v>
      </c>
      <c r="D800">
        <v>1</v>
      </c>
      <c r="E800">
        <v>15</v>
      </c>
      <c r="F800" t="b">
        <v>0</v>
      </c>
      <c r="G800">
        <v>5</v>
      </c>
      <c r="H800">
        <v>2</v>
      </c>
      <c r="I800">
        <v>0.2</v>
      </c>
      <c r="J800">
        <v>188</v>
      </c>
      <c r="K800">
        <v>7.5800000000000006E-2</v>
      </c>
      <c r="L800">
        <v>0.46</v>
      </c>
      <c r="M800">
        <v>0.41789999999999999</v>
      </c>
      <c r="N800">
        <v>0</v>
      </c>
      <c r="O800">
        <v>4</v>
      </c>
      <c r="P800">
        <v>4</v>
      </c>
      <c r="Q800" s="17" t="str">
        <f t="shared" si="38"/>
        <v>Weekends</v>
      </c>
      <c r="R800" s="17" t="str">
        <f t="shared" si="36"/>
        <v>Afternoon</v>
      </c>
      <c r="S800" s="9" t="str">
        <f t="shared" si="37"/>
        <v>Mist</v>
      </c>
    </row>
    <row r="801" spans="1:19" x14ac:dyDescent="0.25">
      <c r="A801">
        <v>190</v>
      </c>
      <c r="B801" s="19">
        <v>40571</v>
      </c>
      <c r="C801">
        <v>1</v>
      </c>
      <c r="D801">
        <v>1</v>
      </c>
      <c r="E801">
        <v>15</v>
      </c>
      <c r="F801" t="b">
        <v>0</v>
      </c>
      <c r="G801">
        <v>5</v>
      </c>
      <c r="H801">
        <v>2</v>
      </c>
      <c r="I801">
        <v>0.2</v>
      </c>
      <c r="J801">
        <v>189</v>
      </c>
      <c r="K801">
        <v>9.0899999999999995E-2</v>
      </c>
      <c r="L801">
        <v>0.53</v>
      </c>
      <c r="M801">
        <v>0.19400000000000001</v>
      </c>
      <c r="N801">
        <v>0</v>
      </c>
      <c r="O801">
        <v>1</v>
      </c>
      <c r="P801">
        <v>1</v>
      </c>
      <c r="Q801" s="17" t="str">
        <f t="shared" si="38"/>
        <v>Weekends</v>
      </c>
      <c r="R801" s="17" t="str">
        <f t="shared" si="36"/>
        <v>Afternoon</v>
      </c>
      <c r="S801" s="9" t="str">
        <f t="shared" si="37"/>
        <v>Mist</v>
      </c>
    </row>
    <row r="802" spans="1:19" x14ac:dyDescent="0.25">
      <c r="A802">
        <v>191</v>
      </c>
      <c r="B802" s="19">
        <v>40571</v>
      </c>
      <c r="C802">
        <v>1</v>
      </c>
      <c r="D802">
        <v>1</v>
      </c>
      <c r="E802">
        <v>15</v>
      </c>
      <c r="F802" t="b">
        <v>0</v>
      </c>
      <c r="G802">
        <v>5</v>
      </c>
      <c r="H802">
        <v>2</v>
      </c>
      <c r="I802">
        <v>0.2</v>
      </c>
      <c r="J802">
        <v>190</v>
      </c>
      <c r="K802">
        <v>9.0899999999999995E-2</v>
      </c>
      <c r="L802">
        <v>0.53</v>
      </c>
      <c r="M802">
        <v>0.19400000000000001</v>
      </c>
      <c r="N802">
        <v>0</v>
      </c>
      <c r="O802">
        <v>1</v>
      </c>
      <c r="P802">
        <v>1</v>
      </c>
      <c r="Q802" s="17" t="str">
        <f t="shared" si="38"/>
        <v>Weekends</v>
      </c>
      <c r="R802" s="17" t="str">
        <f t="shared" si="36"/>
        <v>Afternoon</v>
      </c>
      <c r="S802" s="9" t="str">
        <f t="shared" si="37"/>
        <v>Mist</v>
      </c>
    </row>
    <row r="803" spans="1:19" x14ac:dyDescent="0.25">
      <c r="A803">
        <v>192</v>
      </c>
      <c r="B803" s="19">
        <v>40571</v>
      </c>
      <c r="C803">
        <v>1</v>
      </c>
      <c r="D803">
        <v>1</v>
      </c>
      <c r="E803">
        <v>15</v>
      </c>
      <c r="F803" t="b">
        <v>0</v>
      </c>
      <c r="G803">
        <v>5</v>
      </c>
      <c r="H803">
        <v>2</v>
      </c>
      <c r="I803">
        <v>0.2</v>
      </c>
      <c r="J803">
        <v>191</v>
      </c>
      <c r="K803">
        <v>9.0899999999999995E-2</v>
      </c>
      <c r="L803">
        <v>0.49</v>
      </c>
      <c r="M803">
        <v>0.28360000000000002</v>
      </c>
      <c r="N803">
        <v>0</v>
      </c>
      <c r="O803">
        <v>1</v>
      </c>
      <c r="P803">
        <v>1</v>
      </c>
      <c r="Q803" s="17" t="str">
        <f t="shared" si="38"/>
        <v>Weekends</v>
      </c>
      <c r="R803" s="17" t="str">
        <f t="shared" si="36"/>
        <v>Afternoon</v>
      </c>
      <c r="S803" s="9" t="str">
        <f t="shared" si="37"/>
        <v>Mist</v>
      </c>
    </row>
    <row r="804" spans="1:19" x14ac:dyDescent="0.25">
      <c r="A804">
        <v>193</v>
      </c>
      <c r="B804" s="19">
        <v>40571</v>
      </c>
      <c r="C804">
        <v>1</v>
      </c>
      <c r="D804">
        <v>1</v>
      </c>
      <c r="E804">
        <v>15</v>
      </c>
      <c r="F804" t="b">
        <v>0</v>
      </c>
      <c r="G804">
        <v>5</v>
      </c>
      <c r="H804">
        <v>2</v>
      </c>
      <c r="I804">
        <v>0.2</v>
      </c>
      <c r="J804">
        <v>192</v>
      </c>
      <c r="K804">
        <v>9.0899999999999995E-2</v>
      </c>
      <c r="L804">
        <v>0.53</v>
      </c>
      <c r="M804">
        <v>0.19400000000000001</v>
      </c>
      <c r="N804">
        <v>1</v>
      </c>
      <c r="O804">
        <v>5</v>
      </c>
      <c r="P804">
        <v>6</v>
      </c>
      <c r="Q804" s="17" t="str">
        <f t="shared" si="38"/>
        <v>Weekends</v>
      </c>
      <c r="R804" s="17" t="str">
        <f t="shared" si="36"/>
        <v>Afternoon</v>
      </c>
      <c r="S804" s="9" t="str">
        <f t="shared" si="37"/>
        <v>Mist</v>
      </c>
    </row>
    <row r="805" spans="1:19" x14ac:dyDescent="0.25">
      <c r="A805">
        <v>194</v>
      </c>
      <c r="B805" s="19">
        <v>40571</v>
      </c>
      <c r="C805">
        <v>1</v>
      </c>
      <c r="D805">
        <v>1</v>
      </c>
      <c r="E805">
        <v>15</v>
      </c>
      <c r="F805" t="b">
        <v>0</v>
      </c>
      <c r="G805">
        <v>5</v>
      </c>
      <c r="H805">
        <v>2</v>
      </c>
      <c r="I805">
        <v>0.2</v>
      </c>
      <c r="J805">
        <v>193</v>
      </c>
      <c r="K805">
        <v>9.0899999999999995E-2</v>
      </c>
      <c r="L805">
        <v>0.49</v>
      </c>
      <c r="M805">
        <v>0.28360000000000002</v>
      </c>
      <c r="N805">
        <v>0</v>
      </c>
      <c r="O805">
        <v>10</v>
      </c>
      <c r="P805">
        <v>10</v>
      </c>
      <c r="Q805" s="17" t="str">
        <f t="shared" si="38"/>
        <v>Weekends</v>
      </c>
      <c r="R805" s="17" t="str">
        <f t="shared" si="36"/>
        <v>Afternoon</v>
      </c>
      <c r="S805" s="9" t="str">
        <f t="shared" si="37"/>
        <v>Mist</v>
      </c>
    </row>
    <row r="806" spans="1:19" x14ac:dyDescent="0.25">
      <c r="A806">
        <v>195</v>
      </c>
      <c r="B806" s="19">
        <v>40571</v>
      </c>
      <c r="C806">
        <v>1</v>
      </c>
      <c r="D806">
        <v>1</v>
      </c>
      <c r="E806">
        <v>15</v>
      </c>
      <c r="F806" t="b">
        <v>0</v>
      </c>
      <c r="G806">
        <v>5</v>
      </c>
      <c r="H806">
        <v>2</v>
      </c>
      <c r="I806">
        <v>0.2</v>
      </c>
      <c r="J806">
        <v>194</v>
      </c>
      <c r="K806">
        <v>7.5800000000000006E-2</v>
      </c>
      <c r="L806">
        <v>0.46</v>
      </c>
      <c r="M806">
        <v>0.52239999999999998</v>
      </c>
      <c r="N806">
        <v>0</v>
      </c>
      <c r="O806">
        <v>19</v>
      </c>
      <c r="P806">
        <v>19</v>
      </c>
      <c r="Q806" s="17" t="str">
        <f t="shared" si="38"/>
        <v>Weekends</v>
      </c>
      <c r="R806" s="17" t="str">
        <f t="shared" si="36"/>
        <v>Afternoon</v>
      </c>
      <c r="S806" s="9" t="str">
        <f t="shared" si="37"/>
        <v>Mist</v>
      </c>
    </row>
    <row r="807" spans="1:19" x14ac:dyDescent="0.25">
      <c r="A807">
        <v>196</v>
      </c>
      <c r="B807" s="19">
        <v>40571</v>
      </c>
      <c r="C807">
        <v>1</v>
      </c>
      <c r="D807">
        <v>1</v>
      </c>
      <c r="E807">
        <v>15</v>
      </c>
      <c r="F807" t="b">
        <v>0</v>
      </c>
      <c r="G807">
        <v>5</v>
      </c>
      <c r="H807">
        <v>2</v>
      </c>
      <c r="I807">
        <v>0.2</v>
      </c>
      <c r="J807">
        <v>195</v>
      </c>
      <c r="K807">
        <v>0.1061</v>
      </c>
      <c r="L807">
        <v>0.43</v>
      </c>
      <c r="M807">
        <v>0.3881</v>
      </c>
      <c r="N807">
        <v>0</v>
      </c>
      <c r="O807">
        <v>49</v>
      </c>
      <c r="P807">
        <v>49</v>
      </c>
      <c r="Q807" s="17" t="str">
        <f t="shared" si="38"/>
        <v>Weekends</v>
      </c>
      <c r="R807" s="17" t="str">
        <f t="shared" si="36"/>
        <v>Afternoon</v>
      </c>
      <c r="S807" s="9" t="str">
        <f t="shared" si="37"/>
        <v>Mist</v>
      </c>
    </row>
    <row r="808" spans="1:19" x14ac:dyDescent="0.25">
      <c r="A808">
        <v>197</v>
      </c>
      <c r="B808" s="19">
        <v>40571</v>
      </c>
      <c r="C808">
        <v>1</v>
      </c>
      <c r="D808">
        <v>1</v>
      </c>
      <c r="E808">
        <v>15</v>
      </c>
      <c r="F808" t="b">
        <v>0</v>
      </c>
      <c r="G808">
        <v>5</v>
      </c>
      <c r="H808">
        <v>2</v>
      </c>
      <c r="I808">
        <v>0.2</v>
      </c>
      <c r="J808">
        <v>196</v>
      </c>
      <c r="K808">
        <v>0.1212</v>
      </c>
      <c r="L808">
        <v>0.4</v>
      </c>
      <c r="M808">
        <v>0.52239999999999998</v>
      </c>
      <c r="N808">
        <v>2</v>
      </c>
      <c r="O808">
        <v>47</v>
      </c>
      <c r="P808">
        <v>49</v>
      </c>
      <c r="Q808" s="17" t="str">
        <f t="shared" si="38"/>
        <v>Weekends</v>
      </c>
      <c r="R808" s="17" t="str">
        <f t="shared" si="36"/>
        <v>Afternoon</v>
      </c>
      <c r="S808" s="9" t="str">
        <f t="shared" si="37"/>
        <v>Mist</v>
      </c>
    </row>
    <row r="809" spans="1:19" x14ac:dyDescent="0.25">
      <c r="A809">
        <v>198</v>
      </c>
      <c r="B809" s="19">
        <v>40571</v>
      </c>
      <c r="C809">
        <v>1</v>
      </c>
      <c r="D809">
        <v>1</v>
      </c>
      <c r="E809">
        <v>15</v>
      </c>
      <c r="F809" t="b">
        <v>0</v>
      </c>
      <c r="G809">
        <v>5</v>
      </c>
      <c r="H809">
        <v>2</v>
      </c>
      <c r="I809">
        <v>0.2</v>
      </c>
      <c r="J809">
        <v>197</v>
      </c>
      <c r="K809">
        <v>0.13639999999999999</v>
      </c>
      <c r="L809">
        <v>0.37</v>
      </c>
      <c r="M809">
        <v>0.44779999999999998</v>
      </c>
      <c r="N809">
        <v>4</v>
      </c>
      <c r="O809">
        <v>79</v>
      </c>
      <c r="P809">
        <v>83</v>
      </c>
      <c r="Q809" s="17" t="str">
        <f t="shared" si="38"/>
        <v>Weekends</v>
      </c>
      <c r="R809" s="17" t="str">
        <f t="shared" si="36"/>
        <v>Afternoon</v>
      </c>
      <c r="S809" s="9" t="str">
        <f t="shared" si="37"/>
        <v>Mist</v>
      </c>
    </row>
    <row r="810" spans="1:19" x14ac:dyDescent="0.25">
      <c r="A810">
        <v>199</v>
      </c>
      <c r="B810" s="19">
        <v>40571</v>
      </c>
      <c r="C810">
        <v>1</v>
      </c>
      <c r="D810">
        <v>1</v>
      </c>
      <c r="E810">
        <v>15</v>
      </c>
      <c r="F810" t="b">
        <v>0</v>
      </c>
      <c r="G810">
        <v>5</v>
      </c>
      <c r="H810">
        <v>2</v>
      </c>
      <c r="I810">
        <v>0.2</v>
      </c>
      <c r="J810">
        <v>198</v>
      </c>
      <c r="K810">
        <v>0.16669999999999999</v>
      </c>
      <c r="L810">
        <v>0.34</v>
      </c>
      <c r="M810">
        <v>0.44779999999999998</v>
      </c>
      <c r="N810">
        <v>6</v>
      </c>
      <c r="O810">
        <v>69</v>
      </c>
      <c r="P810">
        <v>75</v>
      </c>
      <c r="Q810" s="17" t="str">
        <f t="shared" si="38"/>
        <v>Weekends</v>
      </c>
      <c r="R810" s="17" t="str">
        <f t="shared" si="36"/>
        <v>Afternoon</v>
      </c>
      <c r="S810" s="9" t="str">
        <f t="shared" si="37"/>
        <v>Mist</v>
      </c>
    </row>
    <row r="811" spans="1:19" x14ac:dyDescent="0.25">
      <c r="A811">
        <v>200</v>
      </c>
      <c r="B811" s="19">
        <v>40571</v>
      </c>
      <c r="C811">
        <v>1</v>
      </c>
      <c r="D811">
        <v>1</v>
      </c>
      <c r="E811">
        <v>15</v>
      </c>
      <c r="F811" t="b">
        <v>0</v>
      </c>
      <c r="G811">
        <v>5</v>
      </c>
      <c r="H811">
        <v>2</v>
      </c>
      <c r="I811">
        <v>0.2</v>
      </c>
      <c r="J811">
        <v>199</v>
      </c>
      <c r="K811">
        <v>0.18179999999999999</v>
      </c>
      <c r="L811">
        <v>0.32</v>
      </c>
      <c r="M811">
        <v>0.4627</v>
      </c>
      <c r="N811">
        <v>8</v>
      </c>
      <c r="O811">
        <v>64</v>
      </c>
      <c r="P811">
        <v>72</v>
      </c>
      <c r="Q811" s="17" t="str">
        <f t="shared" si="38"/>
        <v>Weekends</v>
      </c>
      <c r="R811" s="17" t="str">
        <f t="shared" si="36"/>
        <v>Afternoon</v>
      </c>
      <c r="S811" s="9" t="str">
        <f t="shared" si="37"/>
        <v>Mist</v>
      </c>
    </row>
    <row r="812" spans="1:19" x14ac:dyDescent="0.25">
      <c r="A812">
        <v>201</v>
      </c>
      <c r="B812" s="19">
        <v>40571</v>
      </c>
      <c r="C812">
        <v>1</v>
      </c>
      <c r="D812">
        <v>1</v>
      </c>
      <c r="E812">
        <v>15</v>
      </c>
      <c r="F812" t="b">
        <v>0</v>
      </c>
      <c r="G812">
        <v>5</v>
      </c>
      <c r="H812">
        <v>2</v>
      </c>
      <c r="I812">
        <v>0.2</v>
      </c>
      <c r="J812">
        <v>200</v>
      </c>
      <c r="K812">
        <v>0.19700000000000001</v>
      </c>
      <c r="L812">
        <v>0.35</v>
      </c>
      <c r="M812">
        <v>0.35820000000000002</v>
      </c>
      <c r="N812">
        <v>5</v>
      </c>
      <c r="O812">
        <v>77</v>
      </c>
      <c r="P812">
        <v>82</v>
      </c>
      <c r="Q812" s="17" t="str">
        <f t="shared" si="38"/>
        <v>Weekends</v>
      </c>
      <c r="R812" s="17" t="str">
        <f t="shared" si="36"/>
        <v>Afternoon</v>
      </c>
      <c r="S812" s="9" t="str">
        <f t="shared" si="37"/>
        <v>Mist</v>
      </c>
    </row>
    <row r="813" spans="1:19" x14ac:dyDescent="0.25">
      <c r="A813">
        <v>202</v>
      </c>
      <c r="B813" s="19">
        <v>40571</v>
      </c>
      <c r="C813">
        <v>1</v>
      </c>
      <c r="D813">
        <v>1</v>
      </c>
      <c r="E813">
        <v>15</v>
      </c>
      <c r="F813" t="b">
        <v>0</v>
      </c>
      <c r="G813">
        <v>5</v>
      </c>
      <c r="H813">
        <v>2</v>
      </c>
      <c r="I813">
        <v>0.2</v>
      </c>
      <c r="J813">
        <v>201</v>
      </c>
      <c r="K813">
        <v>0.16669999999999999</v>
      </c>
      <c r="L813">
        <v>0.34</v>
      </c>
      <c r="M813">
        <v>0.44779999999999998</v>
      </c>
      <c r="N813">
        <v>13</v>
      </c>
      <c r="O813">
        <v>79</v>
      </c>
      <c r="P813">
        <v>92</v>
      </c>
      <c r="Q813" s="17" t="str">
        <f t="shared" si="38"/>
        <v>Weekends</v>
      </c>
      <c r="R813" s="17" t="str">
        <f t="shared" si="36"/>
        <v>Afternoon</v>
      </c>
      <c r="S813" s="9" t="str">
        <f t="shared" si="37"/>
        <v>Mist</v>
      </c>
    </row>
    <row r="814" spans="1:19" x14ac:dyDescent="0.25">
      <c r="A814">
        <v>203</v>
      </c>
      <c r="B814" s="19">
        <v>40571</v>
      </c>
      <c r="C814">
        <v>1</v>
      </c>
      <c r="D814">
        <v>1</v>
      </c>
      <c r="E814">
        <v>15</v>
      </c>
      <c r="F814" t="b">
        <v>0</v>
      </c>
      <c r="G814">
        <v>5</v>
      </c>
      <c r="H814">
        <v>2</v>
      </c>
      <c r="I814">
        <v>0.2</v>
      </c>
      <c r="J814">
        <v>202</v>
      </c>
      <c r="K814">
        <v>0.1515</v>
      </c>
      <c r="L814">
        <v>0.37</v>
      </c>
      <c r="M814">
        <v>0.3881</v>
      </c>
      <c r="N814">
        <v>3</v>
      </c>
      <c r="O814">
        <v>59</v>
      </c>
      <c r="P814">
        <v>62</v>
      </c>
      <c r="Q814" s="17" t="str">
        <f t="shared" si="38"/>
        <v>Weekends</v>
      </c>
      <c r="R814" s="17" t="str">
        <f t="shared" si="36"/>
        <v>Afternoon</v>
      </c>
      <c r="S814" s="9" t="str">
        <f t="shared" si="37"/>
        <v>Mist</v>
      </c>
    </row>
    <row r="815" spans="1:19" x14ac:dyDescent="0.25">
      <c r="A815">
        <v>204</v>
      </c>
      <c r="B815" s="19">
        <v>40571</v>
      </c>
      <c r="C815">
        <v>1</v>
      </c>
      <c r="D815">
        <v>1</v>
      </c>
      <c r="E815">
        <v>15</v>
      </c>
      <c r="F815" t="b">
        <v>0</v>
      </c>
      <c r="G815">
        <v>5</v>
      </c>
      <c r="H815">
        <v>2</v>
      </c>
      <c r="I815">
        <v>0.2</v>
      </c>
      <c r="J815">
        <v>203</v>
      </c>
      <c r="K815">
        <v>0.13639999999999999</v>
      </c>
      <c r="L815">
        <v>0.4</v>
      </c>
      <c r="M815">
        <v>0.32840000000000003</v>
      </c>
      <c r="N815">
        <v>4</v>
      </c>
      <c r="O815">
        <v>44</v>
      </c>
      <c r="P815">
        <v>48</v>
      </c>
      <c r="Q815" s="17" t="str">
        <f t="shared" si="38"/>
        <v>Weekends</v>
      </c>
      <c r="R815" s="17" t="str">
        <f t="shared" si="36"/>
        <v>Afternoon</v>
      </c>
      <c r="S815" s="9" t="str">
        <f t="shared" si="37"/>
        <v>Mist</v>
      </c>
    </row>
    <row r="816" spans="1:19" x14ac:dyDescent="0.25">
      <c r="A816">
        <v>205</v>
      </c>
      <c r="B816" s="19">
        <v>40571</v>
      </c>
      <c r="C816">
        <v>1</v>
      </c>
      <c r="D816">
        <v>1</v>
      </c>
      <c r="E816">
        <v>15</v>
      </c>
      <c r="F816" t="b">
        <v>0</v>
      </c>
      <c r="G816">
        <v>5</v>
      </c>
      <c r="H816">
        <v>2</v>
      </c>
      <c r="I816">
        <v>0.2</v>
      </c>
      <c r="J816">
        <v>204</v>
      </c>
      <c r="K816">
        <v>0.13639999999999999</v>
      </c>
      <c r="L816">
        <v>0.43</v>
      </c>
      <c r="M816">
        <v>0.32840000000000003</v>
      </c>
      <c r="N816">
        <v>1</v>
      </c>
      <c r="O816">
        <v>40</v>
      </c>
      <c r="P816">
        <v>41</v>
      </c>
      <c r="Q816" s="17" t="str">
        <f t="shared" si="38"/>
        <v>Weekends</v>
      </c>
      <c r="R816" s="17" t="str">
        <f t="shared" si="36"/>
        <v>Afternoon</v>
      </c>
      <c r="S816" s="9" t="str">
        <f t="shared" si="37"/>
        <v>Mist</v>
      </c>
    </row>
    <row r="817" spans="1:19" x14ac:dyDescent="0.25">
      <c r="A817">
        <v>206</v>
      </c>
      <c r="B817" s="19">
        <v>40571</v>
      </c>
      <c r="C817">
        <v>1</v>
      </c>
      <c r="D817">
        <v>1</v>
      </c>
      <c r="E817">
        <v>15</v>
      </c>
      <c r="F817" t="b">
        <v>0</v>
      </c>
      <c r="G817">
        <v>5</v>
      </c>
      <c r="H817">
        <v>2</v>
      </c>
      <c r="I817">
        <v>0.2</v>
      </c>
      <c r="J817">
        <v>205</v>
      </c>
      <c r="K817">
        <v>0.1212</v>
      </c>
      <c r="L817">
        <v>0.46</v>
      </c>
      <c r="M817">
        <v>0.25369999999999998</v>
      </c>
      <c r="N817">
        <v>0</v>
      </c>
      <c r="O817">
        <v>38</v>
      </c>
      <c r="P817">
        <v>38</v>
      </c>
      <c r="Q817" s="17" t="str">
        <f t="shared" si="38"/>
        <v>Weekends</v>
      </c>
      <c r="R817" s="17" t="str">
        <f t="shared" si="36"/>
        <v>Afternoon</v>
      </c>
      <c r="S817" s="9" t="str">
        <f t="shared" si="37"/>
        <v>Mist</v>
      </c>
    </row>
    <row r="818" spans="1:19" x14ac:dyDescent="0.25">
      <c r="A818">
        <v>207</v>
      </c>
      <c r="B818" s="19">
        <v>40571</v>
      </c>
      <c r="C818">
        <v>1</v>
      </c>
      <c r="D818">
        <v>1</v>
      </c>
      <c r="E818">
        <v>15</v>
      </c>
      <c r="F818" t="b">
        <v>0</v>
      </c>
      <c r="G818">
        <v>5</v>
      </c>
      <c r="H818">
        <v>2</v>
      </c>
      <c r="I818">
        <v>0.2</v>
      </c>
      <c r="J818">
        <v>206</v>
      </c>
      <c r="K818">
        <v>0.1061</v>
      </c>
      <c r="L818">
        <v>0.46</v>
      </c>
      <c r="M818">
        <v>0.41789999999999999</v>
      </c>
      <c r="N818">
        <v>1</v>
      </c>
      <c r="O818">
        <v>19</v>
      </c>
      <c r="P818">
        <v>20</v>
      </c>
      <c r="Q818" s="17" t="str">
        <f t="shared" si="38"/>
        <v>Weekends</v>
      </c>
      <c r="R818" s="17" t="str">
        <f t="shared" si="36"/>
        <v>Afternoon</v>
      </c>
      <c r="S818" s="9" t="str">
        <f t="shared" si="37"/>
        <v>Mist</v>
      </c>
    </row>
    <row r="819" spans="1:19" x14ac:dyDescent="0.25">
      <c r="A819">
        <v>208</v>
      </c>
      <c r="B819" s="19">
        <v>40571</v>
      </c>
      <c r="C819">
        <v>1</v>
      </c>
      <c r="D819">
        <v>1</v>
      </c>
      <c r="E819">
        <v>15</v>
      </c>
      <c r="F819" t="b">
        <v>0</v>
      </c>
      <c r="G819">
        <v>5</v>
      </c>
      <c r="H819">
        <v>2</v>
      </c>
      <c r="I819">
        <v>0.2</v>
      </c>
      <c r="J819">
        <v>207</v>
      </c>
      <c r="K819">
        <v>0.1212</v>
      </c>
      <c r="L819">
        <v>0.46</v>
      </c>
      <c r="M819">
        <v>0.29849999999999999</v>
      </c>
      <c r="N819">
        <v>5</v>
      </c>
      <c r="O819">
        <v>10</v>
      </c>
      <c r="P819">
        <v>15</v>
      </c>
      <c r="Q819" s="17" t="str">
        <f t="shared" si="38"/>
        <v>Weekends</v>
      </c>
      <c r="R819" s="17" t="str">
        <f t="shared" si="36"/>
        <v>Afternoon</v>
      </c>
      <c r="S819" s="9" t="str">
        <f t="shared" si="37"/>
        <v>Mist</v>
      </c>
    </row>
    <row r="820" spans="1:19" x14ac:dyDescent="0.25">
      <c r="A820">
        <v>209</v>
      </c>
      <c r="B820" s="19">
        <v>40571</v>
      </c>
      <c r="C820">
        <v>1</v>
      </c>
      <c r="D820">
        <v>1</v>
      </c>
      <c r="E820">
        <v>15</v>
      </c>
      <c r="F820" t="b">
        <v>0</v>
      </c>
      <c r="G820">
        <v>5</v>
      </c>
      <c r="H820">
        <v>2</v>
      </c>
      <c r="I820">
        <v>0.2</v>
      </c>
      <c r="J820">
        <v>208</v>
      </c>
      <c r="K820">
        <v>0.13639999999999999</v>
      </c>
      <c r="L820">
        <v>0.5</v>
      </c>
      <c r="M820">
        <v>0.19400000000000001</v>
      </c>
      <c r="N820">
        <v>0</v>
      </c>
      <c r="O820">
        <v>6</v>
      </c>
      <c r="P820">
        <v>6</v>
      </c>
      <c r="Q820" s="17" t="str">
        <f t="shared" si="38"/>
        <v>Weekends</v>
      </c>
      <c r="R820" s="17" t="str">
        <f t="shared" si="36"/>
        <v>Afternoon</v>
      </c>
      <c r="S820" s="9" t="str">
        <f t="shared" si="37"/>
        <v>Mist</v>
      </c>
    </row>
    <row r="821" spans="1:19" x14ac:dyDescent="0.25">
      <c r="A821">
        <v>210</v>
      </c>
      <c r="B821" s="19">
        <v>40571</v>
      </c>
      <c r="C821">
        <v>1</v>
      </c>
      <c r="D821">
        <v>1</v>
      </c>
      <c r="E821">
        <v>15</v>
      </c>
      <c r="F821" t="b">
        <v>0</v>
      </c>
      <c r="G821">
        <v>5</v>
      </c>
      <c r="H821">
        <v>2</v>
      </c>
      <c r="I821">
        <v>0.2</v>
      </c>
      <c r="J821">
        <v>209</v>
      </c>
      <c r="K821">
        <v>0.1212</v>
      </c>
      <c r="L821">
        <v>0.5</v>
      </c>
      <c r="M821">
        <v>0.28360000000000002</v>
      </c>
      <c r="N821">
        <v>2</v>
      </c>
      <c r="O821">
        <v>3</v>
      </c>
      <c r="P821">
        <v>5</v>
      </c>
      <c r="Q821" s="17" t="str">
        <f t="shared" si="38"/>
        <v>Weekends</v>
      </c>
      <c r="R821" s="17" t="str">
        <f t="shared" si="36"/>
        <v>Afternoon</v>
      </c>
      <c r="S821" s="9" t="str">
        <f t="shared" si="37"/>
        <v>Mist</v>
      </c>
    </row>
    <row r="822" spans="1:19" x14ac:dyDescent="0.25">
      <c r="A822">
        <v>211</v>
      </c>
      <c r="B822" s="19">
        <v>40571</v>
      </c>
      <c r="C822">
        <v>1</v>
      </c>
      <c r="D822">
        <v>1</v>
      </c>
      <c r="E822">
        <v>15</v>
      </c>
      <c r="F822" t="b">
        <v>0</v>
      </c>
      <c r="G822">
        <v>5</v>
      </c>
      <c r="H822">
        <v>2</v>
      </c>
      <c r="I822">
        <v>0.2</v>
      </c>
      <c r="J822">
        <v>210</v>
      </c>
      <c r="K822">
        <v>0.1212</v>
      </c>
      <c r="L822">
        <v>0.5</v>
      </c>
      <c r="M822">
        <v>0.28360000000000002</v>
      </c>
      <c r="N822">
        <v>1</v>
      </c>
      <c r="O822">
        <v>0</v>
      </c>
      <c r="P822">
        <v>1</v>
      </c>
      <c r="Q822" s="17" t="str">
        <f t="shared" si="38"/>
        <v>Weekends</v>
      </c>
      <c r="R822" s="17" t="str">
        <f t="shared" si="36"/>
        <v>Afternoon</v>
      </c>
      <c r="S822" s="9" t="str">
        <f t="shared" si="37"/>
        <v>Mist</v>
      </c>
    </row>
    <row r="823" spans="1:19" x14ac:dyDescent="0.25">
      <c r="A823">
        <v>212</v>
      </c>
      <c r="B823" s="19">
        <v>40571</v>
      </c>
      <c r="C823">
        <v>1</v>
      </c>
      <c r="D823">
        <v>1</v>
      </c>
      <c r="E823">
        <v>15</v>
      </c>
      <c r="F823" t="b">
        <v>0</v>
      </c>
      <c r="G823">
        <v>5</v>
      </c>
      <c r="H823">
        <v>2</v>
      </c>
      <c r="I823">
        <v>0.2</v>
      </c>
      <c r="J823">
        <v>211</v>
      </c>
      <c r="K823">
        <v>0.1212</v>
      </c>
      <c r="L823">
        <v>0.5</v>
      </c>
      <c r="M823">
        <v>0.22389999999999999</v>
      </c>
      <c r="N823">
        <v>0</v>
      </c>
      <c r="O823">
        <v>3</v>
      </c>
      <c r="P823">
        <v>3</v>
      </c>
      <c r="Q823" s="17" t="str">
        <f t="shared" si="38"/>
        <v>Weekends</v>
      </c>
      <c r="R823" s="17" t="str">
        <f t="shared" si="36"/>
        <v>Afternoon</v>
      </c>
      <c r="S823" s="9" t="str">
        <f t="shared" si="37"/>
        <v>Mist</v>
      </c>
    </row>
    <row r="824" spans="1:19" x14ac:dyDescent="0.25">
      <c r="A824">
        <v>213</v>
      </c>
      <c r="B824" s="19">
        <v>40571</v>
      </c>
      <c r="C824">
        <v>1</v>
      </c>
      <c r="D824">
        <v>1</v>
      </c>
      <c r="E824">
        <v>15</v>
      </c>
      <c r="F824" t="b">
        <v>0</v>
      </c>
      <c r="G824">
        <v>5</v>
      </c>
      <c r="H824">
        <v>2</v>
      </c>
      <c r="I824">
        <v>0.2</v>
      </c>
      <c r="J824">
        <v>212</v>
      </c>
      <c r="K824">
        <v>0.1212</v>
      </c>
      <c r="L824">
        <v>0.5</v>
      </c>
      <c r="M824">
        <v>0.22389999999999999</v>
      </c>
      <c r="N824">
        <v>0</v>
      </c>
      <c r="O824">
        <v>1</v>
      </c>
      <c r="P824">
        <v>1</v>
      </c>
      <c r="Q824" s="17" t="str">
        <f t="shared" si="38"/>
        <v>Weekends</v>
      </c>
      <c r="R824" s="17" t="str">
        <f t="shared" si="36"/>
        <v>Afternoon</v>
      </c>
      <c r="S824" s="9" t="str">
        <f t="shared" si="37"/>
        <v>Mist</v>
      </c>
    </row>
    <row r="825" spans="1:19" x14ac:dyDescent="0.25">
      <c r="A825">
        <v>214</v>
      </c>
      <c r="B825" s="19">
        <v>40571</v>
      </c>
      <c r="C825">
        <v>1</v>
      </c>
      <c r="D825">
        <v>1</v>
      </c>
      <c r="E825">
        <v>15</v>
      </c>
      <c r="F825" t="b">
        <v>0</v>
      </c>
      <c r="G825">
        <v>5</v>
      </c>
      <c r="H825">
        <v>2</v>
      </c>
      <c r="I825">
        <v>0.2</v>
      </c>
      <c r="J825">
        <v>213</v>
      </c>
      <c r="K825">
        <v>0.1212</v>
      </c>
      <c r="L825">
        <v>0.54</v>
      </c>
      <c r="M825">
        <v>0.1343</v>
      </c>
      <c r="N825">
        <v>1</v>
      </c>
      <c r="O825">
        <v>2</v>
      </c>
      <c r="P825">
        <v>3</v>
      </c>
      <c r="Q825" s="17" t="str">
        <f t="shared" si="38"/>
        <v>Weekends</v>
      </c>
      <c r="R825" s="17" t="str">
        <f t="shared" si="36"/>
        <v>Afternoon</v>
      </c>
      <c r="S825" s="9" t="str">
        <f t="shared" si="37"/>
        <v>Mist</v>
      </c>
    </row>
    <row r="826" spans="1:19" x14ac:dyDescent="0.25">
      <c r="A826">
        <v>215</v>
      </c>
      <c r="B826" s="19">
        <v>40571</v>
      </c>
      <c r="C826">
        <v>1</v>
      </c>
      <c r="D826">
        <v>1</v>
      </c>
      <c r="E826">
        <v>15</v>
      </c>
      <c r="F826" t="b">
        <v>0</v>
      </c>
      <c r="G826">
        <v>5</v>
      </c>
      <c r="H826">
        <v>2</v>
      </c>
      <c r="I826">
        <v>0.2</v>
      </c>
      <c r="J826">
        <v>214</v>
      </c>
      <c r="K826">
        <v>0.1061</v>
      </c>
      <c r="L826">
        <v>0.54</v>
      </c>
      <c r="M826">
        <v>0.25369999999999998</v>
      </c>
      <c r="N826">
        <v>0</v>
      </c>
      <c r="O826">
        <v>3</v>
      </c>
      <c r="P826">
        <v>3</v>
      </c>
      <c r="Q826" s="17" t="str">
        <f t="shared" si="38"/>
        <v>Weekends</v>
      </c>
      <c r="R826" s="17" t="str">
        <f t="shared" si="36"/>
        <v>Afternoon</v>
      </c>
      <c r="S826" s="9" t="str">
        <f t="shared" si="37"/>
        <v>Mist</v>
      </c>
    </row>
    <row r="827" spans="1:19" x14ac:dyDescent="0.25">
      <c r="A827">
        <v>216</v>
      </c>
      <c r="B827" s="19">
        <v>40571</v>
      </c>
      <c r="C827">
        <v>1</v>
      </c>
      <c r="D827">
        <v>1</v>
      </c>
      <c r="E827">
        <v>15</v>
      </c>
      <c r="F827" t="b">
        <v>0</v>
      </c>
      <c r="G827">
        <v>5</v>
      </c>
      <c r="H827">
        <v>2</v>
      </c>
      <c r="I827">
        <v>0.2</v>
      </c>
      <c r="J827">
        <v>215</v>
      </c>
      <c r="K827">
        <v>0.1212</v>
      </c>
      <c r="L827">
        <v>0.5</v>
      </c>
      <c r="M827">
        <v>0.28360000000000002</v>
      </c>
      <c r="N827">
        <v>0</v>
      </c>
      <c r="O827">
        <v>31</v>
      </c>
      <c r="P827">
        <v>31</v>
      </c>
      <c r="Q827" s="17" t="str">
        <f t="shared" si="38"/>
        <v>Weekends</v>
      </c>
      <c r="R827" s="17" t="str">
        <f t="shared" si="36"/>
        <v>Afternoon</v>
      </c>
      <c r="S827" s="9" t="str">
        <f t="shared" si="37"/>
        <v>Mist</v>
      </c>
    </row>
    <row r="828" spans="1:19" x14ac:dyDescent="0.25">
      <c r="A828">
        <v>217</v>
      </c>
      <c r="B828" s="19">
        <v>40571</v>
      </c>
      <c r="C828">
        <v>1</v>
      </c>
      <c r="D828">
        <v>1</v>
      </c>
      <c r="E828">
        <v>15</v>
      </c>
      <c r="F828" t="b">
        <v>0</v>
      </c>
      <c r="G828">
        <v>5</v>
      </c>
      <c r="H828">
        <v>2</v>
      </c>
      <c r="I828">
        <v>0.2</v>
      </c>
      <c r="J828">
        <v>216</v>
      </c>
      <c r="K828">
        <v>0.1212</v>
      </c>
      <c r="L828">
        <v>0.5</v>
      </c>
      <c r="M828">
        <v>0.22389999999999999</v>
      </c>
      <c r="N828">
        <v>2</v>
      </c>
      <c r="O828">
        <v>75</v>
      </c>
      <c r="P828">
        <v>77</v>
      </c>
      <c r="Q828" s="17" t="str">
        <f t="shared" si="38"/>
        <v>Weekends</v>
      </c>
      <c r="R828" s="17" t="str">
        <f t="shared" si="36"/>
        <v>Afternoon</v>
      </c>
      <c r="S828" s="9" t="str">
        <f t="shared" si="37"/>
        <v>Mist</v>
      </c>
    </row>
    <row r="829" spans="1:19" x14ac:dyDescent="0.25">
      <c r="A829">
        <v>218</v>
      </c>
      <c r="B829" s="19">
        <v>40571</v>
      </c>
      <c r="C829">
        <v>1</v>
      </c>
      <c r="D829">
        <v>1</v>
      </c>
      <c r="E829">
        <v>15</v>
      </c>
      <c r="F829" t="b">
        <v>0</v>
      </c>
      <c r="G829">
        <v>5</v>
      </c>
      <c r="H829">
        <v>2</v>
      </c>
      <c r="I829">
        <v>0.2</v>
      </c>
      <c r="J829">
        <v>217</v>
      </c>
      <c r="K829">
        <v>0.1212</v>
      </c>
      <c r="L829">
        <v>0.5</v>
      </c>
      <c r="M829">
        <v>0.28360000000000002</v>
      </c>
      <c r="N829">
        <v>4</v>
      </c>
      <c r="O829">
        <v>184</v>
      </c>
      <c r="P829">
        <v>188</v>
      </c>
      <c r="Q829" s="17" t="str">
        <f t="shared" si="38"/>
        <v>Weekends</v>
      </c>
      <c r="R829" s="17" t="str">
        <f t="shared" si="36"/>
        <v>Afternoon</v>
      </c>
      <c r="S829" s="9" t="str">
        <f t="shared" si="37"/>
        <v>Mist</v>
      </c>
    </row>
    <row r="830" spans="1:19" x14ac:dyDescent="0.25">
      <c r="A830">
        <v>219</v>
      </c>
      <c r="B830" s="19">
        <v>40571</v>
      </c>
      <c r="C830">
        <v>1</v>
      </c>
      <c r="D830">
        <v>1</v>
      </c>
      <c r="E830">
        <v>15</v>
      </c>
      <c r="F830" t="b">
        <v>0</v>
      </c>
      <c r="G830">
        <v>5</v>
      </c>
      <c r="H830">
        <v>2</v>
      </c>
      <c r="I830">
        <v>0.2</v>
      </c>
      <c r="J830">
        <v>218</v>
      </c>
      <c r="K830">
        <v>0.1212</v>
      </c>
      <c r="L830">
        <v>0.5</v>
      </c>
      <c r="M830">
        <v>0.25369999999999998</v>
      </c>
      <c r="N830">
        <v>2</v>
      </c>
      <c r="O830">
        <v>92</v>
      </c>
      <c r="P830">
        <v>94</v>
      </c>
      <c r="Q830" s="17" t="str">
        <f t="shared" si="38"/>
        <v>Weekends</v>
      </c>
      <c r="R830" s="17" t="str">
        <f t="shared" si="36"/>
        <v>Afternoon</v>
      </c>
      <c r="S830" s="9" t="str">
        <f t="shared" si="37"/>
        <v>Mist</v>
      </c>
    </row>
    <row r="831" spans="1:19" x14ac:dyDescent="0.25">
      <c r="A831">
        <v>220</v>
      </c>
      <c r="B831" s="19">
        <v>40571</v>
      </c>
      <c r="C831">
        <v>1</v>
      </c>
      <c r="D831">
        <v>1</v>
      </c>
      <c r="E831">
        <v>15</v>
      </c>
      <c r="F831" t="b">
        <v>0</v>
      </c>
      <c r="G831">
        <v>5</v>
      </c>
      <c r="H831">
        <v>2</v>
      </c>
      <c r="I831">
        <v>0.2</v>
      </c>
      <c r="J831">
        <v>219</v>
      </c>
      <c r="K831">
        <v>0.1212</v>
      </c>
      <c r="L831">
        <v>0.5</v>
      </c>
      <c r="M831">
        <v>0.29849999999999999</v>
      </c>
      <c r="N831">
        <v>0</v>
      </c>
      <c r="O831">
        <v>31</v>
      </c>
      <c r="P831">
        <v>31</v>
      </c>
      <c r="Q831" s="17" t="str">
        <f t="shared" si="38"/>
        <v>Weekends</v>
      </c>
      <c r="R831" s="17" t="str">
        <f t="shared" si="36"/>
        <v>Afternoon</v>
      </c>
      <c r="S831" s="9" t="str">
        <f t="shared" si="37"/>
        <v>Mist</v>
      </c>
    </row>
    <row r="832" spans="1:19" x14ac:dyDescent="0.25">
      <c r="A832">
        <v>221</v>
      </c>
      <c r="B832" s="19">
        <v>40571</v>
      </c>
      <c r="C832">
        <v>1</v>
      </c>
      <c r="D832">
        <v>1</v>
      </c>
      <c r="E832">
        <v>15</v>
      </c>
      <c r="F832" t="b">
        <v>0</v>
      </c>
      <c r="G832">
        <v>5</v>
      </c>
      <c r="H832">
        <v>2</v>
      </c>
      <c r="I832">
        <v>0.2</v>
      </c>
      <c r="J832">
        <v>220</v>
      </c>
      <c r="K832">
        <v>0.13639999999999999</v>
      </c>
      <c r="L832">
        <v>0.47</v>
      </c>
      <c r="M832">
        <v>0.28360000000000002</v>
      </c>
      <c r="N832">
        <v>2</v>
      </c>
      <c r="O832">
        <v>28</v>
      </c>
      <c r="P832">
        <v>30</v>
      </c>
      <c r="Q832" s="17" t="str">
        <f t="shared" si="38"/>
        <v>Weekends</v>
      </c>
      <c r="R832" s="17" t="str">
        <f t="shared" si="36"/>
        <v>Afternoon</v>
      </c>
      <c r="S832" s="9" t="str">
        <f t="shared" si="37"/>
        <v>Mist</v>
      </c>
    </row>
    <row r="833" spans="1:19" x14ac:dyDescent="0.25">
      <c r="A833">
        <v>222</v>
      </c>
      <c r="B833" s="19">
        <v>40571</v>
      </c>
      <c r="C833">
        <v>1</v>
      </c>
      <c r="D833">
        <v>1</v>
      </c>
      <c r="E833">
        <v>15</v>
      </c>
      <c r="F833" t="b">
        <v>0</v>
      </c>
      <c r="G833">
        <v>5</v>
      </c>
      <c r="H833">
        <v>2</v>
      </c>
      <c r="I833">
        <v>0.2</v>
      </c>
      <c r="J833">
        <v>221</v>
      </c>
      <c r="K833">
        <v>0.18179999999999999</v>
      </c>
      <c r="L833">
        <v>0.4</v>
      </c>
      <c r="M833">
        <v>0.28360000000000002</v>
      </c>
      <c r="N833">
        <v>5</v>
      </c>
      <c r="O833">
        <v>47</v>
      </c>
      <c r="P833">
        <v>52</v>
      </c>
      <c r="Q833" s="17" t="str">
        <f t="shared" si="38"/>
        <v>Weekends</v>
      </c>
      <c r="R833" s="17" t="str">
        <f t="shared" si="36"/>
        <v>Afternoon</v>
      </c>
      <c r="S833" s="9" t="str">
        <f t="shared" si="37"/>
        <v>Mist</v>
      </c>
    </row>
    <row r="834" spans="1:19" x14ac:dyDescent="0.25">
      <c r="A834">
        <v>223</v>
      </c>
      <c r="B834" s="19">
        <v>40571</v>
      </c>
      <c r="C834">
        <v>1</v>
      </c>
      <c r="D834">
        <v>1</v>
      </c>
      <c r="E834">
        <v>15</v>
      </c>
      <c r="F834" t="b">
        <v>0</v>
      </c>
      <c r="G834">
        <v>5</v>
      </c>
      <c r="H834">
        <v>2</v>
      </c>
      <c r="I834">
        <v>0.2</v>
      </c>
      <c r="J834">
        <v>222</v>
      </c>
      <c r="K834">
        <v>0.18179999999999999</v>
      </c>
      <c r="L834">
        <v>0.4</v>
      </c>
      <c r="M834">
        <v>0.28360000000000002</v>
      </c>
      <c r="N834">
        <v>4</v>
      </c>
      <c r="O834">
        <v>50</v>
      </c>
      <c r="P834">
        <v>54</v>
      </c>
      <c r="Q834" s="17" t="str">
        <f t="shared" si="38"/>
        <v>Weekends</v>
      </c>
      <c r="R834" s="17" t="str">
        <f t="shared" ref="R834:R897" si="39">IF(E834&lt;12,"Morning",IF(E834&lt;16,"Afternoon",IF(E834&lt;21,"Evening","Night")))</f>
        <v>Afternoon</v>
      </c>
      <c r="S834" s="9" t="str">
        <f t="shared" ref="S834:S897" si="40">IF(H834=1,"Clear",IF(H834=2,"Mist",IF(H834=3,"Light Snow/Rain","Heavy Rain/Snow")))</f>
        <v>Mist</v>
      </c>
    </row>
    <row r="835" spans="1:19" x14ac:dyDescent="0.25">
      <c r="A835">
        <v>224</v>
      </c>
      <c r="B835" s="19">
        <v>40571</v>
      </c>
      <c r="C835">
        <v>1</v>
      </c>
      <c r="D835">
        <v>1</v>
      </c>
      <c r="E835">
        <v>15</v>
      </c>
      <c r="F835" t="b">
        <v>0</v>
      </c>
      <c r="G835">
        <v>5</v>
      </c>
      <c r="H835">
        <v>2</v>
      </c>
      <c r="I835">
        <v>0.2</v>
      </c>
      <c r="J835">
        <v>223</v>
      </c>
      <c r="K835">
        <v>0.19700000000000001</v>
      </c>
      <c r="L835">
        <v>0.4</v>
      </c>
      <c r="M835">
        <v>0.22389999999999999</v>
      </c>
      <c r="N835">
        <v>0</v>
      </c>
      <c r="O835">
        <v>47</v>
      </c>
      <c r="P835">
        <v>47</v>
      </c>
      <c r="Q835" s="17" t="str">
        <f t="shared" ref="Q835:Q898" si="41">IF(G835&gt;=5,"Weekends","Weekdays")</f>
        <v>Weekends</v>
      </c>
      <c r="R835" s="17" t="str">
        <f t="shared" si="39"/>
        <v>Afternoon</v>
      </c>
      <c r="S835" s="9" t="str">
        <f t="shared" si="40"/>
        <v>Mist</v>
      </c>
    </row>
    <row r="836" spans="1:19" x14ac:dyDescent="0.25">
      <c r="A836">
        <v>225</v>
      </c>
      <c r="B836" s="19">
        <v>40571</v>
      </c>
      <c r="C836">
        <v>1</v>
      </c>
      <c r="D836">
        <v>1</v>
      </c>
      <c r="E836">
        <v>15</v>
      </c>
      <c r="F836" t="b">
        <v>0</v>
      </c>
      <c r="G836">
        <v>5</v>
      </c>
      <c r="H836">
        <v>2</v>
      </c>
      <c r="I836">
        <v>0.2</v>
      </c>
      <c r="J836">
        <v>224</v>
      </c>
      <c r="K836">
        <v>0.19700000000000001</v>
      </c>
      <c r="L836">
        <v>0.4</v>
      </c>
      <c r="M836">
        <v>0.22389999999999999</v>
      </c>
      <c r="N836">
        <v>2</v>
      </c>
      <c r="O836">
        <v>43</v>
      </c>
      <c r="P836">
        <v>45</v>
      </c>
      <c r="Q836" s="17" t="str">
        <f t="shared" si="41"/>
        <v>Weekends</v>
      </c>
      <c r="R836" s="17" t="str">
        <f t="shared" si="39"/>
        <v>Afternoon</v>
      </c>
      <c r="S836" s="9" t="str">
        <f t="shared" si="40"/>
        <v>Mist</v>
      </c>
    </row>
    <row r="837" spans="1:19" x14ac:dyDescent="0.25">
      <c r="A837">
        <v>226</v>
      </c>
      <c r="B837" s="19">
        <v>40571</v>
      </c>
      <c r="C837">
        <v>1</v>
      </c>
      <c r="D837">
        <v>1</v>
      </c>
      <c r="E837">
        <v>15</v>
      </c>
      <c r="F837" t="b">
        <v>0</v>
      </c>
      <c r="G837">
        <v>5</v>
      </c>
      <c r="H837">
        <v>2</v>
      </c>
      <c r="I837">
        <v>0.2</v>
      </c>
      <c r="J837">
        <v>225</v>
      </c>
      <c r="K837">
        <v>0.21210000000000001</v>
      </c>
      <c r="L837">
        <v>0.4</v>
      </c>
      <c r="M837">
        <v>0.1343</v>
      </c>
      <c r="N837">
        <v>4</v>
      </c>
      <c r="O837">
        <v>70</v>
      </c>
      <c r="P837">
        <v>74</v>
      </c>
      <c r="Q837" s="17" t="str">
        <f t="shared" si="41"/>
        <v>Weekends</v>
      </c>
      <c r="R837" s="17" t="str">
        <f t="shared" si="39"/>
        <v>Afternoon</v>
      </c>
      <c r="S837" s="9" t="str">
        <f t="shared" si="40"/>
        <v>Mist</v>
      </c>
    </row>
    <row r="838" spans="1:19" x14ac:dyDescent="0.25">
      <c r="A838">
        <v>227</v>
      </c>
      <c r="B838" s="19">
        <v>40571</v>
      </c>
      <c r="C838">
        <v>1</v>
      </c>
      <c r="D838">
        <v>1</v>
      </c>
      <c r="E838">
        <v>15</v>
      </c>
      <c r="F838" t="b">
        <v>0</v>
      </c>
      <c r="G838">
        <v>5</v>
      </c>
      <c r="H838">
        <v>2</v>
      </c>
      <c r="I838">
        <v>0.2</v>
      </c>
      <c r="J838">
        <v>226</v>
      </c>
      <c r="K838">
        <v>0.2273</v>
      </c>
      <c r="L838">
        <v>0.4</v>
      </c>
      <c r="M838">
        <v>0.1045</v>
      </c>
      <c r="N838">
        <v>4</v>
      </c>
      <c r="O838">
        <v>174</v>
      </c>
      <c r="P838">
        <v>178</v>
      </c>
      <c r="Q838" s="17" t="str">
        <f t="shared" si="41"/>
        <v>Weekends</v>
      </c>
      <c r="R838" s="17" t="str">
        <f t="shared" si="39"/>
        <v>Afternoon</v>
      </c>
      <c r="S838" s="9" t="str">
        <f t="shared" si="40"/>
        <v>Mist</v>
      </c>
    </row>
    <row r="839" spans="1:19" x14ac:dyDescent="0.25">
      <c r="A839">
        <v>228</v>
      </c>
      <c r="B839" s="19">
        <v>40571</v>
      </c>
      <c r="C839">
        <v>1</v>
      </c>
      <c r="D839">
        <v>1</v>
      </c>
      <c r="E839">
        <v>15</v>
      </c>
      <c r="F839" t="b">
        <v>0</v>
      </c>
      <c r="G839">
        <v>5</v>
      </c>
      <c r="H839">
        <v>2</v>
      </c>
      <c r="I839">
        <v>0.2</v>
      </c>
      <c r="J839">
        <v>227</v>
      </c>
      <c r="K839">
        <v>0.19700000000000001</v>
      </c>
      <c r="L839">
        <v>0.4</v>
      </c>
      <c r="M839">
        <v>0.22389999999999999</v>
      </c>
      <c r="N839">
        <v>1</v>
      </c>
      <c r="O839">
        <v>154</v>
      </c>
      <c r="P839">
        <v>155</v>
      </c>
      <c r="Q839" s="17" t="str">
        <f t="shared" si="41"/>
        <v>Weekends</v>
      </c>
      <c r="R839" s="17" t="str">
        <f t="shared" si="39"/>
        <v>Afternoon</v>
      </c>
      <c r="S839" s="9" t="str">
        <f t="shared" si="40"/>
        <v>Mist</v>
      </c>
    </row>
    <row r="840" spans="1:19" x14ac:dyDescent="0.25">
      <c r="A840">
        <v>229</v>
      </c>
      <c r="B840" s="19">
        <v>40571</v>
      </c>
      <c r="C840">
        <v>1</v>
      </c>
      <c r="D840">
        <v>1</v>
      </c>
      <c r="E840">
        <v>15</v>
      </c>
      <c r="F840" t="b">
        <v>0</v>
      </c>
      <c r="G840">
        <v>5</v>
      </c>
      <c r="H840">
        <v>2</v>
      </c>
      <c r="I840">
        <v>0.2</v>
      </c>
      <c r="J840">
        <v>228</v>
      </c>
      <c r="K840">
        <v>0.16669999999999999</v>
      </c>
      <c r="L840">
        <v>0.47</v>
      </c>
      <c r="M840">
        <v>0.16420000000000001</v>
      </c>
      <c r="N840">
        <v>3</v>
      </c>
      <c r="O840">
        <v>92</v>
      </c>
      <c r="P840">
        <v>95</v>
      </c>
      <c r="Q840" s="17" t="str">
        <f t="shared" si="41"/>
        <v>Weekends</v>
      </c>
      <c r="R840" s="17" t="str">
        <f t="shared" si="39"/>
        <v>Afternoon</v>
      </c>
      <c r="S840" s="9" t="str">
        <f t="shared" si="40"/>
        <v>Mist</v>
      </c>
    </row>
    <row r="841" spans="1:19" x14ac:dyDescent="0.25">
      <c r="A841">
        <v>230</v>
      </c>
      <c r="B841" s="19">
        <v>40571</v>
      </c>
      <c r="C841">
        <v>1</v>
      </c>
      <c r="D841">
        <v>1</v>
      </c>
      <c r="E841">
        <v>15</v>
      </c>
      <c r="F841" t="b">
        <v>0</v>
      </c>
      <c r="G841">
        <v>5</v>
      </c>
      <c r="H841">
        <v>2</v>
      </c>
      <c r="I841">
        <v>0.2</v>
      </c>
      <c r="J841">
        <v>229</v>
      </c>
      <c r="K841">
        <v>0.16669999999999999</v>
      </c>
      <c r="L841">
        <v>0.5</v>
      </c>
      <c r="M841">
        <v>0.16420000000000001</v>
      </c>
      <c r="N841">
        <v>1</v>
      </c>
      <c r="O841">
        <v>73</v>
      </c>
      <c r="P841">
        <v>74</v>
      </c>
      <c r="Q841" s="17" t="str">
        <f t="shared" si="41"/>
        <v>Weekends</v>
      </c>
      <c r="R841" s="17" t="str">
        <f t="shared" si="39"/>
        <v>Afternoon</v>
      </c>
      <c r="S841" s="9" t="str">
        <f t="shared" si="40"/>
        <v>Mist</v>
      </c>
    </row>
    <row r="842" spans="1:19" x14ac:dyDescent="0.25">
      <c r="A842">
        <v>231</v>
      </c>
      <c r="B842" s="19">
        <v>40571</v>
      </c>
      <c r="C842">
        <v>1</v>
      </c>
      <c r="D842">
        <v>1</v>
      </c>
      <c r="E842">
        <v>15</v>
      </c>
      <c r="F842" t="b">
        <v>0</v>
      </c>
      <c r="G842">
        <v>5</v>
      </c>
      <c r="H842">
        <v>2</v>
      </c>
      <c r="I842">
        <v>0.2</v>
      </c>
      <c r="J842">
        <v>230</v>
      </c>
      <c r="K842">
        <v>0.13639999999999999</v>
      </c>
      <c r="L842">
        <v>0.59</v>
      </c>
      <c r="M842">
        <v>0.19400000000000001</v>
      </c>
      <c r="N842">
        <v>1</v>
      </c>
      <c r="O842">
        <v>37</v>
      </c>
      <c r="P842">
        <v>38</v>
      </c>
      <c r="Q842" s="17" t="str">
        <f t="shared" si="41"/>
        <v>Weekends</v>
      </c>
      <c r="R842" s="17" t="str">
        <f t="shared" si="39"/>
        <v>Afternoon</v>
      </c>
      <c r="S842" s="9" t="str">
        <f t="shared" si="40"/>
        <v>Mist</v>
      </c>
    </row>
    <row r="843" spans="1:19" x14ac:dyDescent="0.25">
      <c r="A843">
        <v>232</v>
      </c>
      <c r="B843" s="19">
        <v>40571</v>
      </c>
      <c r="C843">
        <v>1</v>
      </c>
      <c r="D843">
        <v>1</v>
      </c>
      <c r="E843">
        <v>15</v>
      </c>
      <c r="F843" t="b">
        <v>0</v>
      </c>
      <c r="G843">
        <v>5</v>
      </c>
      <c r="H843">
        <v>2</v>
      </c>
      <c r="I843">
        <v>0.2</v>
      </c>
      <c r="J843">
        <v>231</v>
      </c>
      <c r="K843">
        <v>0.1515</v>
      </c>
      <c r="L843">
        <v>0.59</v>
      </c>
      <c r="M843">
        <v>0.16420000000000001</v>
      </c>
      <c r="N843">
        <v>2</v>
      </c>
      <c r="O843">
        <v>22</v>
      </c>
      <c r="P843">
        <v>24</v>
      </c>
      <c r="Q843" s="17" t="str">
        <f t="shared" si="41"/>
        <v>Weekends</v>
      </c>
      <c r="R843" s="17" t="str">
        <f t="shared" si="39"/>
        <v>Afternoon</v>
      </c>
      <c r="S843" s="9" t="str">
        <f t="shared" si="40"/>
        <v>Mist</v>
      </c>
    </row>
    <row r="844" spans="1:19" x14ac:dyDescent="0.25">
      <c r="A844">
        <v>233</v>
      </c>
      <c r="B844" s="19">
        <v>40571</v>
      </c>
      <c r="C844">
        <v>1</v>
      </c>
      <c r="D844">
        <v>1</v>
      </c>
      <c r="E844">
        <v>15</v>
      </c>
      <c r="F844" t="b">
        <v>0</v>
      </c>
      <c r="G844">
        <v>5</v>
      </c>
      <c r="H844">
        <v>2</v>
      </c>
      <c r="I844">
        <v>0.2</v>
      </c>
      <c r="J844">
        <v>232</v>
      </c>
      <c r="K844">
        <v>0.1515</v>
      </c>
      <c r="L844">
        <v>0.59</v>
      </c>
      <c r="M844">
        <v>0.16420000000000001</v>
      </c>
      <c r="N844">
        <v>0</v>
      </c>
      <c r="O844">
        <v>18</v>
      </c>
      <c r="P844">
        <v>18</v>
      </c>
      <c r="Q844" s="17" t="str">
        <f t="shared" si="41"/>
        <v>Weekends</v>
      </c>
      <c r="R844" s="17" t="str">
        <f t="shared" si="39"/>
        <v>Afternoon</v>
      </c>
      <c r="S844" s="9" t="str">
        <f t="shared" si="40"/>
        <v>Mist</v>
      </c>
    </row>
    <row r="845" spans="1:19" x14ac:dyDescent="0.25">
      <c r="A845">
        <v>234</v>
      </c>
      <c r="B845" s="19">
        <v>40571</v>
      </c>
      <c r="C845">
        <v>1</v>
      </c>
      <c r="D845">
        <v>1</v>
      </c>
      <c r="E845">
        <v>15</v>
      </c>
      <c r="F845" t="b">
        <v>0</v>
      </c>
      <c r="G845">
        <v>5</v>
      </c>
      <c r="H845">
        <v>2</v>
      </c>
      <c r="I845">
        <v>0.2</v>
      </c>
      <c r="J845">
        <v>233</v>
      </c>
      <c r="K845">
        <v>0.16669999999999999</v>
      </c>
      <c r="L845">
        <v>0.59</v>
      </c>
      <c r="M845">
        <v>0.1045</v>
      </c>
      <c r="N845">
        <v>2</v>
      </c>
      <c r="O845">
        <v>10</v>
      </c>
      <c r="P845">
        <v>12</v>
      </c>
      <c r="Q845" s="17" t="str">
        <f t="shared" si="41"/>
        <v>Weekends</v>
      </c>
      <c r="R845" s="17" t="str">
        <f t="shared" si="39"/>
        <v>Afternoon</v>
      </c>
      <c r="S845" s="9" t="str">
        <f t="shared" si="40"/>
        <v>Mist</v>
      </c>
    </row>
    <row r="846" spans="1:19" x14ac:dyDescent="0.25">
      <c r="A846">
        <v>235</v>
      </c>
      <c r="B846" s="19">
        <v>40571</v>
      </c>
      <c r="C846">
        <v>1</v>
      </c>
      <c r="D846">
        <v>1</v>
      </c>
      <c r="E846">
        <v>15</v>
      </c>
      <c r="F846" t="b">
        <v>0</v>
      </c>
      <c r="G846">
        <v>5</v>
      </c>
      <c r="H846">
        <v>2</v>
      </c>
      <c r="I846">
        <v>0.2</v>
      </c>
      <c r="J846">
        <v>234</v>
      </c>
      <c r="K846">
        <v>0.1515</v>
      </c>
      <c r="L846">
        <v>0.59</v>
      </c>
      <c r="M846">
        <v>0.16420000000000001</v>
      </c>
      <c r="N846">
        <v>0</v>
      </c>
      <c r="O846">
        <v>3</v>
      </c>
      <c r="P846">
        <v>3</v>
      </c>
      <c r="Q846" s="17" t="str">
        <f t="shared" si="41"/>
        <v>Weekends</v>
      </c>
      <c r="R846" s="17" t="str">
        <f t="shared" si="39"/>
        <v>Afternoon</v>
      </c>
      <c r="S846" s="9" t="str">
        <f t="shared" si="40"/>
        <v>Mist</v>
      </c>
    </row>
    <row r="847" spans="1:19" x14ac:dyDescent="0.25">
      <c r="A847">
        <v>236</v>
      </c>
      <c r="B847" s="19">
        <v>40571</v>
      </c>
      <c r="C847">
        <v>1</v>
      </c>
      <c r="D847">
        <v>1</v>
      </c>
      <c r="E847">
        <v>15</v>
      </c>
      <c r="F847" t="b">
        <v>0</v>
      </c>
      <c r="G847">
        <v>5</v>
      </c>
      <c r="H847">
        <v>2</v>
      </c>
      <c r="I847">
        <v>0.2</v>
      </c>
      <c r="J847">
        <v>235</v>
      </c>
      <c r="K847">
        <v>0.1515</v>
      </c>
      <c r="L847">
        <v>0.55000000000000004</v>
      </c>
      <c r="M847">
        <v>0.19400000000000001</v>
      </c>
      <c r="N847">
        <v>0</v>
      </c>
      <c r="O847">
        <v>3</v>
      </c>
      <c r="P847">
        <v>3</v>
      </c>
      <c r="Q847" s="17" t="str">
        <f t="shared" si="41"/>
        <v>Weekends</v>
      </c>
      <c r="R847" s="17" t="str">
        <f t="shared" si="39"/>
        <v>Afternoon</v>
      </c>
      <c r="S847" s="9" t="str">
        <f t="shared" si="40"/>
        <v>Mist</v>
      </c>
    </row>
    <row r="848" spans="1:19" x14ac:dyDescent="0.25">
      <c r="A848">
        <v>237</v>
      </c>
      <c r="B848" s="19">
        <v>40571</v>
      </c>
      <c r="C848">
        <v>1</v>
      </c>
      <c r="D848">
        <v>1</v>
      </c>
      <c r="E848">
        <v>15</v>
      </c>
      <c r="F848" t="b">
        <v>0</v>
      </c>
      <c r="G848">
        <v>5</v>
      </c>
      <c r="H848">
        <v>2</v>
      </c>
      <c r="I848">
        <v>0.2</v>
      </c>
      <c r="J848">
        <v>236</v>
      </c>
      <c r="K848">
        <v>0.18179999999999999</v>
      </c>
      <c r="L848">
        <v>0.55000000000000004</v>
      </c>
      <c r="M848">
        <v>0.1343</v>
      </c>
      <c r="N848">
        <v>0</v>
      </c>
      <c r="O848">
        <v>6</v>
      </c>
      <c r="P848">
        <v>6</v>
      </c>
      <c r="Q848" s="17" t="str">
        <f t="shared" si="41"/>
        <v>Weekends</v>
      </c>
      <c r="R848" s="17" t="str">
        <f t="shared" si="39"/>
        <v>Afternoon</v>
      </c>
      <c r="S848" s="9" t="str">
        <f t="shared" si="40"/>
        <v>Mist</v>
      </c>
    </row>
    <row r="849" spans="1:19" x14ac:dyDescent="0.25">
      <c r="A849">
        <v>238</v>
      </c>
      <c r="B849" s="19">
        <v>40571</v>
      </c>
      <c r="C849">
        <v>1</v>
      </c>
      <c r="D849">
        <v>1</v>
      </c>
      <c r="E849">
        <v>15</v>
      </c>
      <c r="F849" t="b">
        <v>0</v>
      </c>
      <c r="G849">
        <v>5</v>
      </c>
      <c r="H849">
        <v>2</v>
      </c>
      <c r="I849">
        <v>0.2</v>
      </c>
      <c r="J849">
        <v>237</v>
      </c>
      <c r="K849">
        <v>0.18179999999999999</v>
      </c>
      <c r="L849">
        <v>0.55000000000000004</v>
      </c>
      <c r="M849">
        <v>0.1343</v>
      </c>
      <c r="N849">
        <v>0</v>
      </c>
      <c r="O849">
        <v>27</v>
      </c>
      <c r="P849">
        <v>27</v>
      </c>
      <c r="Q849" s="17" t="str">
        <f t="shared" si="41"/>
        <v>Weekends</v>
      </c>
      <c r="R849" s="17" t="str">
        <f t="shared" si="39"/>
        <v>Afternoon</v>
      </c>
      <c r="S849" s="9" t="str">
        <f t="shared" si="40"/>
        <v>Mist</v>
      </c>
    </row>
    <row r="850" spans="1:19" x14ac:dyDescent="0.25">
      <c r="A850">
        <v>239</v>
      </c>
      <c r="B850" s="19">
        <v>40571</v>
      </c>
      <c r="C850">
        <v>1</v>
      </c>
      <c r="D850">
        <v>1</v>
      </c>
      <c r="E850">
        <v>15</v>
      </c>
      <c r="F850" t="b">
        <v>0</v>
      </c>
      <c r="G850">
        <v>5</v>
      </c>
      <c r="H850">
        <v>2</v>
      </c>
      <c r="I850">
        <v>0.2</v>
      </c>
      <c r="J850">
        <v>238</v>
      </c>
      <c r="K850">
        <v>0.2273</v>
      </c>
      <c r="L850">
        <v>0.55000000000000004</v>
      </c>
      <c r="M850">
        <v>0</v>
      </c>
      <c r="N850">
        <v>2</v>
      </c>
      <c r="O850">
        <v>97</v>
      </c>
      <c r="P850">
        <v>99</v>
      </c>
      <c r="Q850" s="17" t="str">
        <f t="shared" si="41"/>
        <v>Weekends</v>
      </c>
      <c r="R850" s="17" t="str">
        <f t="shared" si="39"/>
        <v>Afternoon</v>
      </c>
      <c r="S850" s="9" t="str">
        <f t="shared" si="40"/>
        <v>Mist</v>
      </c>
    </row>
    <row r="851" spans="1:19" x14ac:dyDescent="0.25">
      <c r="A851">
        <v>240</v>
      </c>
      <c r="B851" s="19">
        <v>40571</v>
      </c>
      <c r="C851">
        <v>1</v>
      </c>
      <c r="D851">
        <v>1</v>
      </c>
      <c r="E851">
        <v>15</v>
      </c>
      <c r="F851" t="b">
        <v>0</v>
      </c>
      <c r="G851">
        <v>5</v>
      </c>
      <c r="H851">
        <v>2</v>
      </c>
      <c r="I851">
        <v>0.2</v>
      </c>
      <c r="J851">
        <v>239</v>
      </c>
      <c r="K851">
        <v>0.21210000000000001</v>
      </c>
      <c r="L851">
        <v>0.51</v>
      </c>
      <c r="M851">
        <v>8.9599999999999999E-2</v>
      </c>
      <c r="N851">
        <v>3</v>
      </c>
      <c r="O851">
        <v>214</v>
      </c>
      <c r="P851">
        <v>217</v>
      </c>
      <c r="Q851" s="17" t="str">
        <f t="shared" si="41"/>
        <v>Weekends</v>
      </c>
      <c r="R851" s="17" t="str">
        <f t="shared" si="39"/>
        <v>Afternoon</v>
      </c>
      <c r="S851" s="9" t="str">
        <f t="shared" si="40"/>
        <v>Mist</v>
      </c>
    </row>
    <row r="852" spans="1:19" x14ac:dyDescent="0.25">
      <c r="A852">
        <v>241</v>
      </c>
      <c r="B852" s="19">
        <v>40571</v>
      </c>
      <c r="C852">
        <v>1</v>
      </c>
      <c r="D852">
        <v>1</v>
      </c>
      <c r="E852">
        <v>15</v>
      </c>
      <c r="F852" t="b">
        <v>0</v>
      </c>
      <c r="G852">
        <v>5</v>
      </c>
      <c r="H852">
        <v>2</v>
      </c>
      <c r="I852">
        <v>0.2</v>
      </c>
      <c r="J852">
        <v>240</v>
      </c>
      <c r="K852">
        <v>0.19700000000000001</v>
      </c>
      <c r="L852">
        <v>0.51</v>
      </c>
      <c r="M852">
        <v>0.16420000000000001</v>
      </c>
      <c r="N852">
        <v>3</v>
      </c>
      <c r="O852">
        <v>127</v>
      </c>
      <c r="P852">
        <v>130</v>
      </c>
      <c r="Q852" s="17" t="str">
        <f t="shared" si="41"/>
        <v>Weekends</v>
      </c>
      <c r="R852" s="17" t="str">
        <f t="shared" si="39"/>
        <v>Afternoon</v>
      </c>
      <c r="S852" s="9" t="str">
        <f t="shared" si="40"/>
        <v>Mist</v>
      </c>
    </row>
    <row r="853" spans="1:19" x14ac:dyDescent="0.25">
      <c r="A853">
        <v>242</v>
      </c>
      <c r="B853" s="19">
        <v>40571</v>
      </c>
      <c r="C853">
        <v>1</v>
      </c>
      <c r="D853">
        <v>1</v>
      </c>
      <c r="E853">
        <v>15</v>
      </c>
      <c r="F853" t="b">
        <v>0</v>
      </c>
      <c r="G853">
        <v>5</v>
      </c>
      <c r="H853">
        <v>2</v>
      </c>
      <c r="I853">
        <v>0.2</v>
      </c>
      <c r="J853">
        <v>241</v>
      </c>
      <c r="K853">
        <v>0.21210000000000001</v>
      </c>
      <c r="L853">
        <v>0.51</v>
      </c>
      <c r="M853">
        <v>0.16420000000000001</v>
      </c>
      <c r="N853">
        <v>3</v>
      </c>
      <c r="O853">
        <v>51</v>
      </c>
      <c r="P853">
        <v>54</v>
      </c>
      <c r="Q853" s="17" t="str">
        <f t="shared" si="41"/>
        <v>Weekends</v>
      </c>
      <c r="R853" s="17" t="str">
        <f t="shared" si="39"/>
        <v>Afternoon</v>
      </c>
      <c r="S853" s="9" t="str">
        <f t="shared" si="40"/>
        <v>Mist</v>
      </c>
    </row>
    <row r="854" spans="1:19" x14ac:dyDescent="0.25">
      <c r="A854">
        <v>243</v>
      </c>
      <c r="B854" s="19">
        <v>40571</v>
      </c>
      <c r="C854">
        <v>1</v>
      </c>
      <c r="D854">
        <v>1</v>
      </c>
      <c r="E854">
        <v>15</v>
      </c>
      <c r="F854" t="b">
        <v>0</v>
      </c>
      <c r="G854">
        <v>5</v>
      </c>
      <c r="H854">
        <v>2</v>
      </c>
      <c r="I854">
        <v>0.2</v>
      </c>
      <c r="J854">
        <v>242</v>
      </c>
      <c r="K854">
        <v>0.21210000000000001</v>
      </c>
      <c r="L854">
        <v>0.47</v>
      </c>
      <c r="M854">
        <v>0.1343</v>
      </c>
      <c r="N854">
        <v>4</v>
      </c>
      <c r="O854">
        <v>31</v>
      </c>
      <c r="P854">
        <v>35</v>
      </c>
      <c r="Q854" s="17" t="str">
        <f t="shared" si="41"/>
        <v>Weekends</v>
      </c>
      <c r="R854" s="17" t="str">
        <f t="shared" si="39"/>
        <v>Afternoon</v>
      </c>
      <c r="S854" s="9" t="str">
        <f t="shared" si="40"/>
        <v>Mist</v>
      </c>
    </row>
    <row r="855" spans="1:19" x14ac:dyDescent="0.25">
      <c r="A855">
        <v>244</v>
      </c>
      <c r="B855" s="19">
        <v>40571</v>
      </c>
      <c r="C855">
        <v>1</v>
      </c>
      <c r="D855">
        <v>1</v>
      </c>
      <c r="E855">
        <v>15</v>
      </c>
      <c r="F855" t="b">
        <v>0</v>
      </c>
      <c r="G855">
        <v>5</v>
      </c>
      <c r="H855">
        <v>2</v>
      </c>
      <c r="I855">
        <v>0.2</v>
      </c>
      <c r="J855">
        <v>243</v>
      </c>
      <c r="K855">
        <v>0.2273</v>
      </c>
      <c r="L855">
        <v>0.51</v>
      </c>
      <c r="M855">
        <v>0.1045</v>
      </c>
      <c r="N855">
        <v>2</v>
      </c>
      <c r="O855">
        <v>55</v>
      </c>
      <c r="P855">
        <v>57</v>
      </c>
      <c r="Q855" s="17" t="str">
        <f t="shared" si="41"/>
        <v>Weekends</v>
      </c>
      <c r="R855" s="17" t="str">
        <f t="shared" si="39"/>
        <v>Afternoon</v>
      </c>
      <c r="S855" s="9" t="str">
        <f t="shared" si="40"/>
        <v>Mist</v>
      </c>
    </row>
    <row r="856" spans="1:19" x14ac:dyDescent="0.25">
      <c r="A856">
        <v>245</v>
      </c>
      <c r="B856" s="19">
        <v>40571</v>
      </c>
      <c r="C856">
        <v>1</v>
      </c>
      <c r="D856">
        <v>1</v>
      </c>
      <c r="E856">
        <v>15</v>
      </c>
      <c r="F856" t="b">
        <v>0</v>
      </c>
      <c r="G856">
        <v>5</v>
      </c>
      <c r="H856">
        <v>2</v>
      </c>
      <c r="I856">
        <v>0.2</v>
      </c>
      <c r="J856">
        <v>244</v>
      </c>
      <c r="K856">
        <v>0.2273</v>
      </c>
      <c r="L856">
        <v>0.59</v>
      </c>
      <c r="M856">
        <v>8.9599999999999999E-2</v>
      </c>
      <c r="N856">
        <v>6</v>
      </c>
      <c r="O856">
        <v>46</v>
      </c>
      <c r="P856">
        <v>52</v>
      </c>
      <c r="Q856" s="17" t="str">
        <f t="shared" si="41"/>
        <v>Weekends</v>
      </c>
      <c r="R856" s="17" t="str">
        <f t="shared" si="39"/>
        <v>Afternoon</v>
      </c>
      <c r="S856" s="9" t="str">
        <f t="shared" si="40"/>
        <v>Mist</v>
      </c>
    </row>
    <row r="857" spans="1:19" x14ac:dyDescent="0.25">
      <c r="A857">
        <v>246</v>
      </c>
      <c r="B857" s="19">
        <v>40571</v>
      </c>
      <c r="C857">
        <v>1</v>
      </c>
      <c r="D857">
        <v>1</v>
      </c>
      <c r="E857">
        <v>15</v>
      </c>
      <c r="F857" t="b">
        <v>0</v>
      </c>
      <c r="G857">
        <v>5</v>
      </c>
      <c r="H857">
        <v>2</v>
      </c>
      <c r="I857">
        <v>0.2</v>
      </c>
      <c r="J857">
        <v>245</v>
      </c>
      <c r="K857">
        <v>0.2273</v>
      </c>
      <c r="L857">
        <v>0.59</v>
      </c>
      <c r="M857">
        <v>8.9599999999999999E-2</v>
      </c>
      <c r="N857">
        <v>3</v>
      </c>
      <c r="O857">
        <v>60</v>
      </c>
      <c r="P857">
        <v>63</v>
      </c>
      <c r="Q857" s="17" t="str">
        <f t="shared" si="41"/>
        <v>Weekends</v>
      </c>
      <c r="R857" s="17" t="str">
        <f t="shared" si="39"/>
        <v>Afternoon</v>
      </c>
      <c r="S857" s="9" t="str">
        <f t="shared" si="40"/>
        <v>Mist</v>
      </c>
    </row>
    <row r="858" spans="1:19" x14ac:dyDescent="0.25">
      <c r="A858">
        <v>247</v>
      </c>
      <c r="B858" s="19">
        <v>40571</v>
      </c>
      <c r="C858">
        <v>1</v>
      </c>
      <c r="D858">
        <v>1</v>
      </c>
      <c r="E858">
        <v>15</v>
      </c>
      <c r="F858" t="b">
        <v>0</v>
      </c>
      <c r="G858">
        <v>5</v>
      </c>
      <c r="H858">
        <v>2</v>
      </c>
      <c r="I858">
        <v>0.2</v>
      </c>
      <c r="J858">
        <v>246</v>
      </c>
      <c r="K858">
        <v>0.19700000000000001</v>
      </c>
      <c r="L858">
        <v>0.8</v>
      </c>
      <c r="M858">
        <v>8.9599999999999999E-2</v>
      </c>
      <c r="N858">
        <v>2</v>
      </c>
      <c r="O858">
        <v>45</v>
      </c>
      <c r="P858">
        <v>47</v>
      </c>
      <c r="Q858" s="17" t="str">
        <f t="shared" si="41"/>
        <v>Weekends</v>
      </c>
      <c r="R858" s="17" t="str">
        <f t="shared" si="39"/>
        <v>Afternoon</v>
      </c>
      <c r="S858" s="9" t="str">
        <f t="shared" si="40"/>
        <v>Mist</v>
      </c>
    </row>
    <row r="859" spans="1:19" x14ac:dyDescent="0.25">
      <c r="A859">
        <v>248</v>
      </c>
      <c r="B859" s="19">
        <v>40571</v>
      </c>
      <c r="C859">
        <v>1</v>
      </c>
      <c r="D859">
        <v>1</v>
      </c>
      <c r="E859">
        <v>15</v>
      </c>
      <c r="F859" t="b">
        <v>0</v>
      </c>
      <c r="G859">
        <v>5</v>
      </c>
      <c r="H859">
        <v>2</v>
      </c>
      <c r="I859">
        <v>0.2</v>
      </c>
      <c r="J859">
        <v>247</v>
      </c>
      <c r="K859">
        <v>0.1515</v>
      </c>
      <c r="L859">
        <v>0.86</v>
      </c>
      <c r="M859">
        <v>0.22389999999999999</v>
      </c>
      <c r="N859">
        <v>4</v>
      </c>
      <c r="O859">
        <v>72</v>
      </c>
      <c r="P859">
        <v>76</v>
      </c>
      <c r="Q859" s="17" t="str">
        <f t="shared" si="41"/>
        <v>Weekends</v>
      </c>
      <c r="R859" s="17" t="str">
        <f t="shared" si="39"/>
        <v>Afternoon</v>
      </c>
      <c r="S859" s="9" t="str">
        <f t="shared" si="40"/>
        <v>Mist</v>
      </c>
    </row>
    <row r="860" spans="1:19" x14ac:dyDescent="0.25">
      <c r="A860">
        <v>249</v>
      </c>
      <c r="B860" s="19">
        <v>40571</v>
      </c>
      <c r="C860">
        <v>1</v>
      </c>
      <c r="D860">
        <v>1</v>
      </c>
      <c r="E860">
        <v>15</v>
      </c>
      <c r="F860" t="b">
        <v>0</v>
      </c>
      <c r="G860">
        <v>5</v>
      </c>
      <c r="H860">
        <v>2</v>
      </c>
      <c r="I860">
        <v>0.2</v>
      </c>
      <c r="J860">
        <v>248</v>
      </c>
      <c r="K860">
        <v>0.1515</v>
      </c>
      <c r="L860">
        <v>0.86</v>
      </c>
      <c r="M860">
        <v>0.22389999999999999</v>
      </c>
      <c r="N860">
        <v>6</v>
      </c>
      <c r="O860">
        <v>130</v>
      </c>
      <c r="P860">
        <v>136</v>
      </c>
      <c r="Q860" s="17" t="str">
        <f t="shared" si="41"/>
        <v>Weekends</v>
      </c>
      <c r="R860" s="17" t="str">
        <f t="shared" si="39"/>
        <v>Afternoon</v>
      </c>
      <c r="S860" s="9" t="str">
        <f t="shared" si="40"/>
        <v>Mist</v>
      </c>
    </row>
    <row r="861" spans="1:19" x14ac:dyDescent="0.25">
      <c r="A861">
        <v>250</v>
      </c>
      <c r="B861" s="19">
        <v>40571</v>
      </c>
      <c r="C861">
        <v>1</v>
      </c>
      <c r="D861">
        <v>1</v>
      </c>
      <c r="E861">
        <v>15</v>
      </c>
      <c r="F861" t="b">
        <v>0</v>
      </c>
      <c r="G861">
        <v>5</v>
      </c>
      <c r="H861">
        <v>2</v>
      </c>
      <c r="I861">
        <v>0.2</v>
      </c>
      <c r="J861">
        <v>249</v>
      </c>
      <c r="K861">
        <v>0.18179999999999999</v>
      </c>
      <c r="L861">
        <v>0.93</v>
      </c>
      <c r="M861">
        <v>0.1045</v>
      </c>
      <c r="N861">
        <v>1</v>
      </c>
      <c r="O861">
        <v>94</v>
      </c>
      <c r="P861">
        <v>95</v>
      </c>
      <c r="Q861" s="17" t="str">
        <f t="shared" si="41"/>
        <v>Weekends</v>
      </c>
      <c r="R861" s="17" t="str">
        <f t="shared" si="39"/>
        <v>Afternoon</v>
      </c>
      <c r="S861" s="9" t="str">
        <f t="shared" si="40"/>
        <v>Mist</v>
      </c>
    </row>
    <row r="862" spans="1:19" x14ac:dyDescent="0.25">
      <c r="A862">
        <v>251</v>
      </c>
      <c r="B862" s="19">
        <v>40571</v>
      </c>
      <c r="C862">
        <v>1</v>
      </c>
      <c r="D862">
        <v>1</v>
      </c>
      <c r="E862">
        <v>15</v>
      </c>
      <c r="F862" t="b">
        <v>0</v>
      </c>
      <c r="G862">
        <v>5</v>
      </c>
      <c r="H862">
        <v>2</v>
      </c>
      <c r="I862">
        <v>0.2</v>
      </c>
      <c r="J862">
        <v>250</v>
      </c>
      <c r="K862">
        <v>0.2273</v>
      </c>
      <c r="L862">
        <v>0.93</v>
      </c>
      <c r="M862">
        <v>0</v>
      </c>
      <c r="N862">
        <v>0</v>
      </c>
      <c r="O862">
        <v>51</v>
      </c>
      <c r="P862">
        <v>51</v>
      </c>
      <c r="Q862" s="17" t="str">
        <f t="shared" si="41"/>
        <v>Weekends</v>
      </c>
      <c r="R862" s="17" t="str">
        <f t="shared" si="39"/>
        <v>Afternoon</v>
      </c>
      <c r="S862" s="9" t="str">
        <f t="shared" si="40"/>
        <v>Mist</v>
      </c>
    </row>
    <row r="863" spans="1:19" x14ac:dyDescent="0.25">
      <c r="A863">
        <v>252</v>
      </c>
      <c r="B863" s="19">
        <v>40571</v>
      </c>
      <c r="C863">
        <v>1</v>
      </c>
      <c r="D863">
        <v>1</v>
      </c>
      <c r="E863">
        <v>15</v>
      </c>
      <c r="F863" t="b">
        <v>0</v>
      </c>
      <c r="G863">
        <v>5</v>
      </c>
      <c r="H863">
        <v>2</v>
      </c>
      <c r="I863">
        <v>0.2</v>
      </c>
      <c r="J863">
        <v>251</v>
      </c>
      <c r="K863">
        <v>0.1515</v>
      </c>
      <c r="L863">
        <v>0.93</v>
      </c>
      <c r="M863">
        <v>0.19400000000000001</v>
      </c>
      <c r="N863">
        <v>0</v>
      </c>
      <c r="O863">
        <v>32</v>
      </c>
      <c r="P863">
        <v>32</v>
      </c>
      <c r="Q863" s="17" t="str">
        <f t="shared" si="41"/>
        <v>Weekends</v>
      </c>
      <c r="R863" s="17" t="str">
        <f t="shared" si="39"/>
        <v>Afternoon</v>
      </c>
      <c r="S863" s="9" t="str">
        <f t="shared" si="40"/>
        <v>Mist</v>
      </c>
    </row>
    <row r="864" spans="1:19" x14ac:dyDescent="0.25">
      <c r="A864">
        <v>253</v>
      </c>
      <c r="B864" s="19">
        <v>40571</v>
      </c>
      <c r="C864">
        <v>1</v>
      </c>
      <c r="D864">
        <v>1</v>
      </c>
      <c r="E864">
        <v>15</v>
      </c>
      <c r="F864" t="b">
        <v>0</v>
      </c>
      <c r="G864">
        <v>5</v>
      </c>
      <c r="H864">
        <v>2</v>
      </c>
      <c r="I864">
        <v>0.2</v>
      </c>
      <c r="J864">
        <v>252</v>
      </c>
      <c r="K864">
        <v>0.19700000000000001</v>
      </c>
      <c r="L864">
        <v>0.86</v>
      </c>
      <c r="M864">
        <v>8.9599999999999999E-2</v>
      </c>
      <c r="N864">
        <v>0</v>
      </c>
      <c r="O864">
        <v>20</v>
      </c>
      <c r="P864">
        <v>20</v>
      </c>
      <c r="Q864" s="17" t="str">
        <f t="shared" si="41"/>
        <v>Weekends</v>
      </c>
      <c r="R864" s="17" t="str">
        <f t="shared" si="39"/>
        <v>Afternoon</v>
      </c>
      <c r="S864" s="9" t="str">
        <f t="shared" si="40"/>
        <v>Mist</v>
      </c>
    </row>
    <row r="865" spans="1:19" x14ac:dyDescent="0.25">
      <c r="A865">
        <v>254</v>
      </c>
      <c r="B865" s="19">
        <v>40571</v>
      </c>
      <c r="C865">
        <v>1</v>
      </c>
      <c r="D865">
        <v>1</v>
      </c>
      <c r="E865">
        <v>15</v>
      </c>
      <c r="F865" t="b">
        <v>0</v>
      </c>
      <c r="G865">
        <v>5</v>
      </c>
      <c r="H865">
        <v>2</v>
      </c>
      <c r="I865">
        <v>0.2</v>
      </c>
      <c r="J865">
        <v>253</v>
      </c>
      <c r="K865">
        <v>0.18179999999999999</v>
      </c>
      <c r="L865">
        <v>0.93</v>
      </c>
      <c r="M865">
        <v>0.1045</v>
      </c>
      <c r="N865">
        <v>1</v>
      </c>
      <c r="O865">
        <v>28</v>
      </c>
      <c r="P865">
        <v>29</v>
      </c>
      <c r="Q865" s="17" t="str">
        <f t="shared" si="41"/>
        <v>Weekends</v>
      </c>
      <c r="R865" s="17" t="str">
        <f t="shared" si="39"/>
        <v>Afternoon</v>
      </c>
      <c r="S865" s="9" t="str">
        <f t="shared" si="40"/>
        <v>Mist</v>
      </c>
    </row>
    <row r="866" spans="1:19" x14ac:dyDescent="0.25">
      <c r="A866">
        <v>255</v>
      </c>
      <c r="B866" s="19">
        <v>40571</v>
      </c>
      <c r="C866">
        <v>1</v>
      </c>
      <c r="D866">
        <v>1</v>
      </c>
      <c r="E866">
        <v>15</v>
      </c>
      <c r="F866" t="b">
        <v>0</v>
      </c>
      <c r="G866">
        <v>5</v>
      </c>
      <c r="H866">
        <v>2</v>
      </c>
      <c r="I866">
        <v>0.2</v>
      </c>
      <c r="J866">
        <v>254</v>
      </c>
      <c r="K866">
        <v>0.19700000000000001</v>
      </c>
      <c r="L866">
        <v>0.93</v>
      </c>
      <c r="M866">
        <v>8.9599999999999999E-2</v>
      </c>
      <c r="N866">
        <v>1</v>
      </c>
      <c r="O866">
        <v>18</v>
      </c>
      <c r="P866">
        <v>19</v>
      </c>
      <c r="Q866" s="17" t="str">
        <f t="shared" si="41"/>
        <v>Weekends</v>
      </c>
      <c r="R866" s="17" t="str">
        <f t="shared" si="39"/>
        <v>Afternoon</v>
      </c>
      <c r="S866" s="9" t="str">
        <f t="shared" si="40"/>
        <v>Mist</v>
      </c>
    </row>
    <row r="867" spans="1:19" x14ac:dyDescent="0.25">
      <c r="A867">
        <v>256</v>
      </c>
      <c r="B867" s="19">
        <v>40571</v>
      </c>
      <c r="C867">
        <v>1</v>
      </c>
      <c r="D867">
        <v>1</v>
      </c>
      <c r="E867">
        <v>15</v>
      </c>
      <c r="F867" t="b">
        <v>0</v>
      </c>
      <c r="G867">
        <v>5</v>
      </c>
      <c r="H867">
        <v>2</v>
      </c>
      <c r="I867">
        <v>0.2</v>
      </c>
      <c r="J867">
        <v>255</v>
      </c>
      <c r="K867">
        <v>0.19700000000000001</v>
      </c>
      <c r="L867">
        <v>0.86</v>
      </c>
      <c r="M867">
        <v>8.9599999999999999E-2</v>
      </c>
      <c r="N867">
        <v>0</v>
      </c>
      <c r="O867">
        <v>7</v>
      </c>
      <c r="P867">
        <v>7</v>
      </c>
      <c r="Q867" s="17" t="str">
        <f t="shared" si="41"/>
        <v>Weekends</v>
      </c>
      <c r="R867" s="17" t="str">
        <f t="shared" si="39"/>
        <v>Afternoon</v>
      </c>
      <c r="S867" s="9" t="str">
        <f t="shared" si="40"/>
        <v>Mist</v>
      </c>
    </row>
    <row r="868" spans="1:19" x14ac:dyDescent="0.25">
      <c r="A868">
        <v>257</v>
      </c>
      <c r="B868" s="19">
        <v>40571</v>
      </c>
      <c r="C868">
        <v>1</v>
      </c>
      <c r="D868">
        <v>1</v>
      </c>
      <c r="E868">
        <v>15</v>
      </c>
      <c r="F868" t="b">
        <v>0</v>
      </c>
      <c r="G868">
        <v>5</v>
      </c>
      <c r="H868">
        <v>2</v>
      </c>
      <c r="I868">
        <v>0.2</v>
      </c>
      <c r="J868">
        <v>256</v>
      </c>
      <c r="K868">
        <v>0.18179999999999999</v>
      </c>
      <c r="L868">
        <v>0.86</v>
      </c>
      <c r="M868">
        <v>0.1045</v>
      </c>
      <c r="N868">
        <v>0</v>
      </c>
      <c r="O868">
        <v>6</v>
      </c>
      <c r="P868">
        <v>6</v>
      </c>
      <c r="Q868" s="17" t="str">
        <f t="shared" si="41"/>
        <v>Weekends</v>
      </c>
      <c r="R868" s="17" t="str">
        <f t="shared" si="39"/>
        <v>Afternoon</v>
      </c>
      <c r="S868" s="9" t="str">
        <f t="shared" si="40"/>
        <v>Mist</v>
      </c>
    </row>
    <row r="869" spans="1:19" x14ac:dyDescent="0.25">
      <c r="A869">
        <v>258</v>
      </c>
      <c r="B869" s="19">
        <v>40571</v>
      </c>
      <c r="C869">
        <v>1</v>
      </c>
      <c r="D869">
        <v>1</v>
      </c>
      <c r="E869">
        <v>15</v>
      </c>
      <c r="F869" t="b">
        <v>0</v>
      </c>
      <c r="G869">
        <v>5</v>
      </c>
      <c r="H869">
        <v>2</v>
      </c>
      <c r="I869">
        <v>0.2</v>
      </c>
      <c r="J869">
        <v>257</v>
      </c>
      <c r="K869">
        <v>0.1515</v>
      </c>
      <c r="L869">
        <v>0.86</v>
      </c>
      <c r="M869">
        <v>0.1343</v>
      </c>
      <c r="N869">
        <v>0</v>
      </c>
      <c r="O869">
        <v>1</v>
      </c>
      <c r="P869">
        <v>1</v>
      </c>
      <c r="Q869" s="17" t="str">
        <f t="shared" si="41"/>
        <v>Weekends</v>
      </c>
      <c r="R869" s="17" t="str">
        <f t="shared" si="39"/>
        <v>Afternoon</v>
      </c>
      <c r="S869" s="9" t="str">
        <f t="shared" si="40"/>
        <v>Mist</v>
      </c>
    </row>
    <row r="870" spans="1:19" x14ac:dyDescent="0.25">
      <c r="A870">
        <v>259</v>
      </c>
      <c r="B870" s="19">
        <v>40571</v>
      </c>
      <c r="C870">
        <v>1</v>
      </c>
      <c r="D870">
        <v>1</v>
      </c>
      <c r="E870">
        <v>15</v>
      </c>
      <c r="F870" t="b">
        <v>0</v>
      </c>
      <c r="G870">
        <v>5</v>
      </c>
      <c r="H870">
        <v>2</v>
      </c>
      <c r="I870">
        <v>0.2</v>
      </c>
      <c r="J870">
        <v>258</v>
      </c>
      <c r="K870">
        <v>0.1515</v>
      </c>
      <c r="L870">
        <v>0.86</v>
      </c>
      <c r="M870">
        <v>0.16420000000000001</v>
      </c>
      <c r="N870">
        <v>0</v>
      </c>
      <c r="O870">
        <v>5</v>
      </c>
      <c r="P870">
        <v>5</v>
      </c>
      <c r="Q870" s="17" t="str">
        <f t="shared" si="41"/>
        <v>Weekends</v>
      </c>
      <c r="R870" s="17" t="str">
        <f t="shared" si="39"/>
        <v>Afternoon</v>
      </c>
      <c r="S870" s="9" t="str">
        <f t="shared" si="40"/>
        <v>Mist</v>
      </c>
    </row>
    <row r="871" spans="1:19" x14ac:dyDescent="0.25">
      <c r="A871">
        <v>260</v>
      </c>
      <c r="B871" s="19">
        <v>40571</v>
      </c>
      <c r="C871">
        <v>1</v>
      </c>
      <c r="D871">
        <v>1</v>
      </c>
      <c r="E871">
        <v>15</v>
      </c>
      <c r="F871" t="b">
        <v>0</v>
      </c>
      <c r="G871">
        <v>5</v>
      </c>
      <c r="H871">
        <v>2</v>
      </c>
      <c r="I871">
        <v>0.2</v>
      </c>
      <c r="J871">
        <v>259</v>
      </c>
      <c r="K871">
        <v>0.1515</v>
      </c>
      <c r="L871">
        <v>0.93</v>
      </c>
      <c r="M871">
        <v>0.1343</v>
      </c>
      <c r="N871">
        <v>0</v>
      </c>
      <c r="O871">
        <v>16</v>
      </c>
      <c r="P871">
        <v>16</v>
      </c>
      <c r="Q871" s="17" t="str">
        <f t="shared" si="41"/>
        <v>Weekends</v>
      </c>
      <c r="R871" s="17" t="str">
        <f t="shared" si="39"/>
        <v>Afternoon</v>
      </c>
      <c r="S871" s="9" t="str">
        <f t="shared" si="40"/>
        <v>Mist</v>
      </c>
    </row>
    <row r="872" spans="1:19" x14ac:dyDescent="0.25">
      <c r="A872">
        <v>261</v>
      </c>
      <c r="B872" s="19">
        <v>40571</v>
      </c>
      <c r="C872">
        <v>1</v>
      </c>
      <c r="D872">
        <v>1</v>
      </c>
      <c r="E872">
        <v>15</v>
      </c>
      <c r="F872" t="b">
        <v>0</v>
      </c>
      <c r="G872">
        <v>5</v>
      </c>
      <c r="H872">
        <v>2</v>
      </c>
      <c r="I872">
        <v>0.2</v>
      </c>
      <c r="J872">
        <v>260</v>
      </c>
      <c r="K872">
        <v>0.1515</v>
      </c>
      <c r="L872">
        <v>0.69</v>
      </c>
      <c r="M872">
        <v>0.1343</v>
      </c>
      <c r="N872">
        <v>0</v>
      </c>
      <c r="O872">
        <v>54</v>
      </c>
      <c r="P872">
        <v>54</v>
      </c>
      <c r="Q872" s="17" t="str">
        <f t="shared" si="41"/>
        <v>Weekends</v>
      </c>
      <c r="R872" s="17" t="str">
        <f t="shared" si="39"/>
        <v>Afternoon</v>
      </c>
      <c r="S872" s="9" t="str">
        <f t="shared" si="40"/>
        <v>Mist</v>
      </c>
    </row>
    <row r="873" spans="1:19" x14ac:dyDescent="0.25">
      <c r="A873">
        <v>262</v>
      </c>
      <c r="B873" s="19">
        <v>40571</v>
      </c>
      <c r="C873">
        <v>1</v>
      </c>
      <c r="D873">
        <v>1</v>
      </c>
      <c r="E873">
        <v>15</v>
      </c>
      <c r="F873" t="b">
        <v>0</v>
      </c>
      <c r="G873">
        <v>5</v>
      </c>
      <c r="H873">
        <v>2</v>
      </c>
      <c r="I873">
        <v>0.2</v>
      </c>
      <c r="J873">
        <v>261</v>
      </c>
      <c r="K873">
        <v>0.16669999999999999</v>
      </c>
      <c r="L873">
        <v>0.59</v>
      </c>
      <c r="M873">
        <v>0.16420000000000001</v>
      </c>
      <c r="N873">
        <v>3</v>
      </c>
      <c r="O873">
        <v>125</v>
      </c>
      <c r="P873">
        <v>128</v>
      </c>
      <c r="Q873" s="17" t="str">
        <f t="shared" si="41"/>
        <v>Weekends</v>
      </c>
      <c r="R873" s="17" t="str">
        <f t="shared" si="39"/>
        <v>Afternoon</v>
      </c>
      <c r="S873" s="9" t="str">
        <f t="shared" si="40"/>
        <v>Mist</v>
      </c>
    </row>
    <row r="874" spans="1:19" x14ac:dyDescent="0.25">
      <c r="A874">
        <v>263</v>
      </c>
      <c r="B874" s="19">
        <v>40571</v>
      </c>
      <c r="C874">
        <v>1</v>
      </c>
      <c r="D874">
        <v>1</v>
      </c>
      <c r="E874">
        <v>15</v>
      </c>
      <c r="F874" t="b">
        <v>0</v>
      </c>
      <c r="G874">
        <v>5</v>
      </c>
      <c r="H874">
        <v>2</v>
      </c>
      <c r="I874">
        <v>0.2</v>
      </c>
      <c r="J874">
        <v>262</v>
      </c>
      <c r="K874">
        <v>0.13639999999999999</v>
      </c>
      <c r="L874">
        <v>0.59</v>
      </c>
      <c r="M874">
        <v>0.32840000000000003</v>
      </c>
      <c r="N874">
        <v>3</v>
      </c>
      <c r="O874">
        <v>78</v>
      </c>
      <c r="P874">
        <v>81</v>
      </c>
      <c r="Q874" s="17" t="str">
        <f t="shared" si="41"/>
        <v>Weekends</v>
      </c>
      <c r="R874" s="17" t="str">
        <f t="shared" si="39"/>
        <v>Afternoon</v>
      </c>
      <c r="S874" s="9" t="str">
        <f t="shared" si="40"/>
        <v>Mist</v>
      </c>
    </row>
    <row r="875" spans="1:19" x14ac:dyDescent="0.25">
      <c r="A875">
        <v>264</v>
      </c>
      <c r="B875" s="19">
        <v>40571</v>
      </c>
      <c r="C875">
        <v>1</v>
      </c>
      <c r="D875">
        <v>1</v>
      </c>
      <c r="E875">
        <v>15</v>
      </c>
      <c r="F875" t="b">
        <v>0</v>
      </c>
      <c r="G875">
        <v>5</v>
      </c>
      <c r="H875">
        <v>2</v>
      </c>
      <c r="I875">
        <v>0.2</v>
      </c>
      <c r="J875">
        <v>263</v>
      </c>
      <c r="K875">
        <v>0.18179999999999999</v>
      </c>
      <c r="L875">
        <v>0.55000000000000004</v>
      </c>
      <c r="M875">
        <v>0.22389999999999999</v>
      </c>
      <c r="N875">
        <v>0</v>
      </c>
      <c r="O875">
        <v>39</v>
      </c>
      <c r="P875">
        <v>39</v>
      </c>
      <c r="Q875" s="17" t="str">
        <f t="shared" si="41"/>
        <v>Weekends</v>
      </c>
      <c r="R875" s="17" t="str">
        <f t="shared" si="39"/>
        <v>Afternoon</v>
      </c>
      <c r="S875" s="9" t="str">
        <f t="shared" si="40"/>
        <v>Mist</v>
      </c>
    </row>
    <row r="876" spans="1:19" x14ac:dyDescent="0.25">
      <c r="A876">
        <v>265</v>
      </c>
      <c r="B876" s="19">
        <v>40571</v>
      </c>
      <c r="C876">
        <v>1</v>
      </c>
      <c r="D876">
        <v>1</v>
      </c>
      <c r="E876">
        <v>15</v>
      </c>
      <c r="F876" t="b">
        <v>0</v>
      </c>
      <c r="G876">
        <v>5</v>
      </c>
      <c r="H876">
        <v>2</v>
      </c>
      <c r="I876">
        <v>0.2</v>
      </c>
      <c r="J876">
        <v>264</v>
      </c>
      <c r="K876">
        <v>0.18179999999999999</v>
      </c>
      <c r="L876">
        <v>0.51</v>
      </c>
      <c r="M876">
        <v>0.3881</v>
      </c>
      <c r="N876">
        <v>3</v>
      </c>
      <c r="O876">
        <v>32</v>
      </c>
      <c r="P876">
        <v>35</v>
      </c>
      <c r="Q876" s="17" t="str">
        <f t="shared" si="41"/>
        <v>Weekends</v>
      </c>
      <c r="R876" s="17" t="str">
        <f t="shared" si="39"/>
        <v>Afternoon</v>
      </c>
      <c r="S876" s="9" t="str">
        <f t="shared" si="40"/>
        <v>Mist</v>
      </c>
    </row>
    <row r="877" spans="1:19" x14ac:dyDescent="0.25">
      <c r="A877">
        <v>266</v>
      </c>
      <c r="B877" s="19">
        <v>40571</v>
      </c>
      <c r="C877">
        <v>1</v>
      </c>
      <c r="D877">
        <v>1</v>
      </c>
      <c r="E877">
        <v>15</v>
      </c>
      <c r="F877" t="b">
        <v>0</v>
      </c>
      <c r="G877">
        <v>5</v>
      </c>
      <c r="H877">
        <v>2</v>
      </c>
      <c r="I877">
        <v>0.2</v>
      </c>
      <c r="J877">
        <v>265</v>
      </c>
      <c r="K877">
        <v>0.1515</v>
      </c>
      <c r="L877">
        <v>0.47</v>
      </c>
      <c r="M877">
        <v>0.58209999999999995</v>
      </c>
      <c r="N877">
        <v>3</v>
      </c>
      <c r="O877">
        <v>52</v>
      </c>
      <c r="P877">
        <v>55</v>
      </c>
      <c r="Q877" s="17" t="str">
        <f t="shared" si="41"/>
        <v>Weekends</v>
      </c>
      <c r="R877" s="17" t="str">
        <f t="shared" si="39"/>
        <v>Afternoon</v>
      </c>
      <c r="S877" s="9" t="str">
        <f t="shared" si="40"/>
        <v>Mist</v>
      </c>
    </row>
    <row r="878" spans="1:19" x14ac:dyDescent="0.25">
      <c r="A878">
        <v>267</v>
      </c>
      <c r="B878" s="19">
        <v>40571</v>
      </c>
      <c r="C878">
        <v>1</v>
      </c>
      <c r="D878">
        <v>1</v>
      </c>
      <c r="E878">
        <v>15</v>
      </c>
      <c r="F878" t="b">
        <v>0</v>
      </c>
      <c r="G878">
        <v>5</v>
      </c>
      <c r="H878">
        <v>2</v>
      </c>
      <c r="I878">
        <v>0.2</v>
      </c>
      <c r="J878">
        <v>266</v>
      </c>
      <c r="K878">
        <v>0.19700000000000001</v>
      </c>
      <c r="L878">
        <v>0.44</v>
      </c>
      <c r="M878">
        <v>0.35820000000000002</v>
      </c>
      <c r="N878">
        <v>0</v>
      </c>
      <c r="O878">
        <v>49</v>
      </c>
      <c r="P878">
        <v>49</v>
      </c>
      <c r="Q878" s="17" t="str">
        <f t="shared" si="41"/>
        <v>Weekends</v>
      </c>
      <c r="R878" s="17" t="str">
        <f t="shared" si="39"/>
        <v>Afternoon</v>
      </c>
      <c r="S878" s="9" t="str">
        <f t="shared" si="40"/>
        <v>Mist</v>
      </c>
    </row>
    <row r="879" spans="1:19" x14ac:dyDescent="0.25">
      <c r="A879">
        <v>268</v>
      </c>
      <c r="B879" s="19">
        <v>40571</v>
      </c>
      <c r="C879">
        <v>1</v>
      </c>
      <c r="D879">
        <v>1</v>
      </c>
      <c r="E879">
        <v>15</v>
      </c>
      <c r="F879" t="b">
        <v>0</v>
      </c>
      <c r="G879">
        <v>5</v>
      </c>
      <c r="H879">
        <v>2</v>
      </c>
      <c r="I879">
        <v>0.2</v>
      </c>
      <c r="J879">
        <v>267</v>
      </c>
      <c r="K879">
        <v>0.18179999999999999</v>
      </c>
      <c r="L879">
        <v>0.47</v>
      </c>
      <c r="M879">
        <v>0.32840000000000003</v>
      </c>
      <c r="N879">
        <v>0</v>
      </c>
      <c r="O879">
        <v>44</v>
      </c>
      <c r="P879">
        <v>44</v>
      </c>
      <c r="Q879" s="17" t="str">
        <f t="shared" si="41"/>
        <v>Weekends</v>
      </c>
      <c r="R879" s="17" t="str">
        <f t="shared" si="39"/>
        <v>Afternoon</v>
      </c>
      <c r="S879" s="9" t="str">
        <f t="shared" si="40"/>
        <v>Mist</v>
      </c>
    </row>
    <row r="880" spans="1:19" x14ac:dyDescent="0.25">
      <c r="A880">
        <v>269</v>
      </c>
      <c r="B880" s="19">
        <v>40571</v>
      </c>
      <c r="C880">
        <v>1</v>
      </c>
      <c r="D880">
        <v>1</v>
      </c>
      <c r="E880">
        <v>15</v>
      </c>
      <c r="F880" t="b">
        <v>0</v>
      </c>
      <c r="G880">
        <v>5</v>
      </c>
      <c r="H880">
        <v>2</v>
      </c>
      <c r="I880">
        <v>0.2</v>
      </c>
      <c r="J880">
        <v>268</v>
      </c>
      <c r="K880">
        <v>0.16669999999999999</v>
      </c>
      <c r="L880">
        <v>0.47</v>
      </c>
      <c r="M880">
        <v>0.41789999999999999</v>
      </c>
      <c r="N880">
        <v>1</v>
      </c>
      <c r="O880">
        <v>48</v>
      </c>
      <c r="P880">
        <v>49</v>
      </c>
      <c r="Q880" s="17" t="str">
        <f t="shared" si="41"/>
        <v>Weekends</v>
      </c>
      <c r="R880" s="17" t="str">
        <f t="shared" si="39"/>
        <v>Afternoon</v>
      </c>
      <c r="S880" s="9" t="str">
        <f t="shared" si="40"/>
        <v>Mist</v>
      </c>
    </row>
    <row r="881" spans="1:19" x14ac:dyDescent="0.25">
      <c r="A881">
        <v>270</v>
      </c>
      <c r="B881" s="19">
        <v>40571</v>
      </c>
      <c r="C881">
        <v>1</v>
      </c>
      <c r="D881">
        <v>1</v>
      </c>
      <c r="E881">
        <v>15</v>
      </c>
      <c r="F881" t="b">
        <v>0</v>
      </c>
      <c r="G881">
        <v>5</v>
      </c>
      <c r="H881">
        <v>2</v>
      </c>
      <c r="I881">
        <v>0.2</v>
      </c>
      <c r="J881">
        <v>269</v>
      </c>
      <c r="K881">
        <v>0.19700000000000001</v>
      </c>
      <c r="L881">
        <v>0.44</v>
      </c>
      <c r="M881">
        <v>0.32840000000000003</v>
      </c>
      <c r="N881">
        <v>5</v>
      </c>
      <c r="O881">
        <v>63</v>
      </c>
      <c r="P881">
        <v>68</v>
      </c>
      <c r="Q881" s="17" t="str">
        <f t="shared" si="41"/>
        <v>Weekends</v>
      </c>
      <c r="R881" s="17" t="str">
        <f t="shared" si="39"/>
        <v>Afternoon</v>
      </c>
      <c r="S881" s="9" t="str">
        <f t="shared" si="40"/>
        <v>Mist</v>
      </c>
    </row>
    <row r="882" spans="1:19" x14ac:dyDescent="0.25">
      <c r="A882">
        <v>271</v>
      </c>
      <c r="B882" s="19">
        <v>40571</v>
      </c>
      <c r="C882">
        <v>1</v>
      </c>
      <c r="D882">
        <v>1</v>
      </c>
      <c r="E882">
        <v>15</v>
      </c>
      <c r="F882" t="b">
        <v>0</v>
      </c>
      <c r="G882">
        <v>5</v>
      </c>
      <c r="H882">
        <v>2</v>
      </c>
      <c r="I882">
        <v>0.2</v>
      </c>
      <c r="J882">
        <v>270</v>
      </c>
      <c r="K882">
        <v>0.18179999999999999</v>
      </c>
      <c r="L882">
        <v>0.47</v>
      </c>
      <c r="M882">
        <v>0.35820000000000002</v>
      </c>
      <c r="N882">
        <v>0</v>
      </c>
      <c r="O882">
        <v>139</v>
      </c>
      <c r="P882">
        <v>139</v>
      </c>
      <c r="Q882" s="17" t="str">
        <f t="shared" si="41"/>
        <v>Weekends</v>
      </c>
      <c r="R882" s="17" t="str">
        <f t="shared" si="39"/>
        <v>Afternoon</v>
      </c>
      <c r="S882" s="9" t="str">
        <f t="shared" si="40"/>
        <v>Mist</v>
      </c>
    </row>
    <row r="883" spans="1:19" x14ac:dyDescent="0.25">
      <c r="A883">
        <v>272</v>
      </c>
      <c r="B883" s="19">
        <v>40571</v>
      </c>
      <c r="C883">
        <v>1</v>
      </c>
      <c r="D883">
        <v>1</v>
      </c>
      <c r="E883">
        <v>15</v>
      </c>
      <c r="F883" t="b">
        <v>0</v>
      </c>
      <c r="G883">
        <v>5</v>
      </c>
      <c r="H883">
        <v>2</v>
      </c>
      <c r="I883">
        <v>0.2</v>
      </c>
      <c r="J883">
        <v>271</v>
      </c>
      <c r="K883">
        <v>0.1515</v>
      </c>
      <c r="L883">
        <v>0.47</v>
      </c>
      <c r="M883">
        <v>0.52239999999999998</v>
      </c>
      <c r="N883">
        <v>2</v>
      </c>
      <c r="O883">
        <v>135</v>
      </c>
      <c r="P883">
        <v>137</v>
      </c>
      <c r="Q883" s="17" t="str">
        <f t="shared" si="41"/>
        <v>Weekends</v>
      </c>
      <c r="R883" s="17" t="str">
        <f t="shared" si="39"/>
        <v>Afternoon</v>
      </c>
      <c r="S883" s="9" t="str">
        <f t="shared" si="40"/>
        <v>Mist</v>
      </c>
    </row>
    <row r="884" spans="1:19" x14ac:dyDescent="0.25">
      <c r="A884">
        <v>273</v>
      </c>
      <c r="B884" s="19">
        <v>40571</v>
      </c>
      <c r="C884">
        <v>1</v>
      </c>
      <c r="D884">
        <v>1</v>
      </c>
      <c r="E884">
        <v>15</v>
      </c>
      <c r="F884" t="b">
        <v>0</v>
      </c>
      <c r="G884">
        <v>5</v>
      </c>
      <c r="H884">
        <v>2</v>
      </c>
      <c r="I884">
        <v>0.2</v>
      </c>
      <c r="J884">
        <v>272</v>
      </c>
      <c r="K884">
        <v>0.1515</v>
      </c>
      <c r="L884">
        <v>0.47</v>
      </c>
      <c r="M884">
        <v>0.41789999999999999</v>
      </c>
      <c r="N884">
        <v>1</v>
      </c>
      <c r="O884">
        <v>82</v>
      </c>
      <c r="P884">
        <v>83</v>
      </c>
      <c r="Q884" s="17" t="str">
        <f t="shared" si="41"/>
        <v>Weekends</v>
      </c>
      <c r="R884" s="17" t="str">
        <f t="shared" si="39"/>
        <v>Afternoon</v>
      </c>
      <c r="S884" s="9" t="str">
        <f t="shared" si="40"/>
        <v>Mist</v>
      </c>
    </row>
    <row r="885" spans="1:19" x14ac:dyDescent="0.25">
      <c r="A885">
        <v>274</v>
      </c>
      <c r="B885" s="19">
        <v>40571</v>
      </c>
      <c r="C885">
        <v>1</v>
      </c>
      <c r="D885">
        <v>1</v>
      </c>
      <c r="E885">
        <v>15</v>
      </c>
      <c r="F885" t="b">
        <v>0</v>
      </c>
      <c r="G885">
        <v>5</v>
      </c>
      <c r="H885">
        <v>2</v>
      </c>
      <c r="I885">
        <v>0.2</v>
      </c>
      <c r="J885">
        <v>273</v>
      </c>
      <c r="K885">
        <v>0.13639999999999999</v>
      </c>
      <c r="L885">
        <v>0.5</v>
      </c>
      <c r="M885">
        <v>0.32840000000000003</v>
      </c>
      <c r="N885">
        <v>2</v>
      </c>
      <c r="O885">
        <v>54</v>
      </c>
      <c r="P885">
        <v>56</v>
      </c>
      <c r="Q885" s="17" t="str">
        <f t="shared" si="41"/>
        <v>Weekends</v>
      </c>
      <c r="R885" s="17" t="str">
        <f t="shared" si="39"/>
        <v>Afternoon</v>
      </c>
      <c r="S885" s="9" t="str">
        <f t="shared" si="40"/>
        <v>Mist</v>
      </c>
    </row>
    <row r="886" spans="1:19" x14ac:dyDescent="0.25">
      <c r="A886">
        <v>275</v>
      </c>
      <c r="B886" s="19">
        <v>40571</v>
      </c>
      <c r="C886">
        <v>1</v>
      </c>
      <c r="D886">
        <v>1</v>
      </c>
      <c r="E886">
        <v>15</v>
      </c>
      <c r="F886" t="b">
        <v>0</v>
      </c>
      <c r="G886">
        <v>5</v>
      </c>
      <c r="H886">
        <v>2</v>
      </c>
      <c r="I886">
        <v>0.2</v>
      </c>
      <c r="J886">
        <v>274</v>
      </c>
      <c r="K886">
        <v>0.13639999999999999</v>
      </c>
      <c r="L886">
        <v>0.55000000000000004</v>
      </c>
      <c r="M886">
        <v>0.32840000000000003</v>
      </c>
      <c r="N886">
        <v>0</v>
      </c>
      <c r="O886">
        <v>57</v>
      </c>
      <c r="P886">
        <v>57</v>
      </c>
      <c r="Q886" s="17" t="str">
        <f t="shared" si="41"/>
        <v>Weekends</v>
      </c>
      <c r="R886" s="17" t="str">
        <f t="shared" si="39"/>
        <v>Afternoon</v>
      </c>
      <c r="S886" s="9" t="str">
        <f t="shared" si="40"/>
        <v>Mist</v>
      </c>
    </row>
    <row r="887" spans="1:19" x14ac:dyDescent="0.25">
      <c r="A887">
        <v>276</v>
      </c>
      <c r="B887" s="19">
        <v>40571</v>
      </c>
      <c r="C887">
        <v>1</v>
      </c>
      <c r="D887">
        <v>1</v>
      </c>
      <c r="E887">
        <v>15</v>
      </c>
      <c r="F887" t="b">
        <v>0</v>
      </c>
      <c r="G887">
        <v>5</v>
      </c>
      <c r="H887">
        <v>2</v>
      </c>
      <c r="I887">
        <v>0.2</v>
      </c>
      <c r="J887">
        <v>275</v>
      </c>
      <c r="K887">
        <v>0.1212</v>
      </c>
      <c r="L887">
        <v>0.55000000000000004</v>
      </c>
      <c r="M887">
        <v>0.44779999999999998</v>
      </c>
      <c r="N887">
        <v>1</v>
      </c>
      <c r="O887">
        <v>32</v>
      </c>
      <c r="P887">
        <v>33</v>
      </c>
      <c r="Q887" s="17" t="str">
        <f t="shared" si="41"/>
        <v>Weekends</v>
      </c>
      <c r="R887" s="17" t="str">
        <f t="shared" si="39"/>
        <v>Afternoon</v>
      </c>
      <c r="S887" s="9" t="str">
        <f t="shared" si="40"/>
        <v>Mist</v>
      </c>
    </row>
    <row r="888" spans="1:19" x14ac:dyDescent="0.25">
      <c r="A888">
        <v>277</v>
      </c>
      <c r="B888" s="19">
        <v>40571</v>
      </c>
      <c r="C888">
        <v>1</v>
      </c>
      <c r="D888">
        <v>1</v>
      </c>
      <c r="E888">
        <v>15</v>
      </c>
      <c r="F888" t="b">
        <v>0</v>
      </c>
      <c r="G888">
        <v>5</v>
      </c>
      <c r="H888">
        <v>2</v>
      </c>
      <c r="I888">
        <v>0.2</v>
      </c>
      <c r="J888">
        <v>276</v>
      </c>
      <c r="K888">
        <v>0.1061</v>
      </c>
      <c r="L888">
        <v>0.59</v>
      </c>
      <c r="M888">
        <v>0.41789999999999999</v>
      </c>
      <c r="N888">
        <v>1</v>
      </c>
      <c r="O888">
        <v>19</v>
      </c>
      <c r="P888">
        <v>20</v>
      </c>
      <c r="Q888" s="17" t="str">
        <f t="shared" si="41"/>
        <v>Weekends</v>
      </c>
      <c r="R888" s="17" t="str">
        <f t="shared" si="39"/>
        <v>Afternoon</v>
      </c>
      <c r="S888" s="9" t="str">
        <f t="shared" si="40"/>
        <v>Mist</v>
      </c>
    </row>
    <row r="889" spans="1:19" x14ac:dyDescent="0.25">
      <c r="A889">
        <v>278</v>
      </c>
      <c r="B889" s="19">
        <v>40571</v>
      </c>
      <c r="C889">
        <v>1</v>
      </c>
      <c r="D889">
        <v>1</v>
      </c>
      <c r="E889">
        <v>15</v>
      </c>
      <c r="F889" t="b">
        <v>0</v>
      </c>
      <c r="G889">
        <v>5</v>
      </c>
      <c r="H889">
        <v>2</v>
      </c>
      <c r="I889">
        <v>0.2</v>
      </c>
      <c r="J889">
        <v>277</v>
      </c>
      <c r="K889">
        <v>0.1212</v>
      </c>
      <c r="L889">
        <v>0.59</v>
      </c>
      <c r="M889">
        <v>0.28360000000000002</v>
      </c>
      <c r="N889">
        <v>1</v>
      </c>
      <c r="O889">
        <v>6</v>
      </c>
      <c r="P889">
        <v>7</v>
      </c>
      <c r="Q889" s="17" t="str">
        <f t="shared" si="41"/>
        <v>Weekends</v>
      </c>
      <c r="R889" s="17" t="str">
        <f t="shared" si="39"/>
        <v>Afternoon</v>
      </c>
      <c r="S889" s="9" t="str">
        <f t="shared" si="40"/>
        <v>Mist</v>
      </c>
    </row>
    <row r="890" spans="1:19" x14ac:dyDescent="0.25">
      <c r="A890">
        <v>279</v>
      </c>
      <c r="B890" s="19">
        <v>40571</v>
      </c>
      <c r="C890">
        <v>1</v>
      </c>
      <c r="D890">
        <v>1</v>
      </c>
      <c r="E890">
        <v>15</v>
      </c>
      <c r="F890" t="b">
        <v>0</v>
      </c>
      <c r="G890">
        <v>5</v>
      </c>
      <c r="H890">
        <v>2</v>
      </c>
      <c r="I890">
        <v>0.2</v>
      </c>
      <c r="J890">
        <v>278</v>
      </c>
      <c r="K890">
        <v>0.1212</v>
      </c>
      <c r="L890">
        <v>0.5</v>
      </c>
      <c r="M890">
        <v>0.28360000000000002</v>
      </c>
      <c r="N890">
        <v>0</v>
      </c>
      <c r="O890">
        <v>2</v>
      </c>
      <c r="P890">
        <v>2</v>
      </c>
      <c r="Q890" s="17" t="str">
        <f t="shared" si="41"/>
        <v>Weekends</v>
      </c>
      <c r="R890" s="17" t="str">
        <f t="shared" si="39"/>
        <v>Afternoon</v>
      </c>
      <c r="S890" s="9" t="str">
        <f t="shared" si="40"/>
        <v>Mist</v>
      </c>
    </row>
    <row r="891" spans="1:19" x14ac:dyDescent="0.25">
      <c r="A891">
        <v>280</v>
      </c>
      <c r="B891" s="19">
        <v>40571</v>
      </c>
      <c r="C891">
        <v>1</v>
      </c>
      <c r="D891">
        <v>1</v>
      </c>
      <c r="E891">
        <v>15</v>
      </c>
      <c r="F891" t="b">
        <v>0</v>
      </c>
      <c r="G891">
        <v>5</v>
      </c>
      <c r="H891">
        <v>2</v>
      </c>
      <c r="I891">
        <v>0.2</v>
      </c>
      <c r="J891">
        <v>279</v>
      </c>
      <c r="K891">
        <v>0.1212</v>
      </c>
      <c r="L891">
        <v>0.5</v>
      </c>
      <c r="M891">
        <v>0.35820000000000002</v>
      </c>
      <c r="N891">
        <v>0</v>
      </c>
      <c r="O891">
        <v>2</v>
      </c>
      <c r="P891">
        <v>2</v>
      </c>
      <c r="Q891" s="17" t="str">
        <f t="shared" si="41"/>
        <v>Weekends</v>
      </c>
      <c r="R891" s="17" t="str">
        <f t="shared" si="39"/>
        <v>Afternoon</v>
      </c>
      <c r="S891" s="9" t="str">
        <f t="shared" si="40"/>
        <v>Mist</v>
      </c>
    </row>
    <row r="892" spans="1:19" x14ac:dyDescent="0.25">
      <c r="A892">
        <v>281</v>
      </c>
      <c r="B892" s="19">
        <v>40571</v>
      </c>
      <c r="C892">
        <v>1</v>
      </c>
      <c r="D892">
        <v>1</v>
      </c>
      <c r="E892">
        <v>15</v>
      </c>
      <c r="F892" t="b">
        <v>0</v>
      </c>
      <c r="G892">
        <v>5</v>
      </c>
      <c r="H892">
        <v>2</v>
      </c>
      <c r="I892">
        <v>0.2</v>
      </c>
      <c r="J892">
        <v>280</v>
      </c>
      <c r="K892">
        <v>0.1212</v>
      </c>
      <c r="L892">
        <v>0.5</v>
      </c>
      <c r="M892">
        <v>0.32840000000000003</v>
      </c>
      <c r="N892">
        <v>0</v>
      </c>
      <c r="O892">
        <v>3</v>
      </c>
      <c r="P892">
        <v>3</v>
      </c>
      <c r="Q892" s="17" t="str">
        <f t="shared" si="41"/>
        <v>Weekends</v>
      </c>
      <c r="R892" s="17" t="str">
        <f t="shared" si="39"/>
        <v>Afternoon</v>
      </c>
      <c r="S892" s="9" t="str">
        <f t="shared" si="40"/>
        <v>Mist</v>
      </c>
    </row>
    <row r="893" spans="1:19" x14ac:dyDescent="0.25">
      <c r="A893">
        <v>282</v>
      </c>
      <c r="B893" s="19">
        <v>40571</v>
      </c>
      <c r="C893">
        <v>1</v>
      </c>
      <c r="D893">
        <v>1</v>
      </c>
      <c r="E893">
        <v>15</v>
      </c>
      <c r="F893" t="b">
        <v>0</v>
      </c>
      <c r="G893">
        <v>5</v>
      </c>
      <c r="H893">
        <v>2</v>
      </c>
      <c r="I893">
        <v>0.2</v>
      </c>
      <c r="J893">
        <v>281</v>
      </c>
      <c r="K893">
        <v>0.1212</v>
      </c>
      <c r="L893">
        <v>0.5</v>
      </c>
      <c r="M893">
        <v>0.25369999999999998</v>
      </c>
      <c r="N893">
        <v>0</v>
      </c>
      <c r="O893">
        <v>4</v>
      </c>
      <c r="P893">
        <v>4</v>
      </c>
      <c r="Q893" s="17" t="str">
        <f t="shared" si="41"/>
        <v>Weekends</v>
      </c>
      <c r="R893" s="17" t="str">
        <f t="shared" si="39"/>
        <v>Afternoon</v>
      </c>
      <c r="S893" s="9" t="str">
        <f t="shared" si="40"/>
        <v>Mist</v>
      </c>
    </row>
    <row r="894" spans="1:19" x14ac:dyDescent="0.25">
      <c r="A894">
        <v>283</v>
      </c>
      <c r="B894" s="19">
        <v>40571</v>
      </c>
      <c r="C894">
        <v>1</v>
      </c>
      <c r="D894">
        <v>1</v>
      </c>
      <c r="E894">
        <v>15</v>
      </c>
      <c r="F894" t="b">
        <v>0</v>
      </c>
      <c r="G894">
        <v>5</v>
      </c>
      <c r="H894">
        <v>2</v>
      </c>
      <c r="I894">
        <v>0.2</v>
      </c>
      <c r="J894">
        <v>282</v>
      </c>
      <c r="K894">
        <v>0.1212</v>
      </c>
      <c r="L894">
        <v>0.5</v>
      </c>
      <c r="M894">
        <v>0.29849999999999999</v>
      </c>
      <c r="N894">
        <v>0</v>
      </c>
      <c r="O894">
        <v>3</v>
      </c>
      <c r="P894">
        <v>3</v>
      </c>
      <c r="Q894" s="17" t="str">
        <f t="shared" si="41"/>
        <v>Weekends</v>
      </c>
      <c r="R894" s="17" t="str">
        <f t="shared" si="39"/>
        <v>Afternoon</v>
      </c>
      <c r="S894" s="9" t="str">
        <f t="shared" si="40"/>
        <v>Mist</v>
      </c>
    </row>
    <row r="895" spans="1:19" x14ac:dyDescent="0.25">
      <c r="A895">
        <v>284</v>
      </c>
      <c r="B895" s="19">
        <v>40571</v>
      </c>
      <c r="C895">
        <v>1</v>
      </c>
      <c r="D895">
        <v>1</v>
      </c>
      <c r="E895">
        <v>15</v>
      </c>
      <c r="F895" t="b">
        <v>0</v>
      </c>
      <c r="G895">
        <v>5</v>
      </c>
      <c r="H895">
        <v>2</v>
      </c>
      <c r="I895">
        <v>0.2</v>
      </c>
      <c r="J895">
        <v>283</v>
      </c>
      <c r="K895">
        <v>0.1515</v>
      </c>
      <c r="L895">
        <v>0.54</v>
      </c>
      <c r="M895">
        <v>0.1343</v>
      </c>
      <c r="N895">
        <v>0</v>
      </c>
      <c r="O895">
        <v>28</v>
      </c>
      <c r="P895">
        <v>28</v>
      </c>
      <c r="Q895" s="17" t="str">
        <f t="shared" si="41"/>
        <v>Weekends</v>
      </c>
      <c r="R895" s="17" t="str">
        <f t="shared" si="39"/>
        <v>Afternoon</v>
      </c>
      <c r="S895" s="9" t="str">
        <f t="shared" si="40"/>
        <v>Mist</v>
      </c>
    </row>
    <row r="896" spans="1:19" x14ac:dyDescent="0.25">
      <c r="A896">
        <v>285</v>
      </c>
      <c r="B896" s="19">
        <v>40571</v>
      </c>
      <c r="C896">
        <v>1</v>
      </c>
      <c r="D896">
        <v>1</v>
      </c>
      <c r="E896">
        <v>15</v>
      </c>
      <c r="F896" t="b">
        <v>0</v>
      </c>
      <c r="G896">
        <v>5</v>
      </c>
      <c r="H896">
        <v>2</v>
      </c>
      <c r="I896">
        <v>0.2</v>
      </c>
      <c r="J896">
        <v>284</v>
      </c>
      <c r="K896">
        <v>0.1515</v>
      </c>
      <c r="L896">
        <v>0.54</v>
      </c>
      <c r="M896">
        <v>0.1343</v>
      </c>
      <c r="N896">
        <v>0</v>
      </c>
      <c r="O896">
        <v>72</v>
      </c>
      <c r="P896">
        <v>72</v>
      </c>
      <c r="Q896" s="17" t="str">
        <f t="shared" si="41"/>
        <v>Weekends</v>
      </c>
      <c r="R896" s="17" t="str">
        <f t="shared" si="39"/>
        <v>Afternoon</v>
      </c>
      <c r="S896" s="9" t="str">
        <f t="shared" si="40"/>
        <v>Mist</v>
      </c>
    </row>
    <row r="897" spans="1:19" x14ac:dyDescent="0.25">
      <c r="A897">
        <v>286</v>
      </c>
      <c r="B897" s="19">
        <v>40571</v>
      </c>
      <c r="C897">
        <v>1</v>
      </c>
      <c r="D897">
        <v>1</v>
      </c>
      <c r="E897">
        <v>15</v>
      </c>
      <c r="F897" t="b">
        <v>0</v>
      </c>
      <c r="G897">
        <v>5</v>
      </c>
      <c r="H897">
        <v>2</v>
      </c>
      <c r="I897">
        <v>0.2</v>
      </c>
      <c r="J897">
        <v>285</v>
      </c>
      <c r="K897">
        <v>0.13639999999999999</v>
      </c>
      <c r="L897">
        <v>0.5</v>
      </c>
      <c r="M897">
        <v>0.19400000000000001</v>
      </c>
      <c r="N897">
        <v>5</v>
      </c>
      <c r="O897">
        <v>197</v>
      </c>
      <c r="P897">
        <v>202</v>
      </c>
      <c r="Q897" s="17" t="str">
        <f t="shared" si="41"/>
        <v>Weekends</v>
      </c>
      <c r="R897" s="17" t="str">
        <f t="shared" si="39"/>
        <v>Afternoon</v>
      </c>
      <c r="S897" s="9" t="str">
        <f t="shared" si="40"/>
        <v>Mist</v>
      </c>
    </row>
    <row r="898" spans="1:19" x14ac:dyDescent="0.25">
      <c r="A898">
        <v>287</v>
      </c>
      <c r="B898" s="19">
        <v>40571</v>
      </c>
      <c r="C898">
        <v>1</v>
      </c>
      <c r="D898">
        <v>1</v>
      </c>
      <c r="E898">
        <v>15</v>
      </c>
      <c r="F898" t="b">
        <v>0</v>
      </c>
      <c r="G898">
        <v>5</v>
      </c>
      <c r="H898">
        <v>2</v>
      </c>
      <c r="I898">
        <v>0.2</v>
      </c>
      <c r="J898">
        <v>286</v>
      </c>
      <c r="K898">
        <v>0.1212</v>
      </c>
      <c r="L898">
        <v>0.5</v>
      </c>
      <c r="M898">
        <v>0.32840000000000003</v>
      </c>
      <c r="N898">
        <v>2</v>
      </c>
      <c r="O898">
        <v>137</v>
      </c>
      <c r="P898">
        <v>139</v>
      </c>
      <c r="Q898" s="17" t="str">
        <f t="shared" si="41"/>
        <v>Weekends</v>
      </c>
      <c r="R898" s="17" t="str">
        <f t="shared" ref="R898:R961" si="42">IF(E898&lt;12,"Morning",IF(E898&lt;16,"Afternoon",IF(E898&lt;21,"Evening","Night")))</f>
        <v>Afternoon</v>
      </c>
      <c r="S898" s="9" t="str">
        <f t="shared" ref="S898:S961" si="43">IF(H898=1,"Clear",IF(H898=2,"Mist",IF(H898=3,"Light Snow/Rain","Heavy Rain/Snow")))</f>
        <v>Mist</v>
      </c>
    </row>
    <row r="899" spans="1:19" x14ac:dyDescent="0.25">
      <c r="A899">
        <v>288</v>
      </c>
      <c r="B899" s="19">
        <v>40571</v>
      </c>
      <c r="C899">
        <v>1</v>
      </c>
      <c r="D899">
        <v>1</v>
      </c>
      <c r="E899">
        <v>15</v>
      </c>
      <c r="F899" t="b">
        <v>0</v>
      </c>
      <c r="G899">
        <v>5</v>
      </c>
      <c r="H899">
        <v>2</v>
      </c>
      <c r="I899">
        <v>0.2</v>
      </c>
      <c r="J899">
        <v>287</v>
      </c>
      <c r="K899">
        <v>0.13639999999999999</v>
      </c>
      <c r="L899">
        <v>0.5</v>
      </c>
      <c r="M899">
        <v>0.35820000000000002</v>
      </c>
      <c r="N899">
        <v>2</v>
      </c>
      <c r="O899">
        <v>36</v>
      </c>
      <c r="P899">
        <v>38</v>
      </c>
      <c r="Q899" s="17" t="str">
        <f t="shared" ref="Q899:Q962" si="44">IF(G899&gt;=5,"Weekends","Weekdays")</f>
        <v>Weekends</v>
      </c>
      <c r="R899" s="17" t="str">
        <f t="shared" si="42"/>
        <v>Afternoon</v>
      </c>
      <c r="S899" s="9" t="str">
        <f t="shared" si="43"/>
        <v>Mist</v>
      </c>
    </row>
    <row r="900" spans="1:19" x14ac:dyDescent="0.25">
      <c r="A900">
        <v>289</v>
      </c>
      <c r="B900" s="19">
        <v>40571</v>
      </c>
      <c r="C900">
        <v>1</v>
      </c>
      <c r="D900">
        <v>1</v>
      </c>
      <c r="E900">
        <v>15</v>
      </c>
      <c r="F900" t="b">
        <v>0</v>
      </c>
      <c r="G900">
        <v>5</v>
      </c>
      <c r="H900">
        <v>2</v>
      </c>
      <c r="I900">
        <v>0.2</v>
      </c>
      <c r="J900">
        <v>288</v>
      </c>
      <c r="K900">
        <v>0.16669999999999999</v>
      </c>
      <c r="L900">
        <v>0.44</v>
      </c>
      <c r="M900">
        <v>0.44779999999999998</v>
      </c>
      <c r="N900">
        <v>4</v>
      </c>
      <c r="O900">
        <v>33</v>
      </c>
      <c r="P900">
        <v>37</v>
      </c>
      <c r="Q900" s="17" t="str">
        <f t="shared" si="44"/>
        <v>Weekends</v>
      </c>
      <c r="R900" s="17" t="str">
        <f t="shared" si="42"/>
        <v>Afternoon</v>
      </c>
      <c r="S900" s="9" t="str">
        <f t="shared" si="43"/>
        <v>Mist</v>
      </c>
    </row>
    <row r="901" spans="1:19" x14ac:dyDescent="0.25">
      <c r="A901">
        <v>290</v>
      </c>
      <c r="B901" s="19">
        <v>40571</v>
      </c>
      <c r="C901">
        <v>1</v>
      </c>
      <c r="D901">
        <v>1</v>
      </c>
      <c r="E901">
        <v>15</v>
      </c>
      <c r="F901" t="b">
        <v>0</v>
      </c>
      <c r="G901">
        <v>5</v>
      </c>
      <c r="H901">
        <v>2</v>
      </c>
      <c r="I901">
        <v>0.2</v>
      </c>
      <c r="J901">
        <v>289</v>
      </c>
      <c r="K901">
        <v>0.16669999999999999</v>
      </c>
      <c r="L901">
        <v>0.44</v>
      </c>
      <c r="M901">
        <v>0.41789999999999999</v>
      </c>
      <c r="N901">
        <v>3</v>
      </c>
      <c r="O901">
        <v>49</v>
      </c>
      <c r="P901">
        <v>52</v>
      </c>
      <c r="Q901" s="17" t="str">
        <f t="shared" si="44"/>
        <v>Weekends</v>
      </c>
      <c r="R901" s="17" t="str">
        <f t="shared" si="42"/>
        <v>Afternoon</v>
      </c>
      <c r="S901" s="9" t="str">
        <f t="shared" si="43"/>
        <v>Mist</v>
      </c>
    </row>
    <row r="902" spans="1:19" x14ac:dyDescent="0.25">
      <c r="A902">
        <v>291</v>
      </c>
      <c r="B902" s="19">
        <v>40571</v>
      </c>
      <c r="C902">
        <v>1</v>
      </c>
      <c r="D902">
        <v>1</v>
      </c>
      <c r="E902">
        <v>15</v>
      </c>
      <c r="F902" t="b">
        <v>0</v>
      </c>
      <c r="G902">
        <v>5</v>
      </c>
      <c r="H902">
        <v>2</v>
      </c>
      <c r="I902">
        <v>0.2</v>
      </c>
      <c r="J902">
        <v>290</v>
      </c>
      <c r="K902">
        <v>0.19700000000000001</v>
      </c>
      <c r="L902">
        <v>0.41</v>
      </c>
      <c r="M902">
        <v>0.44779999999999998</v>
      </c>
      <c r="N902">
        <v>2</v>
      </c>
      <c r="O902">
        <v>81</v>
      </c>
      <c r="P902">
        <v>83</v>
      </c>
      <c r="Q902" s="17" t="str">
        <f t="shared" si="44"/>
        <v>Weekends</v>
      </c>
      <c r="R902" s="17" t="str">
        <f t="shared" si="42"/>
        <v>Afternoon</v>
      </c>
      <c r="S902" s="9" t="str">
        <f t="shared" si="43"/>
        <v>Mist</v>
      </c>
    </row>
    <row r="903" spans="1:19" x14ac:dyDescent="0.25">
      <c r="A903">
        <v>292</v>
      </c>
      <c r="B903" s="19">
        <v>40571</v>
      </c>
      <c r="C903">
        <v>1</v>
      </c>
      <c r="D903">
        <v>1</v>
      </c>
      <c r="E903">
        <v>15</v>
      </c>
      <c r="F903" t="b">
        <v>0</v>
      </c>
      <c r="G903">
        <v>5</v>
      </c>
      <c r="H903">
        <v>2</v>
      </c>
      <c r="I903">
        <v>0.2</v>
      </c>
      <c r="J903">
        <v>291</v>
      </c>
      <c r="K903">
        <v>0.19700000000000001</v>
      </c>
      <c r="L903">
        <v>0.41</v>
      </c>
      <c r="M903">
        <v>0.3881</v>
      </c>
      <c r="N903">
        <v>3</v>
      </c>
      <c r="O903">
        <v>39</v>
      </c>
      <c r="P903">
        <v>42</v>
      </c>
      <c r="Q903" s="17" t="str">
        <f t="shared" si="44"/>
        <v>Weekends</v>
      </c>
      <c r="R903" s="17" t="str">
        <f t="shared" si="42"/>
        <v>Afternoon</v>
      </c>
      <c r="S903" s="9" t="str">
        <f t="shared" si="43"/>
        <v>Mist</v>
      </c>
    </row>
    <row r="904" spans="1:19" x14ac:dyDescent="0.25">
      <c r="A904">
        <v>293</v>
      </c>
      <c r="B904" s="19">
        <v>40571</v>
      </c>
      <c r="C904">
        <v>1</v>
      </c>
      <c r="D904">
        <v>1</v>
      </c>
      <c r="E904">
        <v>15</v>
      </c>
      <c r="F904" t="b">
        <v>0</v>
      </c>
      <c r="G904">
        <v>5</v>
      </c>
      <c r="H904">
        <v>2</v>
      </c>
      <c r="I904">
        <v>0.2</v>
      </c>
      <c r="J904">
        <v>292</v>
      </c>
      <c r="K904">
        <v>0.21210000000000001</v>
      </c>
      <c r="L904">
        <v>0.38</v>
      </c>
      <c r="M904">
        <v>0.29849999999999999</v>
      </c>
      <c r="N904">
        <v>5</v>
      </c>
      <c r="O904">
        <v>55</v>
      </c>
      <c r="P904">
        <v>60</v>
      </c>
      <c r="Q904" s="17" t="str">
        <f t="shared" si="44"/>
        <v>Weekends</v>
      </c>
      <c r="R904" s="17" t="str">
        <f t="shared" si="42"/>
        <v>Afternoon</v>
      </c>
      <c r="S904" s="9" t="str">
        <f t="shared" si="43"/>
        <v>Mist</v>
      </c>
    </row>
    <row r="905" spans="1:19" x14ac:dyDescent="0.25">
      <c r="A905">
        <v>294</v>
      </c>
      <c r="B905" s="19">
        <v>40571</v>
      </c>
      <c r="C905">
        <v>1</v>
      </c>
      <c r="D905">
        <v>1</v>
      </c>
      <c r="E905">
        <v>15</v>
      </c>
      <c r="F905" t="b">
        <v>0</v>
      </c>
      <c r="G905">
        <v>5</v>
      </c>
      <c r="H905">
        <v>2</v>
      </c>
      <c r="I905">
        <v>0.2</v>
      </c>
      <c r="J905">
        <v>293</v>
      </c>
      <c r="K905">
        <v>0.21210000000000001</v>
      </c>
      <c r="L905">
        <v>0.38</v>
      </c>
      <c r="M905">
        <v>0.35820000000000002</v>
      </c>
      <c r="N905">
        <v>2</v>
      </c>
      <c r="O905">
        <v>76</v>
      </c>
      <c r="P905">
        <v>78</v>
      </c>
      <c r="Q905" s="17" t="str">
        <f t="shared" si="44"/>
        <v>Weekends</v>
      </c>
      <c r="R905" s="17" t="str">
        <f t="shared" si="42"/>
        <v>Afternoon</v>
      </c>
      <c r="S905" s="9" t="str">
        <f t="shared" si="43"/>
        <v>Mist</v>
      </c>
    </row>
    <row r="906" spans="1:19" x14ac:dyDescent="0.25">
      <c r="A906">
        <v>295</v>
      </c>
      <c r="B906" s="19">
        <v>40571</v>
      </c>
      <c r="C906">
        <v>1</v>
      </c>
      <c r="D906">
        <v>1</v>
      </c>
      <c r="E906">
        <v>15</v>
      </c>
      <c r="F906" t="b">
        <v>0</v>
      </c>
      <c r="G906">
        <v>5</v>
      </c>
      <c r="H906">
        <v>2</v>
      </c>
      <c r="I906">
        <v>0.2</v>
      </c>
      <c r="J906">
        <v>294</v>
      </c>
      <c r="K906">
        <v>0.18179999999999999</v>
      </c>
      <c r="L906">
        <v>0.4</v>
      </c>
      <c r="M906">
        <v>0.28360000000000002</v>
      </c>
      <c r="N906">
        <v>4</v>
      </c>
      <c r="O906">
        <v>158</v>
      </c>
      <c r="P906">
        <v>162</v>
      </c>
      <c r="Q906" s="17" t="str">
        <f t="shared" si="44"/>
        <v>Weekends</v>
      </c>
      <c r="R906" s="17" t="str">
        <f t="shared" si="42"/>
        <v>Afternoon</v>
      </c>
      <c r="S906" s="9" t="str">
        <f t="shared" si="43"/>
        <v>Mist</v>
      </c>
    </row>
    <row r="907" spans="1:19" x14ac:dyDescent="0.25">
      <c r="A907">
        <v>296</v>
      </c>
      <c r="B907" s="19">
        <v>40571</v>
      </c>
      <c r="C907">
        <v>1</v>
      </c>
      <c r="D907">
        <v>1</v>
      </c>
      <c r="E907">
        <v>15</v>
      </c>
      <c r="F907" t="b">
        <v>0</v>
      </c>
      <c r="G907">
        <v>5</v>
      </c>
      <c r="H907">
        <v>2</v>
      </c>
      <c r="I907">
        <v>0.2</v>
      </c>
      <c r="J907">
        <v>295</v>
      </c>
      <c r="K907">
        <v>0.18179999999999999</v>
      </c>
      <c r="L907">
        <v>0.4</v>
      </c>
      <c r="M907">
        <v>0.32840000000000003</v>
      </c>
      <c r="N907">
        <v>3</v>
      </c>
      <c r="O907">
        <v>141</v>
      </c>
      <c r="P907">
        <v>144</v>
      </c>
      <c r="Q907" s="17" t="str">
        <f t="shared" si="44"/>
        <v>Weekends</v>
      </c>
      <c r="R907" s="17" t="str">
        <f t="shared" si="42"/>
        <v>Afternoon</v>
      </c>
      <c r="S907" s="9" t="str">
        <f t="shared" si="43"/>
        <v>Mist</v>
      </c>
    </row>
    <row r="908" spans="1:19" x14ac:dyDescent="0.25">
      <c r="A908">
        <v>297</v>
      </c>
      <c r="B908" s="19">
        <v>40571</v>
      </c>
      <c r="C908">
        <v>1</v>
      </c>
      <c r="D908">
        <v>1</v>
      </c>
      <c r="E908">
        <v>15</v>
      </c>
      <c r="F908" t="b">
        <v>0</v>
      </c>
      <c r="G908">
        <v>5</v>
      </c>
      <c r="H908">
        <v>2</v>
      </c>
      <c r="I908">
        <v>0.2</v>
      </c>
      <c r="J908">
        <v>296</v>
      </c>
      <c r="K908">
        <v>0.1515</v>
      </c>
      <c r="L908">
        <v>0.47</v>
      </c>
      <c r="M908">
        <v>0.25369999999999998</v>
      </c>
      <c r="N908">
        <v>1</v>
      </c>
      <c r="O908">
        <v>98</v>
      </c>
      <c r="P908">
        <v>99</v>
      </c>
      <c r="Q908" s="17" t="str">
        <f t="shared" si="44"/>
        <v>Weekends</v>
      </c>
      <c r="R908" s="17" t="str">
        <f t="shared" si="42"/>
        <v>Afternoon</v>
      </c>
      <c r="S908" s="9" t="str">
        <f t="shared" si="43"/>
        <v>Mist</v>
      </c>
    </row>
    <row r="909" spans="1:19" x14ac:dyDescent="0.25">
      <c r="A909">
        <v>298</v>
      </c>
      <c r="B909" s="19">
        <v>40571</v>
      </c>
      <c r="C909">
        <v>1</v>
      </c>
      <c r="D909">
        <v>1</v>
      </c>
      <c r="E909">
        <v>15</v>
      </c>
      <c r="F909" t="b">
        <v>0</v>
      </c>
      <c r="G909">
        <v>5</v>
      </c>
      <c r="H909">
        <v>2</v>
      </c>
      <c r="I909">
        <v>0.2</v>
      </c>
      <c r="J909">
        <v>297</v>
      </c>
      <c r="K909">
        <v>0.1515</v>
      </c>
      <c r="L909">
        <v>0.47</v>
      </c>
      <c r="M909">
        <v>0.22389999999999999</v>
      </c>
      <c r="N909">
        <v>0</v>
      </c>
      <c r="O909">
        <v>64</v>
      </c>
      <c r="P909">
        <v>64</v>
      </c>
      <c r="Q909" s="17" t="str">
        <f t="shared" si="44"/>
        <v>Weekends</v>
      </c>
      <c r="R909" s="17" t="str">
        <f t="shared" si="42"/>
        <v>Afternoon</v>
      </c>
      <c r="S909" s="9" t="str">
        <f t="shared" si="43"/>
        <v>Mist</v>
      </c>
    </row>
    <row r="910" spans="1:19" x14ac:dyDescent="0.25">
      <c r="A910">
        <v>299</v>
      </c>
      <c r="B910" s="19">
        <v>40571</v>
      </c>
      <c r="C910">
        <v>1</v>
      </c>
      <c r="D910">
        <v>1</v>
      </c>
      <c r="E910">
        <v>15</v>
      </c>
      <c r="F910" t="b">
        <v>0</v>
      </c>
      <c r="G910">
        <v>5</v>
      </c>
      <c r="H910">
        <v>2</v>
      </c>
      <c r="I910">
        <v>0.2</v>
      </c>
      <c r="J910">
        <v>298</v>
      </c>
      <c r="K910">
        <v>0.1212</v>
      </c>
      <c r="L910">
        <v>0.46</v>
      </c>
      <c r="M910">
        <v>0.29849999999999999</v>
      </c>
      <c r="N910">
        <v>0</v>
      </c>
      <c r="O910">
        <v>40</v>
      </c>
      <c r="P910">
        <v>40</v>
      </c>
      <c r="Q910" s="17" t="str">
        <f t="shared" si="44"/>
        <v>Weekends</v>
      </c>
      <c r="R910" s="17" t="str">
        <f t="shared" si="42"/>
        <v>Afternoon</v>
      </c>
      <c r="S910" s="9" t="str">
        <f t="shared" si="43"/>
        <v>Mist</v>
      </c>
    </row>
    <row r="911" spans="1:19" x14ac:dyDescent="0.25">
      <c r="A911">
        <v>300</v>
      </c>
      <c r="B911" s="19">
        <v>40571</v>
      </c>
      <c r="C911">
        <v>1</v>
      </c>
      <c r="D911">
        <v>1</v>
      </c>
      <c r="E911">
        <v>15</v>
      </c>
      <c r="F911" t="b">
        <v>0</v>
      </c>
      <c r="G911">
        <v>5</v>
      </c>
      <c r="H911">
        <v>2</v>
      </c>
      <c r="I911">
        <v>0.2</v>
      </c>
      <c r="J911">
        <v>299</v>
      </c>
      <c r="K911">
        <v>0.1212</v>
      </c>
      <c r="L911">
        <v>0.46</v>
      </c>
      <c r="M911">
        <v>0.32840000000000003</v>
      </c>
      <c r="N911">
        <v>0</v>
      </c>
      <c r="O911">
        <v>30</v>
      </c>
      <c r="P911">
        <v>30</v>
      </c>
      <c r="Q911" s="17" t="str">
        <f t="shared" si="44"/>
        <v>Weekends</v>
      </c>
      <c r="R911" s="17" t="str">
        <f t="shared" si="42"/>
        <v>Afternoon</v>
      </c>
      <c r="S911" s="9" t="str">
        <f t="shared" si="43"/>
        <v>Mist</v>
      </c>
    </row>
    <row r="912" spans="1:19" x14ac:dyDescent="0.25">
      <c r="A912">
        <v>301</v>
      </c>
      <c r="B912" s="19">
        <v>40571</v>
      </c>
      <c r="C912">
        <v>1</v>
      </c>
      <c r="D912">
        <v>1</v>
      </c>
      <c r="E912">
        <v>15</v>
      </c>
      <c r="F912" t="b">
        <v>0</v>
      </c>
      <c r="G912">
        <v>5</v>
      </c>
      <c r="H912">
        <v>2</v>
      </c>
      <c r="I912">
        <v>0.2</v>
      </c>
      <c r="J912">
        <v>300</v>
      </c>
      <c r="K912">
        <v>0.13639999999999999</v>
      </c>
      <c r="L912">
        <v>0.5</v>
      </c>
      <c r="M912">
        <v>0.19400000000000001</v>
      </c>
      <c r="N912">
        <v>1</v>
      </c>
      <c r="O912">
        <v>14</v>
      </c>
      <c r="P912">
        <v>15</v>
      </c>
      <c r="Q912" s="17" t="str">
        <f t="shared" si="44"/>
        <v>Weekends</v>
      </c>
      <c r="R912" s="17" t="str">
        <f t="shared" si="42"/>
        <v>Afternoon</v>
      </c>
      <c r="S912" s="9" t="str">
        <f t="shared" si="43"/>
        <v>Mist</v>
      </c>
    </row>
    <row r="913" spans="1:19" x14ac:dyDescent="0.25">
      <c r="A913">
        <v>302</v>
      </c>
      <c r="B913" s="19">
        <v>40571</v>
      </c>
      <c r="C913">
        <v>1</v>
      </c>
      <c r="D913">
        <v>1</v>
      </c>
      <c r="E913">
        <v>15</v>
      </c>
      <c r="F913" t="b">
        <v>0</v>
      </c>
      <c r="G913">
        <v>5</v>
      </c>
      <c r="H913">
        <v>2</v>
      </c>
      <c r="I913">
        <v>0.2</v>
      </c>
      <c r="J913">
        <v>301</v>
      </c>
      <c r="K913">
        <v>0.13639999999999999</v>
      </c>
      <c r="L913">
        <v>0.5</v>
      </c>
      <c r="M913">
        <v>0.19400000000000001</v>
      </c>
      <c r="N913">
        <v>0</v>
      </c>
      <c r="O913">
        <v>14</v>
      </c>
      <c r="P913">
        <v>14</v>
      </c>
      <c r="Q913" s="17" t="str">
        <f t="shared" si="44"/>
        <v>Weekends</v>
      </c>
      <c r="R913" s="17" t="str">
        <f t="shared" si="42"/>
        <v>Afternoon</v>
      </c>
      <c r="S913" s="9" t="str">
        <f t="shared" si="43"/>
        <v>Mist</v>
      </c>
    </row>
    <row r="914" spans="1:19" x14ac:dyDescent="0.25">
      <c r="A914">
        <v>303</v>
      </c>
      <c r="B914" s="19">
        <v>40571</v>
      </c>
      <c r="C914">
        <v>1</v>
      </c>
      <c r="D914">
        <v>1</v>
      </c>
      <c r="E914">
        <v>15</v>
      </c>
      <c r="F914" t="b">
        <v>0</v>
      </c>
      <c r="G914">
        <v>5</v>
      </c>
      <c r="H914">
        <v>2</v>
      </c>
      <c r="I914">
        <v>0.2</v>
      </c>
      <c r="J914">
        <v>302</v>
      </c>
      <c r="K914">
        <v>0.1212</v>
      </c>
      <c r="L914">
        <v>0.54</v>
      </c>
      <c r="M914">
        <v>0.16420000000000001</v>
      </c>
      <c r="N914">
        <v>0</v>
      </c>
      <c r="O914">
        <v>5</v>
      </c>
      <c r="P914">
        <v>5</v>
      </c>
      <c r="Q914" s="17" t="str">
        <f t="shared" si="44"/>
        <v>Weekends</v>
      </c>
      <c r="R914" s="17" t="str">
        <f t="shared" si="42"/>
        <v>Afternoon</v>
      </c>
      <c r="S914" s="9" t="str">
        <f t="shared" si="43"/>
        <v>Mist</v>
      </c>
    </row>
    <row r="915" spans="1:19" x14ac:dyDescent="0.25">
      <c r="A915">
        <v>304</v>
      </c>
      <c r="B915" s="19">
        <v>40571</v>
      </c>
      <c r="C915">
        <v>1</v>
      </c>
      <c r="D915">
        <v>1</v>
      </c>
      <c r="E915">
        <v>15</v>
      </c>
      <c r="F915" t="b">
        <v>0</v>
      </c>
      <c r="G915">
        <v>5</v>
      </c>
      <c r="H915">
        <v>2</v>
      </c>
      <c r="I915">
        <v>0.2</v>
      </c>
      <c r="J915">
        <v>303</v>
      </c>
      <c r="K915">
        <v>0.1212</v>
      </c>
      <c r="L915">
        <v>0.54</v>
      </c>
      <c r="M915">
        <v>0.1343</v>
      </c>
      <c r="N915">
        <v>0</v>
      </c>
      <c r="O915">
        <v>1</v>
      </c>
      <c r="P915">
        <v>1</v>
      </c>
      <c r="Q915" s="17" t="str">
        <f t="shared" si="44"/>
        <v>Weekends</v>
      </c>
      <c r="R915" s="17" t="str">
        <f t="shared" si="42"/>
        <v>Afternoon</v>
      </c>
      <c r="S915" s="9" t="str">
        <f t="shared" si="43"/>
        <v>Mist</v>
      </c>
    </row>
    <row r="916" spans="1:19" x14ac:dyDescent="0.25">
      <c r="A916">
        <v>305</v>
      </c>
      <c r="B916" s="19">
        <v>40571</v>
      </c>
      <c r="C916">
        <v>1</v>
      </c>
      <c r="D916">
        <v>1</v>
      </c>
      <c r="E916">
        <v>15</v>
      </c>
      <c r="F916" t="b">
        <v>0</v>
      </c>
      <c r="G916">
        <v>5</v>
      </c>
      <c r="H916">
        <v>2</v>
      </c>
      <c r="I916">
        <v>0.2</v>
      </c>
      <c r="J916">
        <v>304</v>
      </c>
      <c r="K916">
        <v>0.13639999999999999</v>
      </c>
      <c r="L916">
        <v>0.54</v>
      </c>
      <c r="M916">
        <v>0.1045</v>
      </c>
      <c r="N916">
        <v>0</v>
      </c>
      <c r="O916">
        <v>1</v>
      </c>
      <c r="P916">
        <v>1</v>
      </c>
      <c r="Q916" s="17" t="str">
        <f t="shared" si="44"/>
        <v>Weekends</v>
      </c>
      <c r="R916" s="17" t="str">
        <f t="shared" si="42"/>
        <v>Afternoon</v>
      </c>
      <c r="S916" s="9" t="str">
        <f t="shared" si="43"/>
        <v>Mist</v>
      </c>
    </row>
    <row r="917" spans="1:19" x14ac:dyDescent="0.25">
      <c r="A917">
        <v>306</v>
      </c>
      <c r="B917" s="19">
        <v>40571</v>
      </c>
      <c r="C917">
        <v>1</v>
      </c>
      <c r="D917">
        <v>1</v>
      </c>
      <c r="E917">
        <v>15</v>
      </c>
      <c r="F917" t="b">
        <v>0</v>
      </c>
      <c r="G917">
        <v>5</v>
      </c>
      <c r="H917">
        <v>2</v>
      </c>
      <c r="I917">
        <v>0.2</v>
      </c>
      <c r="J917">
        <v>305</v>
      </c>
      <c r="K917">
        <v>0.13639999999999999</v>
      </c>
      <c r="L917">
        <v>0.54</v>
      </c>
      <c r="M917">
        <v>8.9599999999999999E-2</v>
      </c>
      <c r="N917">
        <v>0</v>
      </c>
      <c r="O917">
        <v>8</v>
      </c>
      <c r="P917">
        <v>8</v>
      </c>
      <c r="Q917" s="17" t="str">
        <f t="shared" si="44"/>
        <v>Weekends</v>
      </c>
      <c r="R917" s="17" t="str">
        <f t="shared" si="42"/>
        <v>Afternoon</v>
      </c>
      <c r="S917" s="9" t="str">
        <f t="shared" si="43"/>
        <v>Mist</v>
      </c>
    </row>
    <row r="918" spans="1:19" x14ac:dyDescent="0.25">
      <c r="A918">
        <v>307</v>
      </c>
      <c r="B918" s="19">
        <v>40571</v>
      </c>
      <c r="C918">
        <v>1</v>
      </c>
      <c r="D918">
        <v>1</v>
      </c>
      <c r="E918">
        <v>15</v>
      </c>
      <c r="F918" t="b">
        <v>0</v>
      </c>
      <c r="G918">
        <v>5</v>
      </c>
      <c r="H918">
        <v>2</v>
      </c>
      <c r="I918">
        <v>0.2</v>
      </c>
      <c r="J918">
        <v>306</v>
      </c>
      <c r="K918">
        <v>0.18179999999999999</v>
      </c>
      <c r="L918">
        <v>0.54</v>
      </c>
      <c r="M918">
        <v>0</v>
      </c>
      <c r="N918">
        <v>0</v>
      </c>
      <c r="O918">
        <v>17</v>
      </c>
      <c r="P918">
        <v>17</v>
      </c>
      <c r="Q918" s="17" t="str">
        <f t="shared" si="44"/>
        <v>Weekends</v>
      </c>
      <c r="R918" s="17" t="str">
        <f t="shared" si="42"/>
        <v>Afternoon</v>
      </c>
      <c r="S918" s="9" t="str">
        <f t="shared" si="43"/>
        <v>Mist</v>
      </c>
    </row>
    <row r="919" spans="1:19" x14ac:dyDescent="0.25">
      <c r="A919">
        <v>308</v>
      </c>
      <c r="B919" s="19">
        <v>40571</v>
      </c>
      <c r="C919">
        <v>1</v>
      </c>
      <c r="D919">
        <v>1</v>
      </c>
      <c r="E919">
        <v>15</v>
      </c>
      <c r="F919" t="b">
        <v>0</v>
      </c>
      <c r="G919">
        <v>5</v>
      </c>
      <c r="H919">
        <v>2</v>
      </c>
      <c r="I919">
        <v>0.2</v>
      </c>
      <c r="J919">
        <v>307</v>
      </c>
      <c r="K919">
        <v>0.1212</v>
      </c>
      <c r="L919">
        <v>0.74</v>
      </c>
      <c r="M919">
        <v>0.16420000000000001</v>
      </c>
      <c r="N919">
        <v>0</v>
      </c>
      <c r="O919">
        <v>70</v>
      </c>
      <c r="P919">
        <v>70</v>
      </c>
      <c r="Q919" s="17" t="str">
        <f t="shared" si="44"/>
        <v>Weekends</v>
      </c>
      <c r="R919" s="17" t="str">
        <f t="shared" si="42"/>
        <v>Afternoon</v>
      </c>
      <c r="S919" s="9" t="str">
        <f t="shared" si="43"/>
        <v>Mist</v>
      </c>
    </row>
    <row r="920" spans="1:19" x14ac:dyDescent="0.25">
      <c r="A920">
        <v>309</v>
      </c>
      <c r="B920" s="19">
        <v>40571</v>
      </c>
      <c r="C920">
        <v>1</v>
      </c>
      <c r="D920">
        <v>1</v>
      </c>
      <c r="E920">
        <v>15</v>
      </c>
      <c r="F920" t="b">
        <v>0</v>
      </c>
      <c r="G920">
        <v>5</v>
      </c>
      <c r="H920">
        <v>2</v>
      </c>
      <c r="I920">
        <v>0.2</v>
      </c>
      <c r="J920">
        <v>308</v>
      </c>
      <c r="K920">
        <v>0.16669999999999999</v>
      </c>
      <c r="L920">
        <v>0.68</v>
      </c>
      <c r="M920">
        <v>0</v>
      </c>
      <c r="N920">
        <v>2</v>
      </c>
      <c r="O920">
        <v>156</v>
      </c>
      <c r="P920">
        <v>158</v>
      </c>
      <c r="Q920" s="17" t="str">
        <f t="shared" si="44"/>
        <v>Weekends</v>
      </c>
      <c r="R920" s="17" t="str">
        <f t="shared" si="42"/>
        <v>Afternoon</v>
      </c>
      <c r="S920" s="9" t="str">
        <f t="shared" si="43"/>
        <v>Mist</v>
      </c>
    </row>
    <row r="921" spans="1:19" x14ac:dyDescent="0.25">
      <c r="A921">
        <v>310</v>
      </c>
      <c r="B921" s="19">
        <v>40571</v>
      </c>
      <c r="C921">
        <v>1</v>
      </c>
      <c r="D921">
        <v>1</v>
      </c>
      <c r="E921">
        <v>15</v>
      </c>
      <c r="F921" t="b">
        <v>0</v>
      </c>
      <c r="G921">
        <v>5</v>
      </c>
      <c r="H921">
        <v>2</v>
      </c>
      <c r="I921">
        <v>0.2</v>
      </c>
      <c r="J921">
        <v>309</v>
      </c>
      <c r="K921">
        <v>0.1515</v>
      </c>
      <c r="L921">
        <v>0.69</v>
      </c>
      <c r="M921">
        <v>0.1343</v>
      </c>
      <c r="N921">
        <v>0</v>
      </c>
      <c r="O921">
        <v>117</v>
      </c>
      <c r="P921">
        <v>117</v>
      </c>
      <c r="Q921" s="17" t="str">
        <f t="shared" si="44"/>
        <v>Weekends</v>
      </c>
      <c r="R921" s="17" t="str">
        <f t="shared" si="42"/>
        <v>Afternoon</v>
      </c>
      <c r="S921" s="9" t="str">
        <f t="shared" si="43"/>
        <v>Mist</v>
      </c>
    </row>
    <row r="922" spans="1:19" x14ac:dyDescent="0.25">
      <c r="A922">
        <v>311</v>
      </c>
      <c r="B922" s="19">
        <v>40571</v>
      </c>
      <c r="C922">
        <v>1</v>
      </c>
      <c r="D922">
        <v>1</v>
      </c>
      <c r="E922">
        <v>15</v>
      </c>
      <c r="F922" t="b">
        <v>0</v>
      </c>
      <c r="G922">
        <v>5</v>
      </c>
      <c r="H922">
        <v>2</v>
      </c>
      <c r="I922">
        <v>0.2</v>
      </c>
      <c r="J922">
        <v>310</v>
      </c>
      <c r="K922">
        <v>0.18179999999999999</v>
      </c>
      <c r="L922">
        <v>0.55000000000000004</v>
      </c>
      <c r="M922">
        <v>0.19400000000000001</v>
      </c>
      <c r="N922">
        <v>4</v>
      </c>
      <c r="O922">
        <v>40</v>
      </c>
      <c r="P922">
        <v>44</v>
      </c>
      <c r="Q922" s="17" t="str">
        <f t="shared" si="44"/>
        <v>Weekends</v>
      </c>
      <c r="R922" s="17" t="str">
        <f t="shared" si="42"/>
        <v>Afternoon</v>
      </c>
      <c r="S922" s="9" t="str">
        <f t="shared" si="43"/>
        <v>Mist</v>
      </c>
    </row>
    <row r="923" spans="1:19" x14ac:dyDescent="0.25">
      <c r="A923">
        <v>312</v>
      </c>
      <c r="B923" s="19">
        <v>40571</v>
      </c>
      <c r="C923">
        <v>1</v>
      </c>
      <c r="D923">
        <v>1</v>
      </c>
      <c r="E923">
        <v>15</v>
      </c>
      <c r="F923" t="b">
        <v>0</v>
      </c>
      <c r="G923">
        <v>5</v>
      </c>
      <c r="H923">
        <v>2</v>
      </c>
      <c r="I923">
        <v>0.2</v>
      </c>
      <c r="J923">
        <v>311</v>
      </c>
      <c r="K923">
        <v>0.16669999999999999</v>
      </c>
      <c r="L923">
        <v>0.51</v>
      </c>
      <c r="M923">
        <v>0.28360000000000002</v>
      </c>
      <c r="N923">
        <v>6</v>
      </c>
      <c r="O923">
        <v>47</v>
      </c>
      <c r="P923">
        <v>53</v>
      </c>
      <c r="Q923" s="17" t="str">
        <f t="shared" si="44"/>
        <v>Weekends</v>
      </c>
      <c r="R923" s="17" t="str">
        <f t="shared" si="42"/>
        <v>Afternoon</v>
      </c>
      <c r="S923" s="9" t="str">
        <f t="shared" si="43"/>
        <v>Mist</v>
      </c>
    </row>
    <row r="924" spans="1:19" x14ac:dyDescent="0.25">
      <c r="A924">
        <v>313</v>
      </c>
      <c r="B924" s="19">
        <v>40571</v>
      </c>
      <c r="C924">
        <v>1</v>
      </c>
      <c r="D924">
        <v>1</v>
      </c>
      <c r="E924">
        <v>15</v>
      </c>
      <c r="F924" t="b">
        <v>0</v>
      </c>
      <c r="G924">
        <v>5</v>
      </c>
      <c r="H924">
        <v>2</v>
      </c>
      <c r="I924">
        <v>0.2</v>
      </c>
      <c r="J924">
        <v>312</v>
      </c>
      <c r="K924">
        <v>0.19700000000000001</v>
      </c>
      <c r="L924">
        <v>0.44</v>
      </c>
      <c r="M924">
        <v>0.25369999999999998</v>
      </c>
      <c r="N924">
        <v>2</v>
      </c>
      <c r="O924">
        <v>59</v>
      </c>
      <c r="P924">
        <v>61</v>
      </c>
      <c r="Q924" s="17" t="str">
        <f t="shared" si="44"/>
        <v>Weekends</v>
      </c>
      <c r="R924" s="17" t="str">
        <f t="shared" si="42"/>
        <v>Afternoon</v>
      </c>
      <c r="S924" s="9" t="str">
        <f t="shared" si="43"/>
        <v>Mist</v>
      </c>
    </row>
    <row r="925" spans="1:19" x14ac:dyDescent="0.25">
      <c r="A925">
        <v>314</v>
      </c>
      <c r="B925" s="19">
        <v>40571</v>
      </c>
      <c r="C925">
        <v>1</v>
      </c>
      <c r="D925">
        <v>1</v>
      </c>
      <c r="E925">
        <v>15</v>
      </c>
      <c r="F925" t="b">
        <v>0</v>
      </c>
      <c r="G925">
        <v>5</v>
      </c>
      <c r="H925">
        <v>2</v>
      </c>
      <c r="I925">
        <v>0.2</v>
      </c>
      <c r="J925">
        <v>313</v>
      </c>
      <c r="K925">
        <v>0.19700000000000001</v>
      </c>
      <c r="L925">
        <v>0.37</v>
      </c>
      <c r="M925">
        <v>0.3881</v>
      </c>
      <c r="N925">
        <v>4</v>
      </c>
      <c r="O925">
        <v>73</v>
      </c>
      <c r="P925">
        <v>77</v>
      </c>
      <c r="Q925" s="17" t="str">
        <f t="shared" si="44"/>
        <v>Weekends</v>
      </c>
      <c r="R925" s="17" t="str">
        <f t="shared" si="42"/>
        <v>Afternoon</v>
      </c>
      <c r="S925" s="9" t="str">
        <f t="shared" si="43"/>
        <v>Mist</v>
      </c>
    </row>
    <row r="926" spans="1:19" x14ac:dyDescent="0.25">
      <c r="A926">
        <v>315</v>
      </c>
      <c r="B926" s="19">
        <v>40571</v>
      </c>
      <c r="C926">
        <v>1</v>
      </c>
      <c r="D926">
        <v>1</v>
      </c>
      <c r="E926">
        <v>15</v>
      </c>
      <c r="F926" t="b">
        <v>0</v>
      </c>
      <c r="G926">
        <v>5</v>
      </c>
      <c r="H926">
        <v>2</v>
      </c>
      <c r="I926">
        <v>0.2</v>
      </c>
      <c r="J926">
        <v>314</v>
      </c>
      <c r="K926">
        <v>0.21210000000000001</v>
      </c>
      <c r="L926">
        <v>0.41</v>
      </c>
      <c r="M926">
        <v>0.28360000000000002</v>
      </c>
      <c r="N926">
        <v>5</v>
      </c>
      <c r="O926">
        <v>59</v>
      </c>
      <c r="P926">
        <v>64</v>
      </c>
      <c r="Q926" s="17" t="str">
        <f t="shared" si="44"/>
        <v>Weekends</v>
      </c>
      <c r="R926" s="17" t="str">
        <f t="shared" si="42"/>
        <v>Afternoon</v>
      </c>
      <c r="S926" s="9" t="str">
        <f t="shared" si="43"/>
        <v>Mist</v>
      </c>
    </row>
    <row r="927" spans="1:19" x14ac:dyDescent="0.25">
      <c r="A927">
        <v>316</v>
      </c>
      <c r="B927" s="19">
        <v>40571</v>
      </c>
      <c r="C927">
        <v>1</v>
      </c>
      <c r="D927">
        <v>1</v>
      </c>
      <c r="E927">
        <v>15</v>
      </c>
      <c r="F927" t="b">
        <v>0</v>
      </c>
      <c r="G927">
        <v>5</v>
      </c>
      <c r="H927">
        <v>2</v>
      </c>
      <c r="I927">
        <v>0.2</v>
      </c>
      <c r="J927">
        <v>315</v>
      </c>
      <c r="K927">
        <v>0.2424</v>
      </c>
      <c r="L927">
        <v>0.38</v>
      </c>
      <c r="M927">
        <v>0.16420000000000001</v>
      </c>
      <c r="N927">
        <v>9</v>
      </c>
      <c r="O927">
        <v>59</v>
      </c>
      <c r="P927">
        <v>68</v>
      </c>
      <c r="Q927" s="17" t="str">
        <f t="shared" si="44"/>
        <v>Weekends</v>
      </c>
      <c r="R927" s="17" t="str">
        <f t="shared" si="42"/>
        <v>Afternoon</v>
      </c>
      <c r="S927" s="9" t="str">
        <f t="shared" si="43"/>
        <v>Mist</v>
      </c>
    </row>
    <row r="928" spans="1:19" x14ac:dyDescent="0.25">
      <c r="A928">
        <v>317</v>
      </c>
      <c r="B928" s="19">
        <v>40571</v>
      </c>
      <c r="C928">
        <v>1</v>
      </c>
      <c r="D928">
        <v>1</v>
      </c>
      <c r="E928">
        <v>15</v>
      </c>
      <c r="F928" t="b">
        <v>0</v>
      </c>
      <c r="G928">
        <v>5</v>
      </c>
      <c r="H928">
        <v>2</v>
      </c>
      <c r="I928">
        <v>0.2</v>
      </c>
      <c r="J928">
        <v>316</v>
      </c>
      <c r="K928">
        <v>0.2424</v>
      </c>
      <c r="L928">
        <v>0.41</v>
      </c>
      <c r="M928">
        <v>0.1045</v>
      </c>
      <c r="N928">
        <v>3</v>
      </c>
      <c r="O928">
        <v>87</v>
      </c>
      <c r="P928">
        <v>90</v>
      </c>
      <c r="Q928" s="17" t="str">
        <f t="shared" si="44"/>
        <v>Weekends</v>
      </c>
      <c r="R928" s="17" t="str">
        <f t="shared" si="42"/>
        <v>Afternoon</v>
      </c>
      <c r="S928" s="9" t="str">
        <f t="shared" si="43"/>
        <v>Mist</v>
      </c>
    </row>
    <row r="929" spans="1:19" x14ac:dyDescent="0.25">
      <c r="A929">
        <v>318</v>
      </c>
      <c r="B929" s="19">
        <v>40571</v>
      </c>
      <c r="C929">
        <v>1</v>
      </c>
      <c r="D929">
        <v>1</v>
      </c>
      <c r="E929">
        <v>15</v>
      </c>
      <c r="F929" t="b">
        <v>0</v>
      </c>
      <c r="G929">
        <v>5</v>
      </c>
      <c r="H929">
        <v>2</v>
      </c>
      <c r="I929">
        <v>0.2</v>
      </c>
      <c r="J929">
        <v>317</v>
      </c>
      <c r="K929">
        <v>0.2273</v>
      </c>
      <c r="L929">
        <v>0.41</v>
      </c>
      <c r="M929">
        <v>0.16420000000000001</v>
      </c>
      <c r="N929">
        <v>4</v>
      </c>
      <c r="O929">
        <v>155</v>
      </c>
      <c r="P929">
        <v>159</v>
      </c>
      <c r="Q929" s="17" t="str">
        <f t="shared" si="44"/>
        <v>Weekends</v>
      </c>
      <c r="R929" s="17" t="str">
        <f t="shared" si="42"/>
        <v>Afternoon</v>
      </c>
      <c r="S929" s="9" t="str">
        <f t="shared" si="43"/>
        <v>Mist</v>
      </c>
    </row>
    <row r="930" spans="1:19" x14ac:dyDescent="0.25">
      <c r="A930">
        <v>319</v>
      </c>
      <c r="B930" s="19">
        <v>40571</v>
      </c>
      <c r="C930">
        <v>1</v>
      </c>
      <c r="D930">
        <v>1</v>
      </c>
      <c r="E930">
        <v>15</v>
      </c>
      <c r="F930" t="b">
        <v>0</v>
      </c>
      <c r="G930">
        <v>5</v>
      </c>
      <c r="H930">
        <v>2</v>
      </c>
      <c r="I930">
        <v>0.2</v>
      </c>
      <c r="J930">
        <v>318</v>
      </c>
      <c r="K930">
        <v>0.2576</v>
      </c>
      <c r="L930">
        <v>0.47</v>
      </c>
      <c r="M930">
        <v>0</v>
      </c>
      <c r="N930">
        <v>5</v>
      </c>
      <c r="O930">
        <v>134</v>
      </c>
      <c r="P930">
        <v>139</v>
      </c>
      <c r="Q930" s="17" t="str">
        <f t="shared" si="44"/>
        <v>Weekends</v>
      </c>
      <c r="R930" s="17" t="str">
        <f t="shared" si="42"/>
        <v>Afternoon</v>
      </c>
      <c r="S930" s="9" t="str">
        <f t="shared" si="43"/>
        <v>Mist</v>
      </c>
    </row>
    <row r="931" spans="1:19" x14ac:dyDescent="0.25">
      <c r="A931">
        <v>320</v>
      </c>
      <c r="B931" s="19">
        <v>40571</v>
      </c>
      <c r="C931">
        <v>1</v>
      </c>
      <c r="D931">
        <v>1</v>
      </c>
      <c r="E931">
        <v>15</v>
      </c>
      <c r="F931" t="b">
        <v>0</v>
      </c>
      <c r="G931">
        <v>5</v>
      </c>
      <c r="H931">
        <v>2</v>
      </c>
      <c r="I931">
        <v>0.2</v>
      </c>
      <c r="J931">
        <v>319</v>
      </c>
      <c r="K931">
        <v>0.19700000000000001</v>
      </c>
      <c r="L931">
        <v>0.59</v>
      </c>
      <c r="M931">
        <v>8.9599999999999999E-2</v>
      </c>
      <c r="N931">
        <v>3</v>
      </c>
      <c r="O931">
        <v>89</v>
      </c>
      <c r="P931">
        <v>92</v>
      </c>
      <c r="Q931" s="17" t="str">
        <f t="shared" si="44"/>
        <v>Weekends</v>
      </c>
      <c r="R931" s="17" t="str">
        <f t="shared" si="42"/>
        <v>Afternoon</v>
      </c>
      <c r="S931" s="9" t="str">
        <f t="shared" si="43"/>
        <v>Mist</v>
      </c>
    </row>
    <row r="932" spans="1:19" x14ac:dyDescent="0.25">
      <c r="A932">
        <v>321</v>
      </c>
      <c r="B932" s="19">
        <v>40571</v>
      </c>
      <c r="C932">
        <v>1</v>
      </c>
      <c r="D932">
        <v>1</v>
      </c>
      <c r="E932">
        <v>15</v>
      </c>
      <c r="F932" t="b">
        <v>0</v>
      </c>
      <c r="G932">
        <v>5</v>
      </c>
      <c r="H932">
        <v>2</v>
      </c>
      <c r="I932">
        <v>0.2</v>
      </c>
      <c r="J932">
        <v>320</v>
      </c>
      <c r="K932">
        <v>0.2424</v>
      </c>
      <c r="L932">
        <v>0.59</v>
      </c>
      <c r="M932">
        <v>0</v>
      </c>
      <c r="N932">
        <v>0</v>
      </c>
      <c r="O932">
        <v>68</v>
      </c>
      <c r="P932">
        <v>68</v>
      </c>
      <c r="Q932" s="17" t="str">
        <f t="shared" si="44"/>
        <v>Weekends</v>
      </c>
      <c r="R932" s="17" t="str">
        <f t="shared" si="42"/>
        <v>Afternoon</v>
      </c>
      <c r="S932" s="9" t="str">
        <f t="shared" si="43"/>
        <v>Mist</v>
      </c>
    </row>
    <row r="933" spans="1:19" x14ac:dyDescent="0.25">
      <c r="A933">
        <v>322</v>
      </c>
      <c r="B933" s="19">
        <v>40571</v>
      </c>
      <c r="C933">
        <v>1</v>
      </c>
      <c r="D933">
        <v>1</v>
      </c>
      <c r="E933">
        <v>15</v>
      </c>
      <c r="F933" t="b">
        <v>0</v>
      </c>
      <c r="G933">
        <v>5</v>
      </c>
      <c r="H933">
        <v>2</v>
      </c>
      <c r="I933">
        <v>0.2</v>
      </c>
      <c r="J933">
        <v>321</v>
      </c>
      <c r="K933">
        <v>0.2273</v>
      </c>
      <c r="L933">
        <v>0.69</v>
      </c>
      <c r="M933">
        <v>0</v>
      </c>
      <c r="N933">
        <v>4</v>
      </c>
      <c r="O933">
        <v>48</v>
      </c>
      <c r="P933">
        <v>52</v>
      </c>
      <c r="Q933" s="17" t="str">
        <f t="shared" si="44"/>
        <v>Weekends</v>
      </c>
      <c r="R933" s="17" t="str">
        <f t="shared" si="42"/>
        <v>Afternoon</v>
      </c>
      <c r="S933" s="9" t="str">
        <f t="shared" si="43"/>
        <v>Mist</v>
      </c>
    </row>
    <row r="934" spans="1:19" x14ac:dyDescent="0.25">
      <c r="A934">
        <v>323</v>
      </c>
      <c r="B934" s="19">
        <v>40571</v>
      </c>
      <c r="C934">
        <v>1</v>
      </c>
      <c r="D934">
        <v>1</v>
      </c>
      <c r="E934">
        <v>15</v>
      </c>
      <c r="F934" t="b">
        <v>0</v>
      </c>
      <c r="G934">
        <v>5</v>
      </c>
      <c r="H934">
        <v>2</v>
      </c>
      <c r="I934">
        <v>0.2</v>
      </c>
      <c r="J934">
        <v>322</v>
      </c>
      <c r="K934">
        <v>0.2273</v>
      </c>
      <c r="L934">
        <v>0.69</v>
      </c>
      <c r="M934">
        <v>0</v>
      </c>
      <c r="N934">
        <v>2</v>
      </c>
      <c r="O934">
        <v>34</v>
      </c>
      <c r="P934">
        <v>36</v>
      </c>
      <c r="Q934" s="17" t="str">
        <f t="shared" si="44"/>
        <v>Weekends</v>
      </c>
      <c r="R934" s="17" t="str">
        <f t="shared" si="42"/>
        <v>Afternoon</v>
      </c>
      <c r="S934" s="9" t="str">
        <f t="shared" si="43"/>
        <v>Mist</v>
      </c>
    </row>
    <row r="935" spans="1:19" x14ac:dyDescent="0.25">
      <c r="A935">
        <v>324</v>
      </c>
      <c r="B935" s="19">
        <v>40571</v>
      </c>
      <c r="C935">
        <v>1</v>
      </c>
      <c r="D935">
        <v>1</v>
      </c>
      <c r="E935">
        <v>15</v>
      </c>
      <c r="F935" t="b">
        <v>0</v>
      </c>
      <c r="G935">
        <v>5</v>
      </c>
      <c r="H935">
        <v>2</v>
      </c>
      <c r="I935">
        <v>0.2</v>
      </c>
      <c r="J935">
        <v>323</v>
      </c>
      <c r="K935">
        <v>0.2424</v>
      </c>
      <c r="L935">
        <v>0.55000000000000004</v>
      </c>
      <c r="M935">
        <v>0</v>
      </c>
      <c r="N935">
        <v>1</v>
      </c>
      <c r="O935">
        <v>26</v>
      </c>
      <c r="P935">
        <v>27</v>
      </c>
      <c r="Q935" s="17" t="str">
        <f t="shared" si="44"/>
        <v>Weekends</v>
      </c>
      <c r="R935" s="17" t="str">
        <f t="shared" si="42"/>
        <v>Afternoon</v>
      </c>
      <c r="S935" s="9" t="str">
        <f t="shared" si="43"/>
        <v>Mist</v>
      </c>
    </row>
    <row r="936" spans="1:19" x14ac:dyDescent="0.25">
      <c r="A936">
        <v>325</v>
      </c>
      <c r="B936" s="19">
        <v>40571</v>
      </c>
      <c r="C936">
        <v>1</v>
      </c>
      <c r="D936">
        <v>1</v>
      </c>
      <c r="E936">
        <v>15</v>
      </c>
      <c r="F936" t="b">
        <v>0</v>
      </c>
      <c r="G936">
        <v>5</v>
      </c>
      <c r="H936">
        <v>2</v>
      </c>
      <c r="I936">
        <v>0.2</v>
      </c>
      <c r="J936">
        <v>324</v>
      </c>
      <c r="K936">
        <v>0.2424</v>
      </c>
      <c r="L936">
        <v>0.55000000000000004</v>
      </c>
      <c r="M936">
        <v>0</v>
      </c>
      <c r="N936">
        <v>3</v>
      </c>
      <c r="O936">
        <v>25</v>
      </c>
      <c r="P936">
        <v>28</v>
      </c>
      <c r="Q936" s="17" t="str">
        <f t="shared" si="44"/>
        <v>Weekends</v>
      </c>
      <c r="R936" s="17" t="str">
        <f t="shared" si="42"/>
        <v>Afternoon</v>
      </c>
      <c r="S936" s="9" t="str">
        <f t="shared" si="43"/>
        <v>Mist</v>
      </c>
    </row>
    <row r="937" spans="1:19" x14ac:dyDescent="0.25">
      <c r="A937">
        <v>326</v>
      </c>
      <c r="B937" s="19">
        <v>40571</v>
      </c>
      <c r="C937">
        <v>1</v>
      </c>
      <c r="D937">
        <v>1</v>
      </c>
      <c r="E937">
        <v>15</v>
      </c>
      <c r="F937" t="b">
        <v>0</v>
      </c>
      <c r="G937">
        <v>5</v>
      </c>
      <c r="H937">
        <v>2</v>
      </c>
      <c r="I937">
        <v>0.2</v>
      </c>
      <c r="J937">
        <v>325</v>
      </c>
      <c r="K937">
        <v>0.19700000000000001</v>
      </c>
      <c r="L937">
        <v>0.59</v>
      </c>
      <c r="M937">
        <v>8.9599999999999999E-2</v>
      </c>
      <c r="N937">
        <v>2</v>
      </c>
      <c r="O937">
        <v>18</v>
      </c>
      <c r="P937">
        <v>20</v>
      </c>
      <c r="Q937" s="17" t="str">
        <f t="shared" si="44"/>
        <v>Weekends</v>
      </c>
      <c r="R937" s="17" t="str">
        <f t="shared" si="42"/>
        <v>Afternoon</v>
      </c>
      <c r="S937" s="9" t="str">
        <f t="shared" si="43"/>
        <v>Mist</v>
      </c>
    </row>
    <row r="938" spans="1:19" x14ac:dyDescent="0.25">
      <c r="A938">
        <v>327</v>
      </c>
      <c r="B938" s="19">
        <v>40571</v>
      </c>
      <c r="C938">
        <v>1</v>
      </c>
      <c r="D938">
        <v>1</v>
      </c>
      <c r="E938">
        <v>15</v>
      </c>
      <c r="F938" t="b">
        <v>0</v>
      </c>
      <c r="G938">
        <v>5</v>
      </c>
      <c r="H938">
        <v>2</v>
      </c>
      <c r="I938">
        <v>0.2</v>
      </c>
      <c r="J938">
        <v>326</v>
      </c>
      <c r="K938">
        <v>0.19700000000000001</v>
      </c>
      <c r="L938">
        <v>0.59</v>
      </c>
      <c r="M938">
        <v>8.9599999999999999E-2</v>
      </c>
      <c r="N938">
        <v>0</v>
      </c>
      <c r="O938">
        <v>12</v>
      </c>
      <c r="P938">
        <v>12</v>
      </c>
      <c r="Q938" s="17" t="str">
        <f t="shared" si="44"/>
        <v>Weekends</v>
      </c>
      <c r="R938" s="17" t="str">
        <f t="shared" si="42"/>
        <v>Afternoon</v>
      </c>
      <c r="S938" s="9" t="str">
        <f t="shared" si="43"/>
        <v>Mist</v>
      </c>
    </row>
    <row r="939" spans="1:19" x14ac:dyDescent="0.25">
      <c r="A939">
        <v>328</v>
      </c>
      <c r="B939" s="19">
        <v>40571</v>
      </c>
      <c r="C939">
        <v>1</v>
      </c>
      <c r="D939">
        <v>1</v>
      </c>
      <c r="E939">
        <v>15</v>
      </c>
      <c r="F939" t="b">
        <v>0</v>
      </c>
      <c r="G939">
        <v>5</v>
      </c>
      <c r="H939">
        <v>2</v>
      </c>
      <c r="I939">
        <v>0.2</v>
      </c>
      <c r="J939">
        <v>327</v>
      </c>
      <c r="K939">
        <v>0.2273</v>
      </c>
      <c r="L939">
        <v>0.59</v>
      </c>
      <c r="M939">
        <v>0</v>
      </c>
      <c r="N939">
        <v>1</v>
      </c>
      <c r="O939">
        <v>7</v>
      </c>
      <c r="P939">
        <v>8</v>
      </c>
      <c r="Q939" s="17" t="str">
        <f t="shared" si="44"/>
        <v>Weekends</v>
      </c>
      <c r="R939" s="17" t="str">
        <f t="shared" si="42"/>
        <v>Afternoon</v>
      </c>
      <c r="S939" s="9" t="str">
        <f t="shared" si="43"/>
        <v>Mist</v>
      </c>
    </row>
    <row r="940" spans="1:19" x14ac:dyDescent="0.25">
      <c r="A940">
        <v>329</v>
      </c>
      <c r="B940" s="19">
        <v>40571</v>
      </c>
      <c r="C940">
        <v>1</v>
      </c>
      <c r="D940">
        <v>1</v>
      </c>
      <c r="E940">
        <v>15</v>
      </c>
      <c r="F940" t="b">
        <v>0</v>
      </c>
      <c r="G940">
        <v>5</v>
      </c>
      <c r="H940">
        <v>2</v>
      </c>
      <c r="I940">
        <v>0.2</v>
      </c>
      <c r="J940">
        <v>328</v>
      </c>
      <c r="K940">
        <v>0.2273</v>
      </c>
      <c r="L940">
        <v>0.59</v>
      </c>
      <c r="M940">
        <v>0</v>
      </c>
      <c r="N940">
        <v>0</v>
      </c>
      <c r="O940">
        <v>5</v>
      </c>
      <c r="P940">
        <v>5</v>
      </c>
      <c r="Q940" s="17" t="str">
        <f t="shared" si="44"/>
        <v>Weekends</v>
      </c>
      <c r="R940" s="17" t="str">
        <f t="shared" si="42"/>
        <v>Afternoon</v>
      </c>
      <c r="S940" s="9" t="str">
        <f t="shared" si="43"/>
        <v>Mist</v>
      </c>
    </row>
    <row r="941" spans="1:19" x14ac:dyDescent="0.25">
      <c r="A941">
        <v>330</v>
      </c>
      <c r="B941" s="19">
        <v>40571</v>
      </c>
      <c r="C941">
        <v>1</v>
      </c>
      <c r="D941">
        <v>1</v>
      </c>
      <c r="E941">
        <v>15</v>
      </c>
      <c r="F941" t="b">
        <v>0</v>
      </c>
      <c r="G941">
        <v>5</v>
      </c>
      <c r="H941">
        <v>2</v>
      </c>
      <c r="I941">
        <v>0.2</v>
      </c>
      <c r="J941">
        <v>329</v>
      </c>
      <c r="K941">
        <v>0.2273</v>
      </c>
      <c r="L941">
        <v>0.59</v>
      </c>
      <c r="M941">
        <v>0</v>
      </c>
      <c r="N941">
        <v>0</v>
      </c>
      <c r="O941">
        <v>1</v>
      </c>
      <c r="P941">
        <v>1</v>
      </c>
      <c r="Q941" s="17" t="str">
        <f t="shared" si="44"/>
        <v>Weekends</v>
      </c>
      <c r="R941" s="17" t="str">
        <f t="shared" si="42"/>
        <v>Afternoon</v>
      </c>
      <c r="S941" s="9" t="str">
        <f t="shared" si="43"/>
        <v>Mist</v>
      </c>
    </row>
    <row r="942" spans="1:19" x14ac:dyDescent="0.25">
      <c r="A942">
        <v>331</v>
      </c>
      <c r="B942" s="19">
        <v>40571</v>
      </c>
      <c r="C942">
        <v>1</v>
      </c>
      <c r="D942">
        <v>1</v>
      </c>
      <c r="E942">
        <v>15</v>
      </c>
      <c r="F942" t="b">
        <v>0</v>
      </c>
      <c r="G942">
        <v>5</v>
      </c>
      <c r="H942">
        <v>2</v>
      </c>
      <c r="I942">
        <v>0.2</v>
      </c>
      <c r="J942">
        <v>330</v>
      </c>
      <c r="K942">
        <v>0.16669999999999999</v>
      </c>
      <c r="L942">
        <v>0.63</v>
      </c>
      <c r="M942">
        <v>0.1045</v>
      </c>
      <c r="N942">
        <v>1</v>
      </c>
      <c r="O942">
        <v>2</v>
      </c>
      <c r="P942">
        <v>3</v>
      </c>
      <c r="Q942" s="17" t="str">
        <f t="shared" si="44"/>
        <v>Weekends</v>
      </c>
      <c r="R942" s="17" t="str">
        <f t="shared" si="42"/>
        <v>Afternoon</v>
      </c>
      <c r="S942" s="9" t="str">
        <f t="shared" si="43"/>
        <v>Mist</v>
      </c>
    </row>
    <row r="943" spans="1:19" x14ac:dyDescent="0.25">
      <c r="A943">
        <v>332</v>
      </c>
      <c r="B943" s="19">
        <v>40571</v>
      </c>
      <c r="C943">
        <v>1</v>
      </c>
      <c r="D943">
        <v>1</v>
      </c>
      <c r="E943">
        <v>15</v>
      </c>
      <c r="F943" t="b">
        <v>0</v>
      </c>
      <c r="G943">
        <v>5</v>
      </c>
      <c r="H943">
        <v>2</v>
      </c>
      <c r="I943">
        <v>0.2</v>
      </c>
      <c r="J943">
        <v>331</v>
      </c>
      <c r="K943">
        <v>0.21210000000000001</v>
      </c>
      <c r="L943">
        <v>0.63</v>
      </c>
      <c r="M943">
        <v>0</v>
      </c>
      <c r="N943">
        <v>1</v>
      </c>
      <c r="O943">
        <v>9</v>
      </c>
      <c r="P943">
        <v>10</v>
      </c>
      <c r="Q943" s="17" t="str">
        <f t="shared" si="44"/>
        <v>Weekends</v>
      </c>
      <c r="R943" s="17" t="str">
        <f t="shared" si="42"/>
        <v>Afternoon</v>
      </c>
      <c r="S943" s="9" t="str">
        <f t="shared" si="43"/>
        <v>Mist</v>
      </c>
    </row>
    <row r="944" spans="1:19" x14ac:dyDescent="0.25">
      <c r="A944">
        <v>333</v>
      </c>
      <c r="B944" s="19">
        <v>40571</v>
      </c>
      <c r="C944">
        <v>1</v>
      </c>
      <c r="D944">
        <v>1</v>
      </c>
      <c r="E944">
        <v>15</v>
      </c>
      <c r="F944" t="b">
        <v>0</v>
      </c>
      <c r="G944">
        <v>5</v>
      </c>
      <c r="H944">
        <v>2</v>
      </c>
      <c r="I944">
        <v>0.2</v>
      </c>
      <c r="J944">
        <v>332</v>
      </c>
      <c r="K944">
        <v>0.1515</v>
      </c>
      <c r="L944">
        <v>0.63</v>
      </c>
      <c r="M944">
        <v>0.1343</v>
      </c>
      <c r="N944">
        <v>1</v>
      </c>
      <c r="O944">
        <v>22</v>
      </c>
      <c r="P944">
        <v>23</v>
      </c>
      <c r="Q944" s="17" t="str">
        <f t="shared" si="44"/>
        <v>Weekends</v>
      </c>
      <c r="R944" s="17" t="str">
        <f t="shared" si="42"/>
        <v>Afternoon</v>
      </c>
      <c r="S944" s="9" t="str">
        <f t="shared" si="43"/>
        <v>Mist</v>
      </c>
    </row>
    <row r="945" spans="1:19" x14ac:dyDescent="0.25">
      <c r="A945">
        <v>334</v>
      </c>
      <c r="B945" s="19">
        <v>40571</v>
      </c>
      <c r="C945">
        <v>1</v>
      </c>
      <c r="D945">
        <v>1</v>
      </c>
      <c r="E945">
        <v>15</v>
      </c>
      <c r="F945" t="b">
        <v>0</v>
      </c>
      <c r="G945">
        <v>5</v>
      </c>
      <c r="H945">
        <v>2</v>
      </c>
      <c r="I945">
        <v>0.2</v>
      </c>
      <c r="J945">
        <v>333</v>
      </c>
      <c r="K945">
        <v>0.18179999999999999</v>
      </c>
      <c r="L945">
        <v>0.64</v>
      </c>
      <c r="M945">
        <v>0.1343</v>
      </c>
      <c r="N945">
        <v>2</v>
      </c>
      <c r="O945">
        <v>31</v>
      </c>
      <c r="P945">
        <v>33</v>
      </c>
      <c r="Q945" s="17" t="str">
        <f t="shared" si="44"/>
        <v>Weekends</v>
      </c>
      <c r="R945" s="17" t="str">
        <f t="shared" si="42"/>
        <v>Afternoon</v>
      </c>
      <c r="S945" s="9" t="str">
        <f t="shared" si="43"/>
        <v>Mist</v>
      </c>
    </row>
    <row r="946" spans="1:19" x14ac:dyDescent="0.25">
      <c r="A946">
        <v>335</v>
      </c>
      <c r="B946" s="19">
        <v>40571</v>
      </c>
      <c r="C946">
        <v>1</v>
      </c>
      <c r="D946">
        <v>1</v>
      </c>
      <c r="E946">
        <v>15</v>
      </c>
      <c r="F946" t="b">
        <v>0</v>
      </c>
      <c r="G946">
        <v>5</v>
      </c>
      <c r="H946">
        <v>2</v>
      </c>
      <c r="I946">
        <v>0.2</v>
      </c>
      <c r="J946">
        <v>334</v>
      </c>
      <c r="K946">
        <v>0.19700000000000001</v>
      </c>
      <c r="L946">
        <v>0.59</v>
      </c>
      <c r="M946">
        <v>0.16420000000000001</v>
      </c>
      <c r="N946">
        <v>2</v>
      </c>
      <c r="O946">
        <v>57</v>
      </c>
      <c r="P946">
        <v>59</v>
      </c>
      <c r="Q946" s="17" t="str">
        <f t="shared" si="44"/>
        <v>Weekends</v>
      </c>
      <c r="R946" s="17" t="str">
        <f t="shared" si="42"/>
        <v>Afternoon</v>
      </c>
      <c r="S946" s="9" t="str">
        <f t="shared" si="43"/>
        <v>Mist</v>
      </c>
    </row>
    <row r="947" spans="1:19" x14ac:dyDescent="0.25">
      <c r="A947">
        <v>336</v>
      </c>
      <c r="B947" s="19">
        <v>40571</v>
      </c>
      <c r="C947">
        <v>1</v>
      </c>
      <c r="D947">
        <v>1</v>
      </c>
      <c r="E947">
        <v>15</v>
      </c>
      <c r="F947" t="b">
        <v>0</v>
      </c>
      <c r="G947">
        <v>5</v>
      </c>
      <c r="H947">
        <v>2</v>
      </c>
      <c r="I947">
        <v>0.2</v>
      </c>
      <c r="J947">
        <v>335</v>
      </c>
      <c r="K947">
        <v>0.19700000000000001</v>
      </c>
      <c r="L947">
        <v>0.55000000000000004</v>
      </c>
      <c r="M947">
        <v>0.22389999999999999</v>
      </c>
      <c r="N947">
        <v>18</v>
      </c>
      <c r="O947">
        <v>54</v>
      </c>
      <c r="P947">
        <v>72</v>
      </c>
      <c r="Q947" s="17" t="str">
        <f t="shared" si="44"/>
        <v>Weekends</v>
      </c>
      <c r="R947" s="17" t="str">
        <f t="shared" si="42"/>
        <v>Afternoon</v>
      </c>
      <c r="S947" s="9" t="str">
        <f t="shared" si="43"/>
        <v>Mist</v>
      </c>
    </row>
    <row r="948" spans="1:19" x14ac:dyDescent="0.25">
      <c r="A948">
        <v>337</v>
      </c>
      <c r="B948" s="19">
        <v>40571</v>
      </c>
      <c r="C948">
        <v>1</v>
      </c>
      <c r="D948">
        <v>1</v>
      </c>
      <c r="E948">
        <v>15</v>
      </c>
      <c r="F948" t="b">
        <v>0</v>
      </c>
      <c r="G948">
        <v>5</v>
      </c>
      <c r="H948">
        <v>2</v>
      </c>
      <c r="I948">
        <v>0.2</v>
      </c>
      <c r="J948">
        <v>336</v>
      </c>
      <c r="K948">
        <v>0.2273</v>
      </c>
      <c r="L948">
        <v>0.48</v>
      </c>
      <c r="M948">
        <v>0.22389999999999999</v>
      </c>
      <c r="N948">
        <v>15</v>
      </c>
      <c r="O948">
        <v>74</v>
      </c>
      <c r="P948">
        <v>89</v>
      </c>
      <c r="Q948" s="17" t="str">
        <f t="shared" si="44"/>
        <v>Weekends</v>
      </c>
      <c r="R948" s="17" t="str">
        <f t="shared" si="42"/>
        <v>Afternoon</v>
      </c>
      <c r="S948" s="9" t="str">
        <f t="shared" si="43"/>
        <v>Mist</v>
      </c>
    </row>
    <row r="949" spans="1:19" x14ac:dyDescent="0.25">
      <c r="A949">
        <v>338</v>
      </c>
      <c r="B949" s="19">
        <v>40571</v>
      </c>
      <c r="C949">
        <v>1</v>
      </c>
      <c r="D949">
        <v>1</v>
      </c>
      <c r="E949">
        <v>15</v>
      </c>
      <c r="F949" t="b">
        <v>0</v>
      </c>
      <c r="G949">
        <v>5</v>
      </c>
      <c r="H949">
        <v>2</v>
      </c>
      <c r="I949">
        <v>0.2</v>
      </c>
      <c r="J949">
        <v>337</v>
      </c>
      <c r="K949">
        <v>0.2576</v>
      </c>
      <c r="L949">
        <v>0.38</v>
      </c>
      <c r="M949">
        <v>0.29849999999999999</v>
      </c>
      <c r="N949">
        <v>21</v>
      </c>
      <c r="O949">
        <v>80</v>
      </c>
      <c r="P949">
        <v>101</v>
      </c>
      <c r="Q949" s="17" t="str">
        <f t="shared" si="44"/>
        <v>Weekends</v>
      </c>
      <c r="R949" s="17" t="str">
        <f t="shared" si="42"/>
        <v>Afternoon</v>
      </c>
      <c r="S949" s="9" t="str">
        <f t="shared" si="43"/>
        <v>Mist</v>
      </c>
    </row>
    <row r="950" spans="1:19" x14ac:dyDescent="0.25">
      <c r="A950">
        <v>339</v>
      </c>
      <c r="B950" s="19">
        <v>40571</v>
      </c>
      <c r="C950">
        <v>1</v>
      </c>
      <c r="D950">
        <v>1</v>
      </c>
      <c r="E950">
        <v>15</v>
      </c>
      <c r="F950" t="b">
        <v>0</v>
      </c>
      <c r="G950">
        <v>5</v>
      </c>
      <c r="H950">
        <v>2</v>
      </c>
      <c r="I950">
        <v>0.2</v>
      </c>
      <c r="J950">
        <v>338</v>
      </c>
      <c r="K950">
        <v>0.28789999999999999</v>
      </c>
      <c r="L950">
        <v>0.39</v>
      </c>
      <c r="M950">
        <v>0.28360000000000002</v>
      </c>
      <c r="N950">
        <v>26</v>
      </c>
      <c r="O950">
        <v>92</v>
      </c>
      <c r="P950">
        <v>118</v>
      </c>
      <c r="Q950" s="17" t="str">
        <f t="shared" si="44"/>
        <v>Weekends</v>
      </c>
      <c r="R950" s="17" t="str">
        <f t="shared" si="42"/>
        <v>Afternoon</v>
      </c>
      <c r="S950" s="9" t="str">
        <f t="shared" si="43"/>
        <v>Mist</v>
      </c>
    </row>
    <row r="951" spans="1:19" x14ac:dyDescent="0.25">
      <c r="A951">
        <v>340</v>
      </c>
      <c r="B951" s="19">
        <v>40571</v>
      </c>
      <c r="C951">
        <v>1</v>
      </c>
      <c r="D951">
        <v>1</v>
      </c>
      <c r="E951">
        <v>15</v>
      </c>
      <c r="F951" t="b">
        <v>0</v>
      </c>
      <c r="G951">
        <v>5</v>
      </c>
      <c r="H951">
        <v>2</v>
      </c>
      <c r="I951">
        <v>0.2</v>
      </c>
      <c r="J951">
        <v>339</v>
      </c>
      <c r="K951">
        <v>0.31819999999999998</v>
      </c>
      <c r="L951">
        <v>0.36</v>
      </c>
      <c r="M951">
        <v>0.19400000000000001</v>
      </c>
      <c r="N951">
        <v>21</v>
      </c>
      <c r="O951">
        <v>108</v>
      </c>
      <c r="P951">
        <v>129</v>
      </c>
      <c r="Q951" s="17" t="str">
        <f t="shared" si="44"/>
        <v>Weekends</v>
      </c>
      <c r="R951" s="17" t="str">
        <f t="shared" si="42"/>
        <v>Afternoon</v>
      </c>
      <c r="S951" s="9" t="str">
        <f t="shared" si="43"/>
        <v>Mist</v>
      </c>
    </row>
    <row r="952" spans="1:19" x14ac:dyDescent="0.25">
      <c r="A952">
        <v>341</v>
      </c>
      <c r="B952" s="19">
        <v>40571</v>
      </c>
      <c r="C952">
        <v>1</v>
      </c>
      <c r="D952">
        <v>1</v>
      </c>
      <c r="E952">
        <v>15</v>
      </c>
      <c r="F952" t="b">
        <v>0</v>
      </c>
      <c r="G952">
        <v>5</v>
      </c>
      <c r="H952">
        <v>2</v>
      </c>
      <c r="I952">
        <v>0.2</v>
      </c>
      <c r="J952">
        <v>340</v>
      </c>
      <c r="K952">
        <v>0.33329999999999999</v>
      </c>
      <c r="L952">
        <v>0.34</v>
      </c>
      <c r="M952">
        <v>0.19400000000000001</v>
      </c>
      <c r="N952">
        <v>33</v>
      </c>
      <c r="O952">
        <v>95</v>
      </c>
      <c r="P952">
        <v>128</v>
      </c>
      <c r="Q952" s="17" t="str">
        <f t="shared" si="44"/>
        <v>Weekends</v>
      </c>
      <c r="R952" s="17" t="str">
        <f t="shared" si="42"/>
        <v>Afternoon</v>
      </c>
      <c r="S952" s="9" t="str">
        <f t="shared" si="43"/>
        <v>Mist</v>
      </c>
    </row>
    <row r="953" spans="1:19" x14ac:dyDescent="0.25">
      <c r="A953">
        <v>342</v>
      </c>
      <c r="B953" s="19">
        <v>40571</v>
      </c>
      <c r="C953">
        <v>1</v>
      </c>
      <c r="D953">
        <v>1</v>
      </c>
      <c r="E953">
        <v>15</v>
      </c>
      <c r="F953" t="b">
        <v>0</v>
      </c>
      <c r="G953">
        <v>5</v>
      </c>
      <c r="H953">
        <v>2</v>
      </c>
      <c r="I953">
        <v>0.2</v>
      </c>
      <c r="J953">
        <v>341</v>
      </c>
      <c r="K953">
        <v>0.30299999999999999</v>
      </c>
      <c r="L953">
        <v>0.36</v>
      </c>
      <c r="M953">
        <v>0.28360000000000002</v>
      </c>
      <c r="N953">
        <v>29</v>
      </c>
      <c r="O953">
        <v>54</v>
      </c>
      <c r="P953">
        <v>83</v>
      </c>
      <c r="Q953" s="17" t="str">
        <f t="shared" si="44"/>
        <v>Weekends</v>
      </c>
      <c r="R953" s="17" t="str">
        <f t="shared" si="42"/>
        <v>Afternoon</v>
      </c>
      <c r="S953" s="9" t="str">
        <f t="shared" si="43"/>
        <v>Mist</v>
      </c>
    </row>
    <row r="954" spans="1:19" x14ac:dyDescent="0.25">
      <c r="A954">
        <v>343</v>
      </c>
      <c r="B954" s="19">
        <v>40571</v>
      </c>
      <c r="C954">
        <v>1</v>
      </c>
      <c r="D954">
        <v>1</v>
      </c>
      <c r="E954">
        <v>15</v>
      </c>
      <c r="F954" t="b">
        <v>0</v>
      </c>
      <c r="G954">
        <v>5</v>
      </c>
      <c r="H954">
        <v>2</v>
      </c>
      <c r="I954">
        <v>0.2</v>
      </c>
      <c r="J954">
        <v>342</v>
      </c>
      <c r="K954">
        <v>0.28789999999999999</v>
      </c>
      <c r="L954">
        <v>0.45</v>
      </c>
      <c r="M954">
        <v>0.25369999999999998</v>
      </c>
      <c r="N954">
        <v>15</v>
      </c>
      <c r="O954">
        <v>69</v>
      </c>
      <c r="P954">
        <v>84</v>
      </c>
      <c r="Q954" s="17" t="str">
        <f t="shared" si="44"/>
        <v>Weekends</v>
      </c>
      <c r="R954" s="17" t="str">
        <f t="shared" si="42"/>
        <v>Afternoon</v>
      </c>
      <c r="S954" s="9" t="str">
        <f t="shared" si="43"/>
        <v>Mist</v>
      </c>
    </row>
    <row r="955" spans="1:19" x14ac:dyDescent="0.25">
      <c r="A955">
        <v>344</v>
      </c>
      <c r="B955" s="19">
        <v>40571</v>
      </c>
      <c r="C955">
        <v>1</v>
      </c>
      <c r="D955">
        <v>1</v>
      </c>
      <c r="E955">
        <v>15</v>
      </c>
      <c r="F955" t="b">
        <v>0</v>
      </c>
      <c r="G955">
        <v>5</v>
      </c>
      <c r="H955">
        <v>2</v>
      </c>
      <c r="I955">
        <v>0.2</v>
      </c>
      <c r="J955">
        <v>343</v>
      </c>
      <c r="K955">
        <v>0.30299999999999999</v>
      </c>
      <c r="L955">
        <v>0.39</v>
      </c>
      <c r="M955">
        <v>0.25369999999999998</v>
      </c>
      <c r="N955">
        <v>14</v>
      </c>
      <c r="O955">
        <v>60</v>
      </c>
      <c r="P955">
        <v>74</v>
      </c>
      <c r="Q955" s="17" t="str">
        <f t="shared" si="44"/>
        <v>Weekends</v>
      </c>
      <c r="R955" s="17" t="str">
        <f t="shared" si="42"/>
        <v>Afternoon</v>
      </c>
      <c r="S955" s="9" t="str">
        <f t="shared" si="43"/>
        <v>Mist</v>
      </c>
    </row>
    <row r="956" spans="1:19" x14ac:dyDescent="0.25">
      <c r="A956">
        <v>345</v>
      </c>
      <c r="B956" s="19">
        <v>40571</v>
      </c>
      <c r="C956">
        <v>1</v>
      </c>
      <c r="D956">
        <v>1</v>
      </c>
      <c r="E956">
        <v>15</v>
      </c>
      <c r="F956" t="b">
        <v>0</v>
      </c>
      <c r="G956">
        <v>5</v>
      </c>
      <c r="H956">
        <v>2</v>
      </c>
      <c r="I956">
        <v>0.2</v>
      </c>
      <c r="J956">
        <v>344</v>
      </c>
      <c r="K956">
        <v>0.30299999999999999</v>
      </c>
      <c r="L956">
        <v>0.39</v>
      </c>
      <c r="M956">
        <v>0.25369999999999998</v>
      </c>
      <c r="N956">
        <v>6</v>
      </c>
      <c r="O956">
        <v>35</v>
      </c>
      <c r="P956">
        <v>41</v>
      </c>
      <c r="Q956" s="17" t="str">
        <f t="shared" si="44"/>
        <v>Weekends</v>
      </c>
      <c r="R956" s="17" t="str">
        <f t="shared" si="42"/>
        <v>Afternoon</v>
      </c>
      <c r="S956" s="9" t="str">
        <f t="shared" si="43"/>
        <v>Mist</v>
      </c>
    </row>
    <row r="957" spans="1:19" x14ac:dyDescent="0.25">
      <c r="A957">
        <v>346</v>
      </c>
      <c r="B957" s="19">
        <v>40571</v>
      </c>
      <c r="C957">
        <v>1</v>
      </c>
      <c r="D957">
        <v>1</v>
      </c>
      <c r="E957">
        <v>15</v>
      </c>
      <c r="F957" t="b">
        <v>0</v>
      </c>
      <c r="G957">
        <v>5</v>
      </c>
      <c r="H957">
        <v>2</v>
      </c>
      <c r="I957">
        <v>0.2</v>
      </c>
      <c r="J957">
        <v>345</v>
      </c>
      <c r="K957">
        <v>0.30299999999999999</v>
      </c>
      <c r="L957">
        <v>0.39</v>
      </c>
      <c r="M957">
        <v>0.22389999999999999</v>
      </c>
      <c r="N957">
        <v>6</v>
      </c>
      <c r="O957">
        <v>51</v>
      </c>
      <c r="P957">
        <v>57</v>
      </c>
      <c r="Q957" s="17" t="str">
        <f t="shared" si="44"/>
        <v>Weekends</v>
      </c>
      <c r="R957" s="17" t="str">
        <f t="shared" si="42"/>
        <v>Afternoon</v>
      </c>
      <c r="S957" s="9" t="str">
        <f t="shared" si="43"/>
        <v>Mist</v>
      </c>
    </row>
    <row r="958" spans="1:19" x14ac:dyDescent="0.25">
      <c r="A958">
        <v>347</v>
      </c>
      <c r="B958" s="19">
        <v>40571</v>
      </c>
      <c r="C958">
        <v>1</v>
      </c>
      <c r="D958">
        <v>1</v>
      </c>
      <c r="E958">
        <v>15</v>
      </c>
      <c r="F958" t="b">
        <v>0</v>
      </c>
      <c r="G958">
        <v>5</v>
      </c>
      <c r="H958">
        <v>2</v>
      </c>
      <c r="I958">
        <v>0.2</v>
      </c>
      <c r="J958">
        <v>346</v>
      </c>
      <c r="K958">
        <v>0.31819999999999998</v>
      </c>
      <c r="L958">
        <v>0.42</v>
      </c>
      <c r="M958">
        <v>0.1045</v>
      </c>
      <c r="N958">
        <v>0</v>
      </c>
      <c r="O958">
        <v>26</v>
      </c>
      <c r="P958">
        <v>26</v>
      </c>
      <c r="Q958" s="17" t="str">
        <f t="shared" si="44"/>
        <v>Weekends</v>
      </c>
      <c r="R958" s="17" t="str">
        <f t="shared" si="42"/>
        <v>Afternoon</v>
      </c>
      <c r="S958" s="9" t="str">
        <f t="shared" si="43"/>
        <v>Mist</v>
      </c>
    </row>
    <row r="959" spans="1:19" x14ac:dyDescent="0.25">
      <c r="A959">
        <v>348</v>
      </c>
      <c r="B959" s="19">
        <v>40571</v>
      </c>
      <c r="C959">
        <v>1</v>
      </c>
      <c r="D959">
        <v>1</v>
      </c>
      <c r="E959">
        <v>15</v>
      </c>
      <c r="F959" t="b">
        <v>0</v>
      </c>
      <c r="G959">
        <v>5</v>
      </c>
      <c r="H959">
        <v>2</v>
      </c>
      <c r="I959">
        <v>0.2</v>
      </c>
      <c r="J959">
        <v>347</v>
      </c>
      <c r="K959">
        <v>0.28789999999999999</v>
      </c>
      <c r="L959">
        <v>0.45</v>
      </c>
      <c r="M959">
        <v>0.28360000000000002</v>
      </c>
      <c r="N959">
        <v>5</v>
      </c>
      <c r="O959">
        <v>39</v>
      </c>
      <c r="P959">
        <v>44</v>
      </c>
      <c r="Q959" s="17" t="str">
        <f t="shared" si="44"/>
        <v>Weekends</v>
      </c>
      <c r="R959" s="17" t="str">
        <f t="shared" si="42"/>
        <v>Afternoon</v>
      </c>
      <c r="S959" s="9" t="str">
        <f t="shared" si="43"/>
        <v>Mist</v>
      </c>
    </row>
    <row r="960" spans="1:19" x14ac:dyDescent="0.25">
      <c r="A960">
        <v>349</v>
      </c>
      <c r="B960" s="19">
        <v>40571</v>
      </c>
      <c r="C960">
        <v>1</v>
      </c>
      <c r="D960">
        <v>1</v>
      </c>
      <c r="E960">
        <v>15</v>
      </c>
      <c r="F960" t="b">
        <v>0</v>
      </c>
      <c r="G960">
        <v>5</v>
      </c>
      <c r="H960">
        <v>2</v>
      </c>
      <c r="I960">
        <v>0.2</v>
      </c>
      <c r="J960">
        <v>348</v>
      </c>
      <c r="K960">
        <v>0.30299999999999999</v>
      </c>
      <c r="L960">
        <v>0.56000000000000005</v>
      </c>
      <c r="M960">
        <v>0</v>
      </c>
      <c r="N960">
        <v>6</v>
      </c>
      <c r="O960">
        <v>33</v>
      </c>
      <c r="P960">
        <v>39</v>
      </c>
      <c r="Q960" s="17" t="str">
        <f t="shared" si="44"/>
        <v>Weekends</v>
      </c>
      <c r="R960" s="17" t="str">
        <f t="shared" si="42"/>
        <v>Afternoon</v>
      </c>
      <c r="S960" s="9" t="str">
        <f t="shared" si="43"/>
        <v>Mist</v>
      </c>
    </row>
    <row r="961" spans="1:19" x14ac:dyDescent="0.25">
      <c r="A961">
        <v>350</v>
      </c>
      <c r="B961" s="19">
        <v>40571</v>
      </c>
      <c r="C961">
        <v>1</v>
      </c>
      <c r="D961">
        <v>1</v>
      </c>
      <c r="E961">
        <v>15</v>
      </c>
      <c r="F961" t="b">
        <v>0</v>
      </c>
      <c r="G961">
        <v>5</v>
      </c>
      <c r="H961">
        <v>2</v>
      </c>
      <c r="I961">
        <v>0.2</v>
      </c>
      <c r="J961">
        <v>349</v>
      </c>
      <c r="K961">
        <v>0.2727</v>
      </c>
      <c r="L961">
        <v>0.56000000000000005</v>
      </c>
      <c r="M961">
        <v>0.1343</v>
      </c>
      <c r="N961">
        <v>4</v>
      </c>
      <c r="O961">
        <v>19</v>
      </c>
      <c r="P961">
        <v>23</v>
      </c>
      <c r="Q961" s="17" t="str">
        <f t="shared" si="44"/>
        <v>Weekends</v>
      </c>
      <c r="R961" s="17" t="str">
        <f t="shared" si="42"/>
        <v>Afternoon</v>
      </c>
      <c r="S961" s="9" t="str">
        <f t="shared" si="43"/>
        <v>Mist</v>
      </c>
    </row>
    <row r="962" spans="1:19" x14ac:dyDescent="0.25">
      <c r="A962">
        <v>351</v>
      </c>
      <c r="B962" s="19">
        <v>40571</v>
      </c>
      <c r="C962">
        <v>1</v>
      </c>
      <c r="D962">
        <v>1</v>
      </c>
      <c r="E962">
        <v>15</v>
      </c>
      <c r="F962" t="b">
        <v>0</v>
      </c>
      <c r="G962">
        <v>5</v>
      </c>
      <c r="H962">
        <v>2</v>
      </c>
      <c r="I962">
        <v>0.2</v>
      </c>
      <c r="J962">
        <v>350</v>
      </c>
      <c r="K962">
        <v>0.28789999999999999</v>
      </c>
      <c r="L962">
        <v>0.56000000000000005</v>
      </c>
      <c r="M962">
        <v>8.9599999999999999E-2</v>
      </c>
      <c r="N962">
        <v>3</v>
      </c>
      <c r="O962">
        <v>13</v>
      </c>
      <c r="P962">
        <v>16</v>
      </c>
      <c r="Q962" s="17" t="str">
        <f t="shared" si="44"/>
        <v>Weekends</v>
      </c>
      <c r="R962" s="17" t="str">
        <f t="shared" ref="R962:R1025" si="45">IF(E962&lt;12,"Morning",IF(E962&lt;16,"Afternoon",IF(E962&lt;21,"Evening","Night")))</f>
        <v>Afternoon</v>
      </c>
      <c r="S962" s="9" t="str">
        <f t="shared" ref="S962:S1025" si="46">IF(H962=1,"Clear",IF(H962=2,"Mist",IF(H962=3,"Light Snow/Rain","Heavy Rain/Snow")))</f>
        <v>Mist</v>
      </c>
    </row>
    <row r="963" spans="1:19" x14ac:dyDescent="0.25">
      <c r="A963">
        <v>352</v>
      </c>
      <c r="B963" s="19">
        <v>40571</v>
      </c>
      <c r="C963">
        <v>1</v>
      </c>
      <c r="D963">
        <v>1</v>
      </c>
      <c r="E963">
        <v>15</v>
      </c>
      <c r="F963" t="b">
        <v>0</v>
      </c>
      <c r="G963">
        <v>5</v>
      </c>
      <c r="H963">
        <v>2</v>
      </c>
      <c r="I963">
        <v>0.2</v>
      </c>
      <c r="J963">
        <v>351</v>
      </c>
      <c r="K963">
        <v>0.2727</v>
      </c>
      <c r="L963">
        <v>0.69</v>
      </c>
      <c r="M963">
        <v>0</v>
      </c>
      <c r="N963">
        <v>9</v>
      </c>
      <c r="O963">
        <v>6</v>
      </c>
      <c r="P963">
        <v>15</v>
      </c>
      <c r="Q963" s="17" t="str">
        <f t="shared" ref="Q963:Q1026" si="47">IF(G963&gt;=5,"Weekends","Weekdays")</f>
        <v>Weekends</v>
      </c>
      <c r="R963" s="17" t="str">
        <f t="shared" si="45"/>
        <v>Afternoon</v>
      </c>
      <c r="S963" s="9" t="str">
        <f t="shared" si="46"/>
        <v>Mist</v>
      </c>
    </row>
    <row r="964" spans="1:19" x14ac:dyDescent="0.25">
      <c r="A964">
        <v>353</v>
      </c>
      <c r="B964" s="19">
        <v>40571</v>
      </c>
      <c r="C964">
        <v>1</v>
      </c>
      <c r="D964">
        <v>1</v>
      </c>
      <c r="E964">
        <v>15</v>
      </c>
      <c r="F964" t="b">
        <v>0</v>
      </c>
      <c r="G964">
        <v>5</v>
      </c>
      <c r="H964">
        <v>2</v>
      </c>
      <c r="I964">
        <v>0.2</v>
      </c>
      <c r="J964">
        <v>352</v>
      </c>
      <c r="K964">
        <v>0.2576</v>
      </c>
      <c r="L964">
        <v>0.56000000000000005</v>
      </c>
      <c r="M964">
        <v>0.16420000000000001</v>
      </c>
      <c r="N964">
        <v>0</v>
      </c>
      <c r="O964">
        <v>1</v>
      </c>
      <c r="P964">
        <v>1</v>
      </c>
      <c r="Q964" s="17" t="str">
        <f t="shared" si="47"/>
        <v>Weekends</v>
      </c>
      <c r="R964" s="17" t="str">
        <f t="shared" si="45"/>
        <v>Afternoon</v>
      </c>
      <c r="S964" s="9" t="str">
        <f t="shared" si="46"/>
        <v>Mist</v>
      </c>
    </row>
    <row r="965" spans="1:19" x14ac:dyDescent="0.25">
      <c r="A965">
        <v>354</v>
      </c>
      <c r="B965" s="19">
        <v>40571</v>
      </c>
      <c r="C965">
        <v>1</v>
      </c>
      <c r="D965">
        <v>1</v>
      </c>
      <c r="E965">
        <v>15</v>
      </c>
      <c r="F965" t="b">
        <v>0</v>
      </c>
      <c r="G965">
        <v>5</v>
      </c>
      <c r="H965">
        <v>2</v>
      </c>
      <c r="I965">
        <v>0.2</v>
      </c>
      <c r="J965">
        <v>353</v>
      </c>
      <c r="K965">
        <v>0.2576</v>
      </c>
      <c r="L965">
        <v>0.56000000000000005</v>
      </c>
      <c r="M965">
        <v>0.16420000000000001</v>
      </c>
      <c r="N965">
        <v>1</v>
      </c>
      <c r="O965">
        <v>1</v>
      </c>
      <c r="P965">
        <v>2</v>
      </c>
      <c r="Q965" s="17" t="str">
        <f t="shared" si="47"/>
        <v>Weekends</v>
      </c>
      <c r="R965" s="17" t="str">
        <f t="shared" si="45"/>
        <v>Afternoon</v>
      </c>
      <c r="S965" s="9" t="str">
        <f t="shared" si="46"/>
        <v>Mist</v>
      </c>
    </row>
    <row r="966" spans="1:19" x14ac:dyDescent="0.25">
      <c r="A966">
        <v>355</v>
      </c>
      <c r="B966" s="19">
        <v>40571</v>
      </c>
      <c r="C966">
        <v>1</v>
      </c>
      <c r="D966">
        <v>1</v>
      </c>
      <c r="E966">
        <v>15</v>
      </c>
      <c r="F966" t="b">
        <v>0</v>
      </c>
      <c r="G966">
        <v>5</v>
      </c>
      <c r="H966">
        <v>2</v>
      </c>
      <c r="I966">
        <v>0.2</v>
      </c>
      <c r="J966">
        <v>354</v>
      </c>
      <c r="K966">
        <v>0.2576</v>
      </c>
      <c r="L966">
        <v>0.56000000000000005</v>
      </c>
      <c r="M966">
        <v>0.16420000000000001</v>
      </c>
      <c r="N966">
        <v>0</v>
      </c>
      <c r="O966">
        <v>1</v>
      </c>
      <c r="P966">
        <v>1</v>
      </c>
      <c r="Q966" s="17" t="str">
        <f t="shared" si="47"/>
        <v>Weekends</v>
      </c>
      <c r="R966" s="17" t="str">
        <f t="shared" si="45"/>
        <v>Afternoon</v>
      </c>
      <c r="S966" s="9" t="str">
        <f t="shared" si="46"/>
        <v>Mist</v>
      </c>
    </row>
    <row r="967" spans="1:19" x14ac:dyDescent="0.25">
      <c r="A967">
        <v>356</v>
      </c>
      <c r="B967" s="19">
        <v>40571</v>
      </c>
      <c r="C967">
        <v>1</v>
      </c>
      <c r="D967">
        <v>1</v>
      </c>
      <c r="E967">
        <v>15</v>
      </c>
      <c r="F967" t="b">
        <v>0</v>
      </c>
      <c r="G967">
        <v>5</v>
      </c>
      <c r="H967">
        <v>2</v>
      </c>
      <c r="I967">
        <v>0.2</v>
      </c>
      <c r="J967">
        <v>355</v>
      </c>
      <c r="K967">
        <v>0.21210000000000001</v>
      </c>
      <c r="L967">
        <v>0.56000000000000005</v>
      </c>
      <c r="M967">
        <v>0.29849999999999999</v>
      </c>
      <c r="N967">
        <v>0</v>
      </c>
      <c r="O967">
        <v>3</v>
      </c>
      <c r="P967">
        <v>3</v>
      </c>
      <c r="Q967" s="17" t="str">
        <f t="shared" si="47"/>
        <v>Weekends</v>
      </c>
      <c r="R967" s="17" t="str">
        <f t="shared" si="45"/>
        <v>Afternoon</v>
      </c>
      <c r="S967" s="9" t="str">
        <f t="shared" si="46"/>
        <v>Mist</v>
      </c>
    </row>
    <row r="968" spans="1:19" x14ac:dyDescent="0.25">
      <c r="A968">
        <v>357</v>
      </c>
      <c r="B968" s="19">
        <v>40571</v>
      </c>
      <c r="C968">
        <v>1</v>
      </c>
      <c r="D968">
        <v>1</v>
      </c>
      <c r="E968">
        <v>15</v>
      </c>
      <c r="F968" t="b">
        <v>0</v>
      </c>
      <c r="G968">
        <v>5</v>
      </c>
      <c r="H968">
        <v>2</v>
      </c>
      <c r="I968">
        <v>0.2</v>
      </c>
      <c r="J968">
        <v>356</v>
      </c>
      <c r="K968">
        <v>0.21210000000000001</v>
      </c>
      <c r="L968">
        <v>0.55000000000000004</v>
      </c>
      <c r="M968">
        <v>0.28360000000000002</v>
      </c>
      <c r="N968">
        <v>0</v>
      </c>
      <c r="O968">
        <v>18</v>
      </c>
      <c r="P968">
        <v>18</v>
      </c>
      <c r="Q968" s="17" t="str">
        <f t="shared" si="47"/>
        <v>Weekends</v>
      </c>
      <c r="R968" s="17" t="str">
        <f t="shared" si="45"/>
        <v>Afternoon</v>
      </c>
      <c r="S968" s="9" t="str">
        <f t="shared" si="46"/>
        <v>Mist</v>
      </c>
    </row>
    <row r="969" spans="1:19" x14ac:dyDescent="0.25">
      <c r="A969">
        <v>358</v>
      </c>
      <c r="B969" s="19">
        <v>40571</v>
      </c>
      <c r="C969">
        <v>1</v>
      </c>
      <c r="D969">
        <v>1</v>
      </c>
      <c r="E969">
        <v>15</v>
      </c>
      <c r="F969" t="b">
        <v>0</v>
      </c>
      <c r="G969">
        <v>5</v>
      </c>
      <c r="H969">
        <v>2</v>
      </c>
      <c r="I969">
        <v>0.2</v>
      </c>
      <c r="J969">
        <v>357</v>
      </c>
      <c r="K969">
        <v>0.21210000000000001</v>
      </c>
      <c r="L969">
        <v>0.51</v>
      </c>
      <c r="M969">
        <v>0.25369999999999998</v>
      </c>
      <c r="N969">
        <v>3</v>
      </c>
      <c r="O969">
        <v>29</v>
      </c>
      <c r="P969">
        <v>32</v>
      </c>
      <c r="Q969" s="17" t="str">
        <f t="shared" si="47"/>
        <v>Weekends</v>
      </c>
      <c r="R969" s="17" t="str">
        <f t="shared" si="45"/>
        <v>Afternoon</v>
      </c>
      <c r="S969" s="9" t="str">
        <f t="shared" si="46"/>
        <v>Mist</v>
      </c>
    </row>
    <row r="970" spans="1:19" x14ac:dyDescent="0.25">
      <c r="A970">
        <v>359</v>
      </c>
      <c r="B970" s="19">
        <v>40571</v>
      </c>
      <c r="C970">
        <v>1</v>
      </c>
      <c r="D970">
        <v>1</v>
      </c>
      <c r="E970">
        <v>15</v>
      </c>
      <c r="F970" t="b">
        <v>0</v>
      </c>
      <c r="G970">
        <v>5</v>
      </c>
      <c r="H970">
        <v>2</v>
      </c>
      <c r="I970">
        <v>0.2</v>
      </c>
      <c r="J970">
        <v>358</v>
      </c>
      <c r="K970">
        <v>0.21210000000000001</v>
      </c>
      <c r="L970">
        <v>0.51</v>
      </c>
      <c r="M970">
        <v>0.28360000000000002</v>
      </c>
      <c r="N970">
        <v>8</v>
      </c>
      <c r="O970">
        <v>71</v>
      </c>
      <c r="P970">
        <v>79</v>
      </c>
      <c r="Q970" s="17" t="str">
        <f t="shared" si="47"/>
        <v>Weekends</v>
      </c>
      <c r="R970" s="17" t="str">
        <f t="shared" si="45"/>
        <v>Afternoon</v>
      </c>
      <c r="S970" s="9" t="str">
        <f t="shared" si="46"/>
        <v>Mist</v>
      </c>
    </row>
    <row r="971" spans="1:19" x14ac:dyDescent="0.25">
      <c r="A971">
        <v>360</v>
      </c>
      <c r="B971" s="19">
        <v>40571</v>
      </c>
      <c r="C971">
        <v>1</v>
      </c>
      <c r="D971">
        <v>1</v>
      </c>
      <c r="E971">
        <v>15</v>
      </c>
      <c r="F971" t="b">
        <v>0</v>
      </c>
      <c r="G971">
        <v>5</v>
      </c>
      <c r="H971">
        <v>2</v>
      </c>
      <c r="I971">
        <v>0.2</v>
      </c>
      <c r="J971">
        <v>359</v>
      </c>
      <c r="K971">
        <v>0.2273</v>
      </c>
      <c r="L971">
        <v>0.44</v>
      </c>
      <c r="M971">
        <v>0.25369999999999998</v>
      </c>
      <c r="N971">
        <v>23</v>
      </c>
      <c r="O971">
        <v>70</v>
      </c>
      <c r="P971">
        <v>93</v>
      </c>
      <c r="Q971" s="17" t="str">
        <f t="shared" si="47"/>
        <v>Weekends</v>
      </c>
      <c r="R971" s="17" t="str">
        <f t="shared" si="45"/>
        <v>Afternoon</v>
      </c>
      <c r="S971" s="9" t="str">
        <f t="shared" si="46"/>
        <v>Mist</v>
      </c>
    </row>
    <row r="972" spans="1:19" x14ac:dyDescent="0.25">
      <c r="A972">
        <v>361</v>
      </c>
      <c r="B972" s="19">
        <v>40571</v>
      </c>
      <c r="C972">
        <v>1</v>
      </c>
      <c r="D972">
        <v>1</v>
      </c>
      <c r="E972">
        <v>15</v>
      </c>
      <c r="F972" t="b">
        <v>0</v>
      </c>
      <c r="G972">
        <v>5</v>
      </c>
      <c r="H972">
        <v>2</v>
      </c>
      <c r="I972">
        <v>0.2</v>
      </c>
      <c r="J972">
        <v>360</v>
      </c>
      <c r="K972">
        <v>0.21210000000000001</v>
      </c>
      <c r="L972">
        <v>0.41</v>
      </c>
      <c r="M972">
        <v>0.28360000000000002</v>
      </c>
      <c r="N972">
        <v>29</v>
      </c>
      <c r="O972">
        <v>75</v>
      </c>
      <c r="P972">
        <v>104</v>
      </c>
      <c r="Q972" s="17" t="str">
        <f t="shared" si="47"/>
        <v>Weekends</v>
      </c>
      <c r="R972" s="17" t="str">
        <f t="shared" si="45"/>
        <v>Afternoon</v>
      </c>
      <c r="S972" s="9" t="str">
        <f t="shared" si="46"/>
        <v>Mist</v>
      </c>
    </row>
    <row r="973" spans="1:19" x14ac:dyDescent="0.25">
      <c r="A973">
        <v>362</v>
      </c>
      <c r="B973" s="19">
        <v>40571</v>
      </c>
      <c r="C973">
        <v>1</v>
      </c>
      <c r="D973">
        <v>1</v>
      </c>
      <c r="E973">
        <v>15</v>
      </c>
      <c r="F973" t="b">
        <v>0</v>
      </c>
      <c r="G973">
        <v>5</v>
      </c>
      <c r="H973">
        <v>2</v>
      </c>
      <c r="I973">
        <v>0.2</v>
      </c>
      <c r="J973">
        <v>361</v>
      </c>
      <c r="K973">
        <v>0.2273</v>
      </c>
      <c r="L973">
        <v>0.35</v>
      </c>
      <c r="M973">
        <v>0.29849999999999999</v>
      </c>
      <c r="N973">
        <v>23</v>
      </c>
      <c r="O973">
        <v>95</v>
      </c>
      <c r="P973">
        <v>118</v>
      </c>
      <c r="Q973" s="17" t="str">
        <f t="shared" si="47"/>
        <v>Weekends</v>
      </c>
      <c r="R973" s="17" t="str">
        <f t="shared" si="45"/>
        <v>Afternoon</v>
      </c>
      <c r="S973" s="9" t="str">
        <f t="shared" si="46"/>
        <v>Mist</v>
      </c>
    </row>
    <row r="974" spans="1:19" x14ac:dyDescent="0.25">
      <c r="A974">
        <v>363</v>
      </c>
      <c r="B974" s="19">
        <v>40571</v>
      </c>
      <c r="C974">
        <v>1</v>
      </c>
      <c r="D974">
        <v>1</v>
      </c>
      <c r="E974">
        <v>15</v>
      </c>
      <c r="F974" t="b">
        <v>0</v>
      </c>
      <c r="G974">
        <v>5</v>
      </c>
      <c r="H974">
        <v>2</v>
      </c>
      <c r="I974">
        <v>0.2</v>
      </c>
      <c r="J974">
        <v>362</v>
      </c>
      <c r="K974">
        <v>0.2727</v>
      </c>
      <c r="L974">
        <v>0.36</v>
      </c>
      <c r="M974">
        <v>0.25369999999999998</v>
      </c>
      <c r="N974">
        <v>22</v>
      </c>
      <c r="O974">
        <v>69</v>
      </c>
      <c r="P974">
        <v>91</v>
      </c>
      <c r="Q974" s="17" t="str">
        <f t="shared" si="47"/>
        <v>Weekends</v>
      </c>
      <c r="R974" s="17" t="str">
        <f t="shared" si="45"/>
        <v>Afternoon</v>
      </c>
      <c r="S974" s="9" t="str">
        <f t="shared" si="46"/>
        <v>Mist</v>
      </c>
    </row>
    <row r="975" spans="1:19" x14ac:dyDescent="0.25">
      <c r="A975">
        <v>364</v>
      </c>
      <c r="B975" s="19">
        <v>40571</v>
      </c>
      <c r="C975">
        <v>1</v>
      </c>
      <c r="D975">
        <v>1</v>
      </c>
      <c r="E975">
        <v>15</v>
      </c>
      <c r="F975" t="b">
        <v>0</v>
      </c>
      <c r="G975">
        <v>5</v>
      </c>
      <c r="H975">
        <v>2</v>
      </c>
      <c r="I975">
        <v>0.2</v>
      </c>
      <c r="J975">
        <v>363</v>
      </c>
      <c r="K975">
        <v>0.2424</v>
      </c>
      <c r="L975">
        <v>0.38</v>
      </c>
      <c r="M975">
        <v>0.25369999999999998</v>
      </c>
      <c r="N975">
        <v>35</v>
      </c>
      <c r="O975">
        <v>78</v>
      </c>
      <c r="P975">
        <v>113</v>
      </c>
      <c r="Q975" s="17" t="str">
        <f t="shared" si="47"/>
        <v>Weekends</v>
      </c>
      <c r="R975" s="17" t="str">
        <f t="shared" si="45"/>
        <v>Afternoon</v>
      </c>
      <c r="S975" s="9" t="str">
        <f t="shared" si="46"/>
        <v>Mist</v>
      </c>
    </row>
    <row r="976" spans="1:19" x14ac:dyDescent="0.25">
      <c r="A976">
        <v>365</v>
      </c>
      <c r="B976" s="19">
        <v>40571</v>
      </c>
      <c r="C976">
        <v>1</v>
      </c>
      <c r="D976">
        <v>1</v>
      </c>
      <c r="E976">
        <v>15</v>
      </c>
      <c r="F976" t="b">
        <v>0</v>
      </c>
      <c r="G976">
        <v>5</v>
      </c>
      <c r="H976">
        <v>2</v>
      </c>
      <c r="I976">
        <v>0.2</v>
      </c>
      <c r="J976">
        <v>364</v>
      </c>
      <c r="K976">
        <v>0.2273</v>
      </c>
      <c r="L976">
        <v>0.38</v>
      </c>
      <c r="M976">
        <v>0.22389999999999999</v>
      </c>
      <c r="N976">
        <v>22</v>
      </c>
      <c r="O976">
        <v>77</v>
      </c>
      <c r="P976">
        <v>99</v>
      </c>
      <c r="Q976" s="17" t="str">
        <f t="shared" si="47"/>
        <v>Weekends</v>
      </c>
      <c r="R976" s="17" t="str">
        <f t="shared" si="45"/>
        <v>Afternoon</v>
      </c>
      <c r="S976" s="9" t="str">
        <f t="shared" si="46"/>
        <v>Mist</v>
      </c>
    </row>
    <row r="977" spans="1:19" x14ac:dyDescent="0.25">
      <c r="A977">
        <v>366</v>
      </c>
      <c r="B977" s="19">
        <v>40571</v>
      </c>
      <c r="C977">
        <v>1</v>
      </c>
      <c r="D977">
        <v>1</v>
      </c>
      <c r="E977">
        <v>15</v>
      </c>
      <c r="F977" t="b">
        <v>0</v>
      </c>
      <c r="G977">
        <v>5</v>
      </c>
      <c r="H977">
        <v>2</v>
      </c>
      <c r="I977">
        <v>0.2</v>
      </c>
      <c r="J977">
        <v>365</v>
      </c>
      <c r="K977">
        <v>0.21210000000000001</v>
      </c>
      <c r="L977">
        <v>0.37</v>
      </c>
      <c r="M977">
        <v>0.25369999999999998</v>
      </c>
      <c r="N977">
        <v>23</v>
      </c>
      <c r="O977">
        <v>82</v>
      </c>
      <c r="P977">
        <v>105</v>
      </c>
      <c r="Q977" s="17" t="str">
        <f t="shared" si="47"/>
        <v>Weekends</v>
      </c>
      <c r="R977" s="17" t="str">
        <f t="shared" si="45"/>
        <v>Afternoon</v>
      </c>
      <c r="S977" s="9" t="str">
        <f t="shared" si="46"/>
        <v>Mist</v>
      </c>
    </row>
    <row r="978" spans="1:19" x14ac:dyDescent="0.25">
      <c r="A978">
        <v>367</v>
      </c>
      <c r="B978" s="19">
        <v>40571</v>
      </c>
      <c r="C978">
        <v>1</v>
      </c>
      <c r="D978">
        <v>1</v>
      </c>
      <c r="E978">
        <v>15</v>
      </c>
      <c r="F978" t="b">
        <v>0</v>
      </c>
      <c r="G978">
        <v>5</v>
      </c>
      <c r="H978">
        <v>2</v>
      </c>
      <c r="I978">
        <v>0.2</v>
      </c>
      <c r="J978">
        <v>366</v>
      </c>
      <c r="K978">
        <v>0.21210000000000001</v>
      </c>
      <c r="L978">
        <v>0.4</v>
      </c>
      <c r="M978">
        <v>0.16420000000000001</v>
      </c>
      <c r="N978">
        <v>11</v>
      </c>
      <c r="O978">
        <v>56</v>
      </c>
      <c r="P978">
        <v>67</v>
      </c>
      <c r="Q978" s="17" t="str">
        <f t="shared" si="47"/>
        <v>Weekends</v>
      </c>
      <c r="R978" s="17" t="str">
        <f t="shared" si="45"/>
        <v>Afternoon</v>
      </c>
      <c r="S978" s="9" t="str">
        <f t="shared" si="46"/>
        <v>Mist</v>
      </c>
    </row>
    <row r="979" spans="1:19" x14ac:dyDescent="0.25">
      <c r="A979">
        <v>368</v>
      </c>
      <c r="B979" s="19">
        <v>40571</v>
      </c>
      <c r="C979">
        <v>1</v>
      </c>
      <c r="D979">
        <v>1</v>
      </c>
      <c r="E979">
        <v>15</v>
      </c>
      <c r="F979" t="b">
        <v>0</v>
      </c>
      <c r="G979">
        <v>5</v>
      </c>
      <c r="H979">
        <v>2</v>
      </c>
      <c r="I979">
        <v>0.2</v>
      </c>
      <c r="J979">
        <v>367</v>
      </c>
      <c r="K979">
        <v>0.19700000000000001</v>
      </c>
      <c r="L979">
        <v>0.47</v>
      </c>
      <c r="M979">
        <v>0.1343</v>
      </c>
      <c r="N979">
        <v>14</v>
      </c>
      <c r="O979">
        <v>47</v>
      </c>
      <c r="P979">
        <v>61</v>
      </c>
      <c r="Q979" s="17" t="str">
        <f t="shared" si="47"/>
        <v>Weekends</v>
      </c>
      <c r="R979" s="17" t="str">
        <f t="shared" si="45"/>
        <v>Afternoon</v>
      </c>
      <c r="S979" s="9" t="str">
        <f t="shared" si="46"/>
        <v>Mist</v>
      </c>
    </row>
    <row r="980" spans="1:19" x14ac:dyDescent="0.25">
      <c r="A980">
        <v>369</v>
      </c>
      <c r="B980" s="19">
        <v>40571</v>
      </c>
      <c r="C980">
        <v>1</v>
      </c>
      <c r="D980">
        <v>1</v>
      </c>
      <c r="E980">
        <v>15</v>
      </c>
      <c r="F980" t="b">
        <v>0</v>
      </c>
      <c r="G980">
        <v>5</v>
      </c>
      <c r="H980">
        <v>2</v>
      </c>
      <c r="I980">
        <v>0.2</v>
      </c>
      <c r="J980">
        <v>368</v>
      </c>
      <c r="K980">
        <v>0.19700000000000001</v>
      </c>
      <c r="L980">
        <v>0.47</v>
      </c>
      <c r="M980">
        <v>0.16420000000000001</v>
      </c>
      <c r="N980">
        <v>7</v>
      </c>
      <c r="O980">
        <v>50</v>
      </c>
      <c r="P980">
        <v>57</v>
      </c>
      <c r="Q980" s="17" t="str">
        <f t="shared" si="47"/>
        <v>Weekends</v>
      </c>
      <c r="R980" s="17" t="str">
        <f t="shared" si="45"/>
        <v>Afternoon</v>
      </c>
      <c r="S980" s="9" t="str">
        <f t="shared" si="46"/>
        <v>Mist</v>
      </c>
    </row>
    <row r="981" spans="1:19" x14ac:dyDescent="0.25">
      <c r="A981">
        <v>370</v>
      </c>
      <c r="B981" s="19">
        <v>40571</v>
      </c>
      <c r="C981">
        <v>1</v>
      </c>
      <c r="D981">
        <v>1</v>
      </c>
      <c r="E981">
        <v>15</v>
      </c>
      <c r="F981" t="b">
        <v>0</v>
      </c>
      <c r="G981">
        <v>5</v>
      </c>
      <c r="H981">
        <v>2</v>
      </c>
      <c r="I981">
        <v>0.2</v>
      </c>
      <c r="J981">
        <v>369</v>
      </c>
      <c r="K981">
        <v>0.19700000000000001</v>
      </c>
      <c r="L981">
        <v>0.51</v>
      </c>
      <c r="M981">
        <v>0.16420000000000001</v>
      </c>
      <c r="N981">
        <v>6</v>
      </c>
      <c r="O981">
        <v>22</v>
      </c>
      <c r="P981">
        <v>28</v>
      </c>
      <c r="Q981" s="17" t="str">
        <f t="shared" si="47"/>
        <v>Weekends</v>
      </c>
      <c r="R981" s="17" t="str">
        <f t="shared" si="45"/>
        <v>Afternoon</v>
      </c>
      <c r="S981" s="9" t="str">
        <f t="shared" si="46"/>
        <v>Mist</v>
      </c>
    </row>
    <row r="982" spans="1:19" x14ac:dyDescent="0.25">
      <c r="A982">
        <v>371</v>
      </c>
      <c r="B982" s="19">
        <v>40571</v>
      </c>
      <c r="C982">
        <v>1</v>
      </c>
      <c r="D982">
        <v>1</v>
      </c>
      <c r="E982">
        <v>15</v>
      </c>
      <c r="F982" t="b">
        <v>0</v>
      </c>
      <c r="G982">
        <v>5</v>
      </c>
      <c r="H982">
        <v>2</v>
      </c>
      <c r="I982">
        <v>0.2</v>
      </c>
      <c r="J982">
        <v>370</v>
      </c>
      <c r="K982">
        <v>0.21210000000000001</v>
      </c>
      <c r="L982">
        <v>0.49</v>
      </c>
      <c r="M982">
        <v>0.1343</v>
      </c>
      <c r="N982">
        <v>2</v>
      </c>
      <c r="O982">
        <v>19</v>
      </c>
      <c r="P982">
        <v>21</v>
      </c>
      <c r="Q982" s="17" t="str">
        <f t="shared" si="47"/>
        <v>Weekends</v>
      </c>
      <c r="R982" s="17" t="str">
        <f t="shared" si="45"/>
        <v>Afternoon</v>
      </c>
      <c r="S982" s="9" t="str">
        <f t="shared" si="46"/>
        <v>Mist</v>
      </c>
    </row>
    <row r="983" spans="1:19" x14ac:dyDescent="0.25">
      <c r="A983">
        <v>372</v>
      </c>
      <c r="B983" s="19">
        <v>40571</v>
      </c>
      <c r="C983">
        <v>1</v>
      </c>
      <c r="D983">
        <v>1</v>
      </c>
      <c r="E983">
        <v>15</v>
      </c>
      <c r="F983" t="b">
        <v>0</v>
      </c>
      <c r="G983">
        <v>5</v>
      </c>
      <c r="H983">
        <v>2</v>
      </c>
      <c r="I983">
        <v>0.2</v>
      </c>
      <c r="J983">
        <v>371</v>
      </c>
      <c r="K983">
        <v>0.2273</v>
      </c>
      <c r="L983">
        <v>0.4</v>
      </c>
      <c r="M983">
        <v>0.1045</v>
      </c>
      <c r="N983">
        <v>0</v>
      </c>
      <c r="O983">
        <v>18</v>
      </c>
      <c r="P983">
        <v>18</v>
      </c>
      <c r="Q983" s="17" t="str">
        <f t="shared" si="47"/>
        <v>Weekends</v>
      </c>
      <c r="R983" s="17" t="str">
        <f t="shared" si="45"/>
        <v>Afternoon</v>
      </c>
      <c r="S983" s="9" t="str">
        <f t="shared" si="46"/>
        <v>Mist</v>
      </c>
    </row>
    <row r="984" spans="1:19" x14ac:dyDescent="0.25">
      <c r="A984">
        <v>373</v>
      </c>
      <c r="B984" s="19">
        <v>40571</v>
      </c>
      <c r="C984">
        <v>1</v>
      </c>
      <c r="D984">
        <v>1</v>
      </c>
      <c r="E984">
        <v>15</v>
      </c>
      <c r="F984" t="b">
        <v>0</v>
      </c>
      <c r="G984">
        <v>5</v>
      </c>
      <c r="H984">
        <v>2</v>
      </c>
      <c r="I984">
        <v>0.2</v>
      </c>
      <c r="J984">
        <v>372</v>
      </c>
      <c r="K984">
        <v>0.19700000000000001</v>
      </c>
      <c r="L984">
        <v>0.47</v>
      </c>
      <c r="M984">
        <v>0.22389999999999999</v>
      </c>
      <c r="N984">
        <v>1</v>
      </c>
      <c r="O984">
        <v>16</v>
      </c>
      <c r="P984">
        <v>17</v>
      </c>
      <c r="Q984" s="17" t="str">
        <f t="shared" si="47"/>
        <v>Weekends</v>
      </c>
      <c r="R984" s="17" t="str">
        <f t="shared" si="45"/>
        <v>Afternoon</v>
      </c>
      <c r="S984" s="9" t="str">
        <f t="shared" si="46"/>
        <v>Mist</v>
      </c>
    </row>
    <row r="985" spans="1:19" x14ac:dyDescent="0.25">
      <c r="A985">
        <v>374</v>
      </c>
      <c r="B985" s="19">
        <v>40571</v>
      </c>
      <c r="C985">
        <v>1</v>
      </c>
      <c r="D985">
        <v>1</v>
      </c>
      <c r="E985">
        <v>15</v>
      </c>
      <c r="F985" t="b">
        <v>0</v>
      </c>
      <c r="G985">
        <v>5</v>
      </c>
      <c r="H985">
        <v>2</v>
      </c>
      <c r="I985">
        <v>0.2</v>
      </c>
      <c r="J985">
        <v>373</v>
      </c>
      <c r="K985">
        <v>0.19700000000000001</v>
      </c>
      <c r="L985">
        <v>0.44</v>
      </c>
      <c r="M985">
        <v>0.19400000000000001</v>
      </c>
      <c r="N985">
        <v>1</v>
      </c>
      <c r="O985">
        <v>15</v>
      </c>
      <c r="P985">
        <v>16</v>
      </c>
      <c r="Q985" s="17" t="str">
        <f t="shared" si="47"/>
        <v>Weekends</v>
      </c>
      <c r="R985" s="17" t="str">
        <f t="shared" si="45"/>
        <v>Afternoon</v>
      </c>
      <c r="S985" s="9" t="str">
        <f t="shared" si="46"/>
        <v>Mist</v>
      </c>
    </row>
    <row r="986" spans="1:19" x14ac:dyDescent="0.25">
      <c r="A986">
        <v>375</v>
      </c>
      <c r="B986" s="19">
        <v>40571</v>
      </c>
      <c r="C986">
        <v>1</v>
      </c>
      <c r="D986">
        <v>1</v>
      </c>
      <c r="E986">
        <v>15</v>
      </c>
      <c r="F986" t="b">
        <v>0</v>
      </c>
      <c r="G986">
        <v>5</v>
      </c>
      <c r="H986">
        <v>2</v>
      </c>
      <c r="I986">
        <v>0.2</v>
      </c>
      <c r="J986">
        <v>374</v>
      </c>
      <c r="K986">
        <v>0.16669999999999999</v>
      </c>
      <c r="L986">
        <v>0.43</v>
      </c>
      <c r="M986">
        <v>0.25369999999999998</v>
      </c>
      <c r="N986">
        <v>0</v>
      </c>
      <c r="O986">
        <v>8</v>
      </c>
      <c r="P986">
        <v>8</v>
      </c>
      <c r="Q986" s="17" t="str">
        <f t="shared" si="47"/>
        <v>Weekends</v>
      </c>
      <c r="R986" s="17" t="str">
        <f t="shared" si="45"/>
        <v>Afternoon</v>
      </c>
      <c r="S986" s="9" t="str">
        <f t="shared" si="46"/>
        <v>Mist</v>
      </c>
    </row>
    <row r="987" spans="1:19" x14ac:dyDescent="0.25">
      <c r="A987">
        <v>376</v>
      </c>
      <c r="B987" s="19">
        <v>40571</v>
      </c>
      <c r="C987">
        <v>1</v>
      </c>
      <c r="D987">
        <v>1</v>
      </c>
      <c r="E987">
        <v>15</v>
      </c>
      <c r="F987" t="b">
        <v>0</v>
      </c>
      <c r="G987">
        <v>5</v>
      </c>
      <c r="H987">
        <v>2</v>
      </c>
      <c r="I987">
        <v>0.2</v>
      </c>
      <c r="J987">
        <v>375</v>
      </c>
      <c r="K987">
        <v>0.18179999999999999</v>
      </c>
      <c r="L987">
        <v>0.43</v>
      </c>
      <c r="M987">
        <v>0.19400000000000001</v>
      </c>
      <c r="N987">
        <v>0</v>
      </c>
      <c r="O987">
        <v>2</v>
      </c>
      <c r="P987">
        <v>2</v>
      </c>
      <c r="Q987" s="17" t="str">
        <f t="shared" si="47"/>
        <v>Weekends</v>
      </c>
      <c r="R987" s="17" t="str">
        <f t="shared" si="45"/>
        <v>Afternoon</v>
      </c>
      <c r="S987" s="9" t="str">
        <f t="shared" si="46"/>
        <v>Mist</v>
      </c>
    </row>
    <row r="988" spans="1:19" x14ac:dyDescent="0.25">
      <c r="A988">
        <v>377</v>
      </c>
      <c r="B988" s="19">
        <v>40571</v>
      </c>
      <c r="C988">
        <v>1</v>
      </c>
      <c r="D988">
        <v>1</v>
      </c>
      <c r="E988">
        <v>15</v>
      </c>
      <c r="F988" t="b">
        <v>0</v>
      </c>
      <c r="G988">
        <v>5</v>
      </c>
      <c r="H988">
        <v>2</v>
      </c>
      <c r="I988">
        <v>0.2</v>
      </c>
      <c r="J988">
        <v>376</v>
      </c>
      <c r="K988">
        <v>0.19700000000000001</v>
      </c>
      <c r="L988">
        <v>0.43</v>
      </c>
      <c r="M988">
        <v>0.1343</v>
      </c>
      <c r="N988">
        <v>1</v>
      </c>
      <c r="O988">
        <v>2</v>
      </c>
      <c r="P988">
        <v>3</v>
      </c>
      <c r="Q988" s="17" t="str">
        <f t="shared" si="47"/>
        <v>Weekends</v>
      </c>
      <c r="R988" s="17" t="str">
        <f t="shared" si="45"/>
        <v>Afternoon</v>
      </c>
      <c r="S988" s="9" t="str">
        <f t="shared" si="46"/>
        <v>Mist</v>
      </c>
    </row>
    <row r="989" spans="1:19" x14ac:dyDescent="0.25">
      <c r="A989">
        <v>378</v>
      </c>
      <c r="B989" s="19">
        <v>40571</v>
      </c>
      <c r="C989">
        <v>1</v>
      </c>
      <c r="D989">
        <v>1</v>
      </c>
      <c r="E989">
        <v>15</v>
      </c>
      <c r="F989" t="b">
        <v>0</v>
      </c>
      <c r="G989">
        <v>5</v>
      </c>
      <c r="H989">
        <v>2</v>
      </c>
      <c r="I989">
        <v>0.2</v>
      </c>
      <c r="J989">
        <v>377</v>
      </c>
      <c r="K989">
        <v>0.19700000000000001</v>
      </c>
      <c r="L989">
        <v>0.43</v>
      </c>
      <c r="M989">
        <v>0.16420000000000001</v>
      </c>
      <c r="N989">
        <v>0</v>
      </c>
      <c r="O989">
        <v>1</v>
      </c>
      <c r="P989">
        <v>1</v>
      </c>
      <c r="Q989" s="17" t="str">
        <f t="shared" si="47"/>
        <v>Weekends</v>
      </c>
      <c r="R989" s="17" t="str">
        <f t="shared" si="45"/>
        <v>Afternoon</v>
      </c>
      <c r="S989" s="9" t="str">
        <f t="shared" si="46"/>
        <v>Mist</v>
      </c>
    </row>
    <row r="990" spans="1:19" x14ac:dyDescent="0.25">
      <c r="A990">
        <v>379</v>
      </c>
      <c r="B990" s="19">
        <v>40571</v>
      </c>
      <c r="C990">
        <v>1</v>
      </c>
      <c r="D990">
        <v>1</v>
      </c>
      <c r="E990">
        <v>15</v>
      </c>
      <c r="F990" t="b">
        <v>0</v>
      </c>
      <c r="G990">
        <v>5</v>
      </c>
      <c r="H990">
        <v>2</v>
      </c>
      <c r="I990">
        <v>0.2</v>
      </c>
      <c r="J990">
        <v>378</v>
      </c>
      <c r="K990">
        <v>0.18179999999999999</v>
      </c>
      <c r="L990">
        <v>0.43</v>
      </c>
      <c r="M990">
        <v>0.19400000000000001</v>
      </c>
      <c r="N990">
        <v>0</v>
      </c>
      <c r="O990">
        <v>5</v>
      </c>
      <c r="P990">
        <v>5</v>
      </c>
      <c r="Q990" s="17" t="str">
        <f t="shared" si="47"/>
        <v>Weekends</v>
      </c>
      <c r="R990" s="17" t="str">
        <f t="shared" si="45"/>
        <v>Afternoon</v>
      </c>
      <c r="S990" s="9" t="str">
        <f t="shared" si="46"/>
        <v>Mist</v>
      </c>
    </row>
    <row r="991" spans="1:19" x14ac:dyDescent="0.25">
      <c r="A991">
        <v>380</v>
      </c>
      <c r="B991" s="19">
        <v>40571</v>
      </c>
      <c r="C991">
        <v>1</v>
      </c>
      <c r="D991">
        <v>1</v>
      </c>
      <c r="E991">
        <v>15</v>
      </c>
      <c r="F991" t="b">
        <v>0</v>
      </c>
      <c r="G991">
        <v>5</v>
      </c>
      <c r="H991">
        <v>2</v>
      </c>
      <c r="I991">
        <v>0.2</v>
      </c>
      <c r="J991">
        <v>379</v>
      </c>
      <c r="K991">
        <v>0.18179999999999999</v>
      </c>
      <c r="L991">
        <v>0.5</v>
      </c>
      <c r="M991">
        <v>0.1343</v>
      </c>
      <c r="N991">
        <v>4</v>
      </c>
      <c r="O991">
        <v>9</v>
      </c>
      <c r="P991">
        <v>13</v>
      </c>
      <c r="Q991" s="17" t="str">
        <f t="shared" si="47"/>
        <v>Weekends</v>
      </c>
      <c r="R991" s="17" t="str">
        <f t="shared" si="45"/>
        <v>Afternoon</v>
      </c>
      <c r="S991" s="9" t="str">
        <f t="shared" si="46"/>
        <v>Mist</v>
      </c>
    </row>
    <row r="992" spans="1:19" x14ac:dyDescent="0.25">
      <c r="A992">
        <v>381</v>
      </c>
      <c r="B992" s="19">
        <v>40571</v>
      </c>
      <c r="C992">
        <v>1</v>
      </c>
      <c r="D992">
        <v>1</v>
      </c>
      <c r="E992">
        <v>15</v>
      </c>
      <c r="F992" t="b">
        <v>0</v>
      </c>
      <c r="G992">
        <v>5</v>
      </c>
      <c r="H992">
        <v>2</v>
      </c>
      <c r="I992">
        <v>0.2</v>
      </c>
      <c r="J992">
        <v>380</v>
      </c>
      <c r="K992">
        <v>0.1515</v>
      </c>
      <c r="L992">
        <v>0.47</v>
      </c>
      <c r="M992">
        <v>0.22389999999999999</v>
      </c>
      <c r="N992">
        <v>3</v>
      </c>
      <c r="O992">
        <v>30</v>
      </c>
      <c r="P992">
        <v>33</v>
      </c>
      <c r="Q992" s="17" t="str">
        <f t="shared" si="47"/>
        <v>Weekends</v>
      </c>
      <c r="R992" s="17" t="str">
        <f t="shared" si="45"/>
        <v>Afternoon</v>
      </c>
      <c r="S992" s="9" t="str">
        <f t="shared" si="46"/>
        <v>Mist</v>
      </c>
    </row>
    <row r="993" spans="1:19" x14ac:dyDescent="0.25">
      <c r="A993">
        <v>382</v>
      </c>
      <c r="B993" s="19">
        <v>40571</v>
      </c>
      <c r="C993">
        <v>1</v>
      </c>
      <c r="D993">
        <v>1</v>
      </c>
      <c r="E993">
        <v>15</v>
      </c>
      <c r="F993" t="b">
        <v>0</v>
      </c>
      <c r="G993">
        <v>5</v>
      </c>
      <c r="H993">
        <v>2</v>
      </c>
      <c r="I993">
        <v>0.2</v>
      </c>
      <c r="J993">
        <v>381</v>
      </c>
      <c r="K993">
        <v>0.1515</v>
      </c>
      <c r="L993">
        <v>0.47</v>
      </c>
      <c r="M993">
        <v>0.22389999999999999</v>
      </c>
      <c r="N993">
        <v>8</v>
      </c>
      <c r="O993">
        <v>39</v>
      </c>
      <c r="P993">
        <v>47</v>
      </c>
      <c r="Q993" s="17" t="str">
        <f t="shared" si="47"/>
        <v>Weekends</v>
      </c>
      <c r="R993" s="17" t="str">
        <f t="shared" si="45"/>
        <v>Afternoon</v>
      </c>
      <c r="S993" s="9" t="str">
        <f t="shared" si="46"/>
        <v>Mist</v>
      </c>
    </row>
    <row r="994" spans="1:19" x14ac:dyDescent="0.25">
      <c r="A994">
        <v>383</v>
      </c>
      <c r="B994" s="19">
        <v>40571</v>
      </c>
      <c r="C994">
        <v>1</v>
      </c>
      <c r="D994">
        <v>1</v>
      </c>
      <c r="E994">
        <v>15</v>
      </c>
      <c r="F994" t="b">
        <v>0</v>
      </c>
      <c r="G994">
        <v>5</v>
      </c>
      <c r="H994">
        <v>2</v>
      </c>
      <c r="I994">
        <v>0.2</v>
      </c>
      <c r="J994">
        <v>382</v>
      </c>
      <c r="K994">
        <v>0.1515</v>
      </c>
      <c r="L994">
        <v>0.5</v>
      </c>
      <c r="M994">
        <v>0.25369999999999998</v>
      </c>
      <c r="N994">
        <v>7</v>
      </c>
      <c r="O994">
        <v>50</v>
      </c>
      <c r="P994">
        <v>57</v>
      </c>
      <c r="Q994" s="17" t="str">
        <f t="shared" si="47"/>
        <v>Weekends</v>
      </c>
      <c r="R994" s="17" t="str">
        <f t="shared" si="45"/>
        <v>Afternoon</v>
      </c>
      <c r="S994" s="9" t="str">
        <f t="shared" si="46"/>
        <v>Mist</v>
      </c>
    </row>
    <row r="995" spans="1:19" x14ac:dyDescent="0.25">
      <c r="A995">
        <v>384</v>
      </c>
      <c r="B995" s="19">
        <v>40571</v>
      </c>
      <c r="C995">
        <v>1</v>
      </c>
      <c r="D995">
        <v>1</v>
      </c>
      <c r="E995">
        <v>15</v>
      </c>
      <c r="F995" t="b">
        <v>0</v>
      </c>
      <c r="G995">
        <v>5</v>
      </c>
      <c r="H995">
        <v>2</v>
      </c>
      <c r="I995">
        <v>0.2</v>
      </c>
      <c r="J995">
        <v>383</v>
      </c>
      <c r="K995">
        <v>0.1515</v>
      </c>
      <c r="L995">
        <v>0.55000000000000004</v>
      </c>
      <c r="M995">
        <v>0.19400000000000001</v>
      </c>
      <c r="N995">
        <v>9</v>
      </c>
      <c r="O995">
        <v>55</v>
      </c>
      <c r="P995">
        <v>64</v>
      </c>
      <c r="Q995" s="17" t="str">
        <f t="shared" si="47"/>
        <v>Weekends</v>
      </c>
      <c r="R995" s="17" t="str">
        <f t="shared" si="45"/>
        <v>Afternoon</v>
      </c>
      <c r="S995" s="9" t="str">
        <f t="shared" si="46"/>
        <v>Mist</v>
      </c>
    </row>
    <row r="996" spans="1:19" x14ac:dyDescent="0.25">
      <c r="A996">
        <v>385</v>
      </c>
      <c r="B996" s="19">
        <v>40571</v>
      </c>
      <c r="C996">
        <v>1</v>
      </c>
      <c r="D996">
        <v>1</v>
      </c>
      <c r="E996">
        <v>15</v>
      </c>
      <c r="F996" t="b">
        <v>0</v>
      </c>
      <c r="G996">
        <v>5</v>
      </c>
      <c r="H996">
        <v>2</v>
      </c>
      <c r="I996">
        <v>0.2</v>
      </c>
      <c r="J996">
        <v>384</v>
      </c>
      <c r="K996">
        <v>0.19700000000000001</v>
      </c>
      <c r="L996">
        <v>0.47</v>
      </c>
      <c r="M996">
        <v>0.1343</v>
      </c>
      <c r="N996">
        <v>10</v>
      </c>
      <c r="O996">
        <v>70</v>
      </c>
      <c r="P996">
        <v>80</v>
      </c>
      <c r="Q996" s="17" t="str">
        <f t="shared" si="47"/>
        <v>Weekends</v>
      </c>
      <c r="R996" s="17" t="str">
        <f t="shared" si="45"/>
        <v>Afternoon</v>
      </c>
      <c r="S996" s="9" t="str">
        <f t="shared" si="46"/>
        <v>Mist</v>
      </c>
    </row>
    <row r="997" spans="1:19" x14ac:dyDescent="0.25">
      <c r="A997">
        <v>386</v>
      </c>
      <c r="B997" s="19">
        <v>40571</v>
      </c>
      <c r="C997">
        <v>1</v>
      </c>
      <c r="D997">
        <v>1</v>
      </c>
      <c r="E997">
        <v>15</v>
      </c>
      <c r="F997" t="b">
        <v>0</v>
      </c>
      <c r="G997">
        <v>5</v>
      </c>
      <c r="H997">
        <v>2</v>
      </c>
      <c r="I997">
        <v>0.2</v>
      </c>
      <c r="J997">
        <v>385</v>
      </c>
      <c r="K997">
        <v>0.19700000000000001</v>
      </c>
      <c r="L997">
        <v>0.47</v>
      </c>
      <c r="M997">
        <v>0.1343</v>
      </c>
      <c r="N997">
        <v>13</v>
      </c>
      <c r="O997">
        <v>80</v>
      </c>
      <c r="P997">
        <v>93</v>
      </c>
      <c r="Q997" s="17" t="str">
        <f t="shared" si="47"/>
        <v>Weekends</v>
      </c>
      <c r="R997" s="17" t="str">
        <f t="shared" si="45"/>
        <v>Afternoon</v>
      </c>
      <c r="S997" s="9" t="str">
        <f t="shared" si="46"/>
        <v>Mist</v>
      </c>
    </row>
    <row r="998" spans="1:19" x14ac:dyDescent="0.25">
      <c r="A998">
        <v>387</v>
      </c>
      <c r="B998" s="19">
        <v>40571</v>
      </c>
      <c r="C998">
        <v>1</v>
      </c>
      <c r="D998">
        <v>1</v>
      </c>
      <c r="E998">
        <v>15</v>
      </c>
      <c r="F998" t="b">
        <v>0</v>
      </c>
      <c r="G998">
        <v>5</v>
      </c>
      <c r="H998">
        <v>2</v>
      </c>
      <c r="I998">
        <v>0.2</v>
      </c>
      <c r="J998">
        <v>386</v>
      </c>
      <c r="K998">
        <v>0.21210000000000001</v>
      </c>
      <c r="L998">
        <v>0.43</v>
      </c>
      <c r="M998">
        <v>0.1045</v>
      </c>
      <c r="N998">
        <v>12</v>
      </c>
      <c r="O998">
        <v>74</v>
      </c>
      <c r="P998">
        <v>86</v>
      </c>
      <c r="Q998" s="17" t="str">
        <f t="shared" si="47"/>
        <v>Weekends</v>
      </c>
      <c r="R998" s="17" t="str">
        <f t="shared" si="45"/>
        <v>Afternoon</v>
      </c>
      <c r="S998" s="9" t="str">
        <f t="shared" si="46"/>
        <v>Mist</v>
      </c>
    </row>
    <row r="999" spans="1:19" x14ac:dyDescent="0.25">
      <c r="A999">
        <v>388</v>
      </c>
      <c r="B999" s="19">
        <v>40571</v>
      </c>
      <c r="C999">
        <v>1</v>
      </c>
      <c r="D999">
        <v>1</v>
      </c>
      <c r="E999">
        <v>15</v>
      </c>
      <c r="F999" t="b">
        <v>0</v>
      </c>
      <c r="G999">
        <v>5</v>
      </c>
      <c r="H999">
        <v>2</v>
      </c>
      <c r="I999">
        <v>0.2</v>
      </c>
      <c r="J999">
        <v>387</v>
      </c>
      <c r="K999">
        <v>0.21210000000000001</v>
      </c>
      <c r="L999">
        <v>0.47</v>
      </c>
      <c r="M999">
        <v>0.16420000000000001</v>
      </c>
      <c r="N999">
        <v>21</v>
      </c>
      <c r="O999">
        <v>72</v>
      </c>
      <c r="P999">
        <v>93</v>
      </c>
      <c r="Q999" s="17" t="str">
        <f t="shared" si="47"/>
        <v>Weekends</v>
      </c>
      <c r="R999" s="17" t="str">
        <f t="shared" si="45"/>
        <v>Afternoon</v>
      </c>
      <c r="S999" s="9" t="str">
        <f t="shared" si="46"/>
        <v>Mist</v>
      </c>
    </row>
    <row r="1000" spans="1:19" x14ac:dyDescent="0.25">
      <c r="A1000">
        <v>389</v>
      </c>
      <c r="B1000" s="19">
        <v>40571</v>
      </c>
      <c r="C1000">
        <v>1</v>
      </c>
      <c r="D1000">
        <v>1</v>
      </c>
      <c r="E1000">
        <v>15</v>
      </c>
      <c r="F1000" t="b">
        <v>0</v>
      </c>
      <c r="G1000">
        <v>5</v>
      </c>
      <c r="H1000">
        <v>2</v>
      </c>
      <c r="I1000">
        <v>0.2</v>
      </c>
      <c r="J1000">
        <v>388</v>
      </c>
      <c r="K1000">
        <v>0.21210000000000001</v>
      </c>
      <c r="L1000">
        <v>0.47</v>
      </c>
      <c r="M1000">
        <v>0.16420000000000001</v>
      </c>
      <c r="N1000">
        <v>6</v>
      </c>
      <c r="O1000">
        <v>76</v>
      </c>
      <c r="P1000">
        <v>82</v>
      </c>
      <c r="Q1000" s="17" t="str">
        <f t="shared" si="47"/>
        <v>Weekends</v>
      </c>
      <c r="R1000" s="17" t="str">
        <f t="shared" si="45"/>
        <v>Afternoon</v>
      </c>
      <c r="S1000" s="9" t="str">
        <f t="shared" si="46"/>
        <v>Mist</v>
      </c>
    </row>
    <row r="1001" spans="1:19" x14ac:dyDescent="0.25">
      <c r="A1001">
        <v>390</v>
      </c>
      <c r="B1001" s="19">
        <v>40571</v>
      </c>
      <c r="C1001">
        <v>1</v>
      </c>
      <c r="D1001">
        <v>1</v>
      </c>
      <c r="E1001">
        <v>15</v>
      </c>
      <c r="F1001" t="b">
        <v>0</v>
      </c>
      <c r="G1001">
        <v>5</v>
      </c>
      <c r="H1001">
        <v>2</v>
      </c>
      <c r="I1001">
        <v>0.2</v>
      </c>
      <c r="J1001">
        <v>389</v>
      </c>
      <c r="K1001">
        <v>0.19700000000000001</v>
      </c>
      <c r="L1001">
        <v>0.51</v>
      </c>
      <c r="M1001">
        <v>0.19400000000000001</v>
      </c>
      <c r="N1001">
        <v>4</v>
      </c>
      <c r="O1001">
        <v>67</v>
      </c>
      <c r="P1001">
        <v>71</v>
      </c>
      <c r="Q1001" s="17" t="str">
        <f t="shared" si="47"/>
        <v>Weekends</v>
      </c>
      <c r="R1001" s="17" t="str">
        <f t="shared" si="45"/>
        <v>Afternoon</v>
      </c>
      <c r="S1001" s="9" t="str">
        <f t="shared" si="46"/>
        <v>Mist</v>
      </c>
    </row>
    <row r="1002" spans="1:19" x14ac:dyDescent="0.25">
      <c r="A1002">
        <v>391</v>
      </c>
      <c r="B1002" s="19">
        <v>40571</v>
      </c>
      <c r="C1002">
        <v>1</v>
      </c>
      <c r="D1002">
        <v>1</v>
      </c>
      <c r="E1002">
        <v>15</v>
      </c>
      <c r="F1002" t="b">
        <v>0</v>
      </c>
      <c r="G1002">
        <v>5</v>
      </c>
      <c r="H1002">
        <v>2</v>
      </c>
      <c r="I1002">
        <v>0.2</v>
      </c>
      <c r="J1002">
        <v>390</v>
      </c>
      <c r="K1002">
        <v>0.16669999999999999</v>
      </c>
      <c r="L1002">
        <v>0.55000000000000004</v>
      </c>
      <c r="M1002">
        <v>0.25369999999999998</v>
      </c>
      <c r="N1002">
        <v>7</v>
      </c>
      <c r="O1002">
        <v>85</v>
      </c>
      <c r="P1002">
        <v>92</v>
      </c>
      <c r="Q1002" s="17" t="str">
        <f t="shared" si="47"/>
        <v>Weekends</v>
      </c>
      <c r="R1002" s="17" t="str">
        <f t="shared" si="45"/>
        <v>Afternoon</v>
      </c>
      <c r="S1002" s="9" t="str">
        <f t="shared" si="46"/>
        <v>Mist</v>
      </c>
    </row>
    <row r="1003" spans="1:19" x14ac:dyDescent="0.25">
      <c r="A1003">
        <v>392</v>
      </c>
      <c r="B1003" s="19">
        <v>40571</v>
      </c>
      <c r="C1003">
        <v>1</v>
      </c>
      <c r="D1003">
        <v>1</v>
      </c>
      <c r="E1003">
        <v>15</v>
      </c>
      <c r="F1003" t="b">
        <v>0</v>
      </c>
      <c r="G1003">
        <v>5</v>
      </c>
      <c r="H1003">
        <v>2</v>
      </c>
      <c r="I1003">
        <v>0.2</v>
      </c>
      <c r="J1003">
        <v>391</v>
      </c>
      <c r="K1003">
        <v>0.18179999999999999</v>
      </c>
      <c r="L1003">
        <v>0.59</v>
      </c>
      <c r="M1003">
        <v>0.19400000000000001</v>
      </c>
      <c r="N1003">
        <v>2</v>
      </c>
      <c r="O1003">
        <v>58</v>
      </c>
      <c r="P1003">
        <v>60</v>
      </c>
      <c r="Q1003" s="17" t="str">
        <f t="shared" si="47"/>
        <v>Weekends</v>
      </c>
      <c r="R1003" s="17" t="str">
        <f t="shared" si="45"/>
        <v>Afternoon</v>
      </c>
      <c r="S1003" s="9" t="str">
        <f t="shared" si="46"/>
        <v>Mist</v>
      </c>
    </row>
    <row r="1004" spans="1:19" x14ac:dyDescent="0.25">
      <c r="A1004">
        <v>393</v>
      </c>
      <c r="B1004" s="19">
        <v>40571</v>
      </c>
      <c r="C1004">
        <v>1</v>
      </c>
      <c r="D1004">
        <v>1</v>
      </c>
      <c r="E1004">
        <v>15</v>
      </c>
      <c r="F1004" t="b">
        <v>0</v>
      </c>
      <c r="G1004">
        <v>5</v>
      </c>
      <c r="H1004">
        <v>2</v>
      </c>
      <c r="I1004">
        <v>0.2</v>
      </c>
      <c r="J1004">
        <v>392</v>
      </c>
      <c r="K1004">
        <v>0.1515</v>
      </c>
      <c r="L1004">
        <v>0.8</v>
      </c>
      <c r="M1004">
        <v>0.19400000000000001</v>
      </c>
      <c r="N1004">
        <v>4</v>
      </c>
      <c r="O1004">
        <v>29</v>
      </c>
      <c r="P1004">
        <v>33</v>
      </c>
      <c r="Q1004" s="17" t="str">
        <f t="shared" si="47"/>
        <v>Weekends</v>
      </c>
      <c r="R1004" s="17" t="str">
        <f t="shared" si="45"/>
        <v>Afternoon</v>
      </c>
      <c r="S1004" s="9" t="str">
        <f t="shared" si="46"/>
        <v>Mist</v>
      </c>
    </row>
    <row r="1005" spans="1:19" x14ac:dyDescent="0.25">
      <c r="A1005">
        <v>394</v>
      </c>
      <c r="B1005" s="19">
        <v>40571</v>
      </c>
      <c r="C1005">
        <v>1</v>
      </c>
      <c r="D1005">
        <v>1</v>
      </c>
      <c r="E1005">
        <v>15</v>
      </c>
      <c r="F1005" t="b">
        <v>0</v>
      </c>
      <c r="G1005">
        <v>5</v>
      </c>
      <c r="H1005">
        <v>2</v>
      </c>
      <c r="I1005">
        <v>0.2</v>
      </c>
      <c r="J1005">
        <v>393</v>
      </c>
      <c r="K1005">
        <v>0.1515</v>
      </c>
      <c r="L1005">
        <v>0.8</v>
      </c>
      <c r="M1005">
        <v>0.19400000000000001</v>
      </c>
      <c r="N1005">
        <v>3</v>
      </c>
      <c r="O1005">
        <v>24</v>
      </c>
      <c r="P1005">
        <v>27</v>
      </c>
      <c r="Q1005" s="17" t="str">
        <f t="shared" si="47"/>
        <v>Weekends</v>
      </c>
      <c r="R1005" s="17" t="str">
        <f t="shared" si="45"/>
        <v>Afternoon</v>
      </c>
      <c r="S1005" s="9" t="str">
        <f t="shared" si="46"/>
        <v>Mist</v>
      </c>
    </row>
    <row r="1006" spans="1:19" x14ac:dyDescent="0.25">
      <c r="A1006">
        <v>395</v>
      </c>
      <c r="B1006" s="19">
        <v>40571</v>
      </c>
      <c r="C1006">
        <v>1</v>
      </c>
      <c r="D1006">
        <v>1</v>
      </c>
      <c r="E1006">
        <v>15</v>
      </c>
      <c r="F1006" t="b">
        <v>0</v>
      </c>
      <c r="G1006">
        <v>5</v>
      </c>
      <c r="H1006">
        <v>2</v>
      </c>
      <c r="I1006">
        <v>0.2</v>
      </c>
      <c r="J1006">
        <v>394</v>
      </c>
      <c r="K1006">
        <v>0.1212</v>
      </c>
      <c r="L1006">
        <v>0.93</v>
      </c>
      <c r="M1006">
        <v>0.25369999999999998</v>
      </c>
      <c r="N1006">
        <v>0</v>
      </c>
      <c r="O1006">
        <v>13</v>
      </c>
      <c r="P1006">
        <v>13</v>
      </c>
      <c r="Q1006" s="17" t="str">
        <f t="shared" si="47"/>
        <v>Weekends</v>
      </c>
      <c r="R1006" s="17" t="str">
        <f t="shared" si="45"/>
        <v>Afternoon</v>
      </c>
      <c r="S1006" s="9" t="str">
        <f t="shared" si="46"/>
        <v>Mist</v>
      </c>
    </row>
    <row r="1007" spans="1:19" x14ac:dyDescent="0.25">
      <c r="A1007">
        <v>396</v>
      </c>
      <c r="B1007" s="19">
        <v>40571</v>
      </c>
      <c r="C1007">
        <v>1</v>
      </c>
      <c r="D1007">
        <v>1</v>
      </c>
      <c r="E1007">
        <v>15</v>
      </c>
      <c r="F1007" t="b">
        <v>0</v>
      </c>
      <c r="G1007">
        <v>5</v>
      </c>
      <c r="H1007">
        <v>2</v>
      </c>
      <c r="I1007">
        <v>0.2</v>
      </c>
      <c r="J1007">
        <v>395</v>
      </c>
      <c r="K1007">
        <v>0.13639999999999999</v>
      </c>
      <c r="L1007">
        <v>0.86</v>
      </c>
      <c r="M1007">
        <v>0.28360000000000002</v>
      </c>
      <c r="N1007">
        <v>1</v>
      </c>
      <c r="O1007">
        <v>3</v>
      </c>
      <c r="P1007">
        <v>4</v>
      </c>
      <c r="Q1007" s="17" t="str">
        <f t="shared" si="47"/>
        <v>Weekends</v>
      </c>
      <c r="R1007" s="17" t="str">
        <f t="shared" si="45"/>
        <v>Afternoon</v>
      </c>
      <c r="S1007" s="9" t="str">
        <f t="shared" si="46"/>
        <v>Mist</v>
      </c>
    </row>
    <row r="1008" spans="1:19" x14ac:dyDescent="0.25">
      <c r="A1008">
        <v>397</v>
      </c>
      <c r="B1008" s="19">
        <v>40571</v>
      </c>
      <c r="C1008">
        <v>1</v>
      </c>
      <c r="D1008">
        <v>1</v>
      </c>
      <c r="E1008">
        <v>15</v>
      </c>
      <c r="F1008" t="b">
        <v>0</v>
      </c>
      <c r="G1008">
        <v>5</v>
      </c>
      <c r="H1008">
        <v>2</v>
      </c>
      <c r="I1008">
        <v>0.2</v>
      </c>
      <c r="J1008">
        <v>396</v>
      </c>
      <c r="K1008">
        <v>0.18179999999999999</v>
      </c>
      <c r="L1008">
        <v>0.86</v>
      </c>
      <c r="M1008">
        <v>0.32840000000000003</v>
      </c>
      <c r="N1008">
        <v>0</v>
      </c>
      <c r="O1008">
        <v>3</v>
      </c>
      <c r="P1008">
        <v>3</v>
      </c>
      <c r="Q1008" s="17" t="str">
        <f t="shared" si="47"/>
        <v>Weekends</v>
      </c>
      <c r="R1008" s="17" t="str">
        <f t="shared" si="45"/>
        <v>Afternoon</v>
      </c>
      <c r="S1008" s="9" t="str">
        <f t="shared" si="46"/>
        <v>Mist</v>
      </c>
    </row>
    <row r="1009" spans="1:19" x14ac:dyDescent="0.25">
      <c r="A1009">
        <v>398</v>
      </c>
      <c r="B1009" s="19">
        <v>40571</v>
      </c>
      <c r="C1009">
        <v>1</v>
      </c>
      <c r="D1009">
        <v>1</v>
      </c>
      <c r="E1009">
        <v>15</v>
      </c>
      <c r="F1009" t="b">
        <v>0</v>
      </c>
      <c r="G1009">
        <v>5</v>
      </c>
      <c r="H1009">
        <v>2</v>
      </c>
      <c r="I1009">
        <v>0.2</v>
      </c>
      <c r="J1009">
        <v>397</v>
      </c>
      <c r="K1009">
        <v>0.19700000000000001</v>
      </c>
      <c r="L1009">
        <v>0.86</v>
      </c>
      <c r="M1009">
        <v>0.22389999999999999</v>
      </c>
      <c r="N1009">
        <v>0</v>
      </c>
      <c r="O1009">
        <v>22</v>
      </c>
      <c r="P1009">
        <v>22</v>
      </c>
      <c r="Q1009" s="17" t="str">
        <f t="shared" si="47"/>
        <v>Weekends</v>
      </c>
      <c r="R1009" s="17" t="str">
        <f t="shared" si="45"/>
        <v>Afternoon</v>
      </c>
      <c r="S1009" s="9" t="str">
        <f t="shared" si="46"/>
        <v>Mist</v>
      </c>
    </row>
    <row r="1010" spans="1:19" x14ac:dyDescent="0.25">
      <c r="A1010">
        <v>399</v>
      </c>
      <c r="B1010" s="19">
        <v>40571</v>
      </c>
      <c r="C1010">
        <v>1</v>
      </c>
      <c r="D1010">
        <v>1</v>
      </c>
      <c r="E1010">
        <v>15</v>
      </c>
      <c r="F1010" t="b">
        <v>0</v>
      </c>
      <c r="G1010">
        <v>5</v>
      </c>
      <c r="H1010">
        <v>2</v>
      </c>
      <c r="I1010">
        <v>0.2</v>
      </c>
      <c r="J1010">
        <v>398</v>
      </c>
      <c r="K1010">
        <v>0.2273</v>
      </c>
      <c r="L1010">
        <v>0.8</v>
      </c>
      <c r="M1010">
        <v>0.16420000000000001</v>
      </c>
      <c r="N1010">
        <v>2</v>
      </c>
      <c r="O1010">
        <v>26</v>
      </c>
      <c r="P1010">
        <v>28</v>
      </c>
      <c r="Q1010" s="17" t="str">
        <f t="shared" si="47"/>
        <v>Weekends</v>
      </c>
      <c r="R1010" s="17" t="str">
        <f t="shared" si="45"/>
        <v>Afternoon</v>
      </c>
      <c r="S1010" s="9" t="str">
        <f t="shared" si="46"/>
        <v>Mist</v>
      </c>
    </row>
    <row r="1011" spans="1:19" x14ac:dyDescent="0.25">
      <c r="A1011">
        <v>400</v>
      </c>
      <c r="B1011" s="19">
        <v>40571</v>
      </c>
      <c r="C1011">
        <v>1</v>
      </c>
      <c r="D1011">
        <v>1</v>
      </c>
      <c r="E1011">
        <v>15</v>
      </c>
      <c r="F1011" t="b">
        <v>0</v>
      </c>
      <c r="G1011">
        <v>5</v>
      </c>
      <c r="H1011">
        <v>2</v>
      </c>
      <c r="I1011">
        <v>0.2</v>
      </c>
      <c r="J1011">
        <v>399</v>
      </c>
      <c r="K1011">
        <v>0.2273</v>
      </c>
      <c r="L1011">
        <v>0.87</v>
      </c>
      <c r="M1011">
        <v>0.16420000000000001</v>
      </c>
      <c r="N1011">
        <v>3</v>
      </c>
      <c r="O1011">
        <v>32</v>
      </c>
      <c r="P1011">
        <v>35</v>
      </c>
      <c r="Q1011" s="17" t="str">
        <f t="shared" si="47"/>
        <v>Weekends</v>
      </c>
      <c r="R1011" s="17" t="str">
        <f t="shared" si="45"/>
        <v>Afternoon</v>
      </c>
      <c r="S1011" s="9" t="str">
        <f t="shared" si="46"/>
        <v>Mist</v>
      </c>
    </row>
    <row r="1012" spans="1:19" x14ac:dyDescent="0.25">
      <c r="A1012">
        <v>401</v>
      </c>
      <c r="B1012" s="19">
        <v>40571</v>
      </c>
      <c r="C1012">
        <v>1</v>
      </c>
      <c r="D1012">
        <v>1</v>
      </c>
      <c r="E1012">
        <v>15</v>
      </c>
      <c r="F1012" t="b">
        <v>0</v>
      </c>
      <c r="G1012">
        <v>5</v>
      </c>
      <c r="H1012">
        <v>2</v>
      </c>
      <c r="I1012">
        <v>0.2</v>
      </c>
      <c r="J1012">
        <v>400</v>
      </c>
      <c r="K1012">
        <v>0.2273</v>
      </c>
      <c r="L1012">
        <v>0.87</v>
      </c>
      <c r="M1012">
        <v>0.19400000000000001</v>
      </c>
      <c r="N1012">
        <v>0</v>
      </c>
      <c r="O1012">
        <v>61</v>
      </c>
      <c r="P1012">
        <v>61</v>
      </c>
      <c r="Q1012" s="17" t="str">
        <f t="shared" si="47"/>
        <v>Weekends</v>
      </c>
      <c r="R1012" s="17" t="str">
        <f t="shared" si="45"/>
        <v>Afternoon</v>
      </c>
      <c r="S1012" s="9" t="str">
        <f t="shared" si="46"/>
        <v>Mist</v>
      </c>
    </row>
    <row r="1013" spans="1:19" x14ac:dyDescent="0.25">
      <c r="A1013">
        <v>402</v>
      </c>
      <c r="B1013" s="19">
        <v>40571</v>
      </c>
      <c r="C1013">
        <v>1</v>
      </c>
      <c r="D1013">
        <v>1</v>
      </c>
      <c r="E1013">
        <v>15</v>
      </c>
      <c r="F1013" t="b">
        <v>0</v>
      </c>
      <c r="G1013">
        <v>5</v>
      </c>
      <c r="H1013">
        <v>2</v>
      </c>
      <c r="I1013">
        <v>0.2</v>
      </c>
      <c r="J1013">
        <v>401</v>
      </c>
      <c r="K1013">
        <v>0.2273</v>
      </c>
      <c r="L1013">
        <v>0.82</v>
      </c>
      <c r="M1013">
        <v>0.19400000000000001</v>
      </c>
      <c r="N1013">
        <v>1</v>
      </c>
      <c r="O1013">
        <v>124</v>
      </c>
      <c r="P1013">
        <v>125</v>
      </c>
      <c r="Q1013" s="17" t="str">
        <f t="shared" si="47"/>
        <v>Weekends</v>
      </c>
      <c r="R1013" s="17" t="str">
        <f t="shared" si="45"/>
        <v>Afternoon</v>
      </c>
      <c r="S1013" s="9" t="str">
        <f t="shared" si="46"/>
        <v>Mist</v>
      </c>
    </row>
    <row r="1014" spans="1:19" x14ac:dyDescent="0.25">
      <c r="A1014">
        <v>403</v>
      </c>
      <c r="B1014" s="19">
        <v>40571</v>
      </c>
      <c r="C1014">
        <v>1</v>
      </c>
      <c r="D1014">
        <v>1</v>
      </c>
      <c r="E1014">
        <v>15</v>
      </c>
      <c r="F1014" t="b">
        <v>0</v>
      </c>
      <c r="G1014">
        <v>5</v>
      </c>
      <c r="H1014">
        <v>2</v>
      </c>
      <c r="I1014">
        <v>0.2</v>
      </c>
      <c r="J1014">
        <v>402</v>
      </c>
      <c r="K1014">
        <v>0.2273</v>
      </c>
      <c r="L1014">
        <v>0.8</v>
      </c>
      <c r="M1014">
        <v>0.16420000000000001</v>
      </c>
      <c r="N1014">
        <v>1</v>
      </c>
      <c r="O1014">
        <v>132</v>
      </c>
      <c r="P1014">
        <v>133</v>
      </c>
      <c r="Q1014" s="17" t="str">
        <f t="shared" si="47"/>
        <v>Weekends</v>
      </c>
      <c r="R1014" s="17" t="str">
        <f t="shared" si="45"/>
        <v>Afternoon</v>
      </c>
      <c r="S1014" s="9" t="str">
        <f t="shared" si="46"/>
        <v>Mist</v>
      </c>
    </row>
    <row r="1015" spans="1:19" x14ac:dyDescent="0.25">
      <c r="A1015">
        <v>404</v>
      </c>
      <c r="B1015" s="19">
        <v>40571</v>
      </c>
      <c r="C1015">
        <v>1</v>
      </c>
      <c r="D1015">
        <v>1</v>
      </c>
      <c r="E1015">
        <v>15</v>
      </c>
      <c r="F1015" t="b">
        <v>0</v>
      </c>
      <c r="G1015">
        <v>5</v>
      </c>
      <c r="H1015">
        <v>2</v>
      </c>
      <c r="I1015">
        <v>0.2</v>
      </c>
      <c r="J1015">
        <v>403</v>
      </c>
      <c r="K1015">
        <v>0.2273</v>
      </c>
      <c r="L1015">
        <v>0.8</v>
      </c>
      <c r="M1015">
        <v>0.1343</v>
      </c>
      <c r="N1015">
        <v>1</v>
      </c>
      <c r="O1015">
        <v>98</v>
      </c>
      <c r="P1015">
        <v>99</v>
      </c>
      <c r="Q1015" s="17" t="str">
        <f t="shared" si="47"/>
        <v>Weekends</v>
      </c>
      <c r="R1015" s="17" t="str">
        <f t="shared" si="45"/>
        <v>Afternoon</v>
      </c>
      <c r="S1015" s="9" t="str">
        <f t="shared" si="46"/>
        <v>Mist</v>
      </c>
    </row>
    <row r="1016" spans="1:19" x14ac:dyDescent="0.25">
      <c r="A1016">
        <v>405</v>
      </c>
      <c r="B1016" s="19">
        <v>40571</v>
      </c>
      <c r="C1016">
        <v>1</v>
      </c>
      <c r="D1016">
        <v>1</v>
      </c>
      <c r="E1016">
        <v>15</v>
      </c>
      <c r="F1016" t="b">
        <v>0</v>
      </c>
      <c r="G1016">
        <v>5</v>
      </c>
      <c r="H1016">
        <v>2</v>
      </c>
      <c r="I1016">
        <v>0.2</v>
      </c>
      <c r="J1016">
        <v>404</v>
      </c>
      <c r="K1016">
        <v>0.2727</v>
      </c>
      <c r="L1016">
        <v>0.87</v>
      </c>
      <c r="M1016">
        <v>0</v>
      </c>
      <c r="N1016">
        <v>0</v>
      </c>
      <c r="O1016">
        <v>83</v>
      </c>
      <c r="P1016">
        <v>83</v>
      </c>
      <c r="Q1016" s="17" t="str">
        <f t="shared" si="47"/>
        <v>Weekends</v>
      </c>
      <c r="R1016" s="17" t="str">
        <f t="shared" si="45"/>
        <v>Afternoon</v>
      </c>
      <c r="S1016" s="9" t="str">
        <f t="shared" si="46"/>
        <v>Mist</v>
      </c>
    </row>
    <row r="1017" spans="1:19" x14ac:dyDescent="0.25">
      <c r="A1017">
        <v>406</v>
      </c>
      <c r="B1017" s="19">
        <v>40571</v>
      </c>
      <c r="C1017">
        <v>1</v>
      </c>
      <c r="D1017">
        <v>1</v>
      </c>
      <c r="E1017">
        <v>15</v>
      </c>
      <c r="F1017" t="b">
        <v>0</v>
      </c>
      <c r="G1017">
        <v>5</v>
      </c>
      <c r="H1017">
        <v>2</v>
      </c>
      <c r="I1017">
        <v>0.2</v>
      </c>
      <c r="J1017">
        <v>405</v>
      </c>
      <c r="K1017">
        <v>0.2424</v>
      </c>
      <c r="L1017">
        <v>0.93</v>
      </c>
      <c r="M1017">
        <v>0.1045</v>
      </c>
      <c r="N1017">
        <v>0</v>
      </c>
      <c r="O1017">
        <v>41</v>
      </c>
      <c r="P1017">
        <v>41</v>
      </c>
      <c r="Q1017" s="17" t="str">
        <f t="shared" si="47"/>
        <v>Weekends</v>
      </c>
      <c r="R1017" s="17" t="str">
        <f t="shared" si="45"/>
        <v>Afternoon</v>
      </c>
      <c r="S1017" s="9" t="str">
        <f t="shared" si="46"/>
        <v>Mist</v>
      </c>
    </row>
    <row r="1018" spans="1:19" x14ac:dyDescent="0.25">
      <c r="A1018">
        <v>407</v>
      </c>
      <c r="B1018" s="19">
        <v>40571</v>
      </c>
      <c r="C1018">
        <v>1</v>
      </c>
      <c r="D1018">
        <v>1</v>
      </c>
      <c r="E1018">
        <v>15</v>
      </c>
      <c r="F1018" t="b">
        <v>0</v>
      </c>
      <c r="G1018">
        <v>5</v>
      </c>
      <c r="H1018">
        <v>2</v>
      </c>
      <c r="I1018">
        <v>0.2</v>
      </c>
      <c r="J1018">
        <v>406</v>
      </c>
      <c r="K1018">
        <v>0.2576</v>
      </c>
      <c r="L1018">
        <v>0.93</v>
      </c>
      <c r="M1018">
        <v>8.9599999999999999E-2</v>
      </c>
      <c r="N1018">
        <v>0</v>
      </c>
      <c r="O1018">
        <v>33</v>
      </c>
      <c r="P1018">
        <v>33</v>
      </c>
      <c r="Q1018" s="17" t="str">
        <f t="shared" si="47"/>
        <v>Weekends</v>
      </c>
      <c r="R1018" s="17" t="str">
        <f t="shared" si="45"/>
        <v>Afternoon</v>
      </c>
      <c r="S1018" s="9" t="str">
        <f t="shared" si="46"/>
        <v>Mist</v>
      </c>
    </row>
    <row r="1019" spans="1:19" x14ac:dyDescent="0.25">
      <c r="A1019">
        <v>408</v>
      </c>
      <c r="B1019" s="19">
        <v>40571</v>
      </c>
      <c r="C1019">
        <v>1</v>
      </c>
      <c r="D1019">
        <v>1</v>
      </c>
      <c r="E1019">
        <v>15</v>
      </c>
      <c r="F1019" t="b">
        <v>0</v>
      </c>
      <c r="G1019">
        <v>5</v>
      </c>
      <c r="H1019">
        <v>2</v>
      </c>
      <c r="I1019">
        <v>0.2</v>
      </c>
      <c r="J1019">
        <v>407</v>
      </c>
      <c r="K1019">
        <v>0.2727</v>
      </c>
      <c r="L1019">
        <v>0.93</v>
      </c>
      <c r="M1019">
        <v>0</v>
      </c>
      <c r="N1019">
        <v>1</v>
      </c>
      <c r="O1019">
        <v>19</v>
      </c>
      <c r="P1019">
        <v>20</v>
      </c>
      <c r="Q1019" s="17" t="str">
        <f t="shared" si="47"/>
        <v>Weekends</v>
      </c>
      <c r="R1019" s="17" t="str">
        <f t="shared" si="45"/>
        <v>Afternoon</v>
      </c>
      <c r="S1019" s="9" t="str">
        <f t="shared" si="46"/>
        <v>Mist</v>
      </c>
    </row>
    <row r="1020" spans="1:19" x14ac:dyDescent="0.25">
      <c r="A1020">
        <v>409</v>
      </c>
      <c r="B1020" s="19">
        <v>40571</v>
      </c>
      <c r="C1020">
        <v>1</v>
      </c>
      <c r="D1020">
        <v>1</v>
      </c>
      <c r="E1020">
        <v>15</v>
      </c>
      <c r="F1020" t="b">
        <v>0</v>
      </c>
      <c r="G1020">
        <v>5</v>
      </c>
      <c r="H1020">
        <v>2</v>
      </c>
      <c r="I1020">
        <v>0.2</v>
      </c>
      <c r="J1020">
        <v>408</v>
      </c>
      <c r="K1020">
        <v>0.2727</v>
      </c>
      <c r="L1020">
        <v>0.93</v>
      </c>
      <c r="M1020">
        <v>0</v>
      </c>
      <c r="N1020">
        <v>0</v>
      </c>
      <c r="O1020">
        <v>3</v>
      </c>
      <c r="P1020">
        <v>3</v>
      </c>
      <c r="Q1020" s="17" t="str">
        <f t="shared" si="47"/>
        <v>Weekends</v>
      </c>
      <c r="R1020" s="17" t="str">
        <f t="shared" si="45"/>
        <v>Afternoon</v>
      </c>
      <c r="S1020" s="9" t="str">
        <f t="shared" si="46"/>
        <v>Mist</v>
      </c>
    </row>
    <row r="1021" spans="1:19" x14ac:dyDescent="0.25">
      <c r="A1021">
        <v>410</v>
      </c>
      <c r="B1021" s="19">
        <v>40571</v>
      </c>
      <c r="C1021">
        <v>1</v>
      </c>
      <c r="D1021">
        <v>1</v>
      </c>
      <c r="E1021">
        <v>15</v>
      </c>
      <c r="F1021" t="b">
        <v>0</v>
      </c>
      <c r="G1021">
        <v>5</v>
      </c>
      <c r="H1021">
        <v>2</v>
      </c>
      <c r="I1021">
        <v>0.2</v>
      </c>
      <c r="J1021">
        <v>409</v>
      </c>
      <c r="K1021">
        <v>0.2273</v>
      </c>
      <c r="L1021">
        <v>0.93</v>
      </c>
      <c r="M1021">
        <v>0.1343</v>
      </c>
      <c r="N1021">
        <v>1</v>
      </c>
      <c r="O1021">
        <v>6</v>
      </c>
      <c r="P1021">
        <v>7</v>
      </c>
      <c r="Q1021" s="17" t="str">
        <f t="shared" si="47"/>
        <v>Weekends</v>
      </c>
      <c r="R1021" s="17" t="str">
        <f t="shared" si="45"/>
        <v>Afternoon</v>
      </c>
      <c r="S1021" s="9" t="str">
        <f t="shared" si="46"/>
        <v>Mist</v>
      </c>
    </row>
    <row r="1022" spans="1:19" x14ac:dyDescent="0.25">
      <c r="A1022">
        <v>411</v>
      </c>
      <c r="B1022" s="19">
        <v>40571</v>
      </c>
      <c r="C1022">
        <v>1</v>
      </c>
      <c r="D1022">
        <v>1</v>
      </c>
      <c r="E1022">
        <v>15</v>
      </c>
      <c r="F1022" t="b">
        <v>0</v>
      </c>
      <c r="G1022">
        <v>5</v>
      </c>
      <c r="H1022">
        <v>2</v>
      </c>
      <c r="I1022">
        <v>0.2</v>
      </c>
      <c r="J1022">
        <v>410</v>
      </c>
      <c r="K1022">
        <v>0.2273</v>
      </c>
      <c r="L1022">
        <v>0.93</v>
      </c>
      <c r="M1022">
        <v>0.1343</v>
      </c>
      <c r="N1022">
        <v>0</v>
      </c>
      <c r="O1022">
        <v>3</v>
      </c>
      <c r="P1022">
        <v>3</v>
      </c>
      <c r="Q1022" s="17" t="str">
        <f t="shared" si="47"/>
        <v>Weekends</v>
      </c>
      <c r="R1022" s="17" t="str">
        <f t="shared" si="45"/>
        <v>Afternoon</v>
      </c>
      <c r="S1022" s="9" t="str">
        <f t="shared" si="46"/>
        <v>Mist</v>
      </c>
    </row>
    <row r="1023" spans="1:19" x14ac:dyDescent="0.25">
      <c r="A1023">
        <v>412</v>
      </c>
      <c r="B1023" s="19">
        <v>40571</v>
      </c>
      <c r="C1023">
        <v>1</v>
      </c>
      <c r="D1023">
        <v>1</v>
      </c>
      <c r="E1023">
        <v>15</v>
      </c>
      <c r="F1023" t="b">
        <v>0</v>
      </c>
      <c r="G1023">
        <v>5</v>
      </c>
      <c r="H1023">
        <v>2</v>
      </c>
      <c r="I1023">
        <v>0.2</v>
      </c>
      <c r="J1023">
        <v>411</v>
      </c>
      <c r="K1023">
        <v>0.2273</v>
      </c>
      <c r="L1023">
        <v>0.93</v>
      </c>
      <c r="M1023">
        <v>0.1343</v>
      </c>
      <c r="N1023">
        <v>1</v>
      </c>
      <c r="O1023">
        <v>1</v>
      </c>
      <c r="P1023">
        <v>2</v>
      </c>
      <c r="Q1023" s="17" t="str">
        <f t="shared" si="47"/>
        <v>Weekends</v>
      </c>
      <c r="R1023" s="17" t="str">
        <f t="shared" si="45"/>
        <v>Afternoon</v>
      </c>
      <c r="S1023" s="9" t="str">
        <f t="shared" si="46"/>
        <v>Mist</v>
      </c>
    </row>
    <row r="1024" spans="1:19" x14ac:dyDescent="0.25">
      <c r="A1024">
        <v>413</v>
      </c>
      <c r="B1024" s="19">
        <v>40571</v>
      </c>
      <c r="C1024">
        <v>1</v>
      </c>
      <c r="D1024">
        <v>1</v>
      </c>
      <c r="E1024">
        <v>15</v>
      </c>
      <c r="F1024" t="b">
        <v>0</v>
      </c>
      <c r="G1024">
        <v>5</v>
      </c>
      <c r="H1024">
        <v>2</v>
      </c>
      <c r="I1024">
        <v>0.2</v>
      </c>
      <c r="J1024">
        <v>412</v>
      </c>
      <c r="K1024">
        <v>0.2576</v>
      </c>
      <c r="L1024">
        <v>0.93</v>
      </c>
      <c r="M1024">
        <v>8.9599999999999999E-2</v>
      </c>
      <c r="N1024">
        <v>0</v>
      </c>
      <c r="O1024">
        <v>7</v>
      </c>
      <c r="P1024">
        <v>7</v>
      </c>
      <c r="Q1024" s="17" t="str">
        <f t="shared" si="47"/>
        <v>Weekends</v>
      </c>
      <c r="R1024" s="17" t="str">
        <f t="shared" si="45"/>
        <v>Afternoon</v>
      </c>
      <c r="S1024" s="9" t="str">
        <f t="shared" si="46"/>
        <v>Mist</v>
      </c>
    </row>
    <row r="1025" spans="1:19" x14ac:dyDescent="0.25">
      <c r="A1025">
        <v>414</v>
      </c>
      <c r="B1025" s="19">
        <v>40571</v>
      </c>
      <c r="C1025">
        <v>1</v>
      </c>
      <c r="D1025">
        <v>1</v>
      </c>
      <c r="E1025">
        <v>15</v>
      </c>
      <c r="F1025" t="b">
        <v>0</v>
      </c>
      <c r="G1025">
        <v>5</v>
      </c>
      <c r="H1025">
        <v>2</v>
      </c>
      <c r="I1025">
        <v>0.2</v>
      </c>
      <c r="J1025">
        <v>413</v>
      </c>
      <c r="K1025">
        <v>0.2576</v>
      </c>
      <c r="L1025">
        <v>0.93</v>
      </c>
      <c r="M1025">
        <v>8.9599999999999999E-2</v>
      </c>
      <c r="N1025">
        <v>0</v>
      </c>
      <c r="O1025">
        <v>32</v>
      </c>
      <c r="P1025">
        <v>32</v>
      </c>
      <c r="Q1025" s="17" t="str">
        <f t="shared" si="47"/>
        <v>Weekends</v>
      </c>
      <c r="R1025" s="17" t="str">
        <f t="shared" si="45"/>
        <v>Afternoon</v>
      </c>
      <c r="S1025" s="9" t="str">
        <f t="shared" si="46"/>
        <v>Mist</v>
      </c>
    </row>
    <row r="1026" spans="1:19" x14ac:dyDescent="0.25">
      <c r="A1026">
        <v>415</v>
      </c>
      <c r="B1026" s="19">
        <v>40571</v>
      </c>
      <c r="C1026">
        <v>1</v>
      </c>
      <c r="D1026">
        <v>1</v>
      </c>
      <c r="E1026">
        <v>15</v>
      </c>
      <c r="F1026" t="b">
        <v>0</v>
      </c>
      <c r="G1026">
        <v>5</v>
      </c>
      <c r="H1026">
        <v>2</v>
      </c>
      <c r="I1026">
        <v>0.2</v>
      </c>
      <c r="J1026">
        <v>414</v>
      </c>
      <c r="K1026">
        <v>0.2576</v>
      </c>
      <c r="L1026">
        <v>0.92</v>
      </c>
      <c r="M1026">
        <v>0.1045</v>
      </c>
      <c r="N1026">
        <v>1</v>
      </c>
      <c r="O1026">
        <v>89</v>
      </c>
      <c r="P1026">
        <v>90</v>
      </c>
      <c r="Q1026" s="17" t="str">
        <f t="shared" si="47"/>
        <v>Weekends</v>
      </c>
      <c r="R1026" s="17" t="str">
        <f t="shared" ref="R1026:R1089" si="48">IF(E1026&lt;12,"Morning",IF(E1026&lt;16,"Afternoon",IF(E1026&lt;21,"Evening","Night")))</f>
        <v>Afternoon</v>
      </c>
      <c r="S1026" s="9" t="str">
        <f t="shared" ref="S1026:S1089" si="49">IF(H1026=1,"Clear",IF(H1026=2,"Mist",IF(H1026=3,"Light Snow/Rain","Heavy Rain/Snow")))</f>
        <v>Mist</v>
      </c>
    </row>
    <row r="1027" spans="1:19" x14ac:dyDescent="0.25">
      <c r="A1027">
        <v>416</v>
      </c>
      <c r="B1027" s="19">
        <v>40571</v>
      </c>
      <c r="C1027">
        <v>1</v>
      </c>
      <c r="D1027">
        <v>1</v>
      </c>
      <c r="E1027">
        <v>15</v>
      </c>
      <c r="F1027" t="b">
        <v>0</v>
      </c>
      <c r="G1027">
        <v>5</v>
      </c>
      <c r="H1027">
        <v>2</v>
      </c>
      <c r="I1027">
        <v>0.2</v>
      </c>
      <c r="J1027">
        <v>415</v>
      </c>
      <c r="K1027">
        <v>0.2576</v>
      </c>
      <c r="L1027">
        <v>0.93</v>
      </c>
      <c r="M1027">
        <v>0.1045</v>
      </c>
      <c r="N1027">
        <v>1</v>
      </c>
      <c r="O1027">
        <v>196</v>
      </c>
      <c r="P1027">
        <v>197</v>
      </c>
      <c r="Q1027" s="17" t="str">
        <f t="shared" ref="Q1027:Q1090" si="50">IF(G1027&gt;=5,"Weekends","Weekdays")</f>
        <v>Weekends</v>
      </c>
      <c r="R1027" s="17" t="str">
        <f t="shared" si="48"/>
        <v>Afternoon</v>
      </c>
      <c r="S1027" s="9" t="str">
        <f t="shared" si="49"/>
        <v>Mist</v>
      </c>
    </row>
    <row r="1028" spans="1:19" x14ac:dyDescent="0.25">
      <c r="A1028">
        <v>417</v>
      </c>
      <c r="B1028" s="19">
        <v>40571</v>
      </c>
      <c r="C1028">
        <v>1</v>
      </c>
      <c r="D1028">
        <v>1</v>
      </c>
      <c r="E1028">
        <v>15</v>
      </c>
      <c r="F1028" t="b">
        <v>0</v>
      </c>
      <c r="G1028">
        <v>5</v>
      </c>
      <c r="H1028">
        <v>2</v>
      </c>
      <c r="I1028">
        <v>0.2</v>
      </c>
      <c r="J1028">
        <v>416</v>
      </c>
      <c r="K1028">
        <v>0.2576</v>
      </c>
      <c r="L1028">
        <v>0.93</v>
      </c>
      <c r="M1028">
        <v>0.1045</v>
      </c>
      <c r="N1028">
        <v>2</v>
      </c>
      <c r="O1028">
        <v>107</v>
      </c>
      <c r="P1028">
        <v>109</v>
      </c>
      <c r="Q1028" s="17" t="str">
        <f t="shared" si="50"/>
        <v>Weekends</v>
      </c>
      <c r="R1028" s="17" t="str">
        <f t="shared" si="48"/>
        <v>Afternoon</v>
      </c>
      <c r="S1028" s="9" t="str">
        <f t="shared" si="49"/>
        <v>Mist</v>
      </c>
    </row>
    <row r="1029" spans="1:19" x14ac:dyDescent="0.25">
      <c r="A1029">
        <v>418</v>
      </c>
      <c r="B1029" s="19">
        <v>40571</v>
      </c>
      <c r="C1029">
        <v>1</v>
      </c>
      <c r="D1029">
        <v>1</v>
      </c>
      <c r="E1029">
        <v>15</v>
      </c>
      <c r="F1029" t="b">
        <v>0</v>
      </c>
      <c r="G1029">
        <v>5</v>
      </c>
      <c r="H1029">
        <v>2</v>
      </c>
      <c r="I1029">
        <v>0.2</v>
      </c>
      <c r="J1029">
        <v>417</v>
      </c>
      <c r="K1029">
        <v>0.2727</v>
      </c>
      <c r="L1029">
        <v>0.93</v>
      </c>
      <c r="M1029">
        <v>0.1343</v>
      </c>
      <c r="N1029">
        <v>1</v>
      </c>
      <c r="O1029">
        <v>46</v>
      </c>
      <c r="P1029">
        <v>47</v>
      </c>
      <c r="Q1029" s="17" t="str">
        <f t="shared" si="50"/>
        <v>Weekends</v>
      </c>
      <c r="R1029" s="17" t="str">
        <f t="shared" si="48"/>
        <v>Afternoon</v>
      </c>
      <c r="S1029" s="9" t="str">
        <f t="shared" si="49"/>
        <v>Mist</v>
      </c>
    </row>
    <row r="1030" spans="1:19" x14ac:dyDescent="0.25">
      <c r="A1030">
        <v>419</v>
      </c>
      <c r="B1030" s="19">
        <v>40571</v>
      </c>
      <c r="C1030">
        <v>1</v>
      </c>
      <c r="D1030">
        <v>1</v>
      </c>
      <c r="E1030">
        <v>15</v>
      </c>
      <c r="F1030" t="b">
        <v>0</v>
      </c>
      <c r="G1030">
        <v>5</v>
      </c>
      <c r="H1030">
        <v>2</v>
      </c>
      <c r="I1030">
        <v>0.2</v>
      </c>
      <c r="J1030">
        <v>418</v>
      </c>
      <c r="K1030">
        <v>0.30299999999999999</v>
      </c>
      <c r="L1030">
        <v>0.87</v>
      </c>
      <c r="M1030">
        <v>8.9599999999999999E-2</v>
      </c>
      <c r="N1030">
        <v>5</v>
      </c>
      <c r="O1030">
        <v>47</v>
      </c>
      <c r="P1030">
        <v>52</v>
      </c>
      <c r="Q1030" s="17" t="str">
        <f t="shared" si="50"/>
        <v>Weekends</v>
      </c>
      <c r="R1030" s="17" t="str">
        <f t="shared" si="48"/>
        <v>Afternoon</v>
      </c>
      <c r="S1030" s="9" t="str">
        <f t="shared" si="49"/>
        <v>Mist</v>
      </c>
    </row>
    <row r="1031" spans="1:19" x14ac:dyDescent="0.25">
      <c r="A1031">
        <v>420</v>
      </c>
      <c r="B1031" s="19">
        <v>40571</v>
      </c>
      <c r="C1031">
        <v>1</v>
      </c>
      <c r="D1031">
        <v>1</v>
      </c>
      <c r="E1031">
        <v>15</v>
      </c>
      <c r="F1031" t="b">
        <v>0</v>
      </c>
      <c r="G1031">
        <v>5</v>
      </c>
      <c r="H1031">
        <v>2</v>
      </c>
      <c r="I1031">
        <v>0.2</v>
      </c>
      <c r="J1031">
        <v>419</v>
      </c>
      <c r="K1031">
        <v>0.31819999999999998</v>
      </c>
      <c r="L1031">
        <v>0.81</v>
      </c>
      <c r="M1031">
        <v>8.9599999999999999E-2</v>
      </c>
      <c r="N1031">
        <v>5</v>
      </c>
      <c r="O1031">
        <v>65</v>
      </c>
      <c r="P1031">
        <v>70</v>
      </c>
      <c r="Q1031" s="17" t="str">
        <f t="shared" si="50"/>
        <v>Weekends</v>
      </c>
      <c r="R1031" s="17" t="str">
        <f t="shared" si="48"/>
        <v>Afternoon</v>
      </c>
      <c r="S1031" s="9" t="str">
        <f t="shared" si="49"/>
        <v>Mist</v>
      </c>
    </row>
    <row r="1032" spans="1:19" x14ac:dyDescent="0.25">
      <c r="A1032">
        <v>421</v>
      </c>
      <c r="B1032" s="19">
        <v>40571</v>
      </c>
      <c r="C1032">
        <v>1</v>
      </c>
      <c r="D1032">
        <v>1</v>
      </c>
      <c r="E1032">
        <v>15</v>
      </c>
      <c r="F1032" t="b">
        <v>0</v>
      </c>
      <c r="G1032">
        <v>5</v>
      </c>
      <c r="H1032">
        <v>2</v>
      </c>
      <c r="I1032">
        <v>0.2</v>
      </c>
      <c r="J1032">
        <v>420</v>
      </c>
      <c r="K1032">
        <v>0.40910000000000002</v>
      </c>
      <c r="L1032">
        <v>0.62</v>
      </c>
      <c r="M1032">
        <v>0.28360000000000002</v>
      </c>
      <c r="N1032">
        <v>11</v>
      </c>
      <c r="O1032">
        <v>67</v>
      </c>
      <c r="P1032">
        <v>78</v>
      </c>
      <c r="Q1032" s="17" t="str">
        <f t="shared" si="50"/>
        <v>Weekends</v>
      </c>
      <c r="R1032" s="17" t="str">
        <f t="shared" si="48"/>
        <v>Afternoon</v>
      </c>
      <c r="S1032" s="9" t="str">
        <f t="shared" si="49"/>
        <v>Mist</v>
      </c>
    </row>
    <row r="1033" spans="1:19" x14ac:dyDescent="0.25">
      <c r="A1033">
        <v>422</v>
      </c>
      <c r="B1033" s="19">
        <v>40571</v>
      </c>
      <c r="C1033">
        <v>1</v>
      </c>
      <c r="D1033">
        <v>1</v>
      </c>
      <c r="E1033">
        <v>15</v>
      </c>
      <c r="F1033" t="b">
        <v>0</v>
      </c>
      <c r="G1033">
        <v>5</v>
      </c>
      <c r="H1033">
        <v>2</v>
      </c>
      <c r="I1033">
        <v>0.2</v>
      </c>
      <c r="J1033">
        <v>421</v>
      </c>
      <c r="K1033">
        <v>0.40910000000000002</v>
      </c>
      <c r="L1033">
        <v>0.57999999999999996</v>
      </c>
      <c r="M1033">
        <v>0.25369999999999998</v>
      </c>
      <c r="N1033">
        <v>7</v>
      </c>
      <c r="O1033">
        <v>68</v>
      </c>
      <c r="P1033">
        <v>75</v>
      </c>
      <c r="Q1033" s="17" t="str">
        <f t="shared" si="50"/>
        <v>Weekends</v>
      </c>
      <c r="R1033" s="17" t="str">
        <f t="shared" si="48"/>
        <v>Afternoon</v>
      </c>
      <c r="S1033" s="9" t="str">
        <f t="shared" si="49"/>
        <v>Mist</v>
      </c>
    </row>
    <row r="1034" spans="1:19" x14ac:dyDescent="0.25">
      <c r="A1034">
        <v>423</v>
      </c>
      <c r="B1034" s="19">
        <v>40571</v>
      </c>
      <c r="C1034">
        <v>1</v>
      </c>
      <c r="D1034">
        <v>1</v>
      </c>
      <c r="E1034">
        <v>15</v>
      </c>
      <c r="F1034" t="b">
        <v>0</v>
      </c>
      <c r="G1034">
        <v>5</v>
      </c>
      <c r="H1034">
        <v>2</v>
      </c>
      <c r="I1034">
        <v>0.2</v>
      </c>
      <c r="J1034">
        <v>422</v>
      </c>
      <c r="K1034">
        <v>0.40910000000000002</v>
      </c>
      <c r="L1034">
        <v>0.54</v>
      </c>
      <c r="M1034">
        <v>0.28360000000000002</v>
      </c>
      <c r="N1034">
        <v>4</v>
      </c>
      <c r="O1034">
        <v>78</v>
      </c>
      <c r="P1034">
        <v>82</v>
      </c>
      <c r="Q1034" s="17" t="str">
        <f t="shared" si="50"/>
        <v>Weekends</v>
      </c>
      <c r="R1034" s="17" t="str">
        <f t="shared" si="48"/>
        <v>Afternoon</v>
      </c>
      <c r="S1034" s="9" t="str">
        <f t="shared" si="49"/>
        <v>Mist</v>
      </c>
    </row>
    <row r="1035" spans="1:19" x14ac:dyDescent="0.25">
      <c r="A1035">
        <v>424</v>
      </c>
      <c r="B1035" s="19">
        <v>40571</v>
      </c>
      <c r="C1035">
        <v>1</v>
      </c>
      <c r="D1035">
        <v>1</v>
      </c>
      <c r="E1035">
        <v>15</v>
      </c>
      <c r="F1035" t="b">
        <v>0</v>
      </c>
      <c r="G1035">
        <v>5</v>
      </c>
      <c r="H1035">
        <v>2</v>
      </c>
      <c r="I1035">
        <v>0.2</v>
      </c>
      <c r="J1035">
        <v>423</v>
      </c>
      <c r="K1035">
        <v>0.39389999999999997</v>
      </c>
      <c r="L1035">
        <v>0.57999999999999996</v>
      </c>
      <c r="M1035">
        <v>0.3881</v>
      </c>
      <c r="N1035">
        <v>10</v>
      </c>
      <c r="O1035">
        <v>94</v>
      </c>
      <c r="P1035">
        <v>104</v>
      </c>
      <c r="Q1035" s="17" t="str">
        <f t="shared" si="50"/>
        <v>Weekends</v>
      </c>
      <c r="R1035" s="17" t="str">
        <f t="shared" si="48"/>
        <v>Afternoon</v>
      </c>
      <c r="S1035" s="9" t="str">
        <f t="shared" si="49"/>
        <v>Mist</v>
      </c>
    </row>
    <row r="1036" spans="1:19" x14ac:dyDescent="0.25">
      <c r="A1036">
        <v>425</v>
      </c>
      <c r="B1036" s="19">
        <v>40571</v>
      </c>
      <c r="C1036">
        <v>1</v>
      </c>
      <c r="D1036">
        <v>1</v>
      </c>
      <c r="E1036">
        <v>15</v>
      </c>
      <c r="F1036" t="b">
        <v>0</v>
      </c>
      <c r="G1036">
        <v>5</v>
      </c>
      <c r="H1036">
        <v>2</v>
      </c>
      <c r="I1036">
        <v>0.2</v>
      </c>
      <c r="J1036">
        <v>424</v>
      </c>
      <c r="K1036">
        <v>0.33329999999999999</v>
      </c>
      <c r="L1036">
        <v>0.56999999999999995</v>
      </c>
      <c r="M1036">
        <v>0.32840000000000003</v>
      </c>
      <c r="N1036">
        <v>7</v>
      </c>
      <c r="O1036">
        <v>190</v>
      </c>
      <c r="P1036">
        <v>197</v>
      </c>
      <c r="Q1036" s="17" t="str">
        <f t="shared" si="50"/>
        <v>Weekends</v>
      </c>
      <c r="R1036" s="17" t="str">
        <f t="shared" si="48"/>
        <v>Afternoon</v>
      </c>
      <c r="S1036" s="9" t="str">
        <f t="shared" si="49"/>
        <v>Mist</v>
      </c>
    </row>
    <row r="1037" spans="1:19" x14ac:dyDescent="0.25">
      <c r="A1037">
        <v>426</v>
      </c>
      <c r="B1037" s="19">
        <v>40571</v>
      </c>
      <c r="C1037">
        <v>1</v>
      </c>
      <c r="D1037">
        <v>1</v>
      </c>
      <c r="E1037">
        <v>15</v>
      </c>
      <c r="F1037" t="b">
        <v>0</v>
      </c>
      <c r="G1037">
        <v>5</v>
      </c>
      <c r="H1037">
        <v>2</v>
      </c>
      <c r="I1037">
        <v>0.2</v>
      </c>
      <c r="J1037">
        <v>425</v>
      </c>
      <c r="K1037">
        <v>0.31819999999999998</v>
      </c>
      <c r="L1037">
        <v>0.61</v>
      </c>
      <c r="M1037">
        <v>0.28360000000000002</v>
      </c>
      <c r="N1037">
        <v>5</v>
      </c>
      <c r="O1037">
        <v>156</v>
      </c>
      <c r="P1037">
        <v>161</v>
      </c>
      <c r="Q1037" s="17" t="str">
        <f t="shared" si="50"/>
        <v>Weekends</v>
      </c>
      <c r="R1037" s="17" t="str">
        <f t="shared" si="48"/>
        <v>Afternoon</v>
      </c>
      <c r="S1037" s="9" t="str">
        <f t="shared" si="49"/>
        <v>Mist</v>
      </c>
    </row>
    <row r="1038" spans="1:19" x14ac:dyDescent="0.25">
      <c r="A1038">
        <v>427</v>
      </c>
      <c r="B1038" s="19">
        <v>40571</v>
      </c>
      <c r="C1038">
        <v>1</v>
      </c>
      <c r="D1038">
        <v>1</v>
      </c>
      <c r="E1038">
        <v>15</v>
      </c>
      <c r="F1038" t="b">
        <v>0</v>
      </c>
      <c r="G1038">
        <v>5</v>
      </c>
      <c r="H1038">
        <v>2</v>
      </c>
      <c r="I1038">
        <v>0.2</v>
      </c>
      <c r="J1038">
        <v>426</v>
      </c>
      <c r="K1038">
        <v>0.28789999999999999</v>
      </c>
      <c r="L1038">
        <v>0.56999999999999995</v>
      </c>
      <c r="M1038">
        <v>0.41789999999999999</v>
      </c>
      <c r="N1038">
        <v>4</v>
      </c>
      <c r="O1038">
        <v>108</v>
      </c>
      <c r="P1038">
        <v>112</v>
      </c>
      <c r="Q1038" s="17" t="str">
        <f t="shared" si="50"/>
        <v>Weekends</v>
      </c>
      <c r="R1038" s="17" t="str">
        <f t="shared" si="48"/>
        <v>Afternoon</v>
      </c>
      <c r="S1038" s="9" t="str">
        <f t="shared" si="49"/>
        <v>Mist</v>
      </c>
    </row>
    <row r="1039" spans="1:19" x14ac:dyDescent="0.25">
      <c r="A1039">
        <v>428</v>
      </c>
      <c r="B1039" s="19">
        <v>40571</v>
      </c>
      <c r="C1039">
        <v>1</v>
      </c>
      <c r="D1039">
        <v>1</v>
      </c>
      <c r="E1039">
        <v>15</v>
      </c>
      <c r="F1039" t="b">
        <v>0</v>
      </c>
      <c r="G1039">
        <v>5</v>
      </c>
      <c r="H1039">
        <v>2</v>
      </c>
      <c r="I1039">
        <v>0.2</v>
      </c>
      <c r="J1039">
        <v>427</v>
      </c>
      <c r="K1039">
        <v>0.30299999999999999</v>
      </c>
      <c r="L1039">
        <v>0.49</v>
      </c>
      <c r="M1039">
        <v>0.29849999999999999</v>
      </c>
      <c r="N1039">
        <v>2</v>
      </c>
      <c r="O1039">
        <v>74</v>
      </c>
      <c r="P1039">
        <v>76</v>
      </c>
      <c r="Q1039" s="17" t="str">
        <f t="shared" si="50"/>
        <v>Weekends</v>
      </c>
      <c r="R1039" s="17" t="str">
        <f t="shared" si="48"/>
        <v>Afternoon</v>
      </c>
      <c r="S1039" s="9" t="str">
        <f t="shared" si="49"/>
        <v>Mist</v>
      </c>
    </row>
    <row r="1040" spans="1:19" x14ac:dyDescent="0.25">
      <c r="A1040">
        <v>429</v>
      </c>
      <c r="B1040" s="19">
        <v>40571</v>
      </c>
      <c r="C1040">
        <v>1</v>
      </c>
      <c r="D1040">
        <v>1</v>
      </c>
      <c r="E1040">
        <v>15</v>
      </c>
      <c r="F1040" t="b">
        <v>0</v>
      </c>
      <c r="G1040">
        <v>5</v>
      </c>
      <c r="H1040">
        <v>2</v>
      </c>
      <c r="I1040">
        <v>0.2</v>
      </c>
      <c r="J1040">
        <v>428</v>
      </c>
      <c r="K1040">
        <v>0.28789999999999999</v>
      </c>
      <c r="L1040">
        <v>0.49</v>
      </c>
      <c r="M1040">
        <v>0.41789999999999999</v>
      </c>
      <c r="N1040">
        <v>4</v>
      </c>
      <c r="O1040">
        <v>55</v>
      </c>
      <c r="P1040">
        <v>59</v>
      </c>
      <c r="Q1040" s="17" t="str">
        <f t="shared" si="50"/>
        <v>Weekends</v>
      </c>
      <c r="R1040" s="17" t="str">
        <f t="shared" si="48"/>
        <v>Afternoon</v>
      </c>
      <c r="S1040" s="9" t="str">
        <f t="shared" si="49"/>
        <v>Mist</v>
      </c>
    </row>
    <row r="1041" spans="1:19" x14ac:dyDescent="0.25">
      <c r="A1041">
        <v>430</v>
      </c>
      <c r="B1041" s="19">
        <v>40571</v>
      </c>
      <c r="C1041">
        <v>1</v>
      </c>
      <c r="D1041">
        <v>1</v>
      </c>
      <c r="E1041">
        <v>15</v>
      </c>
      <c r="F1041" t="b">
        <v>0</v>
      </c>
      <c r="G1041">
        <v>5</v>
      </c>
      <c r="H1041">
        <v>2</v>
      </c>
      <c r="I1041">
        <v>0.2</v>
      </c>
      <c r="J1041">
        <v>429</v>
      </c>
      <c r="K1041">
        <v>0.30299999999999999</v>
      </c>
      <c r="L1041">
        <v>0.52</v>
      </c>
      <c r="M1041">
        <v>0.16420000000000001</v>
      </c>
      <c r="N1041">
        <v>6</v>
      </c>
      <c r="O1041">
        <v>53</v>
      </c>
      <c r="P1041">
        <v>59</v>
      </c>
      <c r="Q1041" s="17" t="str">
        <f t="shared" si="50"/>
        <v>Weekends</v>
      </c>
      <c r="R1041" s="17" t="str">
        <f t="shared" si="48"/>
        <v>Afternoon</v>
      </c>
      <c r="S1041" s="9" t="str">
        <f t="shared" si="49"/>
        <v>Mist</v>
      </c>
    </row>
    <row r="1042" spans="1:19" x14ac:dyDescent="0.25">
      <c r="A1042">
        <v>431</v>
      </c>
      <c r="B1042" s="19">
        <v>40571</v>
      </c>
      <c r="C1042">
        <v>1</v>
      </c>
      <c r="D1042">
        <v>1</v>
      </c>
      <c r="E1042">
        <v>15</v>
      </c>
      <c r="F1042" t="b">
        <v>0</v>
      </c>
      <c r="G1042">
        <v>5</v>
      </c>
      <c r="H1042">
        <v>2</v>
      </c>
      <c r="I1042">
        <v>0.2</v>
      </c>
      <c r="J1042">
        <v>430</v>
      </c>
      <c r="K1042">
        <v>0.2727</v>
      </c>
      <c r="L1042">
        <v>0.52</v>
      </c>
      <c r="M1042">
        <v>0.4627</v>
      </c>
      <c r="N1042">
        <v>1</v>
      </c>
      <c r="O1042">
        <v>27</v>
      </c>
      <c r="P1042">
        <v>28</v>
      </c>
      <c r="Q1042" s="17" t="str">
        <f t="shared" si="50"/>
        <v>Weekends</v>
      </c>
      <c r="R1042" s="17" t="str">
        <f t="shared" si="48"/>
        <v>Afternoon</v>
      </c>
      <c r="S1042" s="9" t="str">
        <f t="shared" si="49"/>
        <v>Mist</v>
      </c>
    </row>
    <row r="1043" spans="1:19" x14ac:dyDescent="0.25">
      <c r="A1043">
        <v>432</v>
      </c>
      <c r="B1043" s="19">
        <v>40571</v>
      </c>
      <c r="C1043">
        <v>1</v>
      </c>
      <c r="D1043">
        <v>1</v>
      </c>
      <c r="E1043">
        <v>15</v>
      </c>
      <c r="F1043" t="b">
        <v>0</v>
      </c>
      <c r="G1043">
        <v>5</v>
      </c>
      <c r="H1043">
        <v>2</v>
      </c>
      <c r="I1043">
        <v>0.2</v>
      </c>
      <c r="J1043">
        <v>431</v>
      </c>
      <c r="K1043">
        <v>0.2273</v>
      </c>
      <c r="L1043">
        <v>0.56000000000000005</v>
      </c>
      <c r="M1043">
        <v>0.3881</v>
      </c>
      <c r="N1043">
        <v>5</v>
      </c>
      <c r="O1043">
        <v>8</v>
      </c>
      <c r="P1043">
        <v>13</v>
      </c>
      <c r="Q1043" s="17" t="str">
        <f t="shared" si="50"/>
        <v>Weekends</v>
      </c>
      <c r="R1043" s="17" t="str">
        <f t="shared" si="48"/>
        <v>Afternoon</v>
      </c>
      <c r="S1043" s="9" t="str">
        <f t="shared" si="49"/>
        <v>Mist</v>
      </c>
    </row>
    <row r="1044" spans="1:19" x14ac:dyDescent="0.25">
      <c r="A1044">
        <v>433</v>
      </c>
      <c r="B1044" s="19">
        <v>40571</v>
      </c>
      <c r="C1044">
        <v>1</v>
      </c>
      <c r="D1044">
        <v>1</v>
      </c>
      <c r="E1044">
        <v>15</v>
      </c>
      <c r="F1044" t="b">
        <v>0</v>
      </c>
      <c r="G1044">
        <v>5</v>
      </c>
      <c r="H1044">
        <v>2</v>
      </c>
      <c r="I1044">
        <v>0.2</v>
      </c>
      <c r="J1044">
        <v>432</v>
      </c>
      <c r="K1044">
        <v>0.2727</v>
      </c>
      <c r="L1044">
        <v>0.56000000000000005</v>
      </c>
      <c r="M1044">
        <v>0</v>
      </c>
      <c r="N1044">
        <v>2</v>
      </c>
      <c r="O1044">
        <v>3</v>
      </c>
      <c r="P1044">
        <v>5</v>
      </c>
      <c r="Q1044" s="17" t="str">
        <f t="shared" si="50"/>
        <v>Weekends</v>
      </c>
      <c r="R1044" s="17" t="str">
        <f t="shared" si="48"/>
        <v>Afternoon</v>
      </c>
      <c r="S1044" s="9" t="str">
        <f t="shared" si="49"/>
        <v>Mist</v>
      </c>
    </row>
    <row r="1045" spans="1:19" x14ac:dyDescent="0.25">
      <c r="A1045">
        <v>434</v>
      </c>
      <c r="B1045" s="19">
        <v>40571</v>
      </c>
      <c r="C1045">
        <v>1</v>
      </c>
      <c r="D1045">
        <v>1</v>
      </c>
      <c r="E1045">
        <v>15</v>
      </c>
      <c r="F1045" t="b">
        <v>0</v>
      </c>
      <c r="G1045">
        <v>5</v>
      </c>
      <c r="H1045">
        <v>2</v>
      </c>
      <c r="I1045">
        <v>0.2</v>
      </c>
      <c r="J1045">
        <v>433</v>
      </c>
      <c r="K1045">
        <v>0.2727</v>
      </c>
      <c r="L1045">
        <v>0.56000000000000005</v>
      </c>
      <c r="M1045">
        <v>0</v>
      </c>
      <c r="N1045">
        <v>0</v>
      </c>
      <c r="O1045">
        <v>2</v>
      </c>
      <c r="P1045">
        <v>2</v>
      </c>
      <c r="Q1045" s="17" t="str">
        <f t="shared" si="50"/>
        <v>Weekends</v>
      </c>
      <c r="R1045" s="17" t="str">
        <f t="shared" si="48"/>
        <v>Afternoon</v>
      </c>
      <c r="S1045" s="9" t="str">
        <f t="shared" si="49"/>
        <v>Mist</v>
      </c>
    </row>
    <row r="1046" spans="1:19" x14ac:dyDescent="0.25">
      <c r="A1046">
        <v>435</v>
      </c>
      <c r="B1046" s="19">
        <v>40571</v>
      </c>
      <c r="C1046">
        <v>1</v>
      </c>
      <c r="D1046">
        <v>1</v>
      </c>
      <c r="E1046">
        <v>15</v>
      </c>
      <c r="F1046" t="b">
        <v>0</v>
      </c>
      <c r="G1046">
        <v>5</v>
      </c>
      <c r="H1046">
        <v>2</v>
      </c>
      <c r="I1046">
        <v>0.2</v>
      </c>
      <c r="J1046">
        <v>434</v>
      </c>
      <c r="K1046">
        <v>0.2576</v>
      </c>
      <c r="L1046">
        <v>0.56000000000000005</v>
      </c>
      <c r="M1046">
        <v>0.16420000000000001</v>
      </c>
      <c r="N1046">
        <v>0</v>
      </c>
      <c r="O1046">
        <v>1</v>
      </c>
      <c r="P1046">
        <v>1</v>
      </c>
      <c r="Q1046" s="17" t="str">
        <f t="shared" si="50"/>
        <v>Weekends</v>
      </c>
      <c r="R1046" s="17" t="str">
        <f t="shared" si="48"/>
        <v>Afternoon</v>
      </c>
      <c r="S1046" s="9" t="str">
        <f t="shared" si="49"/>
        <v>Mist</v>
      </c>
    </row>
    <row r="1047" spans="1:19" x14ac:dyDescent="0.25">
      <c r="A1047">
        <v>436</v>
      </c>
      <c r="B1047" s="19">
        <v>40571</v>
      </c>
      <c r="C1047">
        <v>1</v>
      </c>
      <c r="D1047">
        <v>1</v>
      </c>
      <c r="E1047">
        <v>15</v>
      </c>
      <c r="F1047" t="b">
        <v>0</v>
      </c>
      <c r="G1047">
        <v>5</v>
      </c>
      <c r="H1047">
        <v>2</v>
      </c>
      <c r="I1047">
        <v>0.2</v>
      </c>
      <c r="J1047">
        <v>435</v>
      </c>
      <c r="K1047">
        <v>0.2576</v>
      </c>
      <c r="L1047">
        <v>0.56000000000000005</v>
      </c>
      <c r="M1047">
        <v>0.16420000000000001</v>
      </c>
      <c r="N1047">
        <v>0</v>
      </c>
      <c r="O1047">
        <v>1</v>
      </c>
      <c r="P1047">
        <v>1</v>
      </c>
      <c r="Q1047" s="17" t="str">
        <f t="shared" si="50"/>
        <v>Weekends</v>
      </c>
      <c r="R1047" s="17" t="str">
        <f t="shared" si="48"/>
        <v>Afternoon</v>
      </c>
      <c r="S1047" s="9" t="str">
        <f t="shared" si="49"/>
        <v>Mist</v>
      </c>
    </row>
    <row r="1048" spans="1:19" x14ac:dyDescent="0.25">
      <c r="A1048">
        <v>437</v>
      </c>
      <c r="B1048" s="19">
        <v>40571</v>
      </c>
      <c r="C1048">
        <v>1</v>
      </c>
      <c r="D1048">
        <v>1</v>
      </c>
      <c r="E1048">
        <v>15</v>
      </c>
      <c r="F1048" t="b">
        <v>0</v>
      </c>
      <c r="G1048">
        <v>5</v>
      </c>
      <c r="H1048">
        <v>2</v>
      </c>
      <c r="I1048">
        <v>0.2</v>
      </c>
      <c r="J1048">
        <v>436</v>
      </c>
      <c r="K1048">
        <v>0.2273</v>
      </c>
      <c r="L1048">
        <v>0.6</v>
      </c>
      <c r="M1048">
        <v>0.22389999999999999</v>
      </c>
      <c r="N1048">
        <v>0</v>
      </c>
      <c r="O1048">
        <v>6</v>
      </c>
      <c r="P1048">
        <v>6</v>
      </c>
      <c r="Q1048" s="17" t="str">
        <f t="shared" si="50"/>
        <v>Weekends</v>
      </c>
      <c r="R1048" s="17" t="str">
        <f t="shared" si="48"/>
        <v>Afternoon</v>
      </c>
      <c r="S1048" s="9" t="str">
        <f t="shared" si="49"/>
        <v>Mist</v>
      </c>
    </row>
    <row r="1049" spans="1:19" x14ac:dyDescent="0.25">
      <c r="A1049">
        <v>438</v>
      </c>
      <c r="B1049" s="19">
        <v>40571</v>
      </c>
      <c r="C1049">
        <v>1</v>
      </c>
      <c r="D1049">
        <v>1</v>
      </c>
      <c r="E1049">
        <v>15</v>
      </c>
      <c r="F1049" t="b">
        <v>0</v>
      </c>
      <c r="G1049">
        <v>5</v>
      </c>
      <c r="H1049">
        <v>2</v>
      </c>
      <c r="I1049">
        <v>0.2</v>
      </c>
      <c r="J1049">
        <v>437</v>
      </c>
      <c r="K1049">
        <v>0.21210000000000001</v>
      </c>
      <c r="L1049">
        <v>0.6</v>
      </c>
      <c r="M1049">
        <v>0.22389999999999999</v>
      </c>
      <c r="N1049">
        <v>0</v>
      </c>
      <c r="O1049">
        <v>35</v>
      </c>
      <c r="P1049">
        <v>35</v>
      </c>
      <c r="Q1049" s="17" t="str">
        <f t="shared" si="50"/>
        <v>Weekends</v>
      </c>
      <c r="R1049" s="17" t="str">
        <f t="shared" si="48"/>
        <v>Afternoon</v>
      </c>
      <c r="S1049" s="9" t="str">
        <f t="shared" si="49"/>
        <v>Mist</v>
      </c>
    </row>
    <row r="1050" spans="1:19" x14ac:dyDescent="0.25">
      <c r="A1050">
        <v>439</v>
      </c>
      <c r="B1050" s="19">
        <v>40571</v>
      </c>
      <c r="C1050">
        <v>1</v>
      </c>
      <c r="D1050">
        <v>1</v>
      </c>
      <c r="E1050">
        <v>15</v>
      </c>
      <c r="F1050" t="b">
        <v>0</v>
      </c>
      <c r="G1050">
        <v>5</v>
      </c>
      <c r="H1050">
        <v>2</v>
      </c>
      <c r="I1050">
        <v>0.2</v>
      </c>
      <c r="J1050">
        <v>438</v>
      </c>
      <c r="K1050">
        <v>0.21210000000000001</v>
      </c>
      <c r="L1050">
        <v>0.55000000000000004</v>
      </c>
      <c r="M1050">
        <v>0.22389999999999999</v>
      </c>
      <c r="N1050">
        <v>1</v>
      </c>
      <c r="O1050">
        <v>100</v>
      </c>
      <c r="P1050">
        <v>101</v>
      </c>
      <c r="Q1050" s="17" t="str">
        <f t="shared" si="50"/>
        <v>Weekends</v>
      </c>
      <c r="R1050" s="17" t="str">
        <f t="shared" si="48"/>
        <v>Afternoon</v>
      </c>
      <c r="S1050" s="9" t="str">
        <f t="shared" si="49"/>
        <v>Mist</v>
      </c>
    </row>
    <row r="1051" spans="1:19" x14ac:dyDescent="0.25">
      <c r="A1051">
        <v>440</v>
      </c>
      <c r="B1051" s="19">
        <v>40571</v>
      </c>
      <c r="C1051">
        <v>1</v>
      </c>
      <c r="D1051">
        <v>1</v>
      </c>
      <c r="E1051">
        <v>15</v>
      </c>
      <c r="F1051" t="b">
        <v>0</v>
      </c>
      <c r="G1051">
        <v>5</v>
      </c>
      <c r="H1051">
        <v>2</v>
      </c>
      <c r="I1051">
        <v>0.2</v>
      </c>
      <c r="J1051">
        <v>439</v>
      </c>
      <c r="K1051">
        <v>0.21210000000000001</v>
      </c>
      <c r="L1051">
        <v>0.55000000000000004</v>
      </c>
      <c r="M1051">
        <v>0.28360000000000002</v>
      </c>
      <c r="N1051">
        <v>2</v>
      </c>
      <c r="O1051">
        <v>247</v>
      </c>
      <c r="P1051">
        <v>249</v>
      </c>
      <c r="Q1051" s="17" t="str">
        <f t="shared" si="50"/>
        <v>Weekends</v>
      </c>
      <c r="R1051" s="17" t="str">
        <f t="shared" si="48"/>
        <v>Afternoon</v>
      </c>
      <c r="S1051" s="9" t="str">
        <f t="shared" si="49"/>
        <v>Mist</v>
      </c>
    </row>
    <row r="1052" spans="1:19" x14ac:dyDescent="0.25">
      <c r="A1052">
        <v>441</v>
      </c>
      <c r="B1052" s="19">
        <v>40571</v>
      </c>
      <c r="C1052">
        <v>1</v>
      </c>
      <c r="D1052">
        <v>1</v>
      </c>
      <c r="E1052">
        <v>15</v>
      </c>
      <c r="F1052" t="b">
        <v>0</v>
      </c>
      <c r="G1052">
        <v>5</v>
      </c>
      <c r="H1052">
        <v>2</v>
      </c>
      <c r="I1052">
        <v>0.2</v>
      </c>
      <c r="J1052">
        <v>440</v>
      </c>
      <c r="K1052">
        <v>0.2273</v>
      </c>
      <c r="L1052">
        <v>0.52</v>
      </c>
      <c r="M1052">
        <v>0.22389999999999999</v>
      </c>
      <c r="N1052">
        <v>3</v>
      </c>
      <c r="O1052">
        <v>140</v>
      </c>
      <c r="P1052">
        <v>143</v>
      </c>
      <c r="Q1052" s="17" t="str">
        <f t="shared" si="50"/>
        <v>Weekends</v>
      </c>
      <c r="R1052" s="17" t="str">
        <f t="shared" si="48"/>
        <v>Afternoon</v>
      </c>
      <c r="S1052" s="9" t="str">
        <f t="shared" si="49"/>
        <v>Mist</v>
      </c>
    </row>
    <row r="1053" spans="1:19" x14ac:dyDescent="0.25">
      <c r="A1053">
        <v>442</v>
      </c>
      <c r="B1053" s="19">
        <v>40571</v>
      </c>
      <c r="C1053">
        <v>1</v>
      </c>
      <c r="D1053">
        <v>1</v>
      </c>
      <c r="E1053">
        <v>15</v>
      </c>
      <c r="F1053" t="b">
        <v>0</v>
      </c>
      <c r="G1053">
        <v>5</v>
      </c>
      <c r="H1053">
        <v>2</v>
      </c>
      <c r="I1053">
        <v>0.2</v>
      </c>
      <c r="J1053">
        <v>441</v>
      </c>
      <c r="K1053">
        <v>0.2273</v>
      </c>
      <c r="L1053">
        <v>0.48</v>
      </c>
      <c r="M1053">
        <v>0.29849999999999999</v>
      </c>
      <c r="N1053">
        <v>1</v>
      </c>
      <c r="O1053">
        <v>56</v>
      </c>
      <c r="P1053">
        <v>57</v>
      </c>
      <c r="Q1053" s="17" t="str">
        <f t="shared" si="50"/>
        <v>Weekends</v>
      </c>
      <c r="R1053" s="17" t="str">
        <f t="shared" si="48"/>
        <v>Afternoon</v>
      </c>
      <c r="S1053" s="9" t="str">
        <f t="shared" si="49"/>
        <v>Mist</v>
      </c>
    </row>
    <row r="1054" spans="1:19" x14ac:dyDescent="0.25">
      <c r="A1054">
        <v>443</v>
      </c>
      <c r="B1054" s="19">
        <v>40571</v>
      </c>
      <c r="C1054">
        <v>1</v>
      </c>
      <c r="D1054">
        <v>1</v>
      </c>
      <c r="E1054">
        <v>15</v>
      </c>
      <c r="F1054" t="b">
        <v>0</v>
      </c>
      <c r="G1054">
        <v>5</v>
      </c>
      <c r="H1054">
        <v>2</v>
      </c>
      <c r="I1054">
        <v>0.2</v>
      </c>
      <c r="J1054">
        <v>442</v>
      </c>
      <c r="K1054">
        <v>0.2727</v>
      </c>
      <c r="L1054">
        <v>0.45</v>
      </c>
      <c r="M1054">
        <v>0.16420000000000001</v>
      </c>
      <c r="N1054">
        <v>5</v>
      </c>
      <c r="O1054">
        <v>63</v>
      </c>
      <c r="P1054">
        <v>68</v>
      </c>
      <c r="Q1054" s="17" t="str">
        <f t="shared" si="50"/>
        <v>Weekends</v>
      </c>
      <c r="R1054" s="17" t="str">
        <f t="shared" si="48"/>
        <v>Afternoon</v>
      </c>
      <c r="S1054" s="9" t="str">
        <f t="shared" si="49"/>
        <v>Mist</v>
      </c>
    </row>
    <row r="1055" spans="1:19" x14ac:dyDescent="0.25">
      <c r="A1055">
        <v>444</v>
      </c>
      <c r="B1055" s="19">
        <v>40571</v>
      </c>
      <c r="C1055">
        <v>1</v>
      </c>
      <c r="D1055">
        <v>1</v>
      </c>
      <c r="E1055">
        <v>15</v>
      </c>
      <c r="F1055" t="b">
        <v>0</v>
      </c>
      <c r="G1055">
        <v>5</v>
      </c>
      <c r="H1055">
        <v>2</v>
      </c>
      <c r="I1055">
        <v>0.2</v>
      </c>
      <c r="J1055">
        <v>443</v>
      </c>
      <c r="K1055">
        <v>0.33329999999999999</v>
      </c>
      <c r="L1055">
        <v>0.42</v>
      </c>
      <c r="M1055">
        <v>0</v>
      </c>
      <c r="N1055">
        <v>7</v>
      </c>
      <c r="O1055">
        <v>77</v>
      </c>
      <c r="P1055">
        <v>84</v>
      </c>
      <c r="Q1055" s="17" t="str">
        <f t="shared" si="50"/>
        <v>Weekends</v>
      </c>
      <c r="R1055" s="17" t="str">
        <f t="shared" si="48"/>
        <v>Afternoon</v>
      </c>
      <c r="S1055" s="9" t="str">
        <f t="shared" si="49"/>
        <v>Mist</v>
      </c>
    </row>
    <row r="1056" spans="1:19" x14ac:dyDescent="0.25">
      <c r="A1056">
        <v>445</v>
      </c>
      <c r="B1056" s="19">
        <v>40571</v>
      </c>
      <c r="C1056">
        <v>1</v>
      </c>
      <c r="D1056">
        <v>1</v>
      </c>
      <c r="E1056">
        <v>15</v>
      </c>
      <c r="F1056" t="b">
        <v>0</v>
      </c>
      <c r="G1056">
        <v>5</v>
      </c>
      <c r="H1056">
        <v>2</v>
      </c>
      <c r="I1056">
        <v>0.2</v>
      </c>
      <c r="J1056">
        <v>444</v>
      </c>
      <c r="K1056">
        <v>0.28789999999999999</v>
      </c>
      <c r="L1056">
        <v>0.45</v>
      </c>
      <c r="M1056">
        <v>0.1045</v>
      </c>
      <c r="N1056">
        <v>12</v>
      </c>
      <c r="O1056">
        <v>86</v>
      </c>
      <c r="P1056">
        <v>98</v>
      </c>
      <c r="Q1056" s="17" t="str">
        <f t="shared" si="50"/>
        <v>Weekends</v>
      </c>
      <c r="R1056" s="17" t="str">
        <f t="shared" si="48"/>
        <v>Afternoon</v>
      </c>
      <c r="S1056" s="9" t="str">
        <f t="shared" si="49"/>
        <v>Mist</v>
      </c>
    </row>
    <row r="1057" spans="1:19" x14ac:dyDescent="0.25">
      <c r="A1057">
        <v>446</v>
      </c>
      <c r="B1057" s="19">
        <v>40571</v>
      </c>
      <c r="C1057">
        <v>1</v>
      </c>
      <c r="D1057">
        <v>1</v>
      </c>
      <c r="E1057">
        <v>15</v>
      </c>
      <c r="F1057" t="b">
        <v>0</v>
      </c>
      <c r="G1057">
        <v>5</v>
      </c>
      <c r="H1057">
        <v>2</v>
      </c>
      <c r="I1057">
        <v>0.2</v>
      </c>
      <c r="J1057">
        <v>445</v>
      </c>
      <c r="K1057">
        <v>0.30299999999999999</v>
      </c>
      <c r="L1057">
        <v>0.45</v>
      </c>
      <c r="M1057">
        <v>0.1343</v>
      </c>
      <c r="N1057">
        <v>6</v>
      </c>
      <c r="O1057">
        <v>75</v>
      </c>
      <c r="P1057">
        <v>81</v>
      </c>
      <c r="Q1057" s="17" t="str">
        <f t="shared" si="50"/>
        <v>Weekends</v>
      </c>
      <c r="R1057" s="17" t="str">
        <f t="shared" si="48"/>
        <v>Afternoon</v>
      </c>
      <c r="S1057" s="9" t="str">
        <f t="shared" si="49"/>
        <v>Mist</v>
      </c>
    </row>
    <row r="1058" spans="1:19" x14ac:dyDescent="0.25">
      <c r="A1058">
        <v>447</v>
      </c>
      <c r="B1058" s="19">
        <v>40571</v>
      </c>
      <c r="C1058">
        <v>1</v>
      </c>
      <c r="D1058">
        <v>1</v>
      </c>
      <c r="E1058">
        <v>15</v>
      </c>
      <c r="F1058" t="b">
        <v>0</v>
      </c>
      <c r="G1058">
        <v>5</v>
      </c>
      <c r="H1058">
        <v>2</v>
      </c>
      <c r="I1058">
        <v>0.2</v>
      </c>
      <c r="J1058">
        <v>446</v>
      </c>
      <c r="K1058">
        <v>0.31819999999999998</v>
      </c>
      <c r="L1058">
        <v>0.45</v>
      </c>
      <c r="M1058">
        <v>0.19400000000000001</v>
      </c>
      <c r="N1058">
        <v>8</v>
      </c>
      <c r="O1058">
        <v>62</v>
      </c>
      <c r="P1058">
        <v>70</v>
      </c>
      <c r="Q1058" s="17" t="str">
        <f t="shared" si="50"/>
        <v>Weekends</v>
      </c>
      <c r="R1058" s="17" t="str">
        <f t="shared" si="48"/>
        <v>Afternoon</v>
      </c>
      <c r="S1058" s="9" t="str">
        <f t="shared" si="49"/>
        <v>Mist</v>
      </c>
    </row>
    <row r="1059" spans="1:19" x14ac:dyDescent="0.25">
      <c r="A1059">
        <v>448</v>
      </c>
      <c r="B1059" s="19">
        <v>40571</v>
      </c>
      <c r="C1059">
        <v>1</v>
      </c>
      <c r="D1059">
        <v>1</v>
      </c>
      <c r="E1059">
        <v>15</v>
      </c>
      <c r="F1059" t="b">
        <v>0</v>
      </c>
      <c r="G1059">
        <v>5</v>
      </c>
      <c r="H1059">
        <v>2</v>
      </c>
      <c r="I1059">
        <v>0.2</v>
      </c>
      <c r="J1059">
        <v>447</v>
      </c>
      <c r="K1059">
        <v>0.30299999999999999</v>
      </c>
      <c r="L1059">
        <v>0.49</v>
      </c>
      <c r="M1059">
        <v>0.1343</v>
      </c>
      <c r="N1059">
        <v>8</v>
      </c>
      <c r="O1059">
        <v>83</v>
      </c>
      <c r="P1059">
        <v>91</v>
      </c>
      <c r="Q1059" s="17" t="str">
        <f t="shared" si="50"/>
        <v>Weekends</v>
      </c>
      <c r="R1059" s="17" t="str">
        <f t="shared" si="48"/>
        <v>Afternoon</v>
      </c>
      <c r="S1059" s="9" t="str">
        <f t="shared" si="49"/>
        <v>Mist</v>
      </c>
    </row>
    <row r="1060" spans="1:19" x14ac:dyDescent="0.25">
      <c r="A1060">
        <v>449</v>
      </c>
      <c r="B1060" s="19">
        <v>40571</v>
      </c>
      <c r="C1060">
        <v>1</v>
      </c>
      <c r="D1060">
        <v>1</v>
      </c>
      <c r="E1060">
        <v>15</v>
      </c>
      <c r="F1060" t="b">
        <v>0</v>
      </c>
      <c r="G1060">
        <v>5</v>
      </c>
      <c r="H1060">
        <v>2</v>
      </c>
      <c r="I1060">
        <v>0.2</v>
      </c>
      <c r="J1060">
        <v>448</v>
      </c>
      <c r="K1060">
        <v>0.31819999999999998</v>
      </c>
      <c r="L1060">
        <v>0.49</v>
      </c>
      <c r="M1060">
        <v>0.1045</v>
      </c>
      <c r="N1060">
        <v>8</v>
      </c>
      <c r="O1060">
        <v>207</v>
      </c>
      <c r="P1060">
        <v>215</v>
      </c>
      <c r="Q1060" s="17" t="str">
        <f t="shared" si="50"/>
        <v>Weekends</v>
      </c>
      <c r="R1060" s="17" t="str">
        <f t="shared" si="48"/>
        <v>Afternoon</v>
      </c>
      <c r="S1060" s="9" t="str">
        <f t="shared" si="49"/>
        <v>Mist</v>
      </c>
    </row>
    <row r="1061" spans="1:19" x14ac:dyDescent="0.25">
      <c r="A1061">
        <v>450</v>
      </c>
      <c r="B1061" s="19">
        <v>40571</v>
      </c>
      <c r="C1061">
        <v>1</v>
      </c>
      <c r="D1061">
        <v>1</v>
      </c>
      <c r="E1061">
        <v>15</v>
      </c>
      <c r="F1061" t="b">
        <v>0</v>
      </c>
      <c r="G1061">
        <v>5</v>
      </c>
      <c r="H1061">
        <v>2</v>
      </c>
      <c r="I1061">
        <v>0.2</v>
      </c>
      <c r="J1061">
        <v>449</v>
      </c>
      <c r="K1061">
        <v>0.2576</v>
      </c>
      <c r="L1061">
        <v>0.56000000000000005</v>
      </c>
      <c r="M1061">
        <v>0.19400000000000001</v>
      </c>
      <c r="N1061">
        <v>1</v>
      </c>
      <c r="O1061">
        <v>184</v>
      </c>
      <c r="P1061">
        <v>185</v>
      </c>
      <c r="Q1061" s="17" t="str">
        <f t="shared" si="50"/>
        <v>Weekends</v>
      </c>
      <c r="R1061" s="17" t="str">
        <f t="shared" si="48"/>
        <v>Afternoon</v>
      </c>
      <c r="S1061" s="9" t="str">
        <f t="shared" si="49"/>
        <v>Mist</v>
      </c>
    </row>
    <row r="1062" spans="1:19" x14ac:dyDescent="0.25">
      <c r="A1062">
        <v>451</v>
      </c>
      <c r="B1062" s="19">
        <v>40571</v>
      </c>
      <c r="C1062">
        <v>1</v>
      </c>
      <c r="D1062">
        <v>1</v>
      </c>
      <c r="E1062">
        <v>15</v>
      </c>
      <c r="F1062" t="b">
        <v>0</v>
      </c>
      <c r="G1062">
        <v>5</v>
      </c>
      <c r="H1062">
        <v>2</v>
      </c>
      <c r="I1062">
        <v>0.2</v>
      </c>
      <c r="J1062">
        <v>450</v>
      </c>
      <c r="K1062">
        <v>0.2273</v>
      </c>
      <c r="L1062">
        <v>0.56000000000000005</v>
      </c>
      <c r="M1062">
        <v>0.32840000000000003</v>
      </c>
      <c r="N1062">
        <v>6</v>
      </c>
      <c r="O1062">
        <v>146</v>
      </c>
      <c r="P1062">
        <v>152</v>
      </c>
      <c r="Q1062" s="17" t="str">
        <f t="shared" si="50"/>
        <v>Weekends</v>
      </c>
      <c r="R1062" s="17" t="str">
        <f t="shared" si="48"/>
        <v>Afternoon</v>
      </c>
      <c r="S1062" s="9" t="str">
        <f t="shared" si="49"/>
        <v>Mist</v>
      </c>
    </row>
    <row r="1063" spans="1:19" x14ac:dyDescent="0.25">
      <c r="A1063">
        <v>452</v>
      </c>
      <c r="B1063" s="19">
        <v>40571</v>
      </c>
      <c r="C1063">
        <v>1</v>
      </c>
      <c r="D1063">
        <v>1</v>
      </c>
      <c r="E1063">
        <v>15</v>
      </c>
      <c r="F1063" t="b">
        <v>0</v>
      </c>
      <c r="G1063">
        <v>5</v>
      </c>
      <c r="H1063">
        <v>2</v>
      </c>
      <c r="I1063">
        <v>0.2</v>
      </c>
      <c r="J1063">
        <v>451</v>
      </c>
      <c r="K1063">
        <v>0.2424</v>
      </c>
      <c r="L1063">
        <v>0.6</v>
      </c>
      <c r="M1063">
        <v>0.28360000000000002</v>
      </c>
      <c r="N1063">
        <v>2</v>
      </c>
      <c r="O1063">
        <v>124</v>
      </c>
      <c r="P1063">
        <v>126</v>
      </c>
      <c r="Q1063" s="17" t="str">
        <f t="shared" si="50"/>
        <v>Weekends</v>
      </c>
      <c r="R1063" s="17" t="str">
        <f t="shared" si="48"/>
        <v>Afternoon</v>
      </c>
      <c r="S1063" s="9" t="str">
        <f t="shared" si="49"/>
        <v>Mist</v>
      </c>
    </row>
    <row r="1064" spans="1:19" x14ac:dyDescent="0.25">
      <c r="A1064">
        <v>453</v>
      </c>
      <c r="B1064" s="19">
        <v>40571</v>
      </c>
      <c r="C1064">
        <v>1</v>
      </c>
      <c r="D1064">
        <v>1</v>
      </c>
      <c r="E1064">
        <v>15</v>
      </c>
      <c r="F1064" t="b">
        <v>0</v>
      </c>
      <c r="G1064">
        <v>5</v>
      </c>
      <c r="H1064">
        <v>2</v>
      </c>
      <c r="I1064">
        <v>0.2</v>
      </c>
      <c r="J1064">
        <v>452</v>
      </c>
      <c r="K1064">
        <v>0.2273</v>
      </c>
      <c r="L1064">
        <v>0.6</v>
      </c>
      <c r="M1064">
        <v>0.25369999999999998</v>
      </c>
      <c r="N1064">
        <v>3</v>
      </c>
      <c r="O1064">
        <v>54</v>
      </c>
      <c r="P1064">
        <v>57</v>
      </c>
      <c r="Q1064" s="17" t="str">
        <f t="shared" si="50"/>
        <v>Weekends</v>
      </c>
      <c r="R1064" s="17" t="str">
        <f t="shared" si="48"/>
        <v>Afternoon</v>
      </c>
      <c r="S1064" s="9" t="str">
        <f t="shared" si="49"/>
        <v>Mist</v>
      </c>
    </row>
    <row r="1065" spans="1:19" x14ac:dyDescent="0.25">
      <c r="A1065">
        <v>454</v>
      </c>
      <c r="B1065" s="19">
        <v>40571</v>
      </c>
      <c r="C1065">
        <v>1</v>
      </c>
      <c r="D1065">
        <v>1</v>
      </c>
      <c r="E1065">
        <v>15</v>
      </c>
      <c r="F1065" t="b">
        <v>0</v>
      </c>
      <c r="G1065">
        <v>5</v>
      </c>
      <c r="H1065">
        <v>2</v>
      </c>
      <c r="I1065">
        <v>0.2</v>
      </c>
      <c r="J1065">
        <v>453</v>
      </c>
      <c r="K1065">
        <v>0.21210000000000001</v>
      </c>
      <c r="L1065">
        <v>0.65</v>
      </c>
      <c r="M1065">
        <v>0.28360000000000002</v>
      </c>
      <c r="N1065">
        <v>0</v>
      </c>
      <c r="O1065">
        <v>56</v>
      </c>
      <c r="P1065">
        <v>56</v>
      </c>
      <c r="Q1065" s="17" t="str">
        <f t="shared" si="50"/>
        <v>Weekends</v>
      </c>
      <c r="R1065" s="17" t="str">
        <f t="shared" si="48"/>
        <v>Afternoon</v>
      </c>
      <c r="S1065" s="9" t="str">
        <f t="shared" si="49"/>
        <v>Mist</v>
      </c>
    </row>
    <row r="1066" spans="1:19" x14ac:dyDescent="0.25">
      <c r="A1066">
        <v>455</v>
      </c>
      <c r="B1066" s="19">
        <v>40571</v>
      </c>
      <c r="C1066">
        <v>1</v>
      </c>
      <c r="D1066">
        <v>1</v>
      </c>
      <c r="E1066">
        <v>15</v>
      </c>
      <c r="F1066" t="b">
        <v>0</v>
      </c>
      <c r="G1066">
        <v>5</v>
      </c>
      <c r="H1066">
        <v>2</v>
      </c>
      <c r="I1066">
        <v>0.2</v>
      </c>
      <c r="J1066">
        <v>454</v>
      </c>
      <c r="K1066">
        <v>0.21210000000000001</v>
      </c>
      <c r="L1066">
        <v>0.65</v>
      </c>
      <c r="M1066">
        <v>0.32840000000000003</v>
      </c>
      <c r="N1066">
        <v>3</v>
      </c>
      <c r="O1066">
        <v>28</v>
      </c>
      <c r="P1066">
        <v>31</v>
      </c>
      <c r="Q1066" s="17" t="str">
        <f t="shared" si="50"/>
        <v>Weekends</v>
      </c>
      <c r="R1066" s="17" t="str">
        <f t="shared" si="48"/>
        <v>Afternoon</v>
      </c>
      <c r="S1066" s="9" t="str">
        <f t="shared" si="49"/>
        <v>Mist</v>
      </c>
    </row>
    <row r="1067" spans="1:19" x14ac:dyDescent="0.25">
      <c r="A1067">
        <v>456</v>
      </c>
      <c r="B1067" s="19">
        <v>40571</v>
      </c>
      <c r="C1067">
        <v>1</v>
      </c>
      <c r="D1067">
        <v>1</v>
      </c>
      <c r="E1067">
        <v>15</v>
      </c>
      <c r="F1067" t="b">
        <v>0</v>
      </c>
      <c r="G1067">
        <v>5</v>
      </c>
      <c r="H1067">
        <v>2</v>
      </c>
      <c r="I1067">
        <v>0.2</v>
      </c>
      <c r="J1067">
        <v>455</v>
      </c>
      <c r="K1067">
        <v>0.2273</v>
      </c>
      <c r="L1067">
        <v>0.7</v>
      </c>
      <c r="M1067">
        <v>0.25369999999999998</v>
      </c>
      <c r="N1067">
        <v>1</v>
      </c>
      <c r="O1067">
        <v>20</v>
      </c>
      <c r="P1067">
        <v>21</v>
      </c>
      <c r="Q1067" s="17" t="str">
        <f t="shared" si="50"/>
        <v>Weekends</v>
      </c>
      <c r="R1067" s="17" t="str">
        <f t="shared" si="48"/>
        <v>Afternoon</v>
      </c>
      <c r="S1067" s="9" t="str">
        <f t="shared" si="49"/>
        <v>Mist</v>
      </c>
    </row>
    <row r="1068" spans="1:19" x14ac:dyDescent="0.25">
      <c r="A1068">
        <v>457</v>
      </c>
      <c r="B1068" s="19">
        <v>40571</v>
      </c>
      <c r="C1068">
        <v>1</v>
      </c>
      <c r="D1068">
        <v>1</v>
      </c>
      <c r="E1068">
        <v>15</v>
      </c>
      <c r="F1068" t="b">
        <v>0</v>
      </c>
      <c r="G1068">
        <v>5</v>
      </c>
      <c r="H1068">
        <v>2</v>
      </c>
      <c r="I1068">
        <v>0.2</v>
      </c>
      <c r="J1068">
        <v>456</v>
      </c>
      <c r="K1068">
        <v>0.2273</v>
      </c>
      <c r="L1068">
        <v>0.7</v>
      </c>
      <c r="M1068">
        <v>0.25369999999999998</v>
      </c>
      <c r="N1068">
        <v>0</v>
      </c>
      <c r="O1068">
        <v>6</v>
      </c>
      <c r="P1068">
        <v>6</v>
      </c>
      <c r="Q1068" s="17" t="str">
        <f t="shared" si="50"/>
        <v>Weekends</v>
      </c>
      <c r="R1068" s="17" t="str">
        <f t="shared" si="48"/>
        <v>Afternoon</v>
      </c>
      <c r="S1068" s="9" t="str">
        <f t="shared" si="49"/>
        <v>Mist</v>
      </c>
    </row>
    <row r="1069" spans="1:19" x14ac:dyDescent="0.25">
      <c r="A1069">
        <v>458</v>
      </c>
      <c r="B1069" s="19">
        <v>40571</v>
      </c>
      <c r="C1069">
        <v>1</v>
      </c>
      <c r="D1069">
        <v>1</v>
      </c>
      <c r="E1069">
        <v>15</v>
      </c>
      <c r="F1069" t="b">
        <v>0</v>
      </c>
      <c r="G1069">
        <v>5</v>
      </c>
      <c r="H1069">
        <v>2</v>
      </c>
      <c r="I1069">
        <v>0.2</v>
      </c>
      <c r="J1069">
        <v>457</v>
      </c>
      <c r="K1069">
        <v>0.2424</v>
      </c>
      <c r="L1069">
        <v>0.75</v>
      </c>
      <c r="M1069">
        <v>0.16420000000000001</v>
      </c>
      <c r="N1069">
        <v>0</v>
      </c>
      <c r="O1069">
        <v>2</v>
      </c>
      <c r="P1069">
        <v>2</v>
      </c>
      <c r="Q1069" s="17" t="str">
        <f t="shared" si="50"/>
        <v>Weekends</v>
      </c>
      <c r="R1069" s="17" t="str">
        <f t="shared" si="48"/>
        <v>Afternoon</v>
      </c>
      <c r="S1069" s="9" t="str">
        <f t="shared" si="49"/>
        <v>Mist</v>
      </c>
    </row>
    <row r="1070" spans="1:19" x14ac:dyDescent="0.25">
      <c r="A1070">
        <v>459</v>
      </c>
      <c r="B1070" s="19">
        <v>40571</v>
      </c>
      <c r="C1070">
        <v>1</v>
      </c>
      <c r="D1070">
        <v>1</v>
      </c>
      <c r="E1070">
        <v>15</v>
      </c>
      <c r="F1070" t="b">
        <v>0</v>
      </c>
      <c r="G1070">
        <v>5</v>
      </c>
      <c r="H1070">
        <v>2</v>
      </c>
      <c r="I1070">
        <v>0.2</v>
      </c>
      <c r="J1070">
        <v>458</v>
      </c>
      <c r="K1070">
        <v>0.21210000000000001</v>
      </c>
      <c r="L1070">
        <v>0.8</v>
      </c>
      <c r="M1070">
        <v>0.29849999999999999</v>
      </c>
      <c r="N1070">
        <v>0</v>
      </c>
      <c r="O1070">
        <v>1</v>
      </c>
      <c r="P1070">
        <v>1</v>
      </c>
      <c r="Q1070" s="17" t="str">
        <f t="shared" si="50"/>
        <v>Weekends</v>
      </c>
      <c r="R1070" s="17" t="str">
        <f t="shared" si="48"/>
        <v>Afternoon</v>
      </c>
      <c r="S1070" s="9" t="str">
        <f t="shared" si="49"/>
        <v>Mist</v>
      </c>
    </row>
    <row r="1071" spans="1:19" x14ac:dyDescent="0.25">
      <c r="A1071">
        <v>460</v>
      </c>
      <c r="B1071" s="19">
        <v>40571</v>
      </c>
      <c r="C1071">
        <v>1</v>
      </c>
      <c r="D1071">
        <v>1</v>
      </c>
      <c r="E1071">
        <v>15</v>
      </c>
      <c r="F1071" t="b">
        <v>0</v>
      </c>
      <c r="G1071">
        <v>5</v>
      </c>
      <c r="H1071">
        <v>2</v>
      </c>
      <c r="I1071">
        <v>0.2</v>
      </c>
      <c r="J1071">
        <v>459</v>
      </c>
      <c r="K1071">
        <v>0.2576</v>
      </c>
      <c r="L1071">
        <v>0.87</v>
      </c>
      <c r="M1071">
        <v>8.9599999999999999E-2</v>
      </c>
      <c r="N1071">
        <v>0</v>
      </c>
      <c r="O1071">
        <v>1</v>
      </c>
      <c r="P1071">
        <v>1</v>
      </c>
      <c r="Q1071" s="17" t="str">
        <f t="shared" si="50"/>
        <v>Weekends</v>
      </c>
      <c r="R1071" s="17" t="str">
        <f t="shared" si="48"/>
        <v>Afternoon</v>
      </c>
      <c r="S1071" s="9" t="str">
        <f t="shared" si="49"/>
        <v>Mist</v>
      </c>
    </row>
    <row r="1072" spans="1:19" x14ac:dyDescent="0.25">
      <c r="A1072">
        <v>461</v>
      </c>
      <c r="B1072" s="19">
        <v>40571</v>
      </c>
      <c r="C1072">
        <v>1</v>
      </c>
      <c r="D1072">
        <v>1</v>
      </c>
      <c r="E1072">
        <v>15</v>
      </c>
      <c r="F1072" t="b">
        <v>0</v>
      </c>
      <c r="G1072">
        <v>5</v>
      </c>
      <c r="H1072">
        <v>2</v>
      </c>
      <c r="I1072">
        <v>0.2</v>
      </c>
      <c r="J1072">
        <v>460</v>
      </c>
      <c r="K1072">
        <v>0.19700000000000001</v>
      </c>
      <c r="L1072">
        <v>0.6</v>
      </c>
      <c r="M1072">
        <v>0.41789999999999999</v>
      </c>
      <c r="N1072">
        <v>1</v>
      </c>
      <c r="O1072">
        <v>4</v>
      </c>
      <c r="P1072">
        <v>5</v>
      </c>
      <c r="Q1072" s="17" t="str">
        <f t="shared" si="50"/>
        <v>Weekends</v>
      </c>
      <c r="R1072" s="17" t="str">
        <f t="shared" si="48"/>
        <v>Afternoon</v>
      </c>
      <c r="S1072" s="9" t="str">
        <f t="shared" si="49"/>
        <v>Mist</v>
      </c>
    </row>
    <row r="1073" spans="1:19" x14ac:dyDescent="0.25">
      <c r="A1073">
        <v>462</v>
      </c>
      <c r="B1073" s="19">
        <v>40571</v>
      </c>
      <c r="C1073">
        <v>1</v>
      </c>
      <c r="D1073">
        <v>1</v>
      </c>
      <c r="E1073">
        <v>15</v>
      </c>
      <c r="F1073" t="b">
        <v>0</v>
      </c>
      <c r="G1073">
        <v>5</v>
      </c>
      <c r="H1073">
        <v>2</v>
      </c>
      <c r="I1073">
        <v>0.2</v>
      </c>
      <c r="J1073">
        <v>461</v>
      </c>
      <c r="K1073">
        <v>0.21210000000000001</v>
      </c>
      <c r="L1073">
        <v>0.55000000000000004</v>
      </c>
      <c r="M1073">
        <v>0.25369999999999998</v>
      </c>
      <c r="N1073">
        <v>0</v>
      </c>
      <c r="O1073">
        <v>27</v>
      </c>
      <c r="P1073">
        <v>27</v>
      </c>
      <c r="Q1073" s="17" t="str">
        <f t="shared" si="50"/>
        <v>Weekends</v>
      </c>
      <c r="R1073" s="17" t="str">
        <f t="shared" si="48"/>
        <v>Afternoon</v>
      </c>
      <c r="S1073" s="9" t="str">
        <f t="shared" si="49"/>
        <v>Mist</v>
      </c>
    </row>
    <row r="1074" spans="1:19" x14ac:dyDescent="0.25">
      <c r="A1074">
        <v>463</v>
      </c>
      <c r="B1074" s="19">
        <v>40571</v>
      </c>
      <c r="C1074">
        <v>1</v>
      </c>
      <c r="D1074">
        <v>1</v>
      </c>
      <c r="E1074">
        <v>15</v>
      </c>
      <c r="F1074" t="b">
        <v>0</v>
      </c>
      <c r="G1074">
        <v>5</v>
      </c>
      <c r="H1074">
        <v>2</v>
      </c>
      <c r="I1074">
        <v>0.2</v>
      </c>
      <c r="J1074">
        <v>462</v>
      </c>
      <c r="K1074">
        <v>0.18179999999999999</v>
      </c>
      <c r="L1074">
        <v>0.51</v>
      </c>
      <c r="M1074">
        <v>0.28360000000000002</v>
      </c>
      <c r="N1074">
        <v>2</v>
      </c>
      <c r="O1074">
        <v>66</v>
      </c>
      <c r="P1074">
        <v>68</v>
      </c>
      <c r="Q1074" s="17" t="str">
        <f t="shared" si="50"/>
        <v>Weekends</v>
      </c>
      <c r="R1074" s="17" t="str">
        <f t="shared" si="48"/>
        <v>Afternoon</v>
      </c>
      <c r="S1074" s="9" t="str">
        <f t="shared" si="49"/>
        <v>Mist</v>
      </c>
    </row>
    <row r="1075" spans="1:19" x14ac:dyDescent="0.25">
      <c r="A1075">
        <v>464</v>
      </c>
      <c r="B1075" s="19">
        <v>40571</v>
      </c>
      <c r="C1075">
        <v>1</v>
      </c>
      <c r="D1075">
        <v>1</v>
      </c>
      <c r="E1075">
        <v>15</v>
      </c>
      <c r="F1075" t="b">
        <v>0</v>
      </c>
      <c r="G1075">
        <v>5</v>
      </c>
      <c r="H1075">
        <v>2</v>
      </c>
      <c r="I1075">
        <v>0.2</v>
      </c>
      <c r="J1075">
        <v>463</v>
      </c>
      <c r="K1075">
        <v>0.18179999999999999</v>
      </c>
      <c r="L1075">
        <v>0.47</v>
      </c>
      <c r="M1075">
        <v>0.32840000000000003</v>
      </c>
      <c r="N1075">
        <v>7</v>
      </c>
      <c r="O1075">
        <v>210</v>
      </c>
      <c r="P1075">
        <v>217</v>
      </c>
      <c r="Q1075" s="17" t="str">
        <f t="shared" si="50"/>
        <v>Weekends</v>
      </c>
      <c r="R1075" s="17" t="str">
        <f t="shared" si="48"/>
        <v>Afternoon</v>
      </c>
      <c r="S1075" s="9" t="str">
        <f t="shared" si="49"/>
        <v>Mist</v>
      </c>
    </row>
    <row r="1076" spans="1:19" x14ac:dyDescent="0.25">
      <c r="A1076">
        <v>465</v>
      </c>
      <c r="B1076" s="19">
        <v>40571</v>
      </c>
      <c r="C1076">
        <v>1</v>
      </c>
      <c r="D1076">
        <v>1</v>
      </c>
      <c r="E1076">
        <v>15</v>
      </c>
      <c r="F1076" t="b">
        <v>0</v>
      </c>
      <c r="G1076">
        <v>5</v>
      </c>
      <c r="H1076">
        <v>2</v>
      </c>
      <c r="I1076">
        <v>0.2</v>
      </c>
      <c r="J1076">
        <v>464</v>
      </c>
      <c r="K1076">
        <v>0.18179999999999999</v>
      </c>
      <c r="L1076">
        <v>0.51</v>
      </c>
      <c r="M1076">
        <v>0.35820000000000002</v>
      </c>
      <c r="N1076">
        <v>7</v>
      </c>
      <c r="O1076">
        <v>159</v>
      </c>
      <c r="P1076">
        <v>166</v>
      </c>
      <c r="Q1076" s="17" t="str">
        <f t="shared" si="50"/>
        <v>Weekends</v>
      </c>
      <c r="R1076" s="17" t="str">
        <f t="shared" si="48"/>
        <v>Afternoon</v>
      </c>
      <c r="S1076" s="9" t="str">
        <f t="shared" si="49"/>
        <v>Mist</v>
      </c>
    </row>
    <row r="1077" spans="1:19" x14ac:dyDescent="0.25">
      <c r="A1077">
        <v>466</v>
      </c>
      <c r="B1077" s="19">
        <v>40571</v>
      </c>
      <c r="C1077">
        <v>1</v>
      </c>
      <c r="D1077">
        <v>1</v>
      </c>
      <c r="E1077">
        <v>15</v>
      </c>
      <c r="F1077" t="b">
        <v>0</v>
      </c>
      <c r="G1077">
        <v>5</v>
      </c>
      <c r="H1077">
        <v>2</v>
      </c>
      <c r="I1077">
        <v>0.2</v>
      </c>
      <c r="J1077">
        <v>465</v>
      </c>
      <c r="K1077">
        <v>0.16669999999999999</v>
      </c>
      <c r="L1077">
        <v>0.47</v>
      </c>
      <c r="M1077">
        <v>0.4627</v>
      </c>
      <c r="N1077">
        <v>6</v>
      </c>
      <c r="O1077">
        <v>57</v>
      </c>
      <c r="P1077">
        <v>63</v>
      </c>
      <c r="Q1077" s="17" t="str">
        <f t="shared" si="50"/>
        <v>Weekends</v>
      </c>
      <c r="R1077" s="17" t="str">
        <f t="shared" si="48"/>
        <v>Afternoon</v>
      </c>
      <c r="S1077" s="9" t="str">
        <f t="shared" si="49"/>
        <v>Mist</v>
      </c>
    </row>
    <row r="1078" spans="1:19" x14ac:dyDescent="0.25">
      <c r="A1078">
        <v>467</v>
      </c>
      <c r="B1078" s="19">
        <v>40571</v>
      </c>
      <c r="C1078">
        <v>1</v>
      </c>
      <c r="D1078">
        <v>1</v>
      </c>
      <c r="E1078">
        <v>15</v>
      </c>
      <c r="F1078" t="b">
        <v>0</v>
      </c>
      <c r="G1078">
        <v>5</v>
      </c>
      <c r="H1078">
        <v>2</v>
      </c>
      <c r="I1078">
        <v>0.2</v>
      </c>
      <c r="J1078">
        <v>466</v>
      </c>
      <c r="K1078">
        <v>0.18179999999999999</v>
      </c>
      <c r="L1078">
        <v>0.41</v>
      </c>
      <c r="M1078">
        <v>0.4627</v>
      </c>
      <c r="N1078">
        <v>6</v>
      </c>
      <c r="O1078">
        <v>53</v>
      </c>
      <c r="P1078">
        <v>59</v>
      </c>
      <c r="Q1078" s="17" t="str">
        <f t="shared" si="50"/>
        <v>Weekends</v>
      </c>
      <c r="R1078" s="17" t="str">
        <f t="shared" si="48"/>
        <v>Afternoon</v>
      </c>
      <c r="S1078" s="9" t="str">
        <f t="shared" si="49"/>
        <v>Mist</v>
      </c>
    </row>
    <row r="1079" spans="1:19" x14ac:dyDescent="0.25">
      <c r="A1079">
        <v>468</v>
      </c>
      <c r="B1079" s="19">
        <v>40571</v>
      </c>
      <c r="C1079">
        <v>1</v>
      </c>
      <c r="D1079">
        <v>1</v>
      </c>
      <c r="E1079">
        <v>15</v>
      </c>
      <c r="F1079" t="b">
        <v>0</v>
      </c>
      <c r="G1079">
        <v>5</v>
      </c>
      <c r="H1079">
        <v>2</v>
      </c>
      <c r="I1079">
        <v>0.2</v>
      </c>
      <c r="J1079">
        <v>467</v>
      </c>
      <c r="K1079">
        <v>0.18179999999999999</v>
      </c>
      <c r="L1079">
        <v>0.27</v>
      </c>
      <c r="M1079">
        <v>0.58209999999999995</v>
      </c>
      <c r="N1079">
        <v>11</v>
      </c>
      <c r="O1079">
        <v>67</v>
      </c>
      <c r="P1079">
        <v>78</v>
      </c>
      <c r="Q1079" s="17" t="str">
        <f t="shared" si="50"/>
        <v>Weekends</v>
      </c>
      <c r="R1079" s="17" t="str">
        <f t="shared" si="48"/>
        <v>Afternoon</v>
      </c>
      <c r="S1079" s="9" t="str">
        <f t="shared" si="49"/>
        <v>Mist</v>
      </c>
    </row>
    <row r="1080" spans="1:19" x14ac:dyDescent="0.25">
      <c r="A1080">
        <v>469</v>
      </c>
      <c r="B1080" s="19">
        <v>40571</v>
      </c>
      <c r="C1080">
        <v>1</v>
      </c>
      <c r="D1080">
        <v>1</v>
      </c>
      <c r="E1080">
        <v>15</v>
      </c>
      <c r="F1080" t="b">
        <v>0</v>
      </c>
      <c r="G1080">
        <v>5</v>
      </c>
      <c r="H1080">
        <v>2</v>
      </c>
      <c r="I1080">
        <v>0.2</v>
      </c>
      <c r="J1080">
        <v>468</v>
      </c>
      <c r="K1080">
        <v>0.1515</v>
      </c>
      <c r="L1080">
        <v>0.21</v>
      </c>
      <c r="M1080">
        <v>0.58209999999999995</v>
      </c>
      <c r="N1080">
        <v>8</v>
      </c>
      <c r="O1080">
        <v>65</v>
      </c>
      <c r="P1080">
        <v>73</v>
      </c>
      <c r="Q1080" s="17" t="str">
        <f t="shared" si="50"/>
        <v>Weekends</v>
      </c>
      <c r="R1080" s="17" t="str">
        <f t="shared" si="48"/>
        <v>Afternoon</v>
      </c>
      <c r="S1080" s="9" t="str">
        <f t="shared" si="49"/>
        <v>Mist</v>
      </c>
    </row>
    <row r="1081" spans="1:19" x14ac:dyDescent="0.25">
      <c r="A1081">
        <v>470</v>
      </c>
      <c r="B1081" s="19">
        <v>40571</v>
      </c>
      <c r="C1081">
        <v>1</v>
      </c>
      <c r="D1081">
        <v>1</v>
      </c>
      <c r="E1081">
        <v>15</v>
      </c>
      <c r="F1081" t="b">
        <v>0</v>
      </c>
      <c r="G1081">
        <v>5</v>
      </c>
      <c r="H1081">
        <v>2</v>
      </c>
      <c r="I1081">
        <v>0.2</v>
      </c>
      <c r="J1081">
        <v>469</v>
      </c>
      <c r="K1081">
        <v>0.1515</v>
      </c>
      <c r="L1081">
        <v>0.25</v>
      </c>
      <c r="M1081">
        <v>0.52239999999999998</v>
      </c>
      <c r="N1081">
        <v>6</v>
      </c>
      <c r="O1081">
        <v>56</v>
      </c>
      <c r="P1081">
        <v>62</v>
      </c>
      <c r="Q1081" s="17" t="str">
        <f t="shared" si="50"/>
        <v>Weekends</v>
      </c>
      <c r="R1081" s="17" t="str">
        <f t="shared" si="48"/>
        <v>Afternoon</v>
      </c>
      <c r="S1081" s="9" t="str">
        <f t="shared" si="49"/>
        <v>Mist</v>
      </c>
    </row>
    <row r="1082" spans="1:19" x14ac:dyDescent="0.25">
      <c r="A1082">
        <v>471</v>
      </c>
      <c r="B1082" s="19">
        <v>40571</v>
      </c>
      <c r="C1082">
        <v>1</v>
      </c>
      <c r="D1082">
        <v>1</v>
      </c>
      <c r="E1082">
        <v>15</v>
      </c>
      <c r="F1082" t="b">
        <v>0</v>
      </c>
      <c r="G1082">
        <v>5</v>
      </c>
      <c r="H1082">
        <v>2</v>
      </c>
      <c r="I1082">
        <v>0.2</v>
      </c>
      <c r="J1082">
        <v>470</v>
      </c>
      <c r="K1082">
        <v>0.1212</v>
      </c>
      <c r="L1082">
        <v>0.26</v>
      </c>
      <c r="M1082">
        <v>0.44779999999999998</v>
      </c>
      <c r="N1082">
        <v>4</v>
      </c>
      <c r="O1082">
        <v>61</v>
      </c>
      <c r="P1082">
        <v>65</v>
      </c>
      <c r="Q1082" s="17" t="str">
        <f t="shared" si="50"/>
        <v>Weekends</v>
      </c>
      <c r="R1082" s="17" t="str">
        <f t="shared" si="48"/>
        <v>Afternoon</v>
      </c>
      <c r="S1082" s="9" t="str">
        <f t="shared" si="49"/>
        <v>Mist</v>
      </c>
    </row>
    <row r="1083" spans="1:19" x14ac:dyDescent="0.25">
      <c r="A1083">
        <v>472</v>
      </c>
      <c r="B1083" s="19">
        <v>40571</v>
      </c>
      <c r="C1083">
        <v>1</v>
      </c>
      <c r="D1083">
        <v>1</v>
      </c>
      <c r="E1083">
        <v>15</v>
      </c>
      <c r="F1083" t="b">
        <v>0</v>
      </c>
      <c r="G1083">
        <v>5</v>
      </c>
      <c r="H1083">
        <v>2</v>
      </c>
      <c r="I1083">
        <v>0.2</v>
      </c>
      <c r="J1083">
        <v>471</v>
      </c>
      <c r="K1083">
        <v>0.13639999999999999</v>
      </c>
      <c r="L1083">
        <v>0.26</v>
      </c>
      <c r="M1083">
        <v>0.35820000000000002</v>
      </c>
      <c r="N1083">
        <v>0</v>
      </c>
      <c r="O1083">
        <v>97</v>
      </c>
      <c r="P1083">
        <v>97</v>
      </c>
      <c r="Q1083" s="17" t="str">
        <f t="shared" si="50"/>
        <v>Weekends</v>
      </c>
      <c r="R1083" s="17" t="str">
        <f t="shared" si="48"/>
        <v>Afternoon</v>
      </c>
      <c r="S1083" s="9" t="str">
        <f t="shared" si="49"/>
        <v>Mist</v>
      </c>
    </row>
    <row r="1084" spans="1:19" x14ac:dyDescent="0.25">
      <c r="A1084">
        <v>473</v>
      </c>
      <c r="B1084" s="19">
        <v>40571</v>
      </c>
      <c r="C1084">
        <v>1</v>
      </c>
      <c r="D1084">
        <v>1</v>
      </c>
      <c r="E1084">
        <v>15</v>
      </c>
      <c r="F1084" t="b">
        <v>0</v>
      </c>
      <c r="G1084">
        <v>5</v>
      </c>
      <c r="H1084">
        <v>2</v>
      </c>
      <c r="I1084">
        <v>0.2</v>
      </c>
      <c r="J1084">
        <v>472</v>
      </c>
      <c r="K1084">
        <v>0.1212</v>
      </c>
      <c r="L1084">
        <v>0.28000000000000003</v>
      </c>
      <c r="M1084">
        <v>0.35820000000000002</v>
      </c>
      <c r="N1084">
        <v>10</v>
      </c>
      <c r="O1084">
        <v>151</v>
      </c>
      <c r="P1084">
        <v>161</v>
      </c>
      <c r="Q1084" s="17" t="str">
        <f t="shared" si="50"/>
        <v>Weekends</v>
      </c>
      <c r="R1084" s="17" t="str">
        <f t="shared" si="48"/>
        <v>Afternoon</v>
      </c>
      <c r="S1084" s="9" t="str">
        <f t="shared" si="49"/>
        <v>Mist</v>
      </c>
    </row>
    <row r="1085" spans="1:19" x14ac:dyDescent="0.25">
      <c r="A1085">
        <v>474</v>
      </c>
      <c r="B1085" s="19">
        <v>40571</v>
      </c>
      <c r="C1085">
        <v>1</v>
      </c>
      <c r="D1085">
        <v>1</v>
      </c>
      <c r="E1085">
        <v>15</v>
      </c>
      <c r="F1085" t="b">
        <v>0</v>
      </c>
      <c r="G1085">
        <v>5</v>
      </c>
      <c r="H1085">
        <v>2</v>
      </c>
      <c r="I1085">
        <v>0.2</v>
      </c>
      <c r="J1085">
        <v>473</v>
      </c>
      <c r="K1085">
        <v>0.1212</v>
      </c>
      <c r="L1085">
        <v>0.3</v>
      </c>
      <c r="M1085">
        <v>0.25369999999999998</v>
      </c>
      <c r="N1085">
        <v>1</v>
      </c>
      <c r="O1085">
        <v>119</v>
      </c>
      <c r="P1085">
        <v>120</v>
      </c>
      <c r="Q1085" s="17" t="str">
        <f t="shared" si="50"/>
        <v>Weekends</v>
      </c>
      <c r="R1085" s="17" t="str">
        <f t="shared" si="48"/>
        <v>Afternoon</v>
      </c>
      <c r="S1085" s="9" t="str">
        <f t="shared" si="49"/>
        <v>Mist</v>
      </c>
    </row>
    <row r="1086" spans="1:19" x14ac:dyDescent="0.25">
      <c r="A1086">
        <v>475</v>
      </c>
      <c r="B1086" s="19">
        <v>40571</v>
      </c>
      <c r="C1086">
        <v>1</v>
      </c>
      <c r="D1086">
        <v>1</v>
      </c>
      <c r="E1086">
        <v>15</v>
      </c>
      <c r="F1086" t="b">
        <v>0</v>
      </c>
      <c r="G1086">
        <v>5</v>
      </c>
      <c r="H1086">
        <v>2</v>
      </c>
      <c r="I1086">
        <v>0.2</v>
      </c>
      <c r="J1086">
        <v>474</v>
      </c>
      <c r="K1086">
        <v>0.1061</v>
      </c>
      <c r="L1086">
        <v>0.3</v>
      </c>
      <c r="M1086">
        <v>0.32840000000000003</v>
      </c>
      <c r="N1086">
        <v>3</v>
      </c>
      <c r="O1086">
        <v>93</v>
      </c>
      <c r="P1086">
        <v>96</v>
      </c>
      <c r="Q1086" s="17" t="str">
        <f t="shared" si="50"/>
        <v>Weekends</v>
      </c>
      <c r="R1086" s="17" t="str">
        <f t="shared" si="48"/>
        <v>Afternoon</v>
      </c>
      <c r="S1086" s="9" t="str">
        <f t="shared" si="49"/>
        <v>Mist</v>
      </c>
    </row>
    <row r="1087" spans="1:19" x14ac:dyDescent="0.25">
      <c r="A1087">
        <v>476</v>
      </c>
      <c r="B1087" s="19">
        <v>40571</v>
      </c>
      <c r="C1087">
        <v>1</v>
      </c>
      <c r="D1087">
        <v>1</v>
      </c>
      <c r="E1087">
        <v>15</v>
      </c>
      <c r="F1087" t="b">
        <v>0</v>
      </c>
      <c r="G1087">
        <v>5</v>
      </c>
      <c r="H1087">
        <v>2</v>
      </c>
      <c r="I1087">
        <v>0.2</v>
      </c>
      <c r="J1087">
        <v>475</v>
      </c>
      <c r="K1087">
        <v>7.5800000000000006E-2</v>
      </c>
      <c r="L1087">
        <v>0.33</v>
      </c>
      <c r="M1087">
        <v>0.41789999999999999</v>
      </c>
      <c r="N1087">
        <v>1</v>
      </c>
      <c r="O1087">
        <v>52</v>
      </c>
      <c r="P1087">
        <v>53</v>
      </c>
      <c r="Q1087" s="17" t="str">
        <f t="shared" si="50"/>
        <v>Weekends</v>
      </c>
      <c r="R1087" s="17" t="str">
        <f t="shared" si="48"/>
        <v>Afternoon</v>
      </c>
      <c r="S1087" s="9" t="str">
        <f t="shared" si="49"/>
        <v>Mist</v>
      </c>
    </row>
    <row r="1088" spans="1:19" x14ac:dyDescent="0.25">
      <c r="A1088">
        <v>477</v>
      </c>
      <c r="B1088" s="19">
        <v>40571</v>
      </c>
      <c r="C1088">
        <v>1</v>
      </c>
      <c r="D1088">
        <v>1</v>
      </c>
      <c r="E1088">
        <v>15</v>
      </c>
      <c r="F1088" t="b">
        <v>0</v>
      </c>
      <c r="G1088">
        <v>5</v>
      </c>
      <c r="H1088">
        <v>2</v>
      </c>
      <c r="I1088">
        <v>0.2</v>
      </c>
      <c r="J1088">
        <v>476</v>
      </c>
      <c r="K1088">
        <v>7.5800000000000006E-2</v>
      </c>
      <c r="L1088">
        <v>0.38</v>
      </c>
      <c r="M1088">
        <v>0.28360000000000002</v>
      </c>
      <c r="N1088">
        <v>0</v>
      </c>
      <c r="O1088">
        <v>41</v>
      </c>
      <c r="P1088">
        <v>41</v>
      </c>
      <c r="Q1088" s="17" t="str">
        <f t="shared" si="50"/>
        <v>Weekends</v>
      </c>
      <c r="R1088" s="17" t="str">
        <f t="shared" si="48"/>
        <v>Afternoon</v>
      </c>
      <c r="S1088" s="9" t="str">
        <f t="shared" si="49"/>
        <v>Mist</v>
      </c>
    </row>
    <row r="1089" spans="1:19" x14ac:dyDescent="0.25">
      <c r="A1089">
        <v>478</v>
      </c>
      <c r="B1089" s="19">
        <v>40571</v>
      </c>
      <c r="C1089">
        <v>1</v>
      </c>
      <c r="D1089">
        <v>1</v>
      </c>
      <c r="E1089">
        <v>15</v>
      </c>
      <c r="F1089" t="b">
        <v>0</v>
      </c>
      <c r="G1089">
        <v>5</v>
      </c>
      <c r="H1089">
        <v>2</v>
      </c>
      <c r="I1089">
        <v>0.2</v>
      </c>
      <c r="J1089">
        <v>477</v>
      </c>
      <c r="K1089">
        <v>3.0300000000000001E-2</v>
      </c>
      <c r="L1089">
        <v>0.41</v>
      </c>
      <c r="M1089">
        <v>0.3881</v>
      </c>
      <c r="N1089">
        <v>1</v>
      </c>
      <c r="O1089">
        <v>33</v>
      </c>
      <c r="P1089">
        <v>34</v>
      </c>
      <c r="Q1089" s="17" t="str">
        <f t="shared" si="50"/>
        <v>Weekends</v>
      </c>
      <c r="R1089" s="17" t="str">
        <f t="shared" si="48"/>
        <v>Afternoon</v>
      </c>
      <c r="S1089" s="9" t="str">
        <f t="shared" si="49"/>
        <v>Mist</v>
      </c>
    </row>
    <row r="1090" spans="1:19" x14ac:dyDescent="0.25">
      <c r="A1090">
        <v>479</v>
      </c>
      <c r="B1090" s="19">
        <v>40571</v>
      </c>
      <c r="C1090">
        <v>1</v>
      </c>
      <c r="D1090">
        <v>1</v>
      </c>
      <c r="E1090">
        <v>15</v>
      </c>
      <c r="F1090" t="b">
        <v>0</v>
      </c>
      <c r="G1090">
        <v>5</v>
      </c>
      <c r="H1090">
        <v>2</v>
      </c>
      <c r="I1090">
        <v>0.2</v>
      </c>
      <c r="J1090">
        <v>478</v>
      </c>
      <c r="K1090">
        <v>4.5499999999999999E-2</v>
      </c>
      <c r="L1090">
        <v>0.38</v>
      </c>
      <c r="M1090">
        <v>0.32840000000000003</v>
      </c>
      <c r="N1090">
        <v>0</v>
      </c>
      <c r="O1090">
        <v>27</v>
      </c>
      <c r="P1090">
        <v>27</v>
      </c>
      <c r="Q1090" s="17" t="str">
        <f t="shared" si="50"/>
        <v>Weekends</v>
      </c>
      <c r="R1090" s="17" t="str">
        <f t="shared" ref="R1090:R1153" si="51">IF(E1090&lt;12,"Morning",IF(E1090&lt;16,"Afternoon",IF(E1090&lt;21,"Evening","Night")))</f>
        <v>Afternoon</v>
      </c>
      <c r="S1090" s="9" t="str">
        <f t="shared" ref="S1090:S1153" si="52">IF(H1090=1,"Clear",IF(H1090=2,"Mist",IF(H1090=3,"Light Snow/Rain","Heavy Rain/Snow")))</f>
        <v>Mist</v>
      </c>
    </row>
    <row r="1091" spans="1:19" x14ac:dyDescent="0.25">
      <c r="A1091">
        <v>480</v>
      </c>
      <c r="B1091" s="19">
        <v>40571</v>
      </c>
      <c r="C1091">
        <v>1</v>
      </c>
      <c r="D1091">
        <v>1</v>
      </c>
      <c r="E1091">
        <v>15</v>
      </c>
      <c r="F1091" t="b">
        <v>0</v>
      </c>
      <c r="G1091">
        <v>5</v>
      </c>
      <c r="H1091">
        <v>2</v>
      </c>
      <c r="I1091">
        <v>0.2</v>
      </c>
      <c r="J1091">
        <v>479</v>
      </c>
      <c r="K1091">
        <v>3.0300000000000001E-2</v>
      </c>
      <c r="L1091">
        <v>0.45</v>
      </c>
      <c r="M1091">
        <v>0.25369999999999998</v>
      </c>
      <c r="N1091">
        <v>0</v>
      </c>
      <c r="O1091">
        <v>13</v>
      </c>
      <c r="P1091">
        <v>13</v>
      </c>
      <c r="Q1091" s="17" t="str">
        <f t="shared" ref="Q1091:Q1154" si="53">IF(G1091&gt;=5,"Weekends","Weekdays")</f>
        <v>Weekends</v>
      </c>
      <c r="R1091" s="17" t="str">
        <f t="shared" si="51"/>
        <v>Afternoon</v>
      </c>
      <c r="S1091" s="9" t="str">
        <f t="shared" si="52"/>
        <v>Mist</v>
      </c>
    </row>
    <row r="1092" spans="1:19" x14ac:dyDescent="0.25">
      <c r="A1092">
        <v>481</v>
      </c>
      <c r="B1092" s="19">
        <v>40571</v>
      </c>
      <c r="C1092">
        <v>1</v>
      </c>
      <c r="D1092">
        <v>1</v>
      </c>
      <c r="E1092">
        <v>15</v>
      </c>
      <c r="F1092" t="b">
        <v>0</v>
      </c>
      <c r="G1092">
        <v>5</v>
      </c>
      <c r="H1092">
        <v>2</v>
      </c>
      <c r="I1092">
        <v>0.2</v>
      </c>
      <c r="J1092">
        <v>480</v>
      </c>
      <c r="K1092">
        <v>0</v>
      </c>
      <c r="L1092">
        <v>0.41</v>
      </c>
      <c r="M1092">
        <v>0.3881</v>
      </c>
      <c r="N1092">
        <v>3</v>
      </c>
      <c r="O1092">
        <v>9</v>
      </c>
      <c r="P1092">
        <v>12</v>
      </c>
      <c r="Q1092" s="17" t="str">
        <f t="shared" si="53"/>
        <v>Weekends</v>
      </c>
      <c r="R1092" s="17" t="str">
        <f t="shared" si="51"/>
        <v>Afternoon</v>
      </c>
      <c r="S1092" s="9" t="str">
        <f t="shared" si="52"/>
        <v>Mist</v>
      </c>
    </row>
    <row r="1093" spans="1:19" x14ac:dyDescent="0.25">
      <c r="A1093">
        <v>482</v>
      </c>
      <c r="B1093" s="19">
        <v>40571</v>
      </c>
      <c r="C1093">
        <v>1</v>
      </c>
      <c r="D1093">
        <v>1</v>
      </c>
      <c r="E1093">
        <v>15</v>
      </c>
      <c r="F1093" t="b">
        <v>0</v>
      </c>
      <c r="G1093">
        <v>5</v>
      </c>
      <c r="H1093">
        <v>2</v>
      </c>
      <c r="I1093">
        <v>0.2</v>
      </c>
      <c r="J1093">
        <v>481</v>
      </c>
      <c r="K1093">
        <v>3.0300000000000001E-2</v>
      </c>
      <c r="L1093">
        <v>0.41</v>
      </c>
      <c r="M1093">
        <v>0.25369999999999998</v>
      </c>
      <c r="N1093">
        <v>0</v>
      </c>
      <c r="O1093">
        <v>11</v>
      </c>
      <c r="P1093">
        <v>11</v>
      </c>
      <c r="Q1093" s="17" t="str">
        <f t="shared" si="53"/>
        <v>Weekends</v>
      </c>
      <c r="R1093" s="17" t="str">
        <f t="shared" si="51"/>
        <v>Afternoon</v>
      </c>
      <c r="S1093" s="9" t="str">
        <f t="shared" si="52"/>
        <v>Mist</v>
      </c>
    </row>
    <row r="1094" spans="1:19" x14ac:dyDescent="0.25">
      <c r="A1094">
        <v>483</v>
      </c>
      <c r="B1094" s="19">
        <v>40571</v>
      </c>
      <c r="C1094">
        <v>1</v>
      </c>
      <c r="D1094">
        <v>1</v>
      </c>
      <c r="E1094">
        <v>15</v>
      </c>
      <c r="F1094" t="b">
        <v>0</v>
      </c>
      <c r="G1094">
        <v>5</v>
      </c>
      <c r="H1094">
        <v>2</v>
      </c>
      <c r="I1094">
        <v>0.2</v>
      </c>
      <c r="J1094">
        <v>482</v>
      </c>
      <c r="K1094">
        <v>3.0300000000000001E-2</v>
      </c>
      <c r="L1094">
        <v>0.41</v>
      </c>
      <c r="M1094">
        <v>0.28360000000000002</v>
      </c>
      <c r="N1094">
        <v>1</v>
      </c>
      <c r="O1094">
        <v>6</v>
      </c>
      <c r="P1094">
        <v>7</v>
      </c>
      <c r="Q1094" s="17" t="str">
        <f t="shared" si="53"/>
        <v>Weekends</v>
      </c>
      <c r="R1094" s="17" t="str">
        <f t="shared" si="51"/>
        <v>Afternoon</v>
      </c>
      <c r="S1094" s="9" t="str">
        <f t="shared" si="52"/>
        <v>Mist</v>
      </c>
    </row>
    <row r="1095" spans="1:19" x14ac:dyDescent="0.25">
      <c r="A1095">
        <v>484</v>
      </c>
      <c r="B1095" s="19">
        <v>40571</v>
      </c>
      <c r="C1095">
        <v>1</v>
      </c>
      <c r="D1095">
        <v>1</v>
      </c>
      <c r="E1095">
        <v>15</v>
      </c>
      <c r="F1095" t="b">
        <v>0</v>
      </c>
      <c r="G1095">
        <v>5</v>
      </c>
      <c r="H1095">
        <v>2</v>
      </c>
      <c r="I1095">
        <v>0.2</v>
      </c>
      <c r="J1095">
        <v>483</v>
      </c>
      <c r="K1095">
        <v>1.52E-2</v>
      </c>
      <c r="L1095">
        <v>0.48</v>
      </c>
      <c r="M1095">
        <v>0.29849999999999999</v>
      </c>
      <c r="N1095">
        <v>0</v>
      </c>
      <c r="O1095">
        <v>3</v>
      </c>
      <c r="P1095">
        <v>3</v>
      </c>
      <c r="Q1095" s="17" t="str">
        <f t="shared" si="53"/>
        <v>Weekends</v>
      </c>
      <c r="R1095" s="17" t="str">
        <f t="shared" si="51"/>
        <v>Afternoon</v>
      </c>
      <c r="S1095" s="9" t="str">
        <f t="shared" si="52"/>
        <v>Mist</v>
      </c>
    </row>
    <row r="1096" spans="1:19" x14ac:dyDescent="0.25">
      <c r="A1096">
        <v>485</v>
      </c>
      <c r="B1096" s="19">
        <v>40571</v>
      </c>
      <c r="C1096">
        <v>1</v>
      </c>
      <c r="D1096">
        <v>1</v>
      </c>
      <c r="E1096">
        <v>15</v>
      </c>
      <c r="F1096" t="b">
        <v>0</v>
      </c>
      <c r="G1096">
        <v>5</v>
      </c>
      <c r="H1096">
        <v>2</v>
      </c>
      <c r="I1096">
        <v>0.2</v>
      </c>
      <c r="J1096">
        <v>484</v>
      </c>
      <c r="K1096">
        <v>3.0300000000000001E-2</v>
      </c>
      <c r="L1096">
        <v>0.44</v>
      </c>
      <c r="M1096">
        <v>0.22389999999999999</v>
      </c>
      <c r="N1096">
        <v>0</v>
      </c>
      <c r="O1096">
        <v>2</v>
      </c>
      <c r="P1096">
        <v>2</v>
      </c>
      <c r="Q1096" s="17" t="str">
        <f t="shared" si="53"/>
        <v>Weekends</v>
      </c>
      <c r="R1096" s="17" t="str">
        <f t="shared" si="51"/>
        <v>Afternoon</v>
      </c>
      <c r="S1096" s="9" t="str">
        <f t="shared" si="52"/>
        <v>Mist</v>
      </c>
    </row>
    <row r="1097" spans="1:19" x14ac:dyDescent="0.25">
      <c r="A1097">
        <v>486</v>
      </c>
      <c r="B1097" s="19">
        <v>40571</v>
      </c>
      <c r="C1097">
        <v>1</v>
      </c>
      <c r="D1097">
        <v>1</v>
      </c>
      <c r="E1097">
        <v>15</v>
      </c>
      <c r="F1097" t="b">
        <v>0</v>
      </c>
      <c r="G1097">
        <v>5</v>
      </c>
      <c r="H1097">
        <v>2</v>
      </c>
      <c r="I1097">
        <v>0.2</v>
      </c>
      <c r="J1097">
        <v>485</v>
      </c>
      <c r="K1097">
        <v>1.52E-2</v>
      </c>
      <c r="L1097">
        <v>0.44</v>
      </c>
      <c r="M1097">
        <v>0.28360000000000002</v>
      </c>
      <c r="N1097">
        <v>0</v>
      </c>
      <c r="O1097">
        <v>8</v>
      </c>
      <c r="P1097">
        <v>8</v>
      </c>
      <c r="Q1097" s="17" t="str">
        <f t="shared" si="53"/>
        <v>Weekends</v>
      </c>
      <c r="R1097" s="17" t="str">
        <f t="shared" si="51"/>
        <v>Afternoon</v>
      </c>
      <c r="S1097" s="9" t="str">
        <f t="shared" si="52"/>
        <v>Mist</v>
      </c>
    </row>
    <row r="1098" spans="1:19" x14ac:dyDescent="0.25">
      <c r="A1098">
        <v>487</v>
      </c>
      <c r="B1098" s="19">
        <v>40571</v>
      </c>
      <c r="C1098">
        <v>1</v>
      </c>
      <c r="D1098">
        <v>1</v>
      </c>
      <c r="E1098">
        <v>15</v>
      </c>
      <c r="F1098" t="b">
        <v>0</v>
      </c>
      <c r="G1098">
        <v>5</v>
      </c>
      <c r="H1098">
        <v>2</v>
      </c>
      <c r="I1098">
        <v>0.2</v>
      </c>
      <c r="J1098">
        <v>486</v>
      </c>
      <c r="K1098">
        <v>0</v>
      </c>
      <c r="L1098">
        <v>0.44</v>
      </c>
      <c r="M1098">
        <v>0.32840000000000003</v>
      </c>
      <c r="N1098">
        <v>1</v>
      </c>
      <c r="O1098">
        <v>26</v>
      </c>
      <c r="P1098">
        <v>27</v>
      </c>
      <c r="Q1098" s="17" t="str">
        <f t="shared" si="53"/>
        <v>Weekends</v>
      </c>
      <c r="R1098" s="17" t="str">
        <f t="shared" si="51"/>
        <v>Afternoon</v>
      </c>
      <c r="S1098" s="9" t="str">
        <f t="shared" si="52"/>
        <v>Mist</v>
      </c>
    </row>
    <row r="1099" spans="1:19" x14ac:dyDescent="0.25">
      <c r="A1099">
        <v>488</v>
      </c>
      <c r="B1099" s="19">
        <v>40571</v>
      </c>
      <c r="C1099">
        <v>1</v>
      </c>
      <c r="D1099">
        <v>1</v>
      </c>
      <c r="E1099">
        <v>15</v>
      </c>
      <c r="F1099" t="b">
        <v>0</v>
      </c>
      <c r="G1099">
        <v>5</v>
      </c>
      <c r="H1099">
        <v>2</v>
      </c>
      <c r="I1099">
        <v>0.2</v>
      </c>
      <c r="J1099">
        <v>487</v>
      </c>
      <c r="K1099">
        <v>3.0300000000000001E-2</v>
      </c>
      <c r="L1099">
        <v>0.41</v>
      </c>
      <c r="M1099">
        <v>0.25369999999999998</v>
      </c>
      <c r="N1099">
        <v>3</v>
      </c>
      <c r="O1099">
        <v>37</v>
      </c>
      <c r="P1099">
        <v>40</v>
      </c>
      <c r="Q1099" s="17" t="str">
        <f t="shared" si="53"/>
        <v>Weekends</v>
      </c>
      <c r="R1099" s="17" t="str">
        <f t="shared" si="51"/>
        <v>Afternoon</v>
      </c>
      <c r="S1099" s="9" t="str">
        <f t="shared" si="52"/>
        <v>Mist</v>
      </c>
    </row>
    <row r="1100" spans="1:19" x14ac:dyDescent="0.25">
      <c r="A1100">
        <v>489</v>
      </c>
      <c r="B1100" s="19">
        <v>40571</v>
      </c>
      <c r="C1100">
        <v>1</v>
      </c>
      <c r="D1100">
        <v>1</v>
      </c>
      <c r="E1100">
        <v>15</v>
      </c>
      <c r="F1100" t="b">
        <v>0</v>
      </c>
      <c r="G1100">
        <v>5</v>
      </c>
      <c r="H1100">
        <v>2</v>
      </c>
      <c r="I1100">
        <v>0.2</v>
      </c>
      <c r="J1100">
        <v>488</v>
      </c>
      <c r="K1100">
        <v>6.0600000000000001E-2</v>
      </c>
      <c r="L1100">
        <v>0.41</v>
      </c>
      <c r="M1100">
        <v>0.16420000000000001</v>
      </c>
      <c r="N1100">
        <v>3</v>
      </c>
      <c r="O1100">
        <v>50</v>
      </c>
      <c r="P1100">
        <v>53</v>
      </c>
      <c r="Q1100" s="17" t="str">
        <f t="shared" si="53"/>
        <v>Weekends</v>
      </c>
      <c r="R1100" s="17" t="str">
        <f t="shared" si="51"/>
        <v>Afternoon</v>
      </c>
      <c r="S1100" s="9" t="str">
        <f t="shared" si="52"/>
        <v>Mist</v>
      </c>
    </row>
    <row r="1101" spans="1:19" x14ac:dyDescent="0.25">
      <c r="A1101">
        <v>490</v>
      </c>
      <c r="B1101" s="19">
        <v>40571</v>
      </c>
      <c r="C1101">
        <v>1</v>
      </c>
      <c r="D1101">
        <v>1</v>
      </c>
      <c r="E1101">
        <v>15</v>
      </c>
      <c r="F1101" t="b">
        <v>0</v>
      </c>
      <c r="G1101">
        <v>5</v>
      </c>
      <c r="H1101">
        <v>2</v>
      </c>
      <c r="I1101">
        <v>0.2</v>
      </c>
      <c r="J1101">
        <v>489</v>
      </c>
      <c r="K1101">
        <v>7.5800000000000006E-2</v>
      </c>
      <c r="L1101">
        <v>0.38</v>
      </c>
      <c r="M1101">
        <v>0.1343</v>
      </c>
      <c r="N1101">
        <v>4</v>
      </c>
      <c r="O1101">
        <v>59</v>
      </c>
      <c r="P1101">
        <v>63</v>
      </c>
      <c r="Q1101" s="17" t="str">
        <f t="shared" si="53"/>
        <v>Weekends</v>
      </c>
      <c r="R1101" s="17" t="str">
        <f t="shared" si="51"/>
        <v>Afternoon</v>
      </c>
      <c r="S1101" s="9" t="str">
        <f t="shared" si="52"/>
        <v>Mist</v>
      </c>
    </row>
    <row r="1102" spans="1:19" x14ac:dyDescent="0.25">
      <c r="A1102">
        <v>491</v>
      </c>
      <c r="B1102" s="19">
        <v>40571</v>
      </c>
      <c r="C1102">
        <v>1</v>
      </c>
      <c r="D1102">
        <v>1</v>
      </c>
      <c r="E1102">
        <v>15</v>
      </c>
      <c r="F1102" t="b">
        <v>0</v>
      </c>
      <c r="G1102">
        <v>5</v>
      </c>
      <c r="H1102">
        <v>2</v>
      </c>
      <c r="I1102">
        <v>0.2</v>
      </c>
      <c r="J1102">
        <v>490</v>
      </c>
      <c r="K1102">
        <v>0.1061</v>
      </c>
      <c r="L1102">
        <v>0.38</v>
      </c>
      <c r="M1102">
        <v>0.1045</v>
      </c>
      <c r="N1102">
        <v>10</v>
      </c>
      <c r="O1102">
        <v>60</v>
      </c>
      <c r="P1102">
        <v>70</v>
      </c>
      <c r="Q1102" s="17" t="str">
        <f t="shared" si="53"/>
        <v>Weekends</v>
      </c>
      <c r="R1102" s="17" t="str">
        <f t="shared" si="51"/>
        <v>Afternoon</v>
      </c>
      <c r="S1102" s="9" t="str">
        <f t="shared" si="52"/>
        <v>Mist</v>
      </c>
    </row>
    <row r="1103" spans="1:19" x14ac:dyDescent="0.25">
      <c r="A1103">
        <v>492</v>
      </c>
      <c r="B1103" s="19">
        <v>40571</v>
      </c>
      <c r="C1103">
        <v>1</v>
      </c>
      <c r="D1103">
        <v>1</v>
      </c>
      <c r="E1103">
        <v>15</v>
      </c>
      <c r="F1103" t="b">
        <v>0</v>
      </c>
      <c r="G1103">
        <v>5</v>
      </c>
      <c r="H1103">
        <v>2</v>
      </c>
      <c r="I1103">
        <v>0.2</v>
      </c>
      <c r="J1103">
        <v>491</v>
      </c>
      <c r="K1103">
        <v>0.16669999999999999</v>
      </c>
      <c r="L1103">
        <v>0.35</v>
      </c>
      <c r="M1103">
        <v>0</v>
      </c>
      <c r="N1103">
        <v>12</v>
      </c>
      <c r="O1103">
        <v>72</v>
      </c>
      <c r="P1103">
        <v>84</v>
      </c>
      <c r="Q1103" s="17" t="str">
        <f t="shared" si="53"/>
        <v>Weekends</v>
      </c>
      <c r="R1103" s="17" t="str">
        <f t="shared" si="51"/>
        <v>Afternoon</v>
      </c>
      <c r="S1103" s="9" t="str">
        <f t="shared" si="52"/>
        <v>Mist</v>
      </c>
    </row>
    <row r="1104" spans="1:19" x14ac:dyDescent="0.25">
      <c r="A1104">
        <v>493</v>
      </c>
      <c r="B1104" s="19">
        <v>40571</v>
      </c>
      <c r="C1104">
        <v>1</v>
      </c>
      <c r="D1104">
        <v>1</v>
      </c>
      <c r="E1104">
        <v>15</v>
      </c>
      <c r="F1104" t="b">
        <v>0</v>
      </c>
      <c r="G1104">
        <v>5</v>
      </c>
      <c r="H1104">
        <v>2</v>
      </c>
      <c r="I1104">
        <v>0.2</v>
      </c>
      <c r="J1104">
        <v>492</v>
      </c>
      <c r="K1104">
        <v>0.13639999999999999</v>
      </c>
      <c r="L1104">
        <v>0.33</v>
      </c>
      <c r="M1104">
        <v>0.1045</v>
      </c>
      <c r="N1104">
        <v>11</v>
      </c>
      <c r="O1104">
        <v>64</v>
      </c>
      <c r="P1104">
        <v>75</v>
      </c>
      <c r="Q1104" s="17" t="str">
        <f t="shared" si="53"/>
        <v>Weekends</v>
      </c>
      <c r="R1104" s="17" t="str">
        <f t="shared" si="51"/>
        <v>Afternoon</v>
      </c>
      <c r="S1104" s="9" t="str">
        <f t="shared" si="52"/>
        <v>Mist</v>
      </c>
    </row>
    <row r="1105" spans="1:19" x14ac:dyDescent="0.25">
      <c r="A1105">
        <v>494</v>
      </c>
      <c r="B1105" s="19">
        <v>40571</v>
      </c>
      <c r="C1105">
        <v>1</v>
      </c>
      <c r="D1105">
        <v>1</v>
      </c>
      <c r="E1105">
        <v>15</v>
      </c>
      <c r="F1105" t="b">
        <v>0</v>
      </c>
      <c r="G1105">
        <v>5</v>
      </c>
      <c r="H1105">
        <v>2</v>
      </c>
      <c r="I1105">
        <v>0.2</v>
      </c>
      <c r="J1105">
        <v>493</v>
      </c>
      <c r="K1105">
        <v>0.1515</v>
      </c>
      <c r="L1105">
        <v>0.28000000000000003</v>
      </c>
      <c r="M1105">
        <v>0</v>
      </c>
      <c r="N1105">
        <v>10</v>
      </c>
      <c r="O1105">
        <v>93</v>
      </c>
      <c r="P1105">
        <v>103</v>
      </c>
      <c r="Q1105" s="17" t="str">
        <f t="shared" si="53"/>
        <v>Weekends</v>
      </c>
      <c r="R1105" s="17" t="str">
        <f t="shared" si="51"/>
        <v>Afternoon</v>
      </c>
      <c r="S1105" s="9" t="str">
        <f t="shared" si="52"/>
        <v>Mist</v>
      </c>
    </row>
    <row r="1106" spans="1:19" x14ac:dyDescent="0.25">
      <c r="A1106">
        <v>495</v>
      </c>
      <c r="B1106" s="19">
        <v>40571</v>
      </c>
      <c r="C1106">
        <v>1</v>
      </c>
      <c r="D1106">
        <v>1</v>
      </c>
      <c r="E1106">
        <v>15</v>
      </c>
      <c r="F1106" t="b">
        <v>0</v>
      </c>
      <c r="G1106">
        <v>5</v>
      </c>
      <c r="H1106">
        <v>2</v>
      </c>
      <c r="I1106">
        <v>0.2</v>
      </c>
      <c r="J1106">
        <v>494</v>
      </c>
      <c r="K1106">
        <v>0.13639999999999999</v>
      </c>
      <c r="L1106">
        <v>0.28000000000000003</v>
      </c>
      <c r="M1106">
        <v>0.19400000000000001</v>
      </c>
      <c r="N1106">
        <v>11</v>
      </c>
      <c r="O1106">
        <v>72</v>
      </c>
      <c r="P1106">
        <v>83</v>
      </c>
      <c r="Q1106" s="17" t="str">
        <f t="shared" si="53"/>
        <v>Weekends</v>
      </c>
      <c r="R1106" s="17" t="str">
        <f t="shared" si="51"/>
        <v>Afternoon</v>
      </c>
      <c r="S1106" s="9" t="str">
        <f t="shared" si="52"/>
        <v>Mist</v>
      </c>
    </row>
    <row r="1107" spans="1:19" x14ac:dyDescent="0.25">
      <c r="A1107">
        <v>496</v>
      </c>
      <c r="B1107" s="19">
        <v>40571</v>
      </c>
      <c r="C1107">
        <v>1</v>
      </c>
      <c r="D1107">
        <v>1</v>
      </c>
      <c r="E1107">
        <v>15</v>
      </c>
      <c r="F1107" t="b">
        <v>0</v>
      </c>
      <c r="G1107">
        <v>5</v>
      </c>
      <c r="H1107">
        <v>2</v>
      </c>
      <c r="I1107">
        <v>0.2</v>
      </c>
      <c r="J1107">
        <v>495</v>
      </c>
      <c r="K1107">
        <v>0.19700000000000001</v>
      </c>
      <c r="L1107">
        <v>0.28000000000000003</v>
      </c>
      <c r="M1107">
        <v>0</v>
      </c>
      <c r="N1107">
        <v>8</v>
      </c>
      <c r="O1107">
        <v>59</v>
      </c>
      <c r="P1107">
        <v>67</v>
      </c>
      <c r="Q1107" s="17" t="str">
        <f t="shared" si="53"/>
        <v>Weekends</v>
      </c>
      <c r="R1107" s="17" t="str">
        <f t="shared" si="51"/>
        <v>Afternoon</v>
      </c>
      <c r="S1107" s="9" t="str">
        <f t="shared" si="52"/>
        <v>Mist</v>
      </c>
    </row>
    <row r="1108" spans="1:19" x14ac:dyDescent="0.25">
      <c r="A1108">
        <v>497</v>
      </c>
      <c r="B1108" s="19">
        <v>40571</v>
      </c>
      <c r="C1108">
        <v>1</v>
      </c>
      <c r="D1108">
        <v>1</v>
      </c>
      <c r="E1108">
        <v>15</v>
      </c>
      <c r="F1108" t="b">
        <v>0</v>
      </c>
      <c r="G1108">
        <v>5</v>
      </c>
      <c r="H1108">
        <v>2</v>
      </c>
      <c r="I1108">
        <v>0.2</v>
      </c>
      <c r="J1108">
        <v>496</v>
      </c>
      <c r="K1108">
        <v>9.0899999999999995E-2</v>
      </c>
      <c r="L1108">
        <v>0.35</v>
      </c>
      <c r="M1108">
        <v>0.19400000000000001</v>
      </c>
      <c r="N1108">
        <v>0</v>
      </c>
      <c r="O1108">
        <v>54</v>
      </c>
      <c r="P1108">
        <v>54</v>
      </c>
      <c r="Q1108" s="17" t="str">
        <f t="shared" si="53"/>
        <v>Weekends</v>
      </c>
      <c r="R1108" s="17" t="str">
        <f t="shared" si="51"/>
        <v>Afternoon</v>
      </c>
      <c r="S1108" s="9" t="str">
        <f t="shared" si="52"/>
        <v>Mist</v>
      </c>
    </row>
    <row r="1109" spans="1:19" x14ac:dyDescent="0.25">
      <c r="A1109">
        <v>498</v>
      </c>
      <c r="B1109" s="19">
        <v>40571</v>
      </c>
      <c r="C1109">
        <v>1</v>
      </c>
      <c r="D1109">
        <v>1</v>
      </c>
      <c r="E1109">
        <v>15</v>
      </c>
      <c r="F1109" t="b">
        <v>0</v>
      </c>
      <c r="G1109">
        <v>5</v>
      </c>
      <c r="H1109">
        <v>2</v>
      </c>
      <c r="I1109">
        <v>0.2</v>
      </c>
      <c r="J1109">
        <v>497</v>
      </c>
      <c r="K1109">
        <v>0.1061</v>
      </c>
      <c r="L1109">
        <v>0.35</v>
      </c>
      <c r="M1109">
        <v>0.1343</v>
      </c>
      <c r="N1109">
        <v>6</v>
      </c>
      <c r="O1109">
        <v>53</v>
      </c>
      <c r="P1109">
        <v>59</v>
      </c>
      <c r="Q1109" s="17" t="str">
        <f t="shared" si="53"/>
        <v>Weekends</v>
      </c>
      <c r="R1109" s="17" t="str">
        <f t="shared" si="51"/>
        <v>Afternoon</v>
      </c>
      <c r="S1109" s="9" t="str">
        <f t="shared" si="52"/>
        <v>Mist</v>
      </c>
    </row>
    <row r="1110" spans="1:19" x14ac:dyDescent="0.25">
      <c r="A1110">
        <v>499</v>
      </c>
      <c r="B1110" s="19">
        <v>40571</v>
      </c>
      <c r="C1110">
        <v>1</v>
      </c>
      <c r="D1110">
        <v>1</v>
      </c>
      <c r="E1110">
        <v>15</v>
      </c>
      <c r="F1110" t="b">
        <v>0</v>
      </c>
      <c r="G1110">
        <v>5</v>
      </c>
      <c r="H1110">
        <v>2</v>
      </c>
      <c r="I1110">
        <v>0.2</v>
      </c>
      <c r="J1110">
        <v>498</v>
      </c>
      <c r="K1110">
        <v>7.5800000000000006E-2</v>
      </c>
      <c r="L1110">
        <v>0.45</v>
      </c>
      <c r="M1110">
        <v>0.16420000000000001</v>
      </c>
      <c r="N1110">
        <v>1</v>
      </c>
      <c r="O1110">
        <v>44</v>
      </c>
      <c r="P1110">
        <v>45</v>
      </c>
      <c r="Q1110" s="17" t="str">
        <f t="shared" si="53"/>
        <v>Weekends</v>
      </c>
      <c r="R1110" s="17" t="str">
        <f t="shared" si="51"/>
        <v>Afternoon</v>
      </c>
      <c r="S1110" s="9" t="str">
        <f t="shared" si="52"/>
        <v>Mist</v>
      </c>
    </row>
    <row r="1111" spans="1:19" x14ac:dyDescent="0.25">
      <c r="A1111">
        <v>500</v>
      </c>
      <c r="B1111" s="19">
        <v>40571</v>
      </c>
      <c r="C1111">
        <v>1</v>
      </c>
      <c r="D1111">
        <v>1</v>
      </c>
      <c r="E1111">
        <v>15</v>
      </c>
      <c r="F1111" t="b">
        <v>0</v>
      </c>
      <c r="G1111">
        <v>5</v>
      </c>
      <c r="H1111">
        <v>2</v>
      </c>
      <c r="I1111">
        <v>0.2</v>
      </c>
      <c r="J1111">
        <v>499</v>
      </c>
      <c r="K1111">
        <v>0.1061</v>
      </c>
      <c r="L1111">
        <v>0.41</v>
      </c>
      <c r="M1111">
        <v>8.9599999999999999E-2</v>
      </c>
      <c r="N1111">
        <v>0</v>
      </c>
      <c r="O1111">
        <v>39</v>
      </c>
      <c r="P1111">
        <v>39</v>
      </c>
      <c r="Q1111" s="17" t="str">
        <f t="shared" si="53"/>
        <v>Weekends</v>
      </c>
      <c r="R1111" s="17" t="str">
        <f t="shared" si="51"/>
        <v>Afternoon</v>
      </c>
      <c r="S1111" s="9" t="str">
        <f t="shared" si="52"/>
        <v>Mist</v>
      </c>
    </row>
    <row r="1112" spans="1:19" x14ac:dyDescent="0.25">
      <c r="A1112">
        <v>501</v>
      </c>
      <c r="B1112" s="19">
        <v>40571</v>
      </c>
      <c r="C1112">
        <v>1</v>
      </c>
      <c r="D1112">
        <v>1</v>
      </c>
      <c r="E1112">
        <v>15</v>
      </c>
      <c r="F1112" t="b">
        <v>0</v>
      </c>
      <c r="G1112">
        <v>5</v>
      </c>
      <c r="H1112">
        <v>2</v>
      </c>
      <c r="I1112">
        <v>0.2</v>
      </c>
      <c r="J1112">
        <v>500</v>
      </c>
      <c r="K1112">
        <v>0.1515</v>
      </c>
      <c r="L1112">
        <v>0.49</v>
      </c>
      <c r="M1112">
        <v>0</v>
      </c>
      <c r="N1112">
        <v>7</v>
      </c>
      <c r="O1112">
        <v>23</v>
      </c>
      <c r="P1112">
        <v>30</v>
      </c>
      <c r="Q1112" s="17" t="str">
        <f t="shared" si="53"/>
        <v>Weekends</v>
      </c>
      <c r="R1112" s="17" t="str">
        <f t="shared" si="51"/>
        <v>Afternoon</v>
      </c>
      <c r="S1112" s="9" t="str">
        <f t="shared" si="52"/>
        <v>Mist</v>
      </c>
    </row>
    <row r="1113" spans="1:19" x14ac:dyDescent="0.25">
      <c r="A1113">
        <v>502</v>
      </c>
      <c r="B1113" s="19">
        <v>40571</v>
      </c>
      <c r="C1113">
        <v>1</v>
      </c>
      <c r="D1113">
        <v>1</v>
      </c>
      <c r="E1113">
        <v>15</v>
      </c>
      <c r="F1113" t="b">
        <v>0</v>
      </c>
      <c r="G1113">
        <v>5</v>
      </c>
      <c r="H1113">
        <v>2</v>
      </c>
      <c r="I1113">
        <v>0.2</v>
      </c>
      <c r="J1113">
        <v>501</v>
      </c>
      <c r="K1113">
        <v>7.5800000000000006E-2</v>
      </c>
      <c r="L1113">
        <v>0.56999999999999995</v>
      </c>
      <c r="M1113">
        <v>0.1045</v>
      </c>
      <c r="N1113">
        <v>2</v>
      </c>
      <c r="O1113">
        <v>31</v>
      </c>
      <c r="P1113">
        <v>33</v>
      </c>
      <c r="Q1113" s="17" t="str">
        <f t="shared" si="53"/>
        <v>Weekends</v>
      </c>
      <c r="R1113" s="17" t="str">
        <f t="shared" si="51"/>
        <v>Afternoon</v>
      </c>
      <c r="S1113" s="9" t="str">
        <f t="shared" si="52"/>
        <v>Mist</v>
      </c>
    </row>
    <row r="1114" spans="1:19" x14ac:dyDescent="0.25">
      <c r="A1114">
        <v>503</v>
      </c>
      <c r="B1114" s="19">
        <v>40571</v>
      </c>
      <c r="C1114">
        <v>1</v>
      </c>
      <c r="D1114">
        <v>1</v>
      </c>
      <c r="E1114">
        <v>15</v>
      </c>
      <c r="F1114" t="b">
        <v>0</v>
      </c>
      <c r="G1114">
        <v>5</v>
      </c>
      <c r="H1114">
        <v>2</v>
      </c>
      <c r="I1114">
        <v>0.2</v>
      </c>
      <c r="J1114">
        <v>502</v>
      </c>
      <c r="K1114">
        <v>7.5800000000000006E-2</v>
      </c>
      <c r="L1114">
        <v>0.56999999999999995</v>
      </c>
      <c r="M1114">
        <v>0.1045</v>
      </c>
      <c r="N1114">
        <v>2</v>
      </c>
      <c r="O1114">
        <v>20</v>
      </c>
      <c r="P1114">
        <v>22</v>
      </c>
      <c r="Q1114" s="17" t="str">
        <f t="shared" si="53"/>
        <v>Weekends</v>
      </c>
      <c r="R1114" s="17" t="str">
        <f t="shared" si="51"/>
        <v>Afternoon</v>
      </c>
      <c r="S1114" s="9" t="str">
        <f t="shared" si="52"/>
        <v>Mist</v>
      </c>
    </row>
    <row r="1115" spans="1:19" x14ac:dyDescent="0.25">
      <c r="A1115">
        <v>504</v>
      </c>
      <c r="B1115" s="19">
        <v>40571</v>
      </c>
      <c r="C1115">
        <v>1</v>
      </c>
      <c r="D1115">
        <v>1</v>
      </c>
      <c r="E1115">
        <v>15</v>
      </c>
      <c r="F1115" t="b">
        <v>0</v>
      </c>
      <c r="G1115">
        <v>5</v>
      </c>
      <c r="H1115">
        <v>2</v>
      </c>
      <c r="I1115">
        <v>0.2</v>
      </c>
      <c r="J1115">
        <v>503</v>
      </c>
      <c r="K1115">
        <v>7.5800000000000006E-2</v>
      </c>
      <c r="L1115">
        <v>0.56999999999999995</v>
      </c>
      <c r="M1115">
        <v>0.1045</v>
      </c>
      <c r="N1115">
        <v>1</v>
      </c>
      <c r="O1115">
        <v>12</v>
      </c>
      <c r="P1115">
        <v>13</v>
      </c>
      <c r="Q1115" s="17" t="str">
        <f t="shared" si="53"/>
        <v>Weekends</v>
      </c>
      <c r="R1115" s="17" t="str">
        <f t="shared" si="51"/>
        <v>Afternoon</v>
      </c>
      <c r="S1115" s="9" t="str">
        <f t="shared" si="52"/>
        <v>Mist</v>
      </c>
    </row>
    <row r="1116" spans="1:19" x14ac:dyDescent="0.25">
      <c r="A1116">
        <v>505</v>
      </c>
      <c r="B1116" s="19">
        <v>40571</v>
      </c>
      <c r="C1116">
        <v>1</v>
      </c>
      <c r="D1116">
        <v>1</v>
      </c>
      <c r="E1116">
        <v>15</v>
      </c>
      <c r="F1116" t="b">
        <v>0</v>
      </c>
      <c r="G1116">
        <v>5</v>
      </c>
      <c r="H1116">
        <v>2</v>
      </c>
      <c r="I1116">
        <v>0.2</v>
      </c>
      <c r="J1116">
        <v>504</v>
      </c>
      <c r="K1116">
        <v>6.0600000000000001E-2</v>
      </c>
      <c r="L1116">
        <v>0.62</v>
      </c>
      <c r="M1116">
        <v>0.1343</v>
      </c>
      <c r="N1116">
        <v>3</v>
      </c>
      <c r="O1116">
        <v>15</v>
      </c>
      <c r="P1116">
        <v>18</v>
      </c>
      <c r="Q1116" s="17" t="str">
        <f t="shared" si="53"/>
        <v>Weekends</v>
      </c>
      <c r="R1116" s="17" t="str">
        <f t="shared" si="51"/>
        <v>Afternoon</v>
      </c>
      <c r="S1116" s="9" t="str">
        <f t="shared" si="52"/>
        <v>Mist</v>
      </c>
    </row>
    <row r="1117" spans="1:19" x14ac:dyDescent="0.25">
      <c r="A1117">
        <v>506</v>
      </c>
      <c r="B1117" s="19">
        <v>40571</v>
      </c>
      <c r="C1117">
        <v>1</v>
      </c>
      <c r="D1117">
        <v>1</v>
      </c>
      <c r="E1117">
        <v>15</v>
      </c>
      <c r="F1117" t="b">
        <v>0</v>
      </c>
      <c r="G1117">
        <v>5</v>
      </c>
      <c r="H1117">
        <v>2</v>
      </c>
      <c r="I1117">
        <v>0.2</v>
      </c>
      <c r="J1117">
        <v>505</v>
      </c>
      <c r="K1117">
        <v>6.0600000000000001E-2</v>
      </c>
      <c r="L1117">
        <v>0.62</v>
      </c>
      <c r="M1117">
        <v>0.1343</v>
      </c>
      <c r="N1117">
        <v>1</v>
      </c>
      <c r="O1117">
        <v>4</v>
      </c>
      <c r="P1117">
        <v>5</v>
      </c>
      <c r="Q1117" s="17" t="str">
        <f t="shared" si="53"/>
        <v>Weekends</v>
      </c>
      <c r="R1117" s="17" t="str">
        <f t="shared" si="51"/>
        <v>Afternoon</v>
      </c>
      <c r="S1117" s="9" t="str">
        <f t="shared" si="52"/>
        <v>Mist</v>
      </c>
    </row>
    <row r="1118" spans="1:19" x14ac:dyDescent="0.25">
      <c r="A1118">
        <v>507</v>
      </c>
      <c r="B1118" s="19">
        <v>40571</v>
      </c>
      <c r="C1118">
        <v>1</v>
      </c>
      <c r="D1118">
        <v>1</v>
      </c>
      <c r="E1118">
        <v>15</v>
      </c>
      <c r="F1118" t="b">
        <v>0</v>
      </c>
      <c r="G1118">
        <v>5</v>
      </c>
      <c r="H1118">
        <v>2</v>
      </c>
      <c r="I1118">
        <v>0.2</v>
      </c>
      <c r="J1118">
        <v>506</v>
      </c>
      <c r="K1118">
        <v>7.5800000000000006E-2</v>
      </c>
      <c r="L1118">
        <v>0.56999999999999995</v>
      </c>
      <c r="M1118">
        <v>0.1045</v>
      </c>
      <c r="N1118">
        <v>0</v>
      </c>
      <c r="O1118">
        <v>3</v>
      </c>
      <c r="P1118">
        <v>3</v>
      </c>
      <c r="Q1118" s="17" t="str">
        <f t="shared" si="53"/>
        <v>Weekends</v>
      </c>
      <c r="R1118" s="17" t="str">
        <f t="shared" si="51"/>
        <v>Afternoon</v>
      </c>
      <c r="S1118" s="9" t="str">
        <f t="shared" si="52"/>
        <v>Mist</v>
      </c>
    </row>
    <row r="1119" spans="1:19" x14ac:dyDescent="0.25">
      <c r="A1119">
        <v>508</v>
      </c>
      <c r="B1119" s="19">
        <v>40571</v>
      </c>
      <c r="C1119">
        <v>1</v>
      </c>
      <c r="D1119">
        <v>1</v>
      </c>
      <c r="E1119">
        <v>15</v>
      </c>
      <c r="F1119" t="b">
        <v>0</v>
      </c>
      <c r="G1119">
        <v>5</v>
      </c>
      <c r="H1119">
        <v>2</v>
      </c>
      <c r="I1119">
        <v>0.2</v>
      </c>
      <c r="J1119">
        <v>507</v>
      </c>
      <c r="K1119">
        <v>7.5800000000000006E-2</v>
      </c>
      <c r="L1119">
        <v>0.56999999999999995</v>
      </c>
      <c r="M1119">
        <v>0.1045</v>
      </c>
      <c r="N1119">
        <v>0</v>
      </c>
      <c r="O1119">
        <v>1</v>
      </c>
      <c r="P1119">
        <v>1</v>
      </c>
      <c r="Q1119" s="17" t="str">
        <f t="shared" si="53"/>
        <v>Weekends</v>
      </c>
      <c r="R1119" s="17" t="str">
        <f t="shared" si="51"/>
        <v>Afternoon</v>
      </c>
      <c r="S1119" s="9" t="str">
        <f t="shared" si="52"/>
        <v>Mist</v>
      </c>
    </row>
    <row r="1120" spans="1:19" x14ac:dyDescent="0.25">
      <c r="A1120">
        <v>509</v>
      </c>
      <c r="B1120" s="19">
        <v>40571</v>
      </c>
      <c r="C1120">
        <v>1</v>
      </c>
      <c r="D1120">
        <v>1</v>
      </c>
      <c r="E1120">
        <v>15</v>
      </c>
      <c r="F1120" t="b">
        <v>0</v>
      </c>
      <c r="G1120">
        <v>5</v>
      </c>
      <c r="H1120">
        <v>2</v>
      </c>
      <c r="I1120">
        <v>0.2</v>
      </c>
      <c r="J1120">
        <v>508</v>
      </c>
      <c r="K1120">
        <v>0.1061</v>
      </c>
      <c r="L1120">
        <v>0.57999999999999996</v>
      </c>
      <c r="M1120">
        <v>0.16420000000000001</v>
      </c>
      <c r="N1120">
        <v>1</v>
      </c>
      <c r="O1120">
        <v>1</v>
      </c>
      <c r="P1120">
        <v>2</v>
      </c>
      <c r="Q1120" s="17" t="str">
        <f t="shared" si="53"/>
        <v>Weekends</v>
      </c>
      <c r="R1120" s="17" t="str">
        <f t="shared" si="51"/>
        <v>Afternoon</v>
      </c>
      <c r="S1120" s="9" t="str">
        <f t="shared" si="52"/>
        <v>Mist</v>
      </c>
    </row>
    <row r="1121" spans="1:19" x14ac:dyDescent="0.25">
      <c r="A1121">
        <v>510</v>
      </c>
      <c r="B1121" s="19">
        <v>40571</v>
      </c>
      <c r="C1121">
        <v>1</v>
      </c>
      <c r="D1121">
        <v>1</v>
      </c>
      <c r="E1121">
        <v>15</v>
      </c>
      <c r="F1121" t="b">
        <v>0</v>
      </c>
      <c r="G1121">
        <v>5</v>
      </c>
      <c r="H1121">
        <v>2</v>
      </c>
      <c r="I1121">
        <v>0.2</v>
      </c>
      <c r="J1121">
        <v>509</v>
      </c>
      <c r="K1121">
        <v>7.5800000000000006E-2</v>
      </c>
      <c r="L1121">
        <v>0.62</v>
      </c>
      <c r="M1121">
        <v>0.16420000000000001</v>
      </c>
      <c r="N1121">
        <v>2</v>
      </c>
      <c r="O1121">
        <v>17</v>
      </c>
      <c r="P1121">
        <v>19</v>
      </c>
      <c r="Q1121" s="17" t="str">
        <f t="shared" si="53"/>
        <v>Weekends</v>
      </c>
      <c r="R1121" s="17" t="str">
        <f t="shared" si="51"/>
        <v>Afternoon</v>
      </c>
      <c r="S1121" s="9" t="str">
        <f t="shared" si="52"/>
        <v>Mist</v>
      </c>
    </row>
    <row r="1122" spans="1:19" x14ac:dyDescent="0.25">
      <c r="A1122">
        <v>511</v>
      </c>
      <c r="B1122" s="19">
        <v>40571</v>
      </c>
      <c r="C1122">
        <v>1</v>
      </c>
      <c r="D1122">
        <v>1</v>
      </c>
      <c r="E1122">
        <v>15</v>
      </c>
      <c r="F1122" t="b">
        <v>0</v>
      </c>
      <c r="G1122">
        <v>5</v>
      </c>
      <c r="H1122">
        <v>2</v>
      </c>
      <c r="I1122">
        <v>0.2</v>
      </c>
      <c r="J1122">
        <v>510</v>
      </c>
      <c r="K1122">
        <v>7.5800000000000006E-2</v>
      </c>
      <c r="L1122">
        <v>0.54</v>
      </c>
      <c r="M1122">
        <v>0.35820000000000002</v>
      </c>
      <c r="N1122">
        <v>3</v>
      </c>
      <c r="O1122">
        <v>25</v>
      </c>
      <c r="P1122">
        <v>28</v>
      </c>
      <c r="Q1122" s="17" t="str">
        <f t="shared" si="53"/>
        <v>Weekends</v>
      </c>
      <c r="R1122" s="17" t="str">
        <f t="shared" si="51"/>
        <v>Afternoon</v>
      </c>
      <c r="S1122" s="9" t="str">
        <f t="shared" si="52"/>
        <v>Mist</v>
      </c>
    </row>
    <row r="1123" spans="1:19" x14ac:dyDescent="0.25">
      <c r="A1123">
        <v>512</v>
      </c>
      <c r="B1123" s="19">
        <v>40571</v>
      </c>
      <c r="C1123">
        <v>1</v>
      </c>
      <c r="D1123">
        <v>1</v>
      </c>
      <c r="E1123">
        <v>15</v>
      </c>
      <c r="F1123" t="b">
        <v>0</v>
      </c>
      <c r="G1123">
        <v>5</v>
      </c>
      <c r="H1123">
        <v>2</v>
      </c>
      <c r="I1123">
        <v>0.2</v>
      </c>
      <c r="J1123">
        <v>511</v>
      </c>
      <c r="K1123">
        <v>0.1061</v>
      </c>
      <c r="L1123">
        <v>0.46</v>
      </c>
      <c r="M1123">
        <v>0.3881</v>
      </c>
      <c r="N1123">
        <v>7</v>
      </c>
      <c r="O1123">
        <v>51</v>
      </c>
      <c r="P1123">
        <v>58</v>
      </c>
      <c r="Q1123" s="17" t="str">
        <f t="shared" si="53"/>
        <v>Weekends</v>
      </c>
      <c r="R1123" s="17" t="str">
        <f t="shared" si="51"/>
        <v>Afternoon</v>
      </c>
      <c r="S1123" s="9" t="str">
        <f t="shared" si="52"/>
        <v>Mist</v>
      </c>
    </row>
    <row r="1124" spans="1:19" x14ac:dyDescent="0.25">
      <c r="A1124">
        <v>513</v>
      </c>
      <c r="B1124" s="19">
        <v>40571</v>
      </c>
      <c r="C1124">
        <v>1</v>
      </c>
      <c r="D1124">
        <v>1</v>
      </c>
      <c r="E1124">
        <v>15</v>
      </c>
      <c r="F1124" t="b">
        <v>0</v>
      </c>
      <c r="G1124">
        <v>5</v>
      </c>
      <c r="H1124">
        <v>2</v>
      </c>
      <c r="I1124">
        <v>0.2</v>
      </c>
      <c r="J1124">
        <v>512</v>
      </c>
      <c r="K1124">
        <v>0.13639999999999999</v>
      </c>
      <c r="L1124">
        <v>0.43</v>
      </c>
      <c r="M1124">
        <v>0.22389999999999999</v>
      </c>
      <c r="N1124">
        <v>22</v>
      </c>
      <c r="O1124">
        <v>77</v>
      </c>
      <c r="P1124">
        <v>99</v>
      </c>
      <c r="Q1124" s="17" t="str">
        <f t="shared" si="53"/>
        <v>Weekends</v>
      </c>
      <c r="R1124" s="17" t="str">
        <f t="shared" si="51"/>
        <v>Afternoon</v>
      </c>
      <c r="S1124" s="9" t="str">
        <f t="shared" si="52"/>
        <v>Mist</v>
      </c>
    </row>
    <row r="1125" spans="1:19" x14ac:dyDescent="0.25">
      <c r="A1125">
        <v>514</v>
      </c>
      <c r="B1125" s="19">
        <v>40571</v>
      </c>
      <c r="C1125">
        <v>1</v>
      </c>
      <c r="D1125">
        <v>1</v>
      </c>
      <c r="E1125">
        <v>15</v>
      </c>
      <c r="F1125" t="b">
        <v>0</v>
      </c>
      <c r="G1125">
        <v>5</v>
      </c>
      <c r="H1125">
        <v>2</v>
      </c>
      <c r="I1125">
        <v>0.2</v>
      </c>
      <c r="J1125">
        <v>513</v>
      </c>
      <c r="K1125">
        <v>0.1212</v>
      </c>
      <c r="L1125">
        <v>0.37</v>
      </c>
      <c r="M1125">
        <v>0.4627</v>
      </c>
      <c r="N1125">
        <v>24</v>
      </c>
      <c r="O1125">
        <v>92</v>
      </c>
      <c r="P1125">
        <v>116</v>
      </c>
      <c r="Q1125" s="17" t="str">
        <f t="shared" si="53"/>
        <v>Weekends</v>
      </c>
      <c r="R1125" s="17" t="str">
        <f t="shared" si="51"/>
        <v>Afternoon</v>
      </c>
      <c r="S1125" s="9" t="str">
        <f t="shared" si="52"/>
        <v>Mist</v>
      </c>
    </row>
    <row r="1126" spans="1:19" x14ac:dyDescent="0.25">
      <c r="A1126">
        <v>515</v>
      </c>
      <c r="B1126" s="19">
        <v>40571</v>
      </c>
      <c r="C1126">
        <v>1</v>
      </c>
      <c r="D1126">
        <v>1</v>
      </c>
      <c r="E1126">
        <v>15</v>
      </c>
      <c r="F1126" t="b">
        <v>0</v>
      </c>
      <c r="G1126">
        <v>5</v>
      </c>
      <c r="H1126">
        <v>2</v>
      </c>
      <c r="I1126">
        <v>0.2</v>
      </c>
      <c r="J1126">
        <v>514</v>
      </c>
      <c r="K1126">
        <v>0.1061</v>
      </c>
      <c r="L1126">
        <v>0.33</v>
      </c>
      <c r="M1126">
        <v>0.3881</v>
      </c>
      <c r="N1126">
        <v>12</v>
      </c>
      <c r="O1126">
        <v>75</v>
      </c>
      <c r="P1126">
        <v>87</v>
      </c>
      <c r="Q1126" s="17" t="str">
        <f t="shared" si="53"/>
        <v>Weekends</v>
      </c>
      <c r="R1126" s="17" t="str">
        <f t="shared" si="51"/>
        <v>Afternoon</v>
      </c>
      <c r="S1126" s="9" t="str">
        <f t="shared" si="52"/>
        <v>Mist</v>
      </c>
    </row>
    <row r="1127" spans="1:19" x14ac:dyDescent="0.25">
      <c r="A1127">
        <v>516</v>
      </c>
      <c r="B1127" s="19">
        <v>40571</v>
      </c>
      <c r="C1127">
        <v>1</v>
      </c>
      <c r="D1127">
        <v>1</v>
      </c>
      <c r="E1127">
        <v>15</v>
      </c>
      <c r="F1127" t="b">
        <v>0</v>
      </c>
      <c r="G1127">
        <v>5</v>
      </c>
      <c r="H1127">
        <v>2</v>
      </c>
      <c r="I1127">
        <v>0.2</v>
      </c>
      <c r="J1127">
        <v>515</v>
      </c>
      <c r="K1127">
        <v>0.13639999999999999</v>
      </c>
      <c r="L1127">
        <v>0.28000000000000003</v>
      </c>
      <c r="M1127">
        <v>0.35820000000000002</v>
      </c>
      <c r="N1127">
        <v>17</v>
      </c>
      <c r="O1127">
        <v>93</v>
      </c>
      <c r="P1127">
        <v>110</v>
      </c>
      <c r="Q1127" s="17" t="str">
        <f t="shared" si="53"/>
        <v>Weekends</v>
      </c>
      <c r="R1127" s="17" t="str">
        <f t="shared" si="51"/>
        <v>Afternoon</v>
      </c>
      <c r="S1127" s="9" t="str">
        <f t="shared" si="52"/>
        <v>Mist</v>
      </c>
    </row>
    <row r="1128" spans="1:19" x14ac:dyDescent="0.25">
      <c r="A1128">
        <v>517</v>
      </c>
      <c r="B1128" s="19">
        <v>40571</v>
      </c>
      <c r="C1128">
        <v>1</v>
      </c>
      <c r="D1128">
        <v>1</v>
      </c>
      <c r="E1128">
        <v>15</v>
      </c>
      <c r="F1128" t="b">
        <v>0</v>
      </c>
      <c r="G1128">
        <v>5</v>
      </c>
      <c r="H1128">
        <v>2</v>
      </c>
      <c r="I1128">
        <v>0.2</v>
      </c>
      <c r="J1128">
        <v>516</v>
      </c>
      <c r="K1128">
        <v>0.13639999999999999</v>
      </c>
      <c r="L1128">
        <v>0.28000000000000003</v>
      </c>
      <c r="M1128">
        <v>0.35820000000000002</v>
      </c>
      <c r="N1128">
        <v>13</v>
      </c>
      <c r="O1128">
        <v>64</v>
      </c>
      <c r="P1128">
        <v>77</v>
      </c>
      <c r="Q1128" s="17" t="str">
        <f t="shared" si="53"/>
        <v>Weekends</v>
      </c>
      <c r="R1128" s="17" t="str">
        <f t="shared" si="51"/>
        <v>Afternoon</v>
      </c>
      <c r="S1128" s="9" t="str">
        <f t="shared" si="52"/>
        <v>Mist</v>
      </c>
    </row>
    <row r="1129" spans="1:19" x14ac:dyDescent="0.25">
      <c r="A1129">
        <v>518</v>
      </c>
      <c r="B1129" s="19">
        <v>40571</v>
      </c>
      <c r="C1129">
        <v>1</v>
      </c>
      <c r="D1129">
        <v>1</v>
      </c>
      <c r="E1129">
        <v>15</v>
      </c>
      <c r="F1129" t="b">
        <v>0</v>
      </c>
      <c r="G1129">
        <v>5</v>
      </c>
      <c r="H1129">
        <v>2</v>
      </c>
      <c r="I1129">
        <v>0.2</v>
      </c>
      <c r="J1129">
        <v>517</v>
      </c>
      <c r="K1129">
        <v>0.13639999999999999</v>
      </c>
      <c r="L1129">
        <v>0.26</v>
      </c>
      <c r="M1129">
        <v>0.32840000000000003</v>
      </c>
      <c r="N1129">
        <v>9</v>
      </c>
      <c r="O1129">
        <v>56</v>
      </c>
      <c r="P1129">
        <v>65</v>
      </c>
      <c r="Q1129" s="17" t="str">
        <f t="shared" si="53"/>
        <v>Weekends</v>
      </c>
      <c r="R1129" s="17" t="str">
        <f t="shared" si="51"/>
        <v>Afternoon</v>
      </c>
      <c r="S1129" s="9" t="str">
        <f t="shared" si="52"/>
        <v>Mist</v>
      </c>
    </row>
    <row r="1130" spans="1:19" x14ac:dyDescent="0.25">
      <c r="A1130">
        <v>519</v>
      </c>
      <c r="B1130" s="19">
        <v>40571</v>
      </c>
      <c r="C1130">
        <v>1</v>
      </c>
      <c r="D1130">
        <v>1</v>
      </c>
      <c r="E1130">
        <v>15</v>
      </c>
      <c r="F1130" t="b">
        <v>0</v>
      </c>
      <c r="G1130">
        <v>5</v>
      </c>
      <c r="H1130">
        <v>2</v>
      </c>
      <c r="I1130">
        <v>0.2</v>
      </c>
      <c r="J1130">
        <v>518</v>
      </c>
      <c r="K1130">
        <v>0.1061</v>
      </c>
      <c r="L1130">
        <v>0.26</v>
      </c>
      <c r="M1130">
        <v>0.3881</v>
      </c>
      <c r="N1130">
        <v>5</v>
      </c>
      <c r="O1130">
        <v>50</v>
      </c>
      <c r="P1130">
        <v>55</v>
      </c>
      <c r="Q1130" s="17" t="str">
        <f t="shared" si="53"/>
        <v>Weekends</v>
      </c>
      <c r="R1130" s="17" t="str">
        <f t="shared" si="51"/>
        <v>Afternoon</v>
      </c>
      <c r="S1130" s="9" t="str">
        <f t="shared" si="52"/>
        <v>Mist</v>
      </c>
    </row>
    <row r="1131" spans="1:19" x14ac:dyDescent="0.25">
      <c r="A1131">
        <v>520</v>
      </c>
      <c r="B1131" s="19">
        <v>40571</v>
      </c>
      <c r="C1131">
        <v>1</v>
      </c>
      <c r="D1131">
        <v>1</v>
      </c>
      <c r="E1131">
        <v>15</v>
      </c>
      <c r="F1131" t="b">
        <v>0</v>
      </c>
      <c r="G1131">
        <v>5</v>
      </c>
      <c r="H1131">
        <v>2</v>
      </c>
      <c r="I1131">
        <v>0.2</v>
      </c>
      <c r="J1131">
        <v>519</v>
      </c>
      <c r="K1131">
        <v>0.1212</v>
      </c>
      <c r="L1131">
        <v>0.3</v>
      </c>
      <c r="M1131">
        <v>0.25369999999999998</v>
      </c>
      <c r="N1131">
        <v>5</v>
      </c>
      <c r="O1131">
        <v>44</v>
      </c>
      <c r="P1131">
        <v>49</v>
      </c>
      <c r="Q1131" s="17" t="str">
        <f t="shared" si="53"/>
        <v>Weekends</v>
      </c>
      <c r="R1131" s="17" t="str">
        <f t="shared" si="51"/>
        <v>Afternoon</v>
      </c>
      <c r="S1131" s="9" t="str">
        <f t="shared" si="52"/>
        <v>Mist</v>
      </c>
    </row>
    <row r="1132" spans="1:19" x14ac:dyDescent="0.25">
      <c r="A1132">
        <v>521</v>
      </c>
      <c r="B1132" s="19">
        <v>40571</v>
      </c>
      <c r="C1132">
        <v>1</v>
      </c>
      <c r="D1132">
        <v>1</v>
      </c>
      <c r="E1132">
        <v>15</v>
      </c>
      <c r="F1132" t="b">
        <v>0</v>
      </c>
      <c r="G1132">
        <v>5</v>
      </c>
      <c r="H1132">
        <v>2</v>
      </c>
      <c r="I1132">
        <v>0.2</v>
      </c>
      <c r="J1132">
        <v>520</v>
      </c>
      <c r="K1132">
        <v>0.1212</v>
      </c>
      <c r="L1132">
        <v>0.3</v>
      </c>
      <c r="M1132">
        <v>0.28360000000000002</v>
      </c>
      <c r="N1132">
        <v>5</v>
      </c>
      <c r="O1132">
        <v>45</v>
      </c>
      <c r="P1132">
        <v>50</v>
      </c>
      <c r="Q1132" s="17" t="str">
        <f t="shared" si="53"/>
        <v>Weekends</v>
      </c>
      <c r="R1132" s="17" t="str">
        <f t="shared" si="51"/>
        <v>Afternoon</v>
      </c>
      <c r="S1132" s="9" t="str">
        <f t="shared" si="52"/>
        <v>Mist</v>
      </c>
    </row>
    <row r="1133" spans="1:19" x14ac:dyDescent="0.25">
      <c r="A1133">
        <v>522</v>
      </c>
      <c r="B1133" s="19">
        <v>40571</v>
      </c>
      <c r="C1133">
        <v>1</v>
      </c>
      <c r="D1133">
        <v>1</v>
      </c>
      <c r="E1133">
        <v>15</v>
      </c>
      <c r="F1133" t="b">
        <v>0</v>
      </c>
      <c r="G1133">
        <v>5</v>
      </c>
      <c r="H1133">
        <v>2</v>
      </c>
      <c r="I1133">
        <v>0.2</v>
      </c>
      <c r="J1133">
        <v>521</v>
      </c>
      <c r="K1133">
        <v>0.1061</v>
      </c>
      <c r="L1133">
        <v>0.36</v>
      </c>
      <c r="M1133">
        <v>0.25369999999999998</v>
      </c>
      <c r="N1133">
        <v>4</v>
      </c>
      <c r="O1133">
        <v>31</v>
      </c>
      <c r="P1133">
        <v>35</v>
      </c>
      <c r="Q1133" s="17" t="str">
        <f t="shared" si="53"/>
        <v>Weekends</v>
      </c>
      <c r="R1133" s="17" t="str">
        <f t="shared" si="51"/>
        <v>Afternoon</v>
      </c>
      <c r="S1133" s="9" t="str">
        <f t="shared" si="52"/>
        <v>Mist</v>
      </c>
    </row>
    <row r="1134" spans="1:19" x14ac:dyDescent="0.25">
      <c r="A1134">
        <v>523</v>
      </c>
      <c r="B1134" s="19">
        <v>40571</v>
      </c>
      <c r="C1134">
        <v>1</v>
      </c>
      <c r="D1134">
        <v>1</v>
      </c>
      <c r="E1134">
        <v>15</v>
      </c>
      <c r="F1134" t="b">
        <v>0</v>
      </c>
      <c r="G1134">
        <v>5</v>
      </c>
      <c r="H1134">
        <v>2</v>
      </c>
      <c r="I1134">
        <v>0.2</v>
      </c>
      <c r="J1134">
        <v>522</v>
      </c>
      <c r="K1134">
        <v>0.1061</v>
      </c>
      <c r="L1134">
        <v>0.36</v>
      </c>
      <c r="M1134">
        <v>0.19400000000000001</v>
      </c>
      <c r="N1134">
        <v>5</v>
      </c>
      <c r="O1134">
        <v>20</v>
      </c>
      <c r="P1134">
        <v>25</v>
      </c>
      <c r="Q1134" s="17" t="str">
        <f t="shared" si="53"/>
        <v>Weekends</v>
      </c>
      <c r="R1134" s="17" t="str">
        <f t="shared" si="51"/>
        <v>Afternoon</v>
      </c>
      <c r="S1134" s="9" t="str">
        <f t="shared" si="52"/>
        <v>Mist</v>
      </c>
    </row>
    <row r="1135" spans="1:19" x14ac:dyDescent="0.25">
      <c r="A1135">
        <v>524</v>
      </c>
      <c r="B1135" s="19">
        <v>40571</v>
      </c>
      <c r="C1135">
        <v>1</v>
      </c>
      <c r="D1135">
        <v>1</v>
      </c>
      <c r="E1135">
        <v>15</v>
      </c>
      <c r="F1135" t="b">
        <v>0</v>
      </c>
      <c r="G1135">
        <v>5</v>
      </c>
      <c r="H1135">
        <v>2</v>
      </c>
      <c r="I1135">
        <v>0.2</v>
      </c>
      <c r="J1135">
        <v>523</v>
      </c>
      <c r="K1135">
        <v>9.0899999999999995E-2</v>
      </c>
      <c r="L1135">
        <v>0.38</v>
      </c>
      <c r="M1135">
        <v>0.19400000000000001</v>
      </c>
      <c r="N1135">
        <v>5</v>
      </c>
      <c r="O1135">
        <v>23</v>
      </c>
      <c r="P1135">
        <v>28</v>
      </c>
      <c r="Q1135" s="17" t="str">
        <f t="shared" si="53"/>
        <v>Weekends</v>
      </c>
      <c r="R1135" s="17" t="str">
        <f t="shared" si="51"/>
        <v>Afternoon</v>
      </c>
      <c r="S1135" s="9" t="str">
        <f t="shared" si="52"/>
        <v>Mist</v>
      </c>
    </row>
    <row r="1136" spans="1:19" x14ac:dyDescent="0.25">
      <c r="A1136">
        <v>525</v>
      </c>
      <c r="B1136" s="19">
        <v>40571</v>
      </c>
      <c r="C1136">
        <v>1</v>
      </c>
      <c r="D1136">
        <v>1</v>
      </c>
      <c r="E1136">
        <v>15</v>
      </c>
      <c r="F1136" t="b">
        <v>0</v>
      </c>
      <c r="G1136">
        <v>5</v>
      </c>
      <c r="H1136">
        <v>2</v>
      </c>
      <c r="I1136">
        <v>0.2</v>
      </c>
      <c r="J1136">
        <v>524</v>
      </c>
      <c r="K1136">
        <v>6.0600000000000001E-2</v>
      </c>
      <c r="L1136">
        <v>0.41</v>
      </c>
      <c r="M1136">
        <v>0.22389999999999999</v>
      </c>
      <c r="N1136">
        <v>4</v>
      </c>
      <c r="O1136">
        <v>17</v>
      </c>
      <c r="P1136">
        <v>21</v>
      </c>
      <c r="Q1136" s="17" t="str">
        <f t="shared" si="53"/>
        <v>Weekends</v>
      </c>
      <c r="R1136" s="17" t="str">
        <f t="shared" si="51"/>
        <v>Afternoon</v>
      </c>
      <c r="S1136" s="9" t="str">
        <f t="shared" si="52"/>
        <v>Mist</v>
      </c>
    </row>
    <row r="1137" spans="1:19" x14ac:dyDescent="0.25">
      <c r="A1137">
        <v>526</v>
      </c>
      <c r="B1137" s="19">
        <v>40571</v>
      </c>
      <c r="C1137">
        <v>1</v>
      </c>
      <c r="D1137">
        <v>1</v>
      </c>
      <c r="E1137">
        <v>15</v>
      </c>
      <c r="F1137" t="b">
        <v>0</v>
      </c>
      <c r="G1137">
        <v>5</v>
      </c>
      <c r="H1137">
        <v>2</v>
      </c>
      <c r="I1137">
        <v>0.2</v>
      </c>
      <c r="J1137">
        <v>525</v>
      </c>
      <c r="K1137">
        <v>6.0600000000000001E-2</v>
      </c>
      <c r="L1137">
        <v>0.41</v>
      </c>
      <c r="M1137">
        <v>0.19400000000000001</v>
      </c>
      <c r="N1137">
        <v>0</v>
      </c>
      <c r="O1137">
        <v>7</v>
      </c>
      <c r="P1137">
        <v>7</v>
      </c>
      <c r="Q1137" s="17" t="str">
        <f t="shared" si="53"/>
        <v>Weekends</v>
      </c>
      <c r="R1137" s="17" t="str">
        <f t="shared" si="51"/>
        <v>Afternoon</v>
      </c>
      <c r="S1137" s="9" t="str">
        <f t="shared" si="52"/>
        <v>Mist</v>
      </c>
    </row>
    <row r="1138" spans="1:19" x14ac:dyDescent="0.25">
      <c r="A1138">
        <v>527</v>
      </c>
      <c r="B1138" s="19">
        <v>40571</v>
      </c>
      <c r="C1138">
        <v>1</v>
      </c>
      <c r="D1138">
        <v>1</v>
      </c>
      <c r="E1138">
        <v>15</v>
      </c>
      <c r="F1138" t="b">
        <v>0</v>
      </c>
      <c r="G1138">
        <v>5</v>
      </c>
      <c r="H1138">
        <v>2</v>
      </c>
      <c r="I1138">
        <v>0.2</v>
      </c>
      <c r="J1138">
        <v>526</v>
      </c>
      <c r="K1138">
        <v>4.5499999999999999E-2</v>
      </c>
      <c r="L1138">
        <v>0.45</v>
      </c>
      <c r="M1138">
        <v>0.19400000000000001</v>
      </c>
      <c r="N1138">
        <v>0</v>
      </c>
      <c r="O1138">
        <v>1</v>
      </c>
      <c r="P1138">
        <v>1</v>
      </c>
      <c r="Q1138" s="17" t="str">
        <f t="shared" si="53"/>
        <v>Weekends</v>
      </c>
      <c r="R1138" s="17" t="str">
        <f t="shared" si="51"/>
        <v>Afternoon</v>
      </c>
      <c r="S1138" s="9" t="str">
        <f t="shared" si="52"/>
        <v>Mist</v>
      </c>
    </row>
    <row r="1139" spans="1:19" x14ac:dyDescent="0.25">
      <c r="A1139">
        <v>528</v>
      </c>
      <c r="B1139" s="19">
        <v>40571</v>
      </c>
      <c r="C1139">
        <v>1</v>
      </c>
      <c r="D1139">
        <v>1</v>
      </c>
      <c r="E1139">
        <v>15</v>
      </c>
      <c r="F1139" t="b">
        <v>0</v>
      </c>
      <c r="G1139">
        <v>5</v>
      </c>
      <c r="H1139">
        <v>2</v>
      </c>
      <c r="I1139">
        <v>0.2</v>
      </c>
      <c r="J1139">
        <v>527</v>
      </c>
      <c r="K1139">
        <v>3.0300000000000001E-2</v>
      </c>
      <c r="L1139">
        <v>0.45</v>
      </c>
      <c r="M1139">
        <v>0.25369999999999998</v>
      </c>
      <c r="N1139">
        <v>0</v>
      </c>
      <c r="O1139">
        <v>1</v>
      </c>
      <c r="P1139">
        <v>1</v>
      </c>
      <c r="Q1139" s="17" t="str">
        <f t="shared" si="53"/>
        <v>Weekends</v>
      </c>
      <c r="R1139" s="17" t="str">
        <f t="shared" si="51"/>
        <v>Afternoon</v>
      </c>
      <c r="S1139" s="9" t="str">
        <f t="shared" si="52"/>
        <v>Mist</v>
      </c>
    </row>
    <row r="1140" spans="1:19" x14ac:dyDescent="0.25">
      <c r="A1140">
        <v>529</v>
      </c>
      <c r="B1140" s="19">
        <v>40571</v>
      </c>
      <c r="C1140">
        <v>1</v>
      </c>
      <c r="D1140">
        <v>1</v>
      </c>
      <c r="E1140">
        <v>15</v>
      </c>
      <c r="F1140" t="b">
        <v>0</v>
      </c>
      <c r="G1140">
        <v>5</v>
      </c>
      <c r="H1140">
        <v>2</v>
      </c>
      <c r="I1140">
        <v>0.2</v>
      </c>
      <c r="J1140">
        <v>528</v>
      </c>
      <c r="K1140">
        <v>6.0600000000000001E-2</v>
      </c>
      <c r="L1140">
        <v>0.48</v>
      </c>
      <c r="M1140">
        <v>0.1343</v>
      </c>
      <c r="N1140">
        <v>0</v>
      </c>
      <c r="O1140">
        <v>1</v>
      </c>
      <c r="P1140">
        <v>1</v>
      </c>
      <c r="Q1140" s="17" t="str">
        <f t="shared" si="53"/>
        <v>Weekends</v>
      </c>
      <c r="R1140" s="17" t="str">
        <f t="shared" si="51"/>
        <v>Afternoon</v>
      </c>
      <c r="S1140" s="9" t="str">
        <f t="shared" si="52"/>
        <v>Mist</v>
      </c>
    </row>
    <row r="1141" spans="1:19" x14ac:dyDescent="0.25">
      <c r="A1141">
        <v>530</v>
      </c>
      <c r="B1141" s="19">
        <v>40571</v>
      </c>
      <c r="C1141">
        <v>1</v>
      </c>
      <c r="D1141">
        <v>1</v>
      </c>
      <c r="E1141">
        <v>15</v>
      </c>
      <c r="F1141" t="b">
        <v>0</v>
      </c>
      <c r="G1141">
        <v>5</v>
      </c>
      <c r="H1141">
        <v>2</v>
      </c>
      <c r="I1141">
        <v>0.2</v>
      </c>
      <c r="J1141">
        <v>529</v>
      </c>
      <c r="K1141">
        <v>6.0600000000000001E-2</v>
      </c>
      <c r="L1141">
        <v>0.48</v>
      </c>
      <c r="M1141">
        <v>0.1343</v>
      </c>
      <c r="N1141">
        <v>0</v>
      </c>
      <c r="O1141">
        <v>5</v>
      </c>
      <c r="P1141">
        <v>5</v>
      </c>
      <c r="Q1141" s="17" t="str">
        <f t="shared" si="53"/>
        <v>Weekends</v>
      </c>
      <c r="R1141" s="17" t="str">
        <f t="shared" si="51"/>
        <v>Afternoon</v>
      </c>
      <c r="S1141" s="9" t="str">
        <f t="shared" si="52"/>
        <v>Mist</v>
      </c>
    </row>
    <row r="1142" spans="1:19" x14ac:dyDescent="0.25">
      <c r="A1142">
        <v>531</v>
      </c>
      <c r="B1142" s="19">
        <v>40571</v>
      </c>
      <c r="C1142">
        <v>1</v>
      </c>
      <c r="D1142">
        <v>1</v>
      </c>
      <c r="E1142">
        <v>15</v>
      </c>
      <c r="F1142" t="b">
        <v>0</v>
      </c>
      <c r="G1142">
        <v>5</v>
      </c>
      <c r="H1142">
        <v>2</v>
      </c>
      <c r="I1142">
        <v>0.2</v>
      </c>
      <c r="J1142">
        <v>530</v>
      </c>
      <c r="K1142">
        <v>7.5800000000000006E-2</v>
      </c>
      <c r="L1142">
        <v>0.48</v>
      </c>
      <c r="M1142">
        <v>8.9599999999999999E-2</v>
      </c>
      <c r="N1142">
        <v>0</v>
      </c>
      <c r="O1142">
        <v>15</v>
      </c>
      <c r="P1142">
        <v>15</v>
      </c>
      <c r="Q1142" s="17" t="str">
        <f t="shared" si="53"/>
        <v>Weekends</v>
      </c>
      <c r="R1142" s="17" t="str">
        <f t="shared" si="51"/>
        <v>Afternoon</v>
      </c>
      <c r="S1142" s="9" t="str">
        <f t="shared" si="52"/>
        <v>Mist</v>
      </c>
    </row>
    <row r="1143" spans="1:19" x14ac:dyDescent="0.25">
      <c r="A1143">
        <v>532</v>
      </c>
      <c r="B1143" s="19">
        <v>40571</v>
      </c>
      <c r="C1143">
        <v>1</v>
      </c>
      <c r="D1143">
        <v>1</v>
      </c>
      <c r="E1143">
        <v>15</v>
      </c>
      <c r="F1143" t="b">
        <v>0</v>
      </c>
      <c r="G1143">
        <v>5</v>
      </c>
      <c r="H1143">
        <v>2</v>
      </c>
      <c r="I1143">
        <v>0.2</v>
      </c>
      <c r="J1143">
        <v>531</v>
      </c>
      <c r="K1143">
        <v>0.1212</v>
      </c>
      <c r="L1143">
        <v>0.48</v>
      </c>
      <c r="M1143">
        <v>0</v>
      </c>
      <c r="N1143">
        <v>5</v>
      </c>
      <c r="O1143">
        <v>79</v>
      </c>
      <c r="P1143">
        <v>84</v>
      </c>
      <c r="Q1143" s="17" t="str">
        <f t="shared" si="53"/>
        <v>Weekends</v>
      </c>
      <c r="R1143" s="17" t="str">
        <f t="shared" si="51"/>
        <v>Afternoon</v>
      </c>
      <c r="S1143" s="9" t="str">
        <f t="shared" si="52"/>
        <v>Mist</v>
      </c>
    </row>
    <row r="1144" spans="1:19" x14ac:dyDescent="0.25">
      <c r="A1144">
        <v>533</v>
      </c>
      <c r="B1144" s="19">
        <v>40571</v>
      </c>
      <c r="C1144">
        <v>1</v>
      </c>
      <c r="D1144">
        <v>1</v>
      </c>
      <c r="E1144">
        <v>15</v>
      </c>
      <c r="F1144" t="b">
        <v>0</v>
      </c>
      <c r="G1144">
        <v>5</v>
      </c>
      <c r="H1144">
        <v>2</v>
      </c>
      <c r="I1144">
        <v>0.2</v>
      </c>
      <c r="J1144">
        <v>532</v>
      </c>
      <c r="K1144">
        <v>0.13639999999999999</v>
      </c>
      <c r="L1144">
        <v>0.49</v>
      </c>
      <c r="M1144">
        <v>0</v>
      </c>
      <c r="N1144">
        <v>6</v>
      </c>
      <c r="O1144">
        <v>171</v>
      </c>
      <c r="P1144">
        <v>177</v>
      </c>
      <c r="Q1144" s="17" t="str">
        <f t="shared" si="53"/>
        <v>Weekends</v>
      </c>
      <c r="R1144" s="17" t="str">
        <f t="shared" si="51"/>
        <v>Afternoon</v>
      </c>
      <c r="S1144" s="9" t="str">
        <f t="shared" si="52"/>
        <v>Mist</v>
      </c>
    </row>
    <row r="1145" spans="1:19" x14ac:dyDescent="0.25">
      <c r="A1145">
        <v>534</v>
      </c>
      <c r="B1145" s="19">
        <v>40571</v>
      </c>
      <c r="C1145">
        <v>1</v>
      </c>
      <c r="D1145">
        <v>1</v>
      </c>
      <c r="E1145">
        <v>15</v>
      </c>
      <c r="F1145" t="b">
        <v>0</v>
      </c>
      <c r="G1145">
        <v>5</v>
      </c>
      <c r="H1145">
        <v>2</v>
      </c>
      <c r="I1145">
        <v>0.2</v>
      </c>
      <c r="J1145">
        <v>533</v>
      </c>
      <c r="K1145">
        <v>0.1515</v>
      </c>
      <c r="L1145">
        <v>0.41</v>
      </c>
      <c r="M1145">
        <v>0</v>
      </c>
      <c r="N1145">
        <v>4</v>
      </c>
      <c r="O1145">
        <v>98</v>
      </c>
      <c r="P1145">
        <v>102</v>
      </c>
      <c r="Q1145" s="17" t="str">
        <f t="shared" si="53"/>
        <v>Weekends</v>
      </c>
      <c r="R1145" s="17" t="str">
        <f t="shared" si="51"/>
        <v>Afternoon</v>
      </c>
      <c r="S1145" s="9" t="str">
        <f t="shared" si="52"/>
        <v>Mist</v>
      </c>
    </row>
    <row r="1146" spans="1:19" x14ac:dyDescent="0.25">
      <c r="A1146">
        <v>535</v>
      </c>
      <c r="B1146" s="19">
        <v>40571</v>
      </c>
      <c r="C1146">
        <v>1</v>
      </c>
      <c r="D1146">
        <v>1</v>
      </c>
      <c r="E1146">
        <v>15</v>
      </c>
      <c r="F1146" t="b">
        <v>0</v>
      </c>
      <c r="G1146">
        <v>5</v>
      </c>
      <c r="H1146">
        <v>2</v>
      </c>
      <c r="I1146">
        <v>0.2</v>
      </c>
      <c r="J1146">
        <v>534</v>
      </c>
      <c r="K1146">
        <v>0.13639999999999999</v>
      </c>
      <c r="L1146">
        <v>0.42</v>
      </c>
      <c r="M1146">
        <v>0</v>
      </c>
      <c r="N1146">
        <v>6</v>
      </c>
      <c r="O1146">
        <v>34</v>
      </c>
      <c r="P1146">
        <v>40</v>
      </c>
      <c r="Q1146" s="17" t="str">
        <f t="shared" si="53"/>
        <v>Weekends</v>
      </c>
      <c r="R1146" s="17" t="str">
        <f t="shared" si="51"/>
        <v>Afternoon</v>
      </c>
      <c r="S1146" s="9" t="str">
        <f t="shared" si="52"/>
        <v>Mist</v>
      </c>
    </row>
    <row r="1147" spans="1:19" x14ac:dyDescent="0.25">
      <c r="A1147">
        <v>536</v>
      </c>
      <c r="B1147" s="19">
        <v>40571</v>
      </c>
      <c r="C1147">
        <v>1</v>
      </c>
      <c r="D1147">
        <v>1</v>
      </c>
      <c r="E1147">
        <v>15</v>
      </c>
      <c r="F1147" t="b">
        <v>0</v>
      </c>
      <c r="G1147">
        <v>5</v>
      </c>
      <c r="H1147">
        <v>2</v>
      </c>
      <c r="I1147">
        <v>0.2</v>
      </c>
      <c r="J1147">
        <v>535</v>
      </c>
      <c r="K1147">
        <v>0.1212</v>
      </c>
      <c r="L1147">
        <v>0.46</v>
      </c>
      <c r="M1147">
        <v>0.1343</v>
      </c>
      <c r="N1147">
        <v>3</v>
      </c>
      <c r="O1147">
        <v>43</v>
      </c>
      <c r="P1147">
        <v>46</v>
      </c>
      <c r="Q1147" s="17" t="str">
        <f t="shared" si="53"/>
        <v>Weekends</v>
      </c>
      <c r="R1147" s="17" t="str">
        <f t="shared" si="51"/>
        <v>Afternoon</v>
      </c>
      <c r="S1147" s="9" t="str">
        <f t="shared" si="52"/>
        <v>Mist</v>
      </c>
    </row>
    <row r="1148" spans="1:19" x14ac:dyDescent="0.25">
      <c r="A1148">
        <v>537</v>
      </c>
      <c r="B1148" s="19">
        <v>40571</v>
      </c>
      <c r="C1148">
        <v>1</v>
      </c>
      <c r="D1148">
        <v>1</v>
      </c>
      <c r="E1148">
        <v>15</v>
      </c>
      <c r="F1148" t="b">
        <v>0</v>
      </c>
      <c r="G1148">
        <v>5</v>
      </c>
      <c r="H1148">
        <v>2</v>
      </c>
      <c r="I1148">
        <v>0.2</v>
      </c>
      <c r="J1148">
        <v>536</v>
      </c>
      <c r="K1148">
        <v>0.13639999999999999</v>
      </c>
      <c r="L1148">
        <v>0.42</v>
      </c>
      <c r="M1148">
        <v>0.19400000000000001</v>
      </c>
      <c r="N1148">
        <v>11</v>
      </c>
      <c r="O1148">
        <v>52</v>
      </c>
      <c r="P1148">
        <v>63</v>
      </c>
      <c r="Q1148" s="17" t="str">
        <f t="shared" si="53"/>
        <v>Weekends</v>
      </c>
      <c r="R1148" s="17" t="str">
        <f t="shared" si="51"/>
        <v>Afternoon</v>
      </c>
      <c r="S1148" s="9" t="str">
        <f t="shared" si="52"/>
        <v>Mist</v>
      </c>
    </row>
    <row r="1149" spans="1:19" x14ac:dyDescent="0.25">
      <c r="A1149">
        <v>538</v>
      </c>
      <c r="B1149" s="19">
        <v>40571</v>
      </c>
      <c r="C1149">
        <v>1</v>
      </c>
      <c r="D1149">
        <v>1</v>
      </c>
      <c r="E1149">
        <v>15</v>
      </c>
      <c r="F1149" t="b">
        <v>0</v>
      </c>
      <c r="G1149">
        <v>5</v>
      </c>
      <c r="H1149">
        <v>2</v>
      </c>
      <c r="I1149">
        <v>0.2</v>
      </c>
      <c r="J1149">
        <v>537</v>
      </c>
      <c r="K1149">
        <v>0.13639999999999999</v>
      </c>
      <c r="L1149">
        <v>0.43</v>
      </c>
      <c r="M1149">
        <v>0.22389999999999999</v>
      </c>
      <c r="N1149">
        <v>6</v>
      </c>
      <c r="O1149">
        <v>54</v>
      </c>
      <c r="P1149">
        <v>60</v>
      </c>
      <c r="Q1149" s="17" t="str">
        <f t="shared" si="53"/>
        <v>Weekends</v>
      </c>
      <c r="R1149" s="17" t="str">
        <f t="shared" si="51"/>
        <v>Afternoon</v>
      </c>
      <c r="S1149" s="9" t="str">
        <f t="shared" si="52"/>
        <v>Mist</v>
      </c>
    </row>
    <row r="1150" spans="1:19" x14ac:dyDescent="0.25">
      <c r="A1150">
        <v>539</v>
      </c>
      <c r="B1150" s="19">
        <v>40571</v>
      </c>
      <c r="C1150">
        <v>1</v>
      </c>
      <c r="D1150">
        <v>1</v>
      </c>
      <c r="E1150">
        <v>15</v>
      </c>
      <c r="F1150" t="b">
        <v>0</v>
      </c>
      <c r="G1150">
        <v>5</v>
      </c>
      <c r="H1150">
        <v>2</v>
      </c>
      <c r="I1150">
        <v>0.2</v>
      </c>
      <c r="J1150">
        <v>538</v>
      </c>
      <c r="K1150">
        <v>0.13639999999999999</v>
      </c>
      <c r="L1150">
        <v>0.46</v>
      </c>
      <c r="M1150">
        <v>0.22389999999999999</v>
      </c>
      <c r="N1150">
        <v>2</v>
      </c>
      <c r="O1150">
        <v>43</v>
      </c>
      <c r="P1150">
        <v>45</v>
      </c>
      <c r="Q1150" s="17" t="str">
        <f t="shared" si="53"/>
        <v>Weekends</v>
      </c>
      <c r="R1150" s="17" t="str">
        <f t="shared" si="51"/>
        <v>Afternoon</v>
      </c>
      <c r="S1150" s="9" t="str">
        <f t="shared" si="52"/>
        <v>Mist</v>
      </c>
    </row>
    <row r="1151" spans="1:19" x14ac:dyDescent="0.25">
      <c r="A1151">
        <v>540</v>
      </c>
      <c r="B1151" s="19">
        <v>40571</v>
      </c>
      <c r="C1151">
        <v>1</v>
      </c>
      <c r="D1151">
        <v>1</v>
      </c>
      <c r="E1151">
        <v>15</v>
      </c>
      <c r="F1151" t="b">
        <v>0</v>
      </c>
      <c r="G1151">
        <v>5</v>
      </c>
      <c r="H1151">
        <v>2</v>
      </c>
      <c r="I1151">
        <v>0.2</v>
      </c>
      <c r="J1151">
        <v>539</v>
      </c>
      <c r="K1151">
        <v>0.16669999999999999</v>
      </c>
      <c r="L1151">
        <v>0.4</v>
      </c>
      <c r="M1151">
        <v>0.16420000000000001</v>
      </c>
      <c r="N1151">
        <v>7</v>
      </c>
      <c r="O1151">
        <v>50</v>
      </c>
      <c r="P1151">
        <v>57</v>
      </c>
      <c r="Q1151" s="17" t="str">
        <f t="shared" si="53"/>
        <v>Weekends</v>
      </c>
      <c r="R1151" s="17" t="str">
        <f t="shared" si="51"/>
        <v>Afternoon</v>
      </c>
      <c r="S1151" s="9" t="str">
        <f t="shared" si="52"/>
        <v>Mist</v>
      </c>
    </row>
    <row r="1152" spans="1:19" x14ac:dyDescent="0.25">
      <c r="A1152">
        <v>541</v>
      </c>
      <c r="B1152" s="19">
        <v>40571</v>
      </c>
      <c r="C1152">
        <v>1</v>
      </c>
      <c r="D1152">
        <v>1</v>
      </c>
      <c r="E1152">
        <v>15</v>
      </c>
      <c r="F1152" t="b">
        <v>0</v>
      </c>
      <c r="G1152">
        <v>5</v>
      </c>
      <c r="H1152">
        <v>2</v>
      </c>
      <c r="I1152">
        <v>0.2</v>
      </c>
      <c r="J1152">
        <v>540</v>
      </c>
      <c r="K1152">
        <v>0.1515</v>
      </c>
      <c r="L1152">
        <v>0.47</v>
      </c>
      <c r="M1152">
        <v>0.25369999999999998</v>
      </c>
      <c r="N1152">
        <v>4</v>
      </c>
      <c r="O1152">
        <v>66</v>
      </c>
      <c r="P1152">
        <v>70</v>
      </c>
      <c r="Q1152" s="17" t="str">
        <f t="shared" si="53"/>
        <v>Weekends</v>
      </c>
      <c r="R1152" s="17" t="str">
        <f t="shared" si="51"/>
        <v>Afternoon</v>
      </c>
      <c r="S1152" s="9" t="str">
        <f t="shared" si="52"/>
        <v>Mist</v>
      </c>
    </row>
    <row r="1153" spans="1:19" x14ac:dyDescent="0.25">
      <c r="A1153">
        <v>542</v>
      </c>
      <c r="B1153" s="19">
        <v>40571</v>
      </c>
      <c r="C1153">
        <v>1</v>
      </c>
      <c r="D1153">
        <v>1</v>
      </c>
      <c r="E1153">
        <v>15</v>
      </c>
      <c r="F1153" t="b">
        <v>0</v>
      </c>
      <c r="G1153">
        <v>5</v>
      </c>
      <c r="H1153">
        <v>2</v>
      </c>
      <c r="I1153">
        <v>0.2</v>
      </c>
      <c r="J1153">
        <v>541</v>
      </c>
      <c r="K1153">
        <v>0.1212</v>
      </c>
      <c r="L1153">
        <v>0.5</v>
      </c>
      <c r="M1153">
        <v>0.25369999999999998</v>
      </c>
      <c r="N1153">
        <v>6</v>
      </c>
      <c r="O1153">
        <v>178</v>
      </c>
      <c r="P1153">
        <v>184</v>
      </c>
      <c r="Q1153" s="17" t="str">
        <f t="shared" si="53"/>
        <v>Weekends</v>
      </c>
      <c r="R1153" s="17" t="str">
        <f t="shared" si="51"/>
        <v>Afternoon</v>
      </c>
      <c r="S1153" s="9" t="str">
        <f t="shared" si="52"/>
        <v>Mist</v>
      </c>
    </row>
    <row r="1154" spans="1:19" x14ac:dyDescent="0.25">
      <c r="A1154">
        <v>543</v>
      </c>
      <c r="B1154" s="19">
        <v>40571</v>
      </c>
      <c r="C1154">
        <v>1</v>
      </c>
      <c r="D1154">
        <v>1</v>
      </c>
      <c r="E1154">
        <v>15</v>
      </c>
      <c r="F1154" t="b">
        <v>0</v>
      </c>
      <c r="G1154">
        <v>5</v>
      </c>
      <c r="H1154">
        <v>2</v>
      </c>
      <c r="I1154">
        <v>0.2</v>
      </c>
      <c r="J1154">
        <v>542</v>
      </c>
      <c r="K1154">
        <v>0.13639999999999999</v>
      </c>
      <c r="L1154">
        <v>0.59</v>
      </c>
      <c r="M1154">
        <v>0.19400000000000001</v>
      </c>
      <c r="N1154">
        <v>8</v>
      </c>
      <c r="O1154">
        <v>145</v>
      </c>
      <c r="P1154">
        <v>153</v>
      </c>
      <c r="Q1154" s="17" t="str">
        <f t="shared" si="53"/>
        <v>Weekends</v>
      </c>
      <c r="R1154" s="17" t="str">
        <f t="shared" ref="R1154:R1217" si="54">IF(E1154&lt;12,"Morning",IF(E1154&lt;16,"Afternoon",IF(E1154&lt;21,"Evening","Night")))</f>
        <v>Afternoon</v>
      </c>
      <c r="S1154" s="9" t="str">
        <f t="shared" ref="S1154:S1217" si="55">IF(H1154=1,"Clear",IF(H1154=2,"Mist",IF(H1154=3,"Light Snow/Rain","Heavy Rain/Snow")))</f>
        <v>Mist</v>
      </c>
    </row>
    <row r="1155" spans="1:19" x14ac:dyDescent="0.25">
      <c r="A1155">
        <v>544</v>
      </c>
      <c r="B1155" s="19">
        <v>40571</v>
      </c>
      <c r="C1155">
        <v>1</v>
      </c>
      <c r="D1155">
        <v>1</v>
      </c>
      <c r="E1155">
        <v>15</v>
      </c>
      <c r="F1155" t="b">
        <v>0</v>
      </c>
      <c r="G1155">
        <v>5</v>
      </c>
      <c r="H1155">
        <v>2</v>
      </c>
      <c r="I1155">
        <v>0.2</v>
      </c>
      <c r="J1155">
        <v>543</v>
      </c>
      <c r="K1155">
        <v>0.1515</v>
      </c>
      <c r="L1155">
        <v>0.54</v>
      </c>
      <c r="M1155">
        <v>0.16420000000000001</v>
      </c>
      <c r="N1155">
        <v>5</v>
      </c>
      <c r="O1155">
        <v>101</v>
      </c>
      <c r="P1155">
        <v>106</v>
      </c>
      <c r="Q1155" s="17" t="str">
        <f t="shared" ref="Q1155:Q1218" si="56">IF(G1155&gt;=5,"Weekends","Weekdays")</f>
        <v>Weekends</v>
      </c>
      <c r="R1155" s="17" t="str">
        <f t="shared" si="54"/>
        <v>Afternoon</v>
      </c>
      <c r="S1155" s="9" t="str">
        <f t="shared" si="55"/>
        <v>Mist</v>
      </c>
    </row>
    <row r="1156" spans="1:19" x14ac:dyDescent="0.25">
      <c r="A1156">
        <v>545</v>
      </c>
      <c r="B1156" s="19">
        <v>40571</v>
      </c>
      <c r="C1156">
        <v>1</v>
      </c>
      <c r="D1156">
        <v>1</v>
      </c>
      <c r="E1156">
        <v>15</v>
      </c>
      <c r="F1156" t="b">
        <v>0</v>
      </c>
      <c r="G1156">
        <v>5</v>
      </c>
      <c r="H1156">
        <v>2</v>
      </c>
      <c r="I1156">
        <v>0.2</v>
      </c>
      <c r="J1156">
        <v>544</v>
      </c>
      <c r="K1156">
        <v>0.13639999999999999</v>
      </c>
      <c r="L1156">
        <v>0.59</v>
      </c>
      <c r="M1156">
        <v>0.19400000000000001</v>
      </c>
      <c r="N1156">
        <v>1</v>
      </c>
      <c r="O1156">
        <v>80</v>
      </c>
      <c r="P1156">
        <v>81</v>
      </c>
      <c r="Q1156" s="17" t="str">
        <f t="shared" si="56"/>
        <v>Weekends</v>
      </c>
      <c r="R1156" s="17" t="str">
        <f t="shared" si="54"/>
        <v>Afternoon</v>
      </c>
      <c r="S1156" s="9" t="str">
        <f t="shared" si="55"/>
        <v>Mist</v>
      </c>
    </row>
    <row r="1157" spans="1:19" x14ac:dyDescent="0.25">
      <c r="A1157">
        <v>546</v>
      </c>
      <c r="B1157" s="19">
        <v>40571</v>
      </c>
      <c r="C1157">
        <v>1</v>
      </c>
      <c r="D1157">
        <v>1</v>
      </c>
      <c r="E1157">
        <v>15</v>
      </c>
      <c r="F1157" t="b">
        <v>0</v>
      </c>
      <c r="G1157">
        <v>5</v>
      </c>
      <c r="H1157">
        <v>2</v>
      </c>
      <c r="I1157">
        <v>0.2</v>
      </c>
      <c r="J1157">
        <v>545</v>
      </c>
      <c r="K1157">
        <v>0.1515</v>
      </c>
      <c r="L1157">
        <v>0.63</v>
      </c>
      <c r="M1157">
        <v>0.16420000000000001</v>
      </c>
      <c r="N1157">
        <v>6</v>
      </c>
      <c r="O1157">
        <v>53</v>
      </c>
      <c r="P1157">
        <v>59</v>
      </c>
      <c r="Q1157" s="17" t="str">
        <f t="shared" si="56"/>
        <v>Weekends</v>
      </c>
      <c r="R1157" s="17" t="str">
        <f t="shared" si="54"/>
        <v>Afternoon</v>
      </c>
      <c r="S1157" s="9" t="str">
        <f t="shared" si="55"/>
        <v>Mist</v>
      </c>
    </row>
    <row r="1158" spans="1:19" x14ac:dyDescent="0.25">
      <c r="A1158">
        <v>547</v>
      </c>
      <c r="B1158" s="19">
        <v>40571</v>
      </c>
      <c r="C1158">
        <v>1</v>
      </c>
      <c r="D1158">
        <v>1</v>
      </c>
      <c r="E1158">
        <v>15</v>
      </c>
      <c r="F1158" t="b">
        <v>0</v>
      </c>
      <c r="G1158">
        <v>5</v>
      </c>
      <c r="H1158">
        <v>2</v>
      </c>
      <c r="I1158">
        <v>0.2</v>
      </c>
      <c r="J1158">
        <v>546</v>
      </c>
      <c r="K1158">
        <v>0.13639999999999999</v>
      </c>
      <c r="L1158">
        <v>0.63</v>
      </c>
      <c r="M1158">
        <v>0.22389999999999999</v>
      </c>
      <c r="N1158">
        <v>3</v>
      </c>
      <c r="O1158">
        <v>32</v>
      </c>
      <c r="P1158">
        <v>35</v>
      </c>
      <c r="Q1158" s="17" t="str">
        <f t="shared" si="56"/>
        <v>Weekends</v>
      </c>
      <c r="R1158" s="17" t="str">
        <f t="shared" si="54"/>
        <v>Afternoon</v>
      </c>
      <c r="S1158" s="9" t="str">
        <f t="shared" si="55"/>
        <v>Mist</v>
      </c>
    </row>
    <row r="1159" spans="1:19" x14ac:dyDescent="0.25">
      <c r="A1159">
        <v>548</v>
      </c>
      <c r="B1159" s="19">
        <v>40571</v>
      </c>
      <c r="C1159">
        <v>1</v>
      </c>
      <c r="D1159">
        <v>1</v>
      </c>
      <c r="E1159">
        <v>15</v>
      </c>
      <c r="F1159" t="b">
        <v>0</v>
      </c>
      <c r="G1159">
        <v>5</v>
      </c>
      <c r="H1159">
        <v>2</v>
      </c>
      <c r="I1159">
        <v>0.2</v>
      </c>
      <c r="J1159">
        <v>547</v>
      </c>
      <c r="K1159">
        <v>0.1515</v>
      </c>
      <c r="L1159">
        <v>0.64</v>
      </c>
      <c r="M1159">
        <v>0.25369999999999998</v>
      </c>
      <c r="N1159">
        <v>3</v>
      </c>
      <c r="O1159">
        <v>21</v>
      </c>
      <c r="P1159">
        <v>24</v>
      </c>
      <c r="Q1159" s="17" t="str">
        <f t="shared" si="56"/>
        <v>Weekends</v>
      </c>
      <c r="R1159" s="17" t="str">
        <f t="shared" si="54"/>
        <v>Afternoon</v>
      </c>
      <c r="S1159" s="9" t="str">
        <f t="shared" si="55"/>
        <v>Mist</v>
      </c>
    </row>
    <row r="1160" spans="1:19" x14ac:dyDescent="0.25">
      <c r="A1160">
        <v>549</v>
      </c>
      <c r="B1160" s="19">
        <v>40571</v>
      </c>
      <c r="C1160">
        <v>1</v>
      </c>
      <c r="D1160">
        <v>1</v>
      </c>
      <c r="E1160">
        <v>15</v>
      </c>
      <c r="F1160" t="b">
        <v>0</v>
      </c>
      <c r="G1160">
        <v>5</v>
      </c>
      <c r="H1160">
        <v>2</v>
      </c>
      <c r="I1160">
        <v>0.2</v>
      </c>
      <c r="J1160">
        <v>548</v>
      </c>
      <c r="K1160">
        <v>0.13639999999999999</v>
      </c>
      <c r="L1160">
        <v>0.69</v>
      </c>
      <c r="M1160">
        <v>0.28360000000000002</v>
      </c>
      <c r="N1160">
        <v>3</v>
      </c>
      <c r="O1160">
        <v>6</v>
      </c>
      <c r="P1160">
        <v>9</v>
      </c>
      <c r="Q1160" s="17" t="str">
        <f t="shared" si="56"/>
        <v>Weekends</v>
      </c>
      <c r="R1160" s="17" t="str">
        <f t="shared" si="54"/>
        <v>Afternoon</v>
      </c>
      <c r="S1160" s="9" t="str">
        <f t="shared" si="55"/>
        <v>Mist</v>
      </c>
    </row>
    <row r="1161" spans="1:19" x14ac:dyDescent="0.25">
      <c r="A1161">
        <v>550</v>
      </c>
      <c r="B1161" s="19">
        <v>40571</v>
      </c>
      <c r="C1161">
        <v>1</v>
      </c>
      <c r="D1161">
        <v>1</v>
      </c>
      <c r="E1161">
        <v>15</v>
      </c>
      <c r="F1161" t="b">
        <v>0</v>
      </c>
      <c r="G1161">
        <v>5</v>
      </c>
      <c r="H1161">
        <v>2</v>
      </c>
      <c r="I1161">
        <v>0.2</v>
      </c>
      <c r="J1161">
        <v>549</v>
      </c>
      <c r="K1161">
        <v>0.16669999999999999</v>
      </c>
      <c r="L1161">
        <v>0.69</v>
      </c>
      <c r="M1161">
        <v>0.16420000000000001</v>
      </c>
      <c r="N1161">
        <v>0</v>
      </c>
      <c r="O1161">
        <v>5</v>
      </c>
      <c r="P1161">
        <v>5</v>
      </c>
      <c r="Q1161" s="17" t="str">
        <f t="shared" si="56"/>
        <v>Weekends</v>
      </c>
      <c r="R1161" s="17" t="str">
        <f t="shared" si="54"/>
        <v>Afternoon</v>
      </c>
      <c r="S1161" s="9" t="str">
        <f t="shared" si="55"/>
        <v>Mist</v>
      </c>
    </row>
    <row r="1162" spans="1:19" x14ac:dyDescent="0.25">
      <c r="A1162">
        <v>551</v>
      </c>
      <c r="B1162" s="19">
        <v>40571</v>
      </c>
      <c r="C1162">
        <v>1</v>
      </c>
      <c r="D1162">
        <v>1</v>
      </c>
      <c r="E1162">
        <v>15</v>
      </c>
      <c r="F1162" t="b">
        <v>0</v>
      </c>
      <c r="G1162">
        <v>5</v>
      </c>
      <c r="H1162">
        <v>2</v>
      </c>
      <c r="I1162">
        <v>0.2</v>
      </c>
      <c r="J1162">
        <v>550</v>
      </c>
      <c r="K1162">
        <v>0.1515</v>
      </c>
      <c r="L1162">
        <v>0.69</v>
      </c>
      <c r="M1162">
        <v>0.22389999999999999</v>
      </c>
      <c r="N1162">
        <v>0</v>
      </c>
      <c r="O1162">
        <v>2</v>
      </c>
      <c r="P1162">
        <v>2</v>
      </c>
      <c r="Q1162" s="17" t="str">
        <f t="shared" si="56"/>
        <v>Weekends</v>
      </c>
      <c r="R1162" s="17" t="str">
        <f t="shared" si="54"/>
        <v>Afternoon</v>
      </c>
      <c r="S1162" s="9" t="str">
        <f t="shared" si="55"/>
        <v>Mist</v>
      </c>
    </row>
    <row r="1163" spans="1:19" x14ac:dyDescent="0.25">
      <c r="A1163">
        <v>552</v>
      </c>
      <c r="B1163" s="19">
        <v>40571</v>
      </c>
      <c r="C1163">
        <v>1</v>
      </c>
      <c r="D1163">
        <v>1</v>
      </c>
      <c r="E1163">
        <v>15</v>
      </c>
      <c r="F1163" t="b">
        <v>0</v>
      </c>
      <c r="G1163">
        <v>5</v>
      </c>
      <c r="H1163">
        <v>2</v>
      </c>
      <c r="I1163">
        <v>0.2</v>
      </c>
      <c r="J1163">
        <v>551</v>
      </c>
      <c r="K1163">
        <v>0.16669999999999999</v>
      </c>
      <c r="L1163">
        <v>0.74</v>
      </c>
      <c r="M1163">
        <v>0.1045</v>
      </c>
      <c r="N1163">
        <v>0</v>
      </c>
      <c r="O1163">
        <v>1</v>
      </c>
      <c r="P1163">
        <v>1</v>
      </c>
      <c r="Q1163" s="17" t="str">
        <f t="shared" si="56"/>
        <v>Weekends</v>
      </c>
      <c r="R1163" s="17" t="str">
        <f t="shared" si="54"/>
        <v>Afternoon</v>
      </c>
      <c r="S1163" s="9" t="str">
        <f t="shared" si="55"/>
        <v>Mist</v>
      </c>
    </row>
    <row r="1164" spans="1:19" x14ac:dyDescent="0.25">
      <c r="A1164">
        <v>553</v>
      </c>
      <c r="B1164" s="19">
        <v>40571</v>
      </c>
      <c r="C1164">
        <v>1</v>
      </c>
      <c r="D1164">
        <v>1</v>
      </c>
      <c r="E1164">
        <v>15</v>
      </c>
      <c r="F1164" t="b">
        <v>0</v>
      </c>
      <c r="G1164">
        <v>5</v>
      </c>
      <c r="H1164">
        <v>2</v>
      </c>
      <c r="I1164">
        <v>0.2</v>
      </c>
      <c r="J1164">
        <v>552</v>
      </c>
      <c r="K1164">
        <v>0.13639999999999999</v>
      </c>
      <c r="L1164">
        <v>0.74</v>
      </c>
      <c r="M1164">
        <v>0.22389999999999999</v>
      </c>
      <c r="N1164">
        <v>0</v>
      </c>
      <c r="O1164">
        <v>9</v>
      </c>
      <c r="P1164">
        <v>9</v>
      </c>
      <c r="Q1164" s="17" t="str">
        <f t="shared" si="56"/>
        <v>Weekends</v>
      </c>
      <c r="R1164" s="17" t="str">
        <f t="shared" si="54"/>
        <v>Afternoon</v>
      </c>
      <c r="S1164" s="9" t="str">
        <f t="shared" si="55"/>
        <v>Mist</v>
      </c>
    </row>
    <row r="1165" spans="1:19" x14ac:dyDescent="0.25">
      <c r="A1165">
        <v>554</v>
      </c>
      <c r="B1165" s="19">
        <v>40571</v>
      </c>
      <c r="C1165">
        <v>1</v>
      </c>
      <c r="D1165">
        <v>1</v>
      </c>
      <c r="E1165">
        <v>15</v>
      </c>
      <c r="F1165" t="b">
        <v>0</v>
      </c>
      <c r="G1165">
        <v>5</v>
      </c>
      <c r="H1165">
        <v>2</v>
      </c>
      <c r="I1165">
        <v>0.2</v>
      </c>
      <c r="J1165">
        <v>553</v>
      </c>
      <c r="K1165">
        <v>0.18179999999999999</v>
      </c>
      <c r="L1165">
        <v>0.74</v>
      </c>
      <c r="M1165">
        <v>0.1045</v>
      </c>
      <c r="N1165">
        <v>1</v>
      </c>
      <c r="O1165">
        <v>35</v>
      </c>
      <c r="P1165">
        <v>36</v>
      </c>
      <c r="Q1165" s="17" t="str">
        <f t="shared" si="56"/>
        <v>Weekends</v>
      </c>
      <c r="R1165" s="17" t="str">
        <f t="shared" si="54"/>
        <v>Afternoon</v>
      </c>
      <c r="S1165" s="9" t="str">
        <f t="shared" si="55"/>
        <v>Mist</v>
      </c>
    </row>
    <row r="1166" spans="1:19" x14ac:dyDescent="0.25">
      <c r="A1166">
        <v>555</v>
      </c>
      <c r="B1166" s="19">
        <v>40571</v>
      </c>
      <c r="C1166">
        <v>1</v>
      </c>
      <c r="D1166">
        <v>1</v>
      </c>
      <c r="E1166">
        <v>15</v>
      </c>
      <c r="F1166" t="b">
        <v>0</v>
      </c>
      <c r="G1166">
        <v>5</v>
      </c>
      <c r="H1166">
        <v>2</v>
      </c>
      <c r="I1166">
        <v>0.2</v>
      </c>
      <c r="J1166">
        <v>554</v>
      </c>
      <c r="K1166">
        <v>0.1515</v>
      </c>
      <c r="L1166">
        <v>0.74</v>
      </c>
      <c r="M1166">
        <v>0.22389999999999999</v>
      </c>
      <c r="N1166">
        <v>5</v>
      </c>
      <c r="O1166">
        <v>103</v>
      </c>
      <c r="P1166">
        <v>108</v>
      </c>
      <c r="Q1166" s="17" t="str">
        <f t="shared" si="56"/>
        <v>Weekends</v>
      </c>
      <c r="R1166" s="17" t="str">
        <f t="shared" si="54"/>
        <v>Afternoon</v>
      </c>
      <c r="S1166" s="9" t="str">
        <f t="shared" si="55"/>
        <v>Mist</v>
      </c>
    </row>
    <row r="1167" spans="1:19" x14ac:dyDescent="0.25">
      <c r="A1167">
        <v>556</v>
      </c>
      <c r="B1167" s="19">
        <v>40571</v>
      </c>
      <c r="C1167">
        <v>1</v>
      </c>
      <c r="D1167">
        <v>1</v>
      </c>
      <c r="E1167">
        <v>15</v>
      </c>
      <c r="F1167" t="b">
        <v>0</v>
      </c>
      <c r="G1167">
        <v>5</v>
      </c>
      <c r="H1167">
        <v>2</v>
      </c>
      <c r="I1167">
        <v>0.2</v>
      </c>
      <c r="J1167">
        <v>555</v>
      </c>
      <c r="K1167">
        <v>0.18179999999999999</v>
      </c>
      <c r="L1167">
        <v>0.74</v>
      </c>
      <c r="M1167">
        <v>0.1343</v>
      </c>
      <c r="N1167">
        <v>5</v>
      </c>
      <c r="O1167">
        <v>233</v>
      </c>
      <c r="P1167">
        <v>238</v>
      </c>
      <c r="Q1167" s="17" t="str">
        <f t="shared" si="56"/>
        <v>Weekends</v>
      </c>
      <c r="R1167" s="17" t="str">
        <f t="shared" si="54"/>
        <v>Afternoon</v>
      </c>
      <c r="S1167" s="9" t="str">
        <f t="shared" si="55"/>
        <v>Mist</v>
      </c>
    </row>
    <row r="1168" spans="1:19" x14ac:dyDescent="0.25">
      <c r="A1168">
        <v>557</v>
      </c>
      <c r="B1168" s="19">
        <v>40571</v>
      </c>
      <c r="C1168">
        <v>1</v>
      </c>
      <c r="D1168">
        <v>1</v>
      </c>
      <c r="E1168">
        <v>15</v>
      </c>
      <c r="F1168" t="b">
        <v>0</v>
      </c>
      <c r="G1168">
        <v>5</v>
      </c>
      <c r="H1168">
        <v>2</v>
      </c>
      <c r="I1168">
        <v>0.2</v>
      </c>
      <c r="J1168">
        <v>556</v>
      </c>
      <c r="K1168">
        <v>0.2273</v>
      </c>
      <c r="L1168">
        <v>0.64</v>
      </c>
      <c r="M1168">
        <v>8.9599999999999999E-2</v>
      </c>
      <c r="N1168">
        <v>10</v>
      </c>
      <c r="O1168">
        <v>134</v>
      </c>
      <c r="P1168">
        <v>144</v>
      </c>
      <c r="Q1168" s="17" t="str">
        <f t="shared" si="56"/>
        <v>Weekends</v>
      </c>
      <c r="R1168" s="17" t="str">
        <f t="shared" si="54"/>
        <v>Afternoon</v>
      </c>
      <c r="S1168" s="9" t="str">
        <f t="shared" si="55"/>
        <v>Mist</v>
      </c>
    </row>
    <row r="1169" spans="1:19" x14ac:dyDescent="0.25">
      <c r="A1169">
        <v>558</v>
      </c>
      <c r="B1169" s="19">
        <v>40571</v>
      </c>
      <c r="C1169">
        <v>1</v>
      </c>
      <c r="D1169">
        <v>1</v>
      </c>
      <c r="E1169">
        <v>15</v>
      </c>
      <c r="F1169" t="b">
        <v>0</v>
      </c>
      <c r="G1169">
        <v>5</v>
      </c>
      <c r="H1169">
        <v>2</v>
      </c>
      <c r="I1169">
        <v>0.2</v>
      </c>
      <c r="J1169">
        <v>557</v>
      </c>
      <c r="K1169">
        <v>0.2424</v>
      </c>
      <c r="L1169">
        <v>0.6</v>
      </c>
      <c r="M1169">
        <v>0.1045</v>
      </c>
      <c r="N1169">
        <v>6</v>
      </c>
      <c r="O1169">
        <v>49</v>
      </c>
      <c r="P1169">
        <v>55</v>
      </c>
      <c r="Q1169" s="17" t="str">
        <f t="shared" si="56"/>
        <v>Weekends</v>
      </c>
      <c r="R1169" s="17" t="str">
        <f t="shared" si="54"/>
        <v>Afternoon</v>
      </c>
      <c r="S1169" s="9" t="str">
        <f t="shared" si="55"/>
        <v>Mist</v>
      </c>
    </row>
    <row r="1170" spans="1:19" x14ac:dyDescent="0.25">
      <c r="A1170">
        <v>559</v>
      </c>
      <c r="B1170" s="19">
        <v>40571</v>
      </c>
      <c r="C1170">
        <v>1</v>
      </c>
      <c r="D1170">
        <v>1</v>
      </c>
      <c r="E1170">
        <v>15</v>
      </c>
      <c r="F1170" t="b">
        <v>0</v>
      </c>
      <c r="G1170">
        <v>5</v>
      </c>
      <c r="H1170">
        <v>2</v>
      </c>
      <c r="I1170">
        <v>0.2</v>
      </c>
      <c r="J1170">
        <v>558</v>
      </c>
      <c r="K1170">
        <v>0.2424</v>
      </c>
      <c r="L1170">
        <v>0.6</v>
      </c>
      <c r="M1170">
        <v>0.1343</v>
      </c>
      <c r="N1170">
        <v>6</v>
      </c>
      <c r="O1170">
        <v>55</v>
      </c>
      <c r="P1170">
        <v>61</v>
      </c>
      <c r="Q1170" s="17" t="str">
        <f t="shared" si="56"/>
        <v>Weekends</v>
      </c>
      <c r="R1170" s="17" t="str">
        <f t="shared" si="54"/>
        <v>Afternoon</v>
      </c>
      <c r="S1170" s="9" t="str">
        <f t="shared" si="55"/>
        <v>Mist</v>
      </c>
    </row>
    <row r="1171" spans="1:19" x14ac:dyDescent="0.25">
      <c r="A1171">
        <v>560</v>
      </c>
      <c r="B1171" s="19">
        <v>40571</v>
      </c>
      <c r="C1171">
        <v>1</v>
      </c>
      <c r="D1171">
        <v>1</v>
      </c>
      <c r="E1171">
        <v>15</v>
      </c>
      <c r="F1171" t="b">
        <v>0</v>
      </c>
      <c r="G1171">
        <v>5</v>
      </c>
      <c r="H1171">
        <v>2</v>
      </c>
      <c r="I1171">
        <v>0.2</v>
      </c>
      <c r="J1171">
        <v>559</v>
      </c>
      <c r="K1171">
        <v>0.28789999999999999</v>
      </c>
      <c r="L1171">
        <v>0.56000000000000005</v>
      </c>
      <c r="M1171">
        <v>8.9599999999999999E-2</v>
      </c>
      <c r="N1171">
        <v>21</v>
      </c>
      <c r="O1171">
        <v>85</v>
      </c>
      <c r="P1171">
        <v>106</v>
      </c>
      <c r="Q1171" s="17" t="str">
        <f t="shared" si="56"/>
        <v>Weekends</v>
      </c>
      <c r="R1171" s="17" t="str">
        <f t="shared" si="54"/>
        <v>Afternoon</v>
      </c>
      <c r="S1171" s="9" t="str">
        <f t="shared" si="55"/>
        <v>Mist</v>
      </c>
    </row>
    <row r="1172" spans="1:19" x14ac:dyDescent="0.25">
      <c r="A1172">
        <v>561</v>
      </c>
      <c r="B1172" s="19">
        <v>40571</v>
      </c>
      <c r="C1172">
        <v>1</v>
      </c>
      <c r="D1172">
        <v>1</v>
      </c>
      <c r="E1172">
        <v>15</v>
      </c>
      <c r="F1172" t="b">
        <v>0</v>
      </c>
      <c r="G1172">
        <v>5</v>
      </c>
      <c r="H1172">
        <v>2</v>
      </c>
      <c r="I1172">
        <v>0.2</v>
      </c>
      <c r="J1172">
        <v>560</v>
      </c>
      <c r="K1172">
        <v>0.2727</v>
      </c>
      <c r="L1172">
        <v>0.56000000000000005</v>
      </c>
      <c r="M1172">
        <v>0.1343</v>
      </c>
      <c r="N1172">
        <v>21</v>
      </c>
      <c r="O1172">
        <v>72</v>
      </c>
      <c r="P1172">
        <v>93</v>
      </c>
      <c r="Q1172" s="17" t="str">
        <f t="shared" si="56"/>
        <v>Weekends</v>
      </c>
      <c r="R1172" s="17" t="str">
        <f t="shared" si="54"/>
        <v>Afternoon</v>
      </c>
      <c r="S1172" s="9" t="str">
        <f t="shared" si="55"/>
        <v>Mist</v>
      </c>
    </row>
    <row r="1173" spans="1:19" x14ac:dyDescent="0.25">
      <c r="A1173">
        <v>562</v>
      </c>
      <c r="B1173" s="19">
        <v>40571</v>
      </c>
      <c r="C1173">
        <v>1</v>
      </c>
      <c r="D1173">
        <v>1</v>
      </c>
      <c r="E1173">
        <v>15</v>
      </c>
      <c r="F1173" t="b">
        <v>0</v>
      </c>
      <c r="G1173">
        <v>5</v>
      </c>
      <c r="H1173">
        <v>2</v>
      </c>
      <c r="I1173">
        <v>0.2</v>
      </c>
      <c r="J1173">
        <v>561</v>
      </c>
      <c r="K1173">
        <v>0.33329999999999999</v>
      </c>
      <c r="L1173">
        <v>0.45</v>
      </c>
      <c r="M1173">
        <v>0</v>
      </c>
      <c r="N1173">
        <v>11</v>
      </c>
      <c r="O1173">
        <v>57</v>
      </c>
      <c r="P1173">
        <v>68</v>
      </c>
      <c r="Q1173" s="17" t="str">
        <f t="shared" si="56"/>
        <v>Weekends</v>
      </c>
      <c r="R1173" s="17" t="str">
        <f t="shared" si="54"/>
        <v>Afternoon</v>
      </c>
      <c r="S1173" s="9" t="str">
        <f t="shared" si="55"/>
        <v>Mist</v>
      </c>
    </row>
    <row r="1174" spans="1:19" x14ac:dyDescent="0.25">
      <c r="A1174">
        <v>563</v>
      </c>
      <c r="B1174" s="19">
        <v>40571</v>
      </c>
      <c r="C1174">
        <v>1</v>
      </c>
      <c r="D1174">
        <v>1</v>
      </c>
      <c r="E1174">
        <v>15</v>
      </c>
      <c r="F1174" t="b">
        <v>0</v>
      </c>
      <c r="G1174">
        <v>5</v>
      </c>
      <c r="H1174">
        <v>2</v>
      </c>
      <c r="I1174">
        <v>0.2</v>
      </c>
      <c r="J1174">
        <v>562</v>
      </c>
      <c r="K1174">
        <v>0.34849999999999998</v>
      </c>
      <c r="L1174">
        <v>0.42</v>
      </c>
      <c r="M1174">
        <v>0</v>
      </c>
      <c r="N1174">
        <v>21</v>
      </c>
      <c r="O1174">
        <v>63</v>
      </c>
      <c r="P1174">
        <v>84</v>
      </c>
      <c r="Q1174" s="17" t="str">
        <f t="shared" si="56"/>
        <v>Weekends</v>
      </c>
      <c r="R1174" s="17" t="str">
        <f t="shared" si="54"/>
        <v>Afternoon</v>
      </c>
      <c r="S1174" s="9" t="str">
        <f t="shared" si="55"/>
        <v>Mist</v>
      </c>
    </row>
    <row r="1175" spans="1:19" x14ac:dyDescent="0.25">
      <c r="A1175">
        <v>564</v>
      </c>
      <c r="B1175" s="19">
        <v>40571</v>
      </c>
      <c r="C1175">
        <v>1</v>
      </c>
      <c r="D1175">
        <v>1</v>
      </c>
      <c r="E1175">
        <v>15</v>
      </c>
      <c r="F1175" t="b">
        <v>0</v>
      </c>
      <c r="G1175">
        <v>5</v>
      </c>
      <c r="H1175">
        <v>2</v>
      </c>
      <c r="I1175">
        <v>0.2</v>
      </c>
      <c r="J1175">
        <v>563</v>
      </c>
      <c r="K1175">
        <v>0.34849999999999998</v>
      </c>
      <c r="L1175">
        <v>0.42</v>
      </c>
      <c r="M1175">
        <v>0</v>
      </c>
      <c r="N1175">
        <v>14</v>
      </c>
      <c r="O1175">
        <v>102</v>
      </c>
      <c r="P1175">
        <v>116</v>
      </c>
      <c r="Q1175" s="17" t="str">
        <f t="shared" si="56"/>
        <v>Weekends</v>
      </c>
      <c r="R1175" s="17" t="str">
        <f t="shared" si="54"/>
        <v>Afternoon</v>
      </c>
      <c r="S1175" s="9" t="str">
        <f t="shared" si="55"/>
        <v>Mist</v>
      </c>
    </row>
    <row r="1176" spans="1:19" x14ac:dyDescent="0.25">
      <c r="A1176">
        <v>565</v>
      </c>
      <c r="B1176" s="19">
        <v>40571</v>
      </c>
      <c r="C1176">
        <v>1</v>
      </c>
      <c r="D1176">
        <v>1</v>
      </c>
      <c r="E1176">
        <v>15</v>
      </c>
      <c r="F1176" t="b">
        <v>0</v>
      </c>
      <c r="G1176">
        <v>5</v>
      </c>
      <c r="H1176">
        <v>2</v>
      </c>
      <c r="I1176">
        <v>0.2</v>
      </c>
      <c r="J1176">
        <v>564</v>
      </c>
      <c r="K1176">
        <v>0.33329999999999999</v>
      </c>
      <c r="L1176">
        <v>0.45</v>
      </c>
      <c r="M1176">
        <v>0</v>
      </c>
      <c r="N1176">
        <v>14</v>
      </c>
      <c r="O1176">
        <v>208</v>
      </c>
      <c r="P1176">
        <v>222</v>
      </c>
      <c r="Q1176" s="17" t="str">
        <f t="shared" si="56"/>
        <v>Weekends</v>
      </c>
      <c r="R1176" s="17" t="str">
        <f t="shared" si="54"/>
        <v>Afternoon</v>
      </c>
      <c r="S1176" s="9" t="str">
        <f t="shared" si="55"/>
        <v>Mist</v>
      </c>
    </row>
    <row r="1177" spans="1:19" x14ac:dyDescent="0.25">
      <c r="A1177">
        <v>566</v>
      </c>
      <c r="B1177" s="19">
        <v>40571</v>
      </c>
      <c r="C1177">
        <v>1</v>
      </c>
      <c r="D1177">
        <v>1</v>
      </c>
      <c r="E1177">
        <v>15</v>
      </c>
      <c r="F1177" t="b">
        <v>0</v>
      </c>
      <c r="G1177">
        <v>5</v>
      </c>
      <c r="H1177">
        <v>2</v>
      </c>
      <c r="I1177">
        <v>0.2</v>
      </c>
      <c r="J1177">
        <v>565</v>
      </c>
      <c r="K1177">
        <v>0.31819999999999998</v>
      </c>
      <c r="L1177">
        <v>0.49</v>
      </c>
      <c r="M1177">
        <v>8.9599999999999999E-2</v>
      </c>
      <c r="N1177">
        <v>7</v>
      </c>
      <c r="O1177">
        <v>218</v>
      </c>
      <c r="P1177">
        <v>225</v>
      </c>
      <c r="Q1177" s="17" t="str">
        <f t="shared" si="56"/>
        <v>Weekends</v>
      </c>
      <c r="R1177" s="17" t="str">
        <f t="shared" si="54"/>
        <v>Afternoon</v>
      </c>
      <c r="S1177" s="9" t="str">
        <f t="shared" si="55"/>
        <v>Mist</v>
      </c>
    </row>
    <row r="1178" spans="1:19" x14ac:dyDescent="0.25">
      <c r="A1178">
        <v>567</v>
      </c>
      <c r="B1178" s="19">
        <v>40571</v>
      </c>
      <c r="C1178">
        <v>1</v>
      </c>
      <c r="D1178">
        <v>1</v>
      </c>
      <c r="E1178">
        <v>15</v>
      </c>
      <c r="F1178" t="b">
        <v>0</v>
      </c>
      <c r="G1178">
        <v>5</v>
      </c>
      <c r="H1178">
        <v>2</v>
      </c>
      <c r="I1178">
        <v>0.2</v>
      </c>
      <c r="J1178">
        <v>566</v>
      </c>
      <c r="K1178">
        <v>0.2576</v>
      </c>
      <c r="L1178">
        <v>0.65</v>
      </c>
      <c r="M1178">
        <v>0.16420000000000001</v>
      </c>
      <c r="N1178">
        <v>13</v>
      </c>
      <c r="O1178">
        <v>133</v>
      </c>
      <c r="P1178">
        <v>146</v>
      </c>
      <c r="Q1178" s="17" t="str">
        <f t="shared" si="56"/>
        <v>Weekends</v>
      </c>
      <c r="R1178" s="17" t="str">
        <f t="shared" si="54"/>
        <v>Afternoon</v>
      </c>
      <c r="S1178" s="9" t="str">
        <f t="shared" si="55"/>
        <v>Mist</v>
      </c>
    </row>
    <row r="1179" spans="1:19" x14ac:dyDescent="0.25">
      <c r="A1179">
        <v>568</v>
      </c>
      <c r="B1179" s="19">
        <v>40571</v>
      </c>
      <c r="C1179">
        <v>1</v>
      </c>
      <c r="D1179">
        <v>1</v>
      </c>
      <c r="E1179">
        <v>15</v>
      </c>
      <c r="F1179" t="b">
        <v>0</v>
      </c>
      <c r="G1179">
        <v>5</v>
      </c>
      <c r="H1179">
        <v>2</v>
      </c>
      <c r="I1179">
        <v>0.2</v>
      </c>
      <c r="J1179">
        <v>567</v>
      </c>
      <c r="K1179">
        <v>0.2273</v>
      </c>
      <c r="L1179">
        <v>0.65</v>
      </c>
      <c r="M1179">
        <v>0.19400000000000001</v>
      </c>
      <c r="N1179">
        <v>16</v>
      </c>
      <c r="O1179">
        <v>103</v>
      </c>
      <c r="P1179">
        <v>119</v>
      </c>
      <c r="Q1179" s="17" t="str">
        <f t="shared" si="56"/>
        <v>Weekends</v>
      </c>
      <c r="R1179" s="17" t="str">
        <f t="shared" si="54"/>
        <v>Afternoon</v>
      </c>
      <c r="S1179" s="9" t="str">
        <f t="shared" si="55"/>
        <v>Mist</v>
      </c>
    </row>
    <row r="1180" spans="1:19" x14ac:dyDescent="0.25">
      <c r="A1180">
        <v>569</v>
      </c>
      <c r="B1180" s="19">
        <v>40571</v>
      </c>
      <c r="C1180">
        <v>1</v>
      </c>
      <c r="D1180">
        <v>1</v>
      </c>
      <c r="E1180">
        <v>15</v>
      </c>
      <c r="F1180" t="b">
        <v>0</v>
      </c>
      <c r="G1180">
        <v>5</v>
      </c>
      <c r="H1180">
        <v>2</v>
      </c>
      <c r="I1180">
        <v>0.2</v>
      </c>
      <c r="J1180">
        <v>568</v>
      </c>
      <c r="K1180">
        <v>0.2273</v>
      </c>
      <c r="L1180">
        <v>0.65</v>
      </c>
      <c r="M1180">
        <v>0.19400000000000001</v>
      </c>
      <c r="N1180">
        <v>5</v>
      </c>
      <c r="O1180">
        <v>40</v>
      </c>
      <c r="P1180">
        <v>45</v>
      </c>
      <c r="Q1180" s="17" t="str">
        <f t="shared" si="56"/>
        <v>Weekends</v>
      </c>
      <c r="R1180" s="17" t="str">
        <f t="shared" si="54"/>
        <v>Afternoon</v>
      </c>
      <c r="S1180" s="9" t="str">
        <f t="shared" si="55"/>
        <v>Mist</v>
      </c>
    </row>
    <row r="1181" spans="1:19" x14ac:dyDescent="0.25">
      <c r="A1181">
        <v>570</v>
      </c>
      <c r="B1181" s="19">
        <v>40571</v>
      </c>
      <c r="C1181">
        <v>1</v>
      </c>
      <c r="D1181">
        <v>1</v>
      </c>
      <c r="E1181">
        <v>15</v>
      </c>
      <c r="F1181" t="b">
        <v>0</v>
      </c>
      <c r="G1181">
        <v>5</v>
      </c>
      <c r="H1181">
        <v>2</v>
      </c>
      <c r="I1181">
        <v>0.2</v>
      </c>
      <c r="J1181">
        <v>569</v>
      </c>
      <c r="K1181">
        <v>0.2273</v>
      </c>
      <c r="L1181">
        <v>0.64</v>
      </c>
      <c r="M1181">
        <v>0.16420000000000001</v>
      </c>
      <c r="N1181">
        <v>4</v>
      </c>
      <c r="O1181">
        <v>49</v>
      </c>
      <c r="P1181">
        <v>53</v>
      </c>
      <c r="Q1181" s="17" t="str">
        <f t="shared" si="56"/>
        <v>Weekends</v>
      </c>
      <c r="R1181" s="17" t="str">
        <f t="shared" si="54"/>
        <v>Afternoon</v>
      </c>
      <c r="S1181" s="9" t="str">
        <f t="shared" si="55"/>
        <v>Mist</v>
      </c>
    </row>
    <row r="1182" spans="1:19" x14ac:dyDescent="0.25">
      <c r="A1182">
        <v>571</v>
      </c>
      <c r="B1182" s="19">
        <v>40571</v>
      </c>
      <c r="C1182">
        <v>1</v>
      </c>
      <c r="D1182">
        <v>1</v>
      </c>
      <c r="E1182">
        <v>15</v>
      </c>
      <c r="F1182" t="b">
        <v>0</v>
      </c>
      <c r="G1182">
        <v>5</v>
      </c>
      <c r="H1182">
        <v>2</v>
      </c>
      <c r="I1182">
        <v>0.2</v>
      </c>
      <c r="J1182">
        <v>570</v>
      </c>
      <c r="K1182">
        <v>0.2273</v>
      </c>
      <c r="L1182">
        <v>0.64</v>
      </c>
      <c r="M1182">
        <v>0.16420000000000001</v>
      </c>
      <c r="N1182">
        <v>3</v>
      </c>
      <c r="O1182">
        <v>37</v>
      </c>
      <c r="P1182">
        <v>40</v>
      </c>
      <c r="Q1182" s="17" t="str">
        <f t="shared" si="56"/>
        <v>Weekends</v>
      </c>
      <c r="R1182" s="17" t="str">
        <f t="shared" si="54"/>
        <v>Afternoon</v>
      </c>
      <c r="S1182" s="9" t="str">
        <f t="shared" si="55"/>
        <v>Mist</v>
      </c>
    </row>
    <row r="1183" spans="1:19" x14ac:dyDescent="0.25">
      <c r="A1183">
        <v>572</v>
      </c>
      <c r="B1183" s="19">
        <v>40571</v>
      </c>
      <c r="C1183">
        <v>1</v>
      </c>
      <c r="D1183">
        <v>1</v>
      </c>
      <c r="E1183">
        <v>15</v>
      </c>
      <c r="F1183" t="b">
        <v>0</v>
      </c>
      <c r="G1183">
        <v>5</v>
      </c>
      <c r="H1183">
        <v>2</v>
      </c>
      <c r="I1183">
        <v>0.2</v>
      </c>
      <c r="J1183">
        <v>571</v>
      </c>
      <c r="K1183">
        <v>0.2273</v>
      </c>
      <c r="L1183">
        <v>0.69</v>
      </c>
      <c r="M1183">
        <v>0.1343</v>
      </c>
      <c r="N1183">
        <v>3</v>
      </c>
      <c r="O1183">
        <v>14</v>
      </c>
      <c r="P1183">
        <v>17</v>
      </c>
      <c r="Q1183" s="17" t="str">
        <f t="shared" si="56"/>
        <v>Weekends</v>
      </c>
      <c r="R1183" s="17" t="str">
        <f t="shared" si="54"/>
        <v>Afternoon</v>
      </c>
      <c r="S1183" s="9" t="str">
        <f t="shared" si="55"/>
        <v>Mist</v>
      </c>
    </row>
    <row r="1184" spans="1:19" x14ac:dyDescent="0.25">
      <c r="A1184">
        <v>573</v>
      </c>
      <c r="B1184" s="19">
        <v>40571</v>
      </c>
      <c r="C1184">
        <v>1</v>
      </c>
      <c r="D1184">
        <v>1</v>
      </c>
      <c r="E1184">
        <v>15</v>
      </c>
      <c r="F1184" t="b">
        <v>0</v>
      </c>
      <c r="G1184">
        <v>5</v>
      </c>
      <c r="H1184">
        <v>2</v>
      </c>
      <c r="I1184">
        <v>0.2</v>
      </c>
      <c r="J1184">
        <v>572</v>
      </c>
      <c r="K1184">
        <v>0.2424</v>
      </c>
      <c r="L1184">
        <v>0.65</v>
      </c>
      <c r="M1184">
        <v>0.1343</v>
      </c>
      <c r="N1184">
        <v>0</v>
      </c>
      <c r="O1184">
        <v>5</v>
      </c>
      <c r="P1184">
        <v>5</v>
      </c>
      <c r="Q1184" s="17" t="str">
        <f t="shared" si="56"/>
        <v>Weekends</v>
      </c>
      <c r="R1184" s="17" t="str">
        <f t="shared" si="54"/>
        <v>Afternoon</v>
      </c>
      <c r="S1184" s="9" t="str">
        <f t="shared" si="55"/>
        <v>Mist</v>
      </c>
    </row>
    <row r="1185" spans="1:19" x14ac:dyDescent="0.25">
      <c r="A1185">
        <v>574</v>
      </c>
      <c r="B1185" s="19">
        <v>40571</v>
      </c>
      <c r="C1185">
        <v>1</v>
      </c>
      <c r="D1185">
        <v>1</v>
      </c>
      <c r="E1185">
        <v>15</v>
      </c>
      <c r="F1185" t="b">
        <v>0</v>
      </c>
      <c r="G1185">
        <v>5</v>
      </c>
      <c r="H1185">
        <v>2</v>
      </c>
      <c r="I1185">
        <v>0.2</v>
      </c>
      <c r="J1185">
        <v>573</v>
      </c>
      <c r="K1185">
        <v>0.2273</v>
      </c>
      <c r="L1185">
        <v>0.69</v>
      </c>
      <c r="M1185">
        <v>0.19400000000000001</v>
      </c>
      <c r="N1185">
        <v>3</v>
      </c>
      <c r="O1185">
        <v>7</v>
      </c>
      <c r="P1185">
        <v>10</v>
      </c>
      <c r="Q1185" s="17" t="str">
        <f t="shared" si="56"/>
        <v>Weekends</v>
      </c>
      <c r="R1185" s="17" t="str">
        <f t="shared" si="54"/>
        <v>Afternoon</v>
      </c>
      <c r="S1185" s="9" t="str">
        <f t="shared" si="55"/>
        <v>Mist</v>
      </c>
    </row>
    <row r="1186" spans="1:19" x14ac:dyDescent="0.25">
      <c r="A1186">
        <v>575</v>
      </c>
      <c r="B1186" s="19">
        <v>40571</v>
      </c>
      <c r="C1186">
        <v>1</v>
      </c>
      <c r="D1186">
        <v>1</v>
      </c>
      <c r="E1186">
        <v>15</v>
      </c>
      <c r="F1186" t="b">
        <v>0</v>
      </c>
      <c r="G1186">
        <v>5</v>
      </c>
      <c r="H1186">
        <v>2</v>
      </c>
      <c r="I1186">
        <v>0.2</v>
      </c>
      <c r="J1186">
        <v>574</v>
      </c>
      <c r="K1186">
        <v>0.18179999999999999</v>
      </c>
      <c r="L1186">
        <v>0.86</v>
      </c>
      <c r="M1186">
        <v>0.28360000000000002</v>
      </c>
      <c r="N1186">
        <v>0</v>
      </c>
      <c r="O1186">
        <v>1</v>
      </c>
      <c r="P1186">
        <v>1</v>
      </c>
      <c r="Q1186" s="17" t="str">
        <f t="shared" si="56"/>
        <v>Weekends</v>
      </c>
      <c r="R1186" s="17" t="str">
        <f t="shared" si="54"/>
        <v>Afternoon</v>
      </c>
      <c r="S1186" s="9" t="str">
        <f t="shared" si="55"/>
        <v>Mist</v>
      </c>
    </row>
    <row r="1187" spans="1:19" x14ac:dyDescent="0.25">
      <c r="A1187">
        <v>576</v>
      </c>
      <c r="B1187" s="19">
        <v>40571</v>
      </c>
      <c r="C1187">
        <v>1</v>
      </c>
      <c r="D1187">
        <v>1</v>
      </c>
      <c r="E1187">
        <v>15</v>
      </c>
      <c r="F1187" t="b">
        <v>0</v>
      </c>
      <c r="G1187">
        <v>5</v>
      </c>
      <c r="H1187">
        <v>2</v>
      </c>
      <c r="I1187">
        <v>0.2</v>
      </c>
      <c r="J1187">
        <v>575</v>
      </c>
      <c r="K1187">
        <v>0.18179999999999999</v>
      </c>
      <c r="L1187">
        <v>0.86</v>
      </c>
      <c r="M1187">
        <v>0.28360000000000002</v>
      </c>
      <c r="N1187">
        <v>0</v>
      </c>
      <c r="O1187">
        <v>8</v>
      </c>
      <c r="P1187">
        <v>8</v>
      </c>
      <c r="Q1187" s="17" t="str">
        <f t="shared" si="56"/>
        <v>Weekends</v>
      </c>
      <c r="R1187" s="17" t="str">
        <f t="shared" si="54"/>
        <v>Afternoon</v>
      </c>
      <c r="S1187" s="9" t="str">
        <f t="shared" si="55"/>
        <v>Mist</v>
      </c>
    </row>
    <row r="1188" spans="1:19" x14ac:dyDescent="0.25">
      <c r="A1188">
        <v>577</v>
      </c>
      <c r="B1188" s="19">
        <v>40571</v>
      </c>
      <c r="C1188">
        <v>1</v>
      </c>
      <c r="D1188">
        <v>1</v>
      </c>
      <c r="E1188">
        <v>15</v>
      </c>
      <c r="F1188" t="b">
        <v>0</v>
      </c>
      <c r="G1188">
        <v>5</v>
      </c>
      <c r="H1188">
        <v>2</v>
      </c>
      <c r="I1188">
        <v>0.2</v>
      </c>
      <c r="J1188">
        <v>576</v>
      </c>
      <c r="K1188">
        <v>0.21210000000000001</v>
      </c>
      <c r="L1188">
        <v>0.87</v>
      </c>
      <c r="M1188">
        <v>0.29849999999999999</v>
      </c>
      <c r="N1188">
        <v>1</v>
      </c>
      <c r="O1188">
        <v>29</v>
      </c>
      <c r="P1188">
        <v>30</v>
      </c>
      <c r="Q1188" s="17" t="str">
        <f t="shared" si="56"/>
        <v>Weekends</v>
      </c>
      <c r="R1188" s="17" t="str">
        <f t="shared" si="54"/>
        <v>Afternoon</v>
      </c>
      <c r="S1188" s="9" t="str">
        <f t="shared" si="55"/>
        <v>Mist</v>
      </c>
    </row>
    <row r="1189" spans="1:19" x14ac:dyDescent="0.25">
      <c r="A1189">
        <v>578</v>
      </c>
      <c r="B1189" s="19">
        <v>40571</v>
      </c>
      <c r="C1189">
        <v>1</v>
      </c>
      <c r="D1189">
        <v>1</v>
      </c>
      <c r="E1189">
        <v>15</v>
      </c>
      <c r="F1189" t="b">
        <v>0</v>
      </c>
      <c r="G1189">
        <v>5</v>
      </c>
      <c r="H1189">
        <v>2</v>
      </c>
      <c r="I1189">
        <v>0.2</v>
      </c>
      <c r="J1189">
        <v>577</v>
      </c>
      <c r="K1189">
        <v>0.21210000000000001</v>
      </c>
      <c r="L1189">
        <v>0.87</v>
      </c>
      <c r="M1189">
        <v>0.29849999999999999</v>
      </c>
      <c r="N1189">
        <v>3</v>
      </c>
      <c r="O1189">
        <v>69</v>
      </c>
      <c r="P1189">
        <v>72</v>
      </c>
      <c r="Q1189" s="17" t="str">
        <f t="shared" si="56"/>
        <v>Weekends</v>
      </c>
      <c r="R1189" s="17" t="str">
        <f t="shared" si="54"/>
        <v>Afternoon</v>
      </c>
      <c r="S1189" s="9" t="str">
        <f t="shared" si="55"/>
        <v>Mist</v>
      </c>
    </row>
    <row r="1190" spans="1:19" x14ac:dyDescent="0.25">
      <c r="A1190">
        <v>579</v>
      </c>
      <c r="B1190" s="19">
        <v>40571</v>
      </c>
      <c r="C1190">
        <v>1</v>
      </c>
      <c r="D1190">
        <v>1</v>
      </c>
      <c r="E1190">
        <v>15</v>
      </c>
      <c r="F1190" t="b">
        <v>0</v>
      </c>
      <c r="G1190">
        <v>5</v>
      </c>
      <c r="H1190">
        <v>2</v>
      </c>
      <c r="I1190">
        <v>0.2</v>
      </c>
      <c r="J1190">
        <v>578</v>
      </c>
      <c r="K1190">
        <v>0.21210000000000001</v>
      </c>
      <c r="L1190">
        <v>0.87</v>
      </c>
      <c r="M1190">
        <v>0.29849999999999999</v>
      </c>
      <c r="N1190">
        <v>3</v>
      </c>
      <c r="O1190">
        <v>55</v>
      </c>
      <c r="P1190">
        <v>58</v>
      </c>
      <c r="Q1190" s="17" t="str">
        <f t="shared" si="56"/>
        <v>Weekends</v>
      </c>
      <c r="R1190" s="17" t="str">
        <f t="shared" si="54"/>
        <v>Afternoon</v>
      </c>
      <c r="S1190" s="9" t="str">
        <f t="shared" si="55"/>
        <v>Mist</v>
      </c>
    </row>
    <row r="1191" spans="1:19" x14ac:dyDescent="0.25">
      <c r="A1191">
        <v>580</v>
      </c>
      <c r="B1191" s="19">
        <v>40571</v>
      </c>
      <c r="C1191">
        <v>1</v>
      </c>
      <c r="D1191">
        <v>1</v>
      </c>
      <c r="E1191">
        <v>15</v>
      </c>
      <c r="F1191" t="b">
        <v>0</v>
      </c>
      <c r="G1191">
        <v>5</v>
      </c>
      <c r="H1191">
        <v>2</v>
      </c>
      <c r="I1191">
        <v>0.2</v>
      </c>
      <c r="J1191">
        <v>579</v>
      </c>
      <c r="K1191">
        <v>0.21210000000000001</v>
      </c>
      <c r="L1191">
        <v>0.93</v>
      </c>
      <c r="M1191">
        <v>0.28360000000000002</v>
      </c>
      <c r="N1191">
        <v>2</v>
      </c>
      <c r="O1191">
        <v>26</v>
      </c>
      <c r="P1191">
        <v>28</v>
      </c>
      <c r="Q1191" s="17" t="str">
        <f t="shared" si="56"/>
        <v>Weekends</v>
      </c>
      <c r="R1191" s="17" t="str">
        <f t="shared" si="54"/>
        <v>Afternoon</v>
      </c>
      <c r="S1191" s="9" t="str">
        <f t="shared" si="55"/>
        <v>Mist</v>
      </c>
    </row>
    <row r="1192" spans="1:19" x14ac:dyDescent="0.25">
      <c r="A1192">
        <v>581</v>
      </c>
      <c r="B1192" s="19">
        <v>40571</v>
      </c>
      <c r="C1192">
        <v>1</v>
      </c>
      <c r="D1192">
        <v>1</v>
      </c>
      <c r="E1192">
        <v>15</v>
      </c>
      <c r="F1192" t="b">
        <v>0</v>
      </c>
      <c r="G1192">
        <v>5</v>
      </c>
      <c r="H1192">
        <v>2</v>
      </c>
      <c r="I1192">
        <v>0.2</v>
      </c>
      <c r="J1192">
        <v>580</v>
      </c>
      <c r="K1192">
        <v>0.19700000000000001</v>
      </c>
      <c r="L1192">
        <v>0.93</v>
      </c>
      <c r="M1192">
        <v>0.32840000000000003</v>
      </c>
      <c r="N1192">
        <v>6</v>
      </c>
      <c r="O1192">
        <v>35</v>
      </c>
      <c r="P1192">
        <v>41</v>
      </c>
      <c r="Q1192" s="17" t="str">
        <f t="shared" si="56"/>
        <v>Weekends</v>
      </c>
      <c r="R1192" s="17" t="str">
        <f t="shared" si="54"/>
        <v>Afternoon</v>
      </c>
      <c r="S1192" s="9" t="str">
        <f t="shared" si="55"/>
        <v>Mist</v>
      </c>
    </row>
    <row r="1193" spans="1:19" x14ac:dyDescent="0.25">
      <c r="A1193">
        <v>582</v>
      </c>
      <c r="B1193" s="19">
        <v>40571</v>
      </c>
      <c r="C1193">
        <v>1</v>
      </c>
      <c r="D1193">
        <v>1</v>
      </c>
      <c r="E1193">
        <v>15</v>
      </c>
      <c r="F1193" t="b">
        <v>0</v>
      </c>
      <c r="G1193">
        <v>5</v>
      </c>
      <c r="H1193">
        <v>2</v>
      </c>
      <c r="I1193">
        <v>0.2</v>
      </c>
      <c r="J1193">
        <v>581</v>
      </c>
      <c r="K1193">
        <v>0.19700000000000001</v>
      </c>
      <c r="L1193">
        <v>0.93</v>
      </c>
      <c r="M1193">
        <v>0.32840000000000003</v>
      </c>
      <c r="N1193">
        <v>7</v>
      </c>
      <c r="O1193">
        <v>41</v>
      </c>
      <c r="P1193">
        <v>48</v>
      </c>
      <c r="Q1193" s="17" t="str">
        <f t="shared" si="56"/>
        <v>Weekends</v>
      </c>
      <c r="R1193" s="17" t="str">
        <f t="shared" si="54"/>
        <v>Afternoon</v>
      </c>
      <c r="S1193" s="9" t="str">
        <f t="shared" si="55"/>
        <v>Mist</v>
      </c>
    </row>
    <row r="1194" spans="1:19" x14ac:dyDescent="0.25">
      <c r="A1194">
        <v>583</v>
      </c>
      <c r="B1194" s="19">
        <v>40571</v>
      </c>
      <c r="C1194">
        <v>1</v>
      </c>
      <c r="D1194">
        <v>1</v>
      </c>
      <c r="E1194">
        <v>15</v>
      </c>
      <c r="F1194" t="b">
        <v>0</v>
      </c>
      <c r="G1194">
        <v>5</v>
      </c>
      <c r="H1194">
        <v>2</v>
      </c>
      <c r="I1194">
        <v>0.2</v>
      </c>
      <c r="J1194">
        <v>582</v>
      </c>
      <c r="K1194">
        <v>0.19700000000000001</v>
      </c>
      <c r="L1194">
        <v>0.93</v>
      </c>
      <c r="M1194">
        <v>0.32840000000000003</v>
      </c>
      <c r="N1194">
        <v>4</v>
      </c>
      <c r="O1194">
        <v>43</v>
      </c>
      <c r="P1194">
        <v>47</v>
      </c>
      <c r="Q1194" s="17" t="str">
        <f t="shared" si="56"/>
        <v>Weekends</v>
      </c>
      <c r="R1194" s="17" t="str">
        <f t="shared" si="54"/>
        <v>Afternoon</v>
      </c>
      <c r="S1194" s="9" t="str">
        <f t="shared" si="55"/>
        <v>Mist</v>
      </c>
    </row>
    <row r="1195" spans="1:19" x14ac:dyDescent="0.25">
      <c r="A1195">
        <v>584</v>
      </c>
      <c r="B1195" s="19">
        <v>40571</v>
      </c>
      <c r="C1195">
        <v>1</v>
      </c>
      <c r="D1195">
        <v>1</v>
      </c>
      <c r="E1195">
        <v>15</v>
      </c>
      <c r="F1195" t="b">
        <v>0</v>
      </c>
      <c r="G1195">
        <v>5</v>
      </c>
      <c r="H1195">
        <v>2</v>
      </c>
      <c r="I1195">
        <v>0.2</v>
      </c>
      <c r="J1195">
        <v>583</v>
      </c>
      <c r="K1195">
        <v>0.19700000000000001</v>
      </c>
      <c r="L1195">
        <v>0.93</v>
      </c>
      <c r="M1195">
        <v>0.35820000000000002</v>
      </c>
      <c r="N1195">
        <v>0</v>
      </c>
      <c r="O1195">
        <v>36</v>
      </c>
      <c r="P1195">
        <v>36</v>
      </c>
      <c r="Q1195" s="17" t="str">
        <f t="shared" si="56"/>
        <v>Weekends</v>
      </c>
      <c r="R1195" s="17" t="str">
        <f t="shared" si="54"/>
        <v>Afternoon</v>
      </c>
      <c r="S1195" s="9" t="str">
        <f t="shared" si="55"/>
        <v>Mist</v>
      </c>
    </row>
    <row r="1196" spans="1:19" x14ac:dyDescent="0.25">
      <c r="A1196">
        <v>585</v>
      </c>
      <c r="B1196" s="19">
        <v>40571</v>
      </c>
      <c r="C1196">
        <v>1</v>
      </c>
      <c r="D1196">
        <v>1</v>
      </c>
      <c r="E1196">
        <v>15</v>
      </c>
      <c r="F1196" t="b">
        <v>0</v>
      </c>
      <c r="G1196">
        <v>5</v>
      </c>
      <c r="H1196">
        <v>2</v>
      </c>
      <c r="I1196">
        <v>0.2</v>
      </c>
      <c r="J1196">
        <v>584</v>
      </c>
      <c r="K1196">
        <v>0.18179999999999999</v>
      </c>
      <c r="L1196">
        <v>0.93</v>
      </c>
      <c r="M1196">
        <v>0.4627</v>
      </c>
      <c r="N1196">
        <v>1</v>
      </c>
      <c r="O1196">
        <v>42</v>
      </c>
      <c r="P1196">
        <v>43</v>
      </c>
      <c r="Q1196" s="17" t="str">
        <f t="shared" si="56"/>
        <v>Weekends</v>
      </c>
      <c r="R1196" s="17" t="str">
        <f t="shared" si="54"/>
        <v>Afternoon</v>
      </c>
      <c r="S1196" s="9" t="str">
        <f t="shared" si="55"/>
        <v>Mist</v>
      </c>
    </row>
    <row r="1197" spans="1:19" x14ac:dyDescent="0.25">
      <c r="A1197">
        <v>586</v>
      </c>
      <c r="B1197" s="19">
        <v>40571</v>
      </c>
      <c r="C1197">
        <v>1</v>
      </c>
      <c r="D1197">
        <v>1</v>
      </c>
      <c r="E1197">
        <v>15</v>
      </c>
      <c r="F1197" t="b">
        <v>0</v>
      </c>
      <c r="G1197">
        <v>5</v>
      </c>
      <c r="H1197">
        <v>2</v>
      </c>
      <c r="I1197">
        <v>0.2</v>
      </c>
      <c r="J1197">
        <v>585</v>
      </c>
      <c r="K1197">
        <v>0.19700000000000001</v>
      </c>
      <c r="L1197">
        <v>0.93</v>
      </c>
      <c r="M1197">
        <v>0.32840000000000003</v>
      </c>
      <c r="N1197">
        <v>1</v>
      </c>
      <c r="O1197">
        <v>35</v>
      </c>
      <c r="P1197">
        <v>36</v>
      </c>
      <c r="Q1197" s="17" t="str">
        <f t="shared" si="56"/>
        <v>Weekends</v>
      </c>
      <c r="R1197" s="17" t="str">
        <f t="shared" si="54"/>
        <v>Afternoon</v>
      </c>
      <c r="S1197" s="9" t="str">
        <f t="shared" si="55"/>
        <v>Mist</v>
      </c>
    </row>
    <row r="1198" spans="1:19" x14ac:dyDescent="0.25">
      <c r="A1198">
        <v>587</v>
      </c>
      <c r="B1198" s="19">
        <v>40571</v>
      </c>
      <c r="C1198">
        <v>1</v>
      </c>
      <c r="D1198">
        <v>1</v>
      </c>
      <c r="E1198">
        <v>15</v>
      </c>
      <c r="F1198" t="b">
        <v>0</v>
      </c>
      <c r="G1198">
        <v>5</v>
      </c>
      <c r="H1198">
        <v>2</v>
      </c>
      <c r="I1198">
        <v>0.2</v>
      </c>
      <c r="J1198">
        <v>586</v>
      </c>
      <c r="K1198">
        <v>0.18179999999999999</v>
      </c>
      <c r="L1198">
        <v>0.93</v>
      </c>
      <c r="M1198">
        <v>0.35820000000000002</v>
      </c>
      <c r="N1198">
        <v>0</v>
      </c>
      <c r="O1198">
        <v>26</v>
      </c>
      <c r="P1198">
        <v>26</v>
      </c>
      <c r="Q1198" s="17" t="str">
        <f t="shared" si="56"/>
        <v>Weekends</v>
      </c>
      <c r="R1198" s="17" t="str">
        <f t="shared" si="54"/>
        <v>Afternoon</v>
      </c>
      <c r="S1198" s="9" t="str">
        <f t="shared" si="55"/>
        <v>Mist</v>
      </c>
    </row>
    <row r="1199" spans="1:19" x14ac:dyDescent="0.25">
      <c r="A1199">
        <v>588</v>
      </c>
      <c r="B1199" s="19">
        <v>40571</v>
      </c>
      <c r="C1199">
        <v>1</v>
      </c>
      <c r="D1199">
        <v>1</v>
      </c>
      <c r="E1199">
        <v>15</v>
      </c>
      <c r="F1199" t="b">
        <v>0</v>
      </c>
      <c r="G1199">
        <v>5</v>
      </c>
      <c r="H1199">
        <v>2</v>
      </c>
      <c r="I1199">
        <v>0.2</v>
      </c>
      <c r="J1199">
        <v>587</v>
      </c>
      <c r="K1199">
        <v>0.2273</v>
      </c>
      <c r="L1199">
        <v>0.55000000000000004</v>
      </c>
      <c r="M1199">
        <v>0.19400000000000001</v>
      </c>
      <c r="N1199">
        <v>1</v>
      </c>
      <c r="O1199">
        <v>23</v>
      </c>
      <c r="P1199">
        <v>24</v>
      </c>
      <c r="Q1199" s="17" t="str">
        <f t="shared" si="56"/>
        <v>Weekends</v>
      </c>
      <c r="R1199" s="17" t="str">
        <f t="shared" si="54"/>
        <v>Afternoon</v>
      </c>
      <c r="S1199" s="9" t="str">
        <f t="shared" si="55"/>
        <v>Mist</v>
      </c>
    </row>
    <row r="1200" spans="1:19" x14ac:dyDescent="0.25">
      <c r="A1200">
        <v>589</v>
      </c>
      <c r="B1200" s="19">
        <v>40571</v>
      </c>
      <c r="C1200">
        <v>1</v>
      </c>
      <c r="D1200">
        <v>1</v>
      </c>
      <c r="E1200">
        <v>15</v>
      </c>
      <c r="F1200" t="b">
        <v>0</v>
      </c>
      <c r="G1200">
        <v>5</v>
      </c>
      <c r="H1200">
        <v>2</v>
      </c>
      <c r="I1200">
        <v>0.2</v>
      </c>
      <c r="J1200">
        <v>588</v>
      </c>
      <c r="K1200">
        <v>0.2424</v>
      </c>
      <c r="L1200">
        <v>0.55000000000000004</v>
      </c>
      <c r="M1200">
        <v>0.1045</v>
      </c>
      <c r="N1200">
        <v>2</v>
      </c>
      <c r="O1200">
        <v>82</v>
      </c>
      <c r="P1200">
        <v>84</v>
      </c>
      <c r="Q1200" s="17" t="str">
        <f t="shared" si="56"/>
        <v>Weekends</v>
      </c>
      <c r="R1200" s="17" t="str">
        <f t="shared" si="54"/>
        <v>Afternoon</v>
      </c>
      <c r="S1200" s="9" t="str">
        <f t="shared" si="55"/>
        <v>Mist</v>
      </c>
    </row>
    <row r="1201" spans="1:19" x14ac:dyDescent="0.25">
      <c r="A1201">
        <v>590</v>
      </c>
      <c r="B1201" s="19">
        <v>40571</v>
      </c>
      <c r="C1201">
        <v>1</v>
      </c>
      <c r="D1201">
        <v>1</v>
      </c>
      <c r="E1201">
        <v>15</v>
      </c>
      <c r="F1201" t="b">
        <v>0</v>
      </c>
      <c r="G1201">
        <v>5</v>
      </c>
      <c r="H1201">
        <v>2</v>
      </c>
      <c r="I1201">
        <v>0.2</v>
      </c>
      <c r="J1201">
        <v>589</v>
      </c>
      <c r="K1201">
        <v>0.2273</v>
      </c>
      <c r="L1201">
        <v>0.69</v>
      </c>
      <c r="M1201">
        <v>8.9599999999999999E-2</v>
      </c>
      <c r="N1201">
        <v>3</v>
      </c>
      <c r="O1201">
        <v>101</v>
      </c>
      <c r="P1201">
        <v>104</v>
      </c>
      <c r="Q1201" s="17" t="str">
        <f t="shared" si="56"/>
        <v>Weekends</v>
      </c>
      <c r="R1201" s="17" t="str">
        <f t="shared" si="54"/>
        <v>Afternoon</v>
      </c>
      <c r="S1201" s="9" t="str">
        <f t="shared" si="55"/>
        <v>Mist</v>
      </c>
    </row>
    <row r="1202" spans="1:19" x14ac:dyDescent="0.25">
      <c r="A1202">
        <v>591</v>
      </c>
      <c r="B1202" s="19">
        <v>40571</v>
      </c>
      <c r="C1202">
        <v>1</v>
      </c>
      <c r="D1202">
        <v>1</v>
      </c>
      <c r="E1202">
        <v>15</v>
      </c>
      <c r="F1202" t="b">
        <v>0</v>
      </c>
      <c r="G1202">
        <v>5</v>
      </c>
      <c r="H1202">
        <v>2</v>
      </c>
      <c r="I1202">
        <v>0.2</v>
      </c>
      <c r="J1202">
        <v>590</v>
      </c>
      <c r="K1202">
        <v>0.2273</v>
      </c>
      <c r="L1202">
        <v>0.69</v>
      </c>
      <c r="M1202">
        <v>8.9599999999999999E-2</v>
      </c>
      <c r="N1202">
        <v>3</v>
      </c>
      <c r="O1202">
        <v>76</v>
      </c>
      <c r="P1202">
        <v>79</v>
      </c>
      <c r="Q1202" s="17" t="str">
        <f t="shared" si="56"/>
        <v>Weekends</v>
      </c>
      <c r="R1202" s="17" t="str">
        <f t="shared" si="54"/>
        <v>Afternoon</v>
      </c>
      <c r="S1202" s="9" t="str">
        <f t="shared" si="55"/>
        <v>Mist</v>
      </c>
    </row>
    <row r="1203" spans="1:19" x14ac:dyDescent="0.25">
      <c r="A1203">
        <v>592</v>
      </c>
      <c r="B1203" s="19">
        <v>40571</v>
      </c>
      <c r="C1203">
        <v>1</v>
      </c>
      <c r="D1203">
        <v>1</v>
      </c>
      <c r="E1203">
        <v>15</v>
      </c>
      <c r="F1203" t="b">
        <v>0</v>
      </c>
      <c r="G1203">
        <v>5</v>
      </c>
      <c r="H1203">
        <v>2</v>
      </c>
      <c r="I1203">
        <v>0.2</v>
      </c>
      <c r="J1203">
        <v>591</v>
      </c>
      <c r="K1203">
        <v>0.21210000000000001</v>
      </c>
      <c r="L1203">
        <v>0.74</v>
      </c>
      <c r="M1203">
        <v>8.9599999999999999E-2</v>
      </c>
      <c r="N1203">
        <v>4</v>
      </c>
      <c r="O1203">
        <v>55</v>
      </c>
      <c r="P1203">
        <v>59</v>
      </c>
      <c r="Q1203" s="17" t="str">
        <f t="shared" si="56"/>
        <v>Weekends</v>
      </c>
      <c r="R1203" s="17" t="str">
        <f t="shared" si="54"/>
        <v>Afternoon</v>
      </c>
      <c r="S1203" s="9" t="str">
        <f t="shared" si="55"/>
        <v>Mist</v>
      </c>
    </row>
    <row r="1204" spans="1:19" x14ac:dyDescent="0.25">
      <c r="A1204">
        <v>593</v>
      </c>
      <c r="B1204" s="19">
        <v>40571</v>
      </c>
      <c r="C1204">
        <v>1</v>
      </c>
      <c r="D1204">
        <v>1</v>
      </c>
      <c r="E1204">
        <v>15</v>
      </c>
      <c r="F1204" t="b">
        <v>0</v>
      </c>
      <c r="G1204">
        <v>5</v>
      </c>
      <c r="H1204">
        <v>2</v>
      </c>
      <c r="I1204">
        <v>0.2</v>
      </c>
      <c r="J1204">
        <v>592</v>
      </c>
      <c r="K1204">
        <v>0.21210000000000001</v>
      </c>
      <c r="L1204">
        <v>0.74</v>
      </c>
      <c r="M1204">
        <v>8.9599999999999999E-2</v>
      </c>
      <c r="N1204">
        <v>2</v>
      </c>
      <c r="O1204">
        <v>36</v>
      </c>
      <c r="P1204">
        <v>38</v>
      </c>
      <c r="Q1204" s="17" t="str">
        <f t="shared" si="56"/>
        <v>Weekends</v>
      </c>
      <c r="R1204" s="17" t="str">
        <f t="shared" si="54"/>
        <v>Afternoon</v>
      </c>
      <c r="S1204" s="9" t="str">
        <f t="shared" si="55"/>
        <v>Mist</v>
      </c>
    </row>
    <row r="1205" spans="1:19" x14ac:dyDescent="0.25">
      <c r="A1205">
        <v>594</v>
      </c>
      <c r="B1205" s="19">
        <v>40571</v>
      </c>
      <c r="C1205">
        <v>1</v>
      </c>
      <c r="D1205">
        <v>1</v>
      </c>
      <c r="E1205">
        <v>15</v>
      </c>
      <c r="F1205" t="b">
        <v>0</v>
      </c>
      <c r="G1205">
        <v>5</v>
      </c>
      <c r="H1205">
        <v>2</v>
      </c>
      <c r="I1205">
        <v>0.2</v>
      </c>
      <c r="J1205">
        <v>593</v>
      </c>
      <c r="K1205">
        <v>0.21210000000000001</v>
      </c>
      <c r="L1205">
        <v>0.74</v>
      </c>
      <c r="M1205">
        <v>8.9599999999999999E-2</v>
      </c>
      <c r="N1205">
        <v>0</v>
      </c>
      <c r="O1205">
        <v>27</v>
      </c>
      <c r="P1205">
        <v>27</v>
      </c>
      <c r="Q1205" s="17" t="str">
        <f t="shared" si="56"/>
        <v>Weekends</v>
      </c>
      <c r="R1205" s="17" t="str">
        <f t="shared" si="54"/>
        <v>Afternoon</v>
      </c>
      <c r="S1205" s="9" t="str">
        <f t="shared" si="55"/>
        <v>Mist</v>
      </c>
    </row>
    <row r="1206" spans="1:19" x14ac:dyDescent="0.25">
      <c r="A1206">
        <v>595</v>
      </c>
      <c r="B1206" s="19">
        <v>40571</v>
      </c>
      <c r="C1206">
        <v>1</v>
      </c>
      <c r="D1206">
        <v>1</v>
      </c>
      <c r="E1206">
        <v>15</v>
      </c>
      <c r="F1206" t="b">
        <v>0</v>
      </c>
      <c r="G1206">
        <v>5</v>
      </c>
      <c r="H1206">
        <v>2</v>
      </c>
      <c r="I1206">
        <v>0.2</v>
      </c>
      <c r="J1206">
        <v>594</v>
      </c>
      <c r="K1206">
        <v>0.19700000000000001</v>
      </c>
      <c r="L1206">
        <v>0.8</v>
      </c>
      <c r="M1206">
        <v>0.16420000000000001</v>
      </c>
      <c r="N1206">
        <v>0</v>
      </c>
      <c r="O1206">
        <v>16</v>
      </c>
      <c r="P1206">
        <v>16</v>
      </c>
      <c r="Q1206" s="17" t="str">
        <f t="shared" si="56"/>
        <v>Weekends</v>
      </c>
      <c r="R1206" s="17" t="str">
        <f t="shared" si="54"/>
        <v>Afternoon</v>
      </c>
      <c r="S1206" s="9" t="str">
        <f t="shared" si="55"/>
        <v>Mist</v>
      </c>
    </row>
    <row r="1207" spans="1:19" x14ac:dyDescent="0.25">
      <c r="A1207">
        <v>596</v>
      </c>
      <c r="B1207" s="19">
        <v>40571</v>
      </c>
      <c r="C1207">
        <v>1</v>
      </c>
      <c r="D1207">
        <v>1</v>
      </c>
      <c r="E1207">
        <v>15</v>
      </c>
      <c r="F1207" t="b">
        <v>0</v>
      </c>
      <c r="G1207">
        <v>5</v>
      </c>
      <c r="H1207">
        <v>2</v>
      </c>
      <c r="I1207">
        <v>0.2</v>
      </c>
      <c r="J1207">
        <v>595</v>
      </c>
      <c r="K1207">
        <v>0.21210000000000001</v>
      </c>
      <c r="L1207">
        <v>0.75</v>
      </c>
      <c r="M1207">
        <v>0.1343</v>
      </c>
      <c r="N1207">
        <v>0</v>
      </c>
      <c r="O1207">
        <v>9</v>
      </c>
      <c r="P1207">
        <v>9</v>
      </c>
      <c r="Q1207" s="17" t="str">
        <f t="shared" si="56"/>
        <v>Weekends</v>
      </c>
      <c r="R1207" s="17" t="str">
        <f t="shared" si="54"/>
        <v>Afternoon</v>
      </c>
      <c r="S1207" s="9" t="str">
        <f t="shared" si="55"/>
        <v>Mist</v>
      </c>
    </row>
    <row r="1208" spans="1:19" x14ac:dyDescent="0.25">
      <c r="A1208">
        <v>597</v>
      </c>
      <c r="B1208" s="19">
        <v>40571</v>
      </c>
      <c r="C1208">
        <v>1</v>
      </c>
      <c r="D1208">
        <v>1</v>
      </c>
      <c r="E1208">
        <v>15</v>
      </c>
      <c r="F1208" t="b">
        <v>0</v>
      </c>
      <c r="G1208">
        <v>5</v>
      </c>
      <c r="H1208">
        <v>2</v>
      </c>
      <c r="I1208">
        <v>0.2</v>
      </c>
      <c r="J1208">
        <v>596</v>
      </c>
      <c r="K1208">
        <v>0.21210000000000001</v>
      </c>
      <c r="L1208">
        <v>0.75</v>
      </c>
      <c r="M1208">
        <v>0.1343</v>
      </c>
      <c r="N1208">
        <v>1</v>
      </c>
      <c r="O1208">
        <v>2</v>
      </c>
      <c r="P1208">
        <v>3</v>
      </c>
      <c r="Q1208" s="17" t="str">
        <f t="shared" si="56"/>
        <v>Weekends</v>
      </c>
      <c r="R1208" s="17" t="str">
        <f t="shared" si="54"/>
        <v>Afternoon</v>
      </c>
      <c r="S1208" s="9" t="str">
        <f t="shared" si="55"/>
        <v>Mist</v>
      </c>
    </row>
    <row r="1209" spans="1:19" x14ac:dyDescent="0.25">
      <c r="A1209">
        <v>598</v>
      </c>
      <c r="B1209" s="19">
        <v>40571</v>
      </c>
      <c r="C1209">
        <v>1</v>
      </c>
      <c r="D1209">
        <v>1</v>
      </c>
      <c r="E1209">
        <v>15</v>
      </c>
      <c r="F1209" t="b">
        <v>0</v>
      </c>
      <c r="G1209">
        <v>5</v>
      </c>
      <c r="H1209">
        <v>2</v>
      </c>
      <c r="I1209">
        <v>0.2</v>
      </c>
      <c r="J1209">
        <v>597</v>
      </c>
      <c r="K1209">
        <v>0.21210000000000001</v>
      </c>
      <c r="L1209">
        <v>0.75</v>
      </c>
      <c r="M1209">
        <v>0.16420000000000001</v>
      </c>
      <c r="N1209">
        <v>0</v>
      </c>
      <c r="O1209">
        <v>2</v>
      </c>
      <c r="P1209">
        <v>2</v>
      </c>
      <c r="Q1209" s="17" t="str">
        <f t="shared" si="56"/>
        <v>Weekends</v>
      </c>
      <c r="R1209" s="17" t="str">
        <f t="shared" si="54"/>
        <v>Afternoon</v>
      </c>
      <c r="S1209" s="9" t="str">
        <f t="shared" si="55"/>
        <v>Mist</v>
      </c>
    </row>
    <row r="1210" spans="1:19" x14ac:dyDescent="0.25">
      <c r="A1210">
        <v>599</v>
      </c>
      <c r="B1210" s="19">
        <v>40571</v>
      </c>
      <c r="C1210">
        <v>1</v>
      </c>
      <c r="D1210">
        <v>1</v>
      </c>
      <c r="E1210">
        <v>15</v>
      </c>
      <c r="F1210" t="b">
        <v>0</v>
      </c>
      <c r="G1210">
        <v>5</v>
      </c>
      <c r="H1210">
        <v>2</v>
      </c>
      <c r="I1210">
        <v>0.2</v>
      </c>
      <c r="J1210">
        <v>598</v>
      </c>
      <c r="K1210">
        <v>0.2273</v>
      </c>
      <c r="L1210">
        <v>0.75</v>
      </c>
      <c r="M1210">
        <v>0.1045</v>
      </c>
      <c r="N1210">
        <v>1</v>
      </c>
      <c r="O1210">
        <v>0</v>
      </c>
      <c r="P1210">
        <v>1</v>
      </c>
      <c r="Q1210" s="17" t="str">
        <f t="shared" si="56"/>
        <v>Weekends</v>
      </c>
      <c r="R1210" s="17" t="str">
        <f t="shared" si="54"/>
        <v>Afternoon</v>
      </c>
      <c r="S1210" s="9" t="str">
        <f t="shared" si="55"/>
        <v>Mist</v>
      </c>
    </row>
    <row r="1211" spans="1:19" x14ac:dyDescent="0.25">
      <c r="A1211">
        <v>600</v>
      </c>
      <c r="B1211" s="19">
        <v>40571</v>
      </c>
      <c r="C1211">
        <v>1</v>
      </c>
      <c r="D1211">
        <v>1</v>
      </c>
      <c r="E1211">
        <v>15</v>
      </c>
      <c r="F1211" t="b">
        <v>0</v>
      </c>
      <c r="G1211">
        <v>5</v>
      </c>
      <c r="H1211">
        <v>2</v>
      </c>
      <c r="I1211">
        <v>0.2</v>
      </c>
      <c r="J1211">
        <v>599</v>
      </c>
      <c r="K1211">
        <v>0.21210000000000001</v>
      </c>
      <c r="L1211">
        <v>0.8</v>
      </c>
      <c r="M1211">
        <v>0.1045</v>
      </c>
      <c r="N1211">
        <v>0</v>
      </c>
      <c r="O1211">
        <v>4</v>
      </c>
      <c r="P1211">
        <v>4</v>
      </c>
      <c r="Q1211" s="17" t="str">
        <f t="shared" si="56"/>
        <v>Weekends</v>
      </c>
      <c r="R1211" s="17" t="str">
        <f t="shared" si="54"/>
        <v>Afternoon</v>
      </c>
      <c r="S1211" s="9" t="str">
        <f t="shared" si="55"/>
        <v>Mist</v>
      </c>
    </row>
    <row r="1212" spans="1:19" x14ac:dyDescent="0.25">
      <c r="A1212">
        <v>601</v>
      </c>
      <c r="B1212" s="19">
        <v>40571</v>
      </c>
      <c r="C1212">
        <v>1</v>
      </c>
      <c r="D1212">
        <v>1</v>
      </c>
      <c r="E1212">
        <v>15</v>
      </c>
      <c r="F1212" t="b">
        <v>0</v>
      </c>
      <c r="G1212">
        <v>5</v>
      </c>
      <c r="H1212">
        <v>2</v>
      </c>
      <c r="I1212">
        <v>0.2</v>
      </c>
      <c r="J1212">
        <v>600</v>
      </c>
      <c r="K1212">
        <v>0.19700000000000001</v>
      </c>
      <c r="L1212">
        <v>0.8</v>
      </c>
      <c r="M1212">
        <v>0.1343</v>
      </c>
      <c r="N1212">
        <v>0</v>
      </c>
      <c r="O1212">
        <v>16</v>
      </c>
      <c r="P1212">
        <v>16</v>
      </c>
      <c r="Q1212" s="17" t="str">
        <f t="shared" si="56"/>
        <v>Weekends</v>
      </c>
      <c r="R1212" s="17" t="str">
        <f t="shared" si="54"/>
        <v>Afternoon</v>
      </c>
      <c r="S1212" s="9" t="str">
        <f t="shared" si="55"/>
        <v>Mist</v>
      </c>
    </row>
    <row r="1213" spans="1:19" x14ac:dyDescent="0.25">
      <c r="A1213">
        <v>602</v>
      </c>
      <c r="B1213" s="19">
        <v>40571</v>
      </c>
      <c r="C1213">
        <v>1</v>
      </c>
      <c r="D1213">
        <v>1</v>
      </c>
      <c r="E1213">
        <v>15</v>
      </c>
      <c r="F1213" t="b">
        <v>0</v>
      </c>
      <c r="G1213">
        <v>5</v>
      </c>
      <c r="H1213">
        <v>2</v>
      </c>
      <c r="I1213">
        <v>0.2</v>
      </c>
      <c r="J1213">
        <v>601</v>
      </c>
      <c r="K1213">
        <v>0.19700000000000001</v>
      </c>
      <c r="L1213">
        <v>0.86</v>
      </c>
      <c r="M1213">
        <v>8.9599999999999999E-2</v>
      </c>
      <c r="N1213">
        <v>2</v>
      </c>
      <c r="O1213">
        <v>58</v>
      </c>
      <c r="P1213">
        <v>60</v>
      </c>
      <c r="Q1213" s="17" t="str">
        <f t="shared" si="56"/>
        <v>Weekends</v>
      </c>
      <c r="R1213" s="17" t="str">
        <f t="shared" si="54"/>
        <v>Afternoon</v>
      </c>
      <c r="S1213" s="9" t="str">
        <f t="shared" si="55"/>
        <v>Mist</v>
      </c>
    </row>
    <row r="1214" spans="1:19" x14ac:dyDescent="0.25">
      <c r="A1214">
        <v>603</v>
      </c>
      <c r="B1214" s="19">
        <v>40571</v>
      </c>
      <c r="C1214">
        <v>1</v>
      </c>
      <c r="D1214">
        <v>1</v>
      </c>
      <c r="E1214">
        <v>15</v>
      </c>
      <c r="F1214" t="b">
        <v>0</v>
      </c>
      <c r="G1214">
        <v>5</v>
      </c>
      <c r="H1214">
        <v>2</v>
      </c>
      <c r="I1214">
        <v>0.2</v>
      </c>
      <c r="J1214">
        <v>602</v>
      </c>
      <c r="K1214">
        <v>0.19700000000000001</v>
      </c>
      <c r="L1214">
        <v>0.86</v>
      </c>
      <c r="M1214">
        <v>8.9599999999999999E-2</v>
      </c>
      <c r="N1214">
        <v>2</v>
      </c>
      <c r="O1214">
        <v>155</v>
      </c>
      <c r="P1214">
        <v>157</v>
      </c>
      <c r="Q1214" s="17" t="str">
        <f t="shared" si="56"/>
        <v>Weekends</v>
      </c>
      <c r="R1214" s="17" t="str">
        <f t="shared" si="54"/>
        <v>Afternoon</v>
      </c>
      <c r="S1214" s="9" t="str">
        <f t="shared" si="55"/>
        <v>Mist</v>
      </c>
    </row>
    <row r="1215" spans="1:19" x14ac:dyDescent="0.25">
      <c r="A1215">
        <v>604</v>
      </c>
      <c r="B1215" s="19">
        <v>40571</v>
      </c>
      <c r="C1215">
        <v>1</v>
      </c>
      <c r="D1215">
        <v>1</v>
      </c>
      <c r="E1215">
        <v>15</v>
      </c>
      <c r="F1215" t="b">
        <v>0</v>
      </c>
      <c r="G1215">
        <v>5</v>
      </c>
      <c r="H1215">
        <v>2</v>
      </c>
      <c r="I1215">
        <v>0.2</v>
      </c>
      <c r="J1215">
        <v>603</v>
      </c>
      <c r="K1215">
        <v>0.21210000000000001</v>
      </c>
      <c r="L1215">
        <v>0.86</v>
      </c>
      <c r="M1215">
        <v>8.9599999999999999E-2</v>
      </c>
      <c r="N1215">
        <v>6</v>
      </c>
      <c r="O1215">
        <v>95</v>
      </c>
      <c r="P1215">
        <v>101</v>
      </c>
      <c r="Q1215" s="17" t="str">
        <f t="shared" si="56"/>
        <v>Weekends</v>
      </c>
      <c r="R1215" s="17" t="str">
        <f t="shared" si="54"/>
        <v>Afternoon</v>
      </c>
      <c r="S1215" s="9" t="str">
        <f t="shared" si="55"/>
        <v>Mist</v>
      </c>
    </row>
    <row r="1216" spans="1:19" x14ac:dyDescent="0.25">
      <c r="A1216">
        <v>605</v>
      </c>
      <c r="B1216" s="19">
        <v>40571</v>
      </c>
      <c r="C1216">
        <v>1</v>
      </c>
      <c r="D1216">
        <v>1</v>
      </c>
      <c r="E1216">
        <v>15</v>
      </c>
      <c r="F1216" t="b">
        <v>0</v>
      </c>
      <c r="G1216">
        <v>5</v>
      </c>
      <c r="H1216">
        <v>2</v>
      </c>
      <c r="I1216">
        <v>0.2</v>
      </c>
      <c r="J1216">
        <v>604</v>
      </c>
      <c r="K1216">
        <v>0.21210000000000001</v>
      </c>
      <c r="L1216">
        <v>0.86</v>
      </c>
      <c r="M1216">
        <v>0.1045</v>
      </c>
      <c r="N1216">
        <v>0</v>
      </c>
      <c r="O1216">
        <v>49</v>
      </c>
      <c r="P1216">
        <v>49</v>
      </c>
      <c r="Q1216" s="17" t="str">
        <f t="shared" si="56"/>
        <v>Weekends</v>
      </c>
      <c r="R1216" s="17" t="str">
        <f t="shared" si="54"/>
        <v>Afternoon</v>
      </c>
      <c r="S1216" s="9" t="str">
        <f t="shared" si="55"/>
        <v>Mist</v>
      </c>
    </row>
    <row r="1217" spans="1:19" x14ac:dyDescent="0.25">
      <c r="A1217">
        <v>606</v>
      </c>
      <c r="B1217" s="19">
        <v>40571</v>
      </c>
      <c r="C1217">
        <v>1</v>
      </c>
      <c r="D1217">
        <v>1</v>
      </c>
      <c r="E1217">
        <v>15</v>
      </c>
      <c r="F1217" t="b">
        <v>0</v>
      </c>
      <c r="G1217">
        <v>5</v>
      </c>
      <c r="H1217">
        <v>2</v>
      </c>
      <c r="I1217">
        <v>0.2</v>
      </c>
      <c r="J1217">
        <v>605</v>
      </c>
      <c r="K1217">
        <v>0.21210000000000001</v>
      </c>
      <c r="L1217">
        <v>0.93</v>
      </c>
      <c r="M1217">
        <v>0.1045</v>
      </c>
      <c r="N1217">
        <v>0</v>
      </c>
      <c r="O1217">
        <v>30</v>
      </c>
      <c r="P1217">
        <v>30</v>
      </c>
      <c r="Q1217" s="17" t="str">
        <f t="shared" si="56"/>
        <v>Weekends</v>
      </c>
      <c r="R1217" s="17" t="str">
        <f t="shared" si="54"/>
        <v>Afternoon</v>
      </c>
      <c r="S1217" s="9" t="str">
        <f t="shared" si="55"/>
        <v>Mist</v>
      </c>
    </row>
    <row r="1218" spans="1:19" x14ac:dyDescent="0.25">
      <c r="A1218">
        <v>607</v>
      </c>
      <c r="B1218" s="19">
        <v>40571</v>
      </c>
      <c r="C1218">
        <v>1</v>
      </c>
      <c r="D1218">
        <v>1</v>
      </c>
      <c r="E1218">
        <v>15</v>
      </c>
      <c r="F1218" t="b">
        <v>0</v>
      </c>
      <c r="G1218">
        <v>5</v>
      </c>
      <c r="H1218">
        <v>2</v>
      </c>
      <c r="I1218">
        <v>0.2</v>
      </c>
      <c r="J1218">
        <v>606</v>
      </c>
      <c r="K1218">
        <v>0.21210000000000001</v>
      </c>
      <c r="L1218">
        <v>0.93</v>
      </c>
      <c r="M1218">
        <v>0.1045</v>
      </c>
      <c r="N1218">
        <v>1</v>
      </c>
      <c r="O1218">
        <v>28</v>
      </c>
      <c r="P1218">
        <v>29</v>
      </c>
      <c r="Q1218" s="17" t="str">
        <f t="shared" si="56"/>
        <v>Weekends</v>
      </c>
      <c r="R1218" s="17" t="str">
        <f t="shared" ref="R1218:R1281" si="57">IF(E1218&lt;12,"Morning",IF(E1218&lt;16,"Afternoon",IF(E1218&lt;21,"Evening","Night")))</f>
        <v>Afternoon</v>
      </c>
      <c r="S1218" s="9" t="str">
        <f t="shared" ref="S1218:S1281" si="58">IF(H1218=1,"Clear",IF(H1218=2,"Mist",IF(H1218=3,"Light Snow/Rain","Heavy Rain/Snow")))</f>
        <v>Mist</v>
      </c>
    </row>
    <row r="1219" spans="1:19" x14ac:dyDescent="0.25">
      <c r="A1219">
        <v>608</v>
      </c>
      <c r="B1219" s="19">
        <v>40571</v>
      </c>
      <c r="C1219">
        <v>1</v>
      </c>
      <c r="D1219">
        <v>1</v>
      </c>
      <c r="E1219">
        <v>15</v>
      </c>
      <c r="F1219" t="b">
        <v>0</v>
      </c>
      <c r="G1219">
        <v>5</v>
      </c>
      <c r="H1219">
        <v>2</v>
      </c>
      <c r="I1219">
        <v>0.2</v>
      </c>
      <c r="J1219">
        <v>607</v>
      </c>
      <c r="K1219">
        <v>0.21210000000000001</v>
      </c>
      <c r="L1219">
        <v>0.93</v>
      </c>
      <c r="M1219">
        <v>0.1045</v>
      </c>
      <c r="N1219">
        <v>0</v>
      </c>
      <c r="O1219">
        <v>31</v>
      </c>
      <c r="P1219">
        <v>31</v>
      </c>
      <c r="Q1219" s="17" t="str">
        <f t="shared" ref="Q1219:Q1282" si="59">IF(G1219&gt;=5,"Weekends","Weekdays")</f>
        <v>Weekends</v>
      </c>
      <c r="R1219" s="17" t="str">
        <f t="shared" si="57"/>
        <v>Afternoon</v>
      </c>
      <c r="S1219" s="9" t="str">
        <f t="shared" si="58"/>
        <v>Mist</v>
      </c>
    </row>
    <row r="1220" spans="1:19" x14ac:dyDescent="0.25">
      <c r="A1220">
        <v>609</v>
      </c>
      <c r="B1220" s="19">
        <v>40571</v>
      </c>
      <c r="C1220">
        <v>1</v>
      </c>
      <c r="D1220">
        <v>1</v>
      </c>
      <c r="E1220">
        <v>15</v>
      </c>
      <c r="F1220" t="b">
        <v>0</v>
      </c>
      <c r="G1220">
        <v>5</v>
      </c>
      <c r="H1220">
        <v>2</v>
      </c>
      <c r="I1220">
        <v>0.2</v>
      </c>
      <c r="J1220">
        <v>608</v>
      </c>
      <c r="K1220">
        <v>0.2727</v>
      </c>
      <c r="L1220">
        <v>0.8</v>
      </c>
      <c r="M1220">
        <v>0</v>
      </c>
      <c r="N1220">
        <v>2</v>
      </c>
      <c r="O1220">
        <v>36</v>
      </c>
      <c r="P1220">
        <v>38</v>
      </c>
      <c r="Q1220" s="17" t="str">
        <f t="shared" si="59"/>
        <v>Weekends</v>
      </c>
      <c r="R1220" s="17" t="str">
        <f t="shared" si="57"/>
        <v>Afternoon</v>
      </c>
      <c r="S1220" s="9" t="str">
        <f t="shared" si="58"/>
        <v>Mist</v>
      </c>
    </row>
    <row r="1221" spans="1:19" x14ac:dyDescent="0.25">
      <c r="A1221">
        <v>610</v>
      </c>
      <c r="B1221" s="19">
        <v>40571</v>
      </c>
      <c r="C1221">
        <v>1</v>
      </c>
      <c r="D1221">
        <v>1</v>
      </c>
      <c r="E1221">
        <v>15</v>
      </c>
      <c r="F1221" t="b">
        <v>0</v>
      </c>
      <c r="G1221">
        <v>5</v>
      </c>
      <c r="H1221">
        <v>2</v>
      </c>
      <c r="I1221">
        <v>0.2</v>
      </c>
      <c r="J1221">
        <v>609</v>
      </c>
      <c r="K1221">
        <v>0.2576</v>
      </c>
      <c r="L1221">
        <v>0.86</v>
      </c>
      <c r="M1221">
        <v>0</v>
      </c>
      <c r="N1221">
        <v>1</v>
      </c>
      <c r="O1221">
        <v>40</v>
      </c>
      <c r="P1221">
        <v>41</v>
      </c>
      <c r="Q1221" s="17" t="str">
        <f t="shared" si="59"/>
        <v>Weekends</v>
      </c>
      <c r="R1221" s="17" t="str">
        <f t="shared" si="57"/>
        <v>Afternoon</v>
      </c>
      <c r="S1221" s="9" t="str">
        <f t="shared" si="58"/>
        <v>Mist</v>
      </c>
    </row>
    <row r="1222" spans="1:19" x14ac:dyDescent="0.25">
      <c r="A1222">
        <v>611</v>
      </c>
      <c r="B1222" s="19">
        <v>40571</v>
      </c>
      <c r="C1222">
        <v>1</v>
      </c>
      <c r="D1222">
        <v>1</v>
      </c>
      <c r="E1222">
        <v>15</v>
      </c>
      <c r="F1222" t="b">
        <v>0</v>
      </c>
      <c r="G1222">
        <v>5</v>
      </c>
      <c r="H1222">
        <v>2</v>
      </c>
      <c r="I1222">
        <v>0.2</v>
      </c>
      <c r="J1222">
        <v>0</v>
      </c>
      <c r="K1222">
        <v>0</v>
      </c>
      <c r="L1222">
        <v>0</v>
      </c>
      <c r="M1222">
        <v>0</v>
      </c>
      <c r="N1222">
        <v>0</v>
      </c>
      <c r="O1222">
        <v>0</v>
      </c>
      <c r="P1222">
        <v>0</v>
      </c>
      <c r="Q1222" s="17" t="str">
        <f t="shared" si="59"/>
        <v>Weekends</v>
      </c>
      <c r="R1222" s="17" t="str">
        <f t="shared" si="57"/>
        <v>Afternoon</v>
      </c>
      <c r="S1222" s="9" t="str">
        <f t="shared" si="58"/>
        <v>Mist</v>
      </c>
    </row>
    <row r="1223" spans="1:19" x14ac:dyDescent="0.25">
      <c r="A1223">
        <v>620</v>
      </c>
      <c r="B1223" s="19">
        <v>40572</v>
      </c>
      <c r="C1223">
        <v>1</v>
      </c>
      <c r="D1223">
        <v>1</v>
      </c>
      <c r="E1223">
        <v>1</v>
      </c>
      <c r="F1223" t="b">
        <v>0</v>
      </c>
      <c r="G1223">
        <v>6</v>
      </c>
      <c r="H1223">
        <v>1</v>
      </c>
      <c r="I1223">
        <v>0.22</v>
      </c>
      <c r="K1223">
        <v>0.2273</v>
      </c>
      <c r="L1223">
        <v>0.64</v>
      </c>
      <c r="M1223">
        <v>0.19400000000000001</v>
      </c>
      <c r="N1223">
        <v>0</v>
      </c>
      <c r="O1223">
        <v>20</v>
      </c>
      <c r="P1223">
        <v>20</v>
      </c>
      <c r="Q1223" s="17" t="str">
        <f t="shared" si="59"/>
        <v>Weekends</v>
      </c>
      <c r="R1223" s="17" t="str">
        <f t="shared" si="57"/>
        <v>Morning</v>
      </c>
      <c r="S1223" s="9" t="str">
        <f t="shared" si="58"/>
        <v>Clear</v>
      </c>
    </row>
    <row r="1224" spans="1:19" x14ac:dyDescent="0.25">
      <c r="A1224">
        <v>621</v>
      </c>
      <c r="B1224" s="19">
        <v>40572</v>
      </c>
      <c r="C1224">
        <v>1</v>
      </c>
      <c r="D1224">
        <v>1</v>
      </c>
      <c r="E1224">
        <v>2</v>
      </c>
      <c r="F1224" t="b">
        <v>0</v>
      </c>
      <c r="G1224">
        <v>6</v>
      </c>
      <c r="H1224">
        <v>1</v>
      </c>
      <c r="I1224">
        <v>0.22</v>
      </c>
      <c r="K1224">
        <v>0.2273</v>
      </c>
      <c r="L1224">
        <v>0.64</v>
      </c>
      <c r="M1224">
        <v>0.16420000000000001</v>
      </c>
      <c r="N1224">
        <v>0</v>
      </c>
      <c r="O1224">
        <v>15</v>
      </c>
      <c r="P1224">
        <v>15</v>
      </c>
      <c r="Q1224" s="17" t="str">
        <f t="shared" si="59"/>
        <v>Weekends</v>
      </c>
      <c r="R1224" s="17" t="str">
        <f t="shared" si="57"/>
        <v>Morning</v>
      </c>
      <c r="S1224" s="9" t="str">
        <f t="shared" si="58"/>
        <v>Clear</v>
      </c>
    </row>
    <row r="1225" spans="1:19" x14ac:dyDescent="0.25">
      <c r="A1225">
        <v>622</v>
      </c>
      <c r="B1225" s="19">
        <v>40572</v>
      </c>
      <c r="C1225">
        <v>1</v>
      </c>
      <c r="D1225">
        <v>1</v>
      </c>
      <c r="E1225">
        <v>3</v>
      </c>
      <c r="F1225" t="b">
        <v>0</v>
      </c>
      <c r="G1225">
        <v>6</v>
      </c>
      <c r="H1225">
        <v>1</v>
      </c>
      <c r="I1225">
        <v>0.2</v>
      </c>
      <c r="K1225">
        <v>0.21210000000000001</v>
      </c>
      <c r="L1225">
        <v>0.64</v>
      </c>
      <c r="M1225">
        <v>0.1343</v>
      </c>
      <c r="N1225">
        <v>3</v>
      </c>
      <c r="O1225">
        <v>5</v>
      </c>
      <c r="P1225">
        <v>8</v>
      </c>
      <c r="Q1225" s="17" t="str">
        <f t="shared" si="59"/>
        <v>Weekends</v>
      </c>
      <c r="R1225" s="17" t="str">
        <f t="shared" si="57"/>
        <v>Morning</v>
      </c>
      <c r="S1225" s="9" t="str">
        <f t="shared" si="58"/>
        <v>Clear</v>
      </c>
    </row>
    <row r="1226" spans="1:19" x14ac:dyDescent="0.25">
      <c r="A1226">
        <v>623</v>
      </c>
      <c r="B1226" s="19">
        <v>40572</v>
      </c>
      <c r="C1226">
        <v>1</v>
      </c>
      <c r="D1226">
        <v>1</v>
      </c>
      <c r="E1226">
        <v>4</v>
      </c>
      <c r="F1226" t="b">
        <v>0</v>
      </c>
      <c r="G1226">
        <v>6</v>
      </c>
      <c r="H1226">
        <v>1</v>
      </c>
      <c r="I1226">
        <v>0.16</v>
      </c>
      <c r="K1226">
        <v>0.18179999999999999</v>
      </c>
      <c r="L1226">
        <v>0.69</v>
      </c>
      <c r="M1226">
        <v>0.1045</v>
      </c>
      <c r="N1226">
        <v>1</v>
      </c>
      <c r="O1226">
        <v>2</v>
      </c>
      <c r="P1226">
        <v>3</v>
      </c>
      <c r="Q1226" s="17" t="str">
        <f t="shared" si="59"/>
        <v>Weekends</v>
      </c>
      <c r="R1226" s="17" t="str">
        <f t="shared" si="57"/>
        <v>Morning</v>
      </c>
      <c r="S1226" s="9" t="str">
        <f t="shared" si="58"/>
        <v>Clear</v>
      </c>
    </row>
    <row r="1227" spans="1:19" x14ac:dyDescent="0.25">
      <c r="A1227">
        <v>624</v>
      </c>
      <c r="B1227" s="19">
        <v>40572</v>
      </c>
      <c r="C1227">
        <v>1</v>
      </c>
      <c r="D1227">
        <v>1</v>
      </c>
      <c r="E1227">
        <v>6</v>
      </c>
      <c r="F1227" t="b">
        <v>0</v>
      </c>
      <c r="G1227">
        <v>6</v>
      </c>
      <c r="H1227">
        <v>1</v>
      </c>
      <c r="I1227">
        <v>0.16</v>
      </c>
      <c r="K1227">
        <v>0.18179999999999999</v>
      </c>
      <c r="L1227">
        <v>0.64</v>
      </c>
      <c r="M1227">
        <v>0.1343</v>
      </c>
      <c r="N1227">
        <v>0</v>
      </c>
      <c r="O1227">
        <v>2</v>
      </c>
      <c r="P1227">
        <v>2</v>
      </c>
      <c r="Q1227" s="17" t="str">
        <f t="shared" si="59"/>
        <v>Weekends</v>
      </c>
      <c r="R1227" s="17" t="str">
        <f t="shared" si="57"/>
        <v>Morning</v>
      </c>
      <c r="S1227" s="9" t="str">
        <f t="shared" si="58"/>
        <v>Clear</v>
      </c>
    </row>
    <row r="1228" spans="1:19" x14ac:dyDescent="0.25">
      <c r="A1228">
        <v>625</v>
      </c>
      <c r="B1228" s="19">
        <v>40572</v>
      </c>
      <c r="C1228">
        <v>1</v>
      </c>
      <c r="D1228">
        <v>1</v>
      </c>
      <c r="E1228">
        <v>7</v>
      </c>
      <c r="F1228" t="b">
        <v>0</v>
      </c>
      <c r="G1228">
        <v>6</v>
      </c>
      <c r="H1228">
        <v>1</v>
      </c>
      <c r="I1228">
        <v>0.16</v>
      </c>
      <c r="K1228">
        <v>0.18179999999999999</v>
      </c>
      <c r="L1228">
        <v>0.59</v>
      </c>
      <c r="M1228">
        <v>0.1045</v>
      </c>
      <c r="N1228">
        <v>1</v>
      </c>
      <c r="O1228">
        <v>4</v>
      </c>
      <c r="P1228">
        <v>5</v>
      </c>
      <c r="Q1228" s="17" t="str">
        <f t="shared" si="59"/>
        <v>Weekends</v>
      </c>
      <c r="R1228" s="17" t="str">
        <f t="shared" si="57"/>
        <v>Morning</v>
      </c>
      <c r="S1228" s="9" t="str">
        <f t="shared" si="58"/>
        <v>Clear</v>
      </c>
    </row>
    <row r="1229" spans="1:19" x14ac:dyDescent="0.25">
      <c r="A1229">
        <v>626</v>
      </c>
      <c r="B1229" s="19">
        <v>40572</v>
      </c>
      <c r="C1229">
        <v>1</v>
      </c>
      <c r="D1229">
        <v>1</v>
      </c>
      <c r="E1229">
        <v>8</v>
      </c>
      <c r="F1229" t="b">
        <v>0</v>
      </c>
      <c r="G1229">
        <v>6</v>
      </c>
      <c r="H1229">
        <v>1</v>
      </c>
      <c r="I1229">
        <v>0.18</v>
      </c>
      <c r="K1229">
        <v>0.19700000000000001</v>
      </c>
      <c r="L1229">
        <v>0.55000000000000004</v>
      </c>
      <c r="M1229">
        <v>0.16420000000000001</v>
      </c>
      <c r="N1229">
        <v>3</v>
      </c>
      <c r="O1229">
        <v>31</v>
      </c>
      <c r="P1229">
        <v>34</v>
      </c>
      <c r="Q1229" s="17" t="str">
        <f t="shared" si="59"/>
        <v>Weekends</v>
      </c>
      <c r="R1229" s="17" t="str">
        <f t="shared" si="57"/>
        <v>Morning</v>
      </c>
      <c r="S1229" s="9" t="str">
        <f t="shared" si="58"/>
        <v>Clear</v>
      </c>
    </row>
    <row r="1230" spans="1:19" x14ac:dyDescent="0.25">
      <c r="A1230">
        <v>627</v>
      </c>
      <c r="B1230" s="19">
        <v>40572</v>
      </c>
      <c r="C1230">
        <v>1</v>
      </c>
      <c r="D1230">
        <v>1</v>
      </c>
      <c r="E1230">
        <v>9</v>
      </c>
      <c r="F1230" t="b">
        <v>0</v>
      </c>
      <c r="G1230">
        <v>6</v>
      </c>
      <c r="H1230">
        <v>1</v>
      </c>
      <c r="I1230">
        <v>0.18</v>
      </c>
      <c r="K1230">
        <v>0.21210000000000001</v>
      </c>
      <c r="L1230">
        <v>0.59</v>
      </c>
      <c r="M1230">
        <v>8.9599999999999999E-2</v>
      </c>
      <c r="N1230">
        <v>0</v>
      </c>
      <c r="O1230">
        <v>34</v>
      </c>
      <c r="P1230">
        <v>34</v>
      </c>
      <c r="Q1230" s="17" t="str">
        <f t="shared" si="59"/>
        <v>Weekends</v>
      </c>
      <c r="R1230" s="17" t="str">
        <f t="shared" si="57"/>
        <v>Morning</v>
      </c>
      <c r="S1230" s="9" t="str">
        <f t="shared" si="58"/>
        <v>Clear</v>
      </c>
    </row>
    <row r="1231" spans="1:19" x14ac:dyDescent="0.25">
      <c r="A1231">
        <v>628</v>
      </c>
      <c r="B1231" s="19">
        <v>40572</v>
      </c>
      <c r="C1231">
        <v>1</v>
      </c>
      <c r="D1231">
        <v>1</v>
      </c>
      <c r="E1231">
        <v>10</v>
      </c>
      <c r="F1231" t="b">
        <v>0</v>
      </c>
      <c r="G1231">
        <v>6</v>
      </c>
      <c r="H1231">
        <v>2</v>
      </c>
      <c r="I1231">
        <v>0.18</v>
      </c>
      <c r="K1231">
        <v>0.21210000000000001</v>
      </c>
      <c r="L1231">
        <v>0.64</v>
      </c>
      <c r="M1231">
        <v>0.1045</v>
      </c>
      <c r="N1231">
        <v>4</v>
      </c>
      <c r="O1231">
        <v>51</v>
      </c>
      <c r="P1231">
        <v>55</v>
      </c>
      <c r="Q1231" s="17" t="str">
        <f t="shared" si="59"/>
        <v>Weekends</v>
      </c>
      <c r="R1231" s="17" t="str">
        <f t="shared" si="57"/>
        <v>Morning</v>
      </c>
      <c r="S1231" s="9" t="str">
        <f t="shared" si="58"/>
        <v>Mist</v>
      </c>
    </row>
    <row r="1232" spans="1:19" x14ac:dyDescent="0.25">
      <c r="A1232">
        <v>629</v>
      </c>
      <c r="B1232" s="19">
        <v>40572</v>
      </c>
      <c r="C1232">
        <v>1</v>
      </c>
      <c r="D1232">
        <v>1</v>
      </c>
      <c r="E1232">
        <v>11</v>
      </c>
      <c r="F1232" t="b">
        <v>0</v>
      </c>
      <c r="G1232">
        <v>6</v>
      </c>
      <c r="H1232">
        <v>2</v>
      </c>
      <c r="I1232">
        <v>0.18</v>
      </c>
      <c r="K1232">
        <v>0.19700000000000001</v>
      </c>
      <c r="L1232">
        <v>0.64</v>
      </c>
      <c r="M1232">
        <v>0.1343</v>
      </c>
      <c r="N1232">
        <v>4</v>
      </c>
      <c r="O1232">
        <v>60</v>
      </c>
      <c r="P1232">
        <v>64</v>
      </c>
      <c r="Q1232" s="17" t="str">
        <f t="shared" si="59"/>
        <v>Weekends</v>
      </c>
      <c r="R1232" s="17" t="str">
        <f t="shared" si="57"/>
        <v>Morning</v>
      </c>
      <c r="S1232" s="9" t="str">
        <f t="shared" si="58"/>
        <v>Mist</v>
      </c>
    </row>
    <row r="1233" spans="1:19" x14ac:dyDescent="0.25">
      <c r="A1233">
        <v>630</v>
      </c>
      <c r="B1233" s="19">
        <v>40572</v>
      </c>
      <c r="C1233">
        <v>1</v>
      </c>
      <c r="D1233">
        <v>1</v>
      </c>
      <c r="E1233">
        <v>12</v>
      </c>
      <c r="F1233" t="b">
        <v>0</v>
      </c>
      <c r="G1233">
        <v>6</v>
      </c>
      <c r="H1233">
        <v>2</v>
      </c>
      <c r="I1233">
        <v>0.2</v>
      </c>
      <c r="K1233">
        <v>0.19700000000000001</v>
      </c>
      <c r="L1233">
        <v>0.59</v>
      </c>
      <c r="M1233">
        <v>0.19400000000000001</v>
      </c>
      <c r="N1233">
        <v>12</v>
      </c>
      <c r="O1233">
        <v>66</v>
      </c>
      <c r="P1233">
        <v>78</v>
      </c>
      <c r="Q1233" s="17" t="str">
        <f t="shared" si="59"/>
        <v>Weekends</v>
      </c>
      <c r="R1233" s="17" t="str">
        <f t="shared" si="57"/>
        <v>Afternoon</v>
      </c>
      <c r="S1233" s="9" t="str">
        <f t="shared" si="58"/>
        <v>Mist</v>
      </c>
    </row>
    <row r="1234" spans="1:19" x14ac:dyDescent="0.25">
      <c r="A1234">
        <v>631</v>
      </c>
      <c r="B1234" s="19">
        <v>40572</v>
      </c>
      <c r="C1234">
        <v>1</v>
      </c>
      <c r="D1234">
        <v>1</v>
      </c>
      <c r="E1234">
        <v>13</v>
      </c>
      <c r="F1234" t="b">
        <v>0</v>
      </c>
      <c r="G1234">
        <v>6</v>
      </c>
      <c r="H1234">
        <v>2</v>
      </c>
      <c r="I1234">
        <v>0.22</v>
      </c>
      <c r="K1234">
        <v>0.2273</v>
      </c>
      <c r="L1234">
        <v>0.55000000000000004</v>
      </c>
      <c r="M1234">
        <v>0.16420000000000001</v>
      </c>
      <c r="N1234">
        <v>9</v>
      </c>
      <c r="O1234">
        <v>56</v>
      </c>
      <c r="P1234">
        <v>65</v>
      </c>
      <c r="Q1234" s="17" t="str">
        <f t="shared" si="59"/>
        <v>Weekends</v>
      </c>
      <c r="R1234" s="17" t="str">
        <f t="shared" si="57"/>
        <v>Afternoon</v>
      </c>
      <c r="S1234" s="9" t="str">
        <f t="shared" si="58"/>
        <v>Mist</v>
      </c>
    </row>
    <row r="1235" spans="1:19" x14ac:dyDescent="0.25">
      <c r="A1235">
        <v>632</v>
      </c>
      <c r="B1235" s="19">
        <v>40572</v>
      </c>
      <c r="C1235">
        <v>1</v>
      </c>
      <c r="D1235">
        <v>1</v>
      </c>
      <c r="E1235">
        <v>14</v>
      </c>
      <c r="F1235" t="b">
        <v>0</v>
      </c>
      <c r="G1235">
        <v>6</v>
      </c>
      <c r="H1235">
        <v>2</v>
      </c>
      <c r="I1235">
        <v>0.22</v>
      </c>
      <c r="K1235">
        <v>0.2273</v>
      </c>
      <c r="L1235">
        <v>0.6</v>
      </c>
      <c r="M1235">
        <v>0.1343</v>
      </c>
      <c r="N1235">
        <v>10</v>
      </c>
      <c r="O1235">
        <v>89</v>
      </c>
      <c r="P1235">
        <v>99</v>
      </c>
      <c r="Q1235" s="17" t="str">
        <f t="shared" si="59"/>
        <v>Weekends</v>
      </c>
      <c r="R1235" s="17" t="str">
        <f t="shared" si="57"/>
        <v>Afternoon</v>
      </c>
      <c r="S1235" s="9" t="str">
        <f t="shared" si="58"/>
        <v>Mist</v>
      </c>
    </row>
    <row r="1236" spans="1:19" x14ac:dyDescent="0.25">
      <c r="A1236">
        <v>633</v>
      </c>
      <c r="B1236" s="19">
        <v>40572</v>
      </c>
      <c r="C1236">
        <v>1</v>
      </c>
      <c r="D1236">
        <v>1</v>
      </c>
      <c r="E1236">
        <v>15</v>
      </c>
      <c r="F1236" t="b">
        <v>0</v>
      </c>
      <c r="G1236">
        <v>6</v>
      </c>
      <c r="H1236">
        <v>1</v>
      </c>
      <c r="I1236">
        <v>0.22</v>
      </c>
      <c r="K1236">
        <v>0.21210000000000001</v>
      </c>
      <c r="L1236">
        <v>0.69</v>
      </c>
      <c r="M1236">
        <v>0.25369999999999998</v>
      </c>
      <c r="N1236">
        <v>22</v>
      </c>
      <c r="O1236">
        <v>98</v>
      </c>
      <c r="P1236">
        <v>120</v>
      </c>
      <c r="Q1236" s="17" t="str">
        <f t="shared" si="59"/>
        <v>Weekends</v>
      </c>
      <c r="R1236" s="17" t="str">
        <f t="shared" si="57"/>
        <v>Afternoon</v>
      </c>
      <c r="S1236" s="9" t="str">
        <f t="shared" si="58"/>
        <v>Clear</v>
      </c>
    </row>
    <row r="1237" spans="1:19" x14ac:dyDescent="0.25">
      <c r="A1237">
        <v>634</v>
      </c>
      <c r="B1237" s="19">
        <v>40572</v>
      </c>
      <c r="C1237">
        <v>1</v>
      </c>
      <c r="D1237">
        <v>1</v>
      </c>
      <c r="E1237">
        <v>16</v>
      </c>
      <c r="F1237" t="b">
        <v>0</v>
      </c>
      <c r="G1237">
        <v>6</v>
      </c>
      <c r="H1237">
        <v>1</v>
      </c>
      <c r="I1237">
        <v>0.24</v>
      </c>
      <c r="K1237">
        <v>0.2424</v>
      </c>
      <c r="L1237">
        <v>0.6</v>
      </c>
      <c r="M1237">
        <v>0.16420000000000001</v>
      </c>
      <c r="N1237">
        <v>19</v>
      </c>
      <c r="O1237">
        <v>88</v>
      </c>
      <c r="P1237">
        <v>107</v>
      </c>
      <c r="Q1237" s="17" t="str">
        <f t="shared" si="59"/>
        <v>Weekends</v>
      </c>
      <c r="R1237" s="17" t="str">
        <f t="shared" si="57"/>
        <v>Evening</v>
      </c>
      <c r="S1237" s="9" t="str">
        <f t="shared" si="58"/>
        <v>Clear</v>
      </c>
    </row>
    <row r="1238" spans="1:19" x14ac:dyDescent="0.25">
      <c r="A1238">
        <v>635</v>
      </c>
      <c r="B1238" s="19">
        <v>40572</v>
      </c>
      <c r="C1238">
        <v>1</v>
      </c>
      <c r="D1238">
        <v>1</v>
      </c>
      <c r="E1238">
        <v>17</v>
      </c>
      <c r="F1238" t="b">
        <v>0</v>
      </c>
      <c r="G1238">
        <v>6</v>
      </c>
      <c r="H1238">
        <v>1</v>
      </c>
      <c r="I1238">
        <v>0.24</v>
      </c>
      <c r="K1238">
        <v>0.28789999999999999</v>
      </c>
      <c r="L1238">
        <v>0.6</v>
      </c>
      <c r="M1238">
        <v>0</v>
      </c>
      <c r="N1238">
        <v>9</v>
      </c>
      <c r="O1238">
        <v>82</v>
      </c>
      <c r="P1238">
        <v>91</v>
      </c>
      <c r="Q1238" s="17" t="str">
        <f t="shared" si="59"/>
        <v>Weekends</v>
      </c>
      <c r="R1238" s="17" t="str">
        <f t="shared" si="57"/>
        <v>Evening</v>
      </c>
      <c r="S1238" s="9" t="str">
        <f t="shared" si="58"/>
        <v>Clear</v>
      </c>
    </row>
    <row r="1239" spans="1:19" x14ac:dyDescent="0.25">
      <c r="A1239">
        <v>636</v>
      </c>
      <c r="B1239" s="19">
        <v>40572</v>
      </c>
      <c r="C1239">
        <v>1</v>
      </c>
      <c r="D1239">
        <v>1</v>
      </c>
      <c r="E1239">
        <v>18</v>
      </c>
      <c r="F1239" t="b">
        <v>0</v>
      </c>
      <c r="G1239">
        <v>6</v>
      </c>
      <c r="H1239">
        <v>1</v>
      </c>
      <c r="I1239">
        <v>0.22</v>
      </c>
      <c r="K1239">
        <v>0.2273</v>
      </c>
      <c r="L1239">
        <v>0.69</v>
      </c>
      <c r="M1239">
        <v>0.1343</v>
      </c>
      <c r="N1239">
        <v>9</v>
      </c>
      <c r="O1239">
        <v>59</v>
      </c>
      <c r="P1239">
        <v>68</v>
      </c>
      <c r="Q1239" s="17" t="str">
        <f t="shared" si="59"/>
        <v>Weekends</v>
      </c>
      <c r="R1239" s="17" t="str">
        <f t="shared" si="57"/>
        <v>Evening</v>
      </c>
      <c r="S1239" s="9" t="str">
        <f t="shared" si="58"/>
        <v>Clear</v>
      </c>
    </row>
    <row r="1240" spans="1:19" x14ac:dyDescent="0.25">
      <c r="A1240">
        <v>637</v>
      </c>
      <c r="B1240" s="19">
        <v>40572</v>
      </c>
      <c r="C1240">
        <v>1</v>
      </c>
      <c r="D1240">
        <v>1</v>
      </c>
      <c r="E1240">
        <v>19</v>
      </c>
      <c r="F1240" t="b">
        <v>0</v>
      </c>
      <c r="G1240">
        <v>6</v>
      </c>
      <c r="H1240">
        <v>2</v>
      </c>
      <c r="I1240">
        <v>0.22</v>
      </c>
      <c r="K1240">
        <v>0.21210000000000001</v>
      </c>
      <c r="L1240">
        <v>0.69</v>
      </c>
      <c r="M1240">
        <v>0.25369999999999998</v>
      </c>
      <c r="N1240">
        <v>6</v>
      </c>
      <c r="O1240">
        <v>52</v>
      </c>
      <c r="P1240">
        <v>58</v>
      </c>
      <c r="Q1240" s="17" t="str">
        <f t="shared" si="59"/>
        <v>Weekends</v>
      </c>
      <c r="R1240" s="17" t="str">
        <f t="shared" si="57"/>
        <v>Evening</v>
      </c>
      <c r="S1240" s="9" t="str">
        <f t="shared" si="58"/>
        <v>Mist</v>
      </c>
    </row>
    <row r="1241" spans="1:19" x14ac:dyDescent="0.25">
      <c r="A1241">
        <v>638</v>
      </c>
      <c r="B1241" s="19">
        <v>40572</v>
      </c>
      <c r="C1241">
        <v>1</v>
      </c>
      <c r="D1241">
        <v>1</v>
      </c>
      <c r="E1241">
        <v>20</v>
      </c>
      <c r="F1241" t="b">
        <v>0</v>
      </c>
      <c r="G1241">
        <v>6</v>
      </c>
      <c r="H1241">
        <v>1</v>
      </c>
      <c r="I1241">
        <v>0.18</v>
      </c>
      <c r="K1241">
        <v>0.21210000000000001</v>
      </c>
      <c r="L1241">
        <v>0.74</v>
      </c>
      <c r="M1241">
        <v>8.9599999999999999E-2</v>
      </c>
      <c r="N1241">
        <v>1</v>
      </c>
      <c r="O1241">
        <v>42</v>
      </c>
      <c r="P1241">
        <v>43</v>
      </c>
      <c r="Q1241" s="17" t="str">
        <f t="shared" si="59"/>
        <v>Weekends</v>
      </c>
      <c r="R1241" s="17" t="str">
        <f t="shared" si="57"/>
        <v>Evening</v>
      </c>
      <c r="S1241" s="9" t="str">
        <f t="shared" si="58"/>
        <v>Clear</v>
      </c>
    </row>
    <row r="1242" spans="1:19" x14ac:dyDescent="0.25">
      <c r="A1242">
        <v>639</v>
      </c>
      <c r="B1242" s="19">
        <v>40572</v>
      </c>
      <c r="C1242">
        <v>1</v>
      </c>
      <c r="D1242">
        <v>1</v>
      </c>
      <c r="E1242">
        <v>21</v>
      </c>
      <c r="F1242" t="b">
        <v>0</v>
      </c>
      <c r="G1242">
        <v>6</v>
      </c>
      <c r="H1242">
        <v>1</v>
      </c>
      <c r="I1242">
        <v>0.18</v>
      </c>
      <c r="K1242">
        <v>0.21210000000000001</v>
      </c>
      <c r="L1242">
        <v>0.74</v>
      </c>
      <c r="M1242">
        <v>8.9599999999999999E-2</v>
      </c>
      <c r="N1242">
        <v>1</v>
      </c>
      <c r="O1242">
        <v>35</v>
      </c>
      <c r="P1242">
        <v>36</v>
      </c>
      <c r="Q1242" s="17" t="str">
        <f t="shared" si="59"/>
        <v>Weekends</v>
      </c>
      <c r="R1242" s="17" t="str">
        <f t="shared" si="57"/>
        <v>Night</v>
      </c>
      <c r="S1242" s="9" t="str">
        <f t="shared" si="58"/>
        <v>Clear</v>
      </c>
    </row>
    <row r="1243" spans="1:19" x14ac:dyDescent="0.25">
      <c r="A1243">
        <v>640</v>
      </c>
      <c r="B1243" s="19">
        <v>40572</v>
      </c>
      <c r="C1243">
        <v>1</v>
      </c>
      <c r="D1243">
        <v>1</v>
      </c>
      <c r="E1243">
        <v>22</v>
      </c>
      <c r="F1243" t="b">
        <v>0</v>
      </c>
      <c r="G1243">
        <v>6</v>
      </c>
      <c r="H1243">
        <v>1</v>
      </c>
      <c r="I1243">
        <v>0.16</v>
      </c>
      <c r="K1243">
        <v>0.19700000000000001</v>
      </c>
      <c r="L1243">
        <v>0.8</v>
      </c>
      <c r="M1243">
        <v>8.9599999999999999E-2</v>
      </c>
      <c r="N1243">
        <v>4</v>
      </c>
      <c r="O1243">
        <v>28</v>
      </c>
      <c r="P1243">
        <v>32</v>
      </c>
      <c r="Q1243" s="17" t="str">
        <f t="shared" si="59"/>
        <v>Weekends</v>
      </c>
      <c r="R1243" s="17" t="str">
        <f t="shared" si="57"/>
        <v>Night</v>
      </c>
      <c r="S1243" s="9" t="str">
        <f t="shared" si="58"/>
        <v>Clear</v>
      </c>
    </row>
    <row r="1244" spans="1:19" x14ac:dyDescent="0.25">
      <c r="A1244">
        <v>641</v>
      </c>
      <c r="B1244" s="19">
        <v>40572</v>
      </c>
      <c r="C1244">
        <v>1</v>
      </c>
      <c r="D1244">
        <v>1</v>
      </c>
      <c r="E1244">
        <v>23</v>
      </c>
      <c r="F1244" t="b">
        <v>0</v>
      </c>
      <c r="G1244">
        <v>6</v>
      </c>
      <c r="H1244">
        <v>1</v>
      </c>
      <c r="I1244">
        <v>0.16</v>
      </c>
      <c r="K1244">
        <v>0.19700000000000001</v>
      </c>
      <c r="L1244">
        <v>0.8</v>
      </c>
      <c r="M1244">
        <v>8.9599999999999999E-2</v>
      </c>
      <c r="N1244">
        <v>3</v>
      </c>
      <c r="O1244">
        <v>30</v>
      </c>
      <c r="P1244">
        <v>33</v>
      </c>
      <c r="Q1244" s="17" t="str">
        <f t="shared" si="59"/>
        <v>Weekends</v>
      </c>
      <c r="R1244" s="17" t="str">
        <f t="shared" si="57"/>
        <v>Night</v>
      </c>
      <c r="S1244" s="9" t="str">
        <f t="shared" si="58"/>
        <v>Clear</v>
      </c>
    </row>
    <row r="1245" spans="1:19" x14ac:dyDescent="0.25">
      <c r="A1245">
        <v>642</v>
      </c>
      <c r="B1245" s="19">
        <v>40573</v>
      </c>
      <c r="C1245">
        <v>1</v>
      </c>
      <c r="D1245">
        <v>1</v>
      </c>
      <c r="E1245">
        <v>0</v>
      </c>
      <c r="F1245" t="b">
        <v>0</v>
      </c>
      <c r="G1245">
        <v>0</v>
      </c>
      <c r="H1245">
        <v>1</v>
      </c>
      <c r="I1245">
        <v>0.16</v>
      </c>
      <c r="K1245">
        <v>0.18179999999999999</v>
      </c>
      <c r="L1245">
        <v>0.8</v>
      </c>
      <c r="M1245">
        <v>0.1045</v>
      </c>
      <c r="N1245">
        <v>0</v>
      </c>
      <c r="O1245">
        <v>33</v>
      </c>
      <c r="P1245">
        <v>33</v>
      </c>
      <c r="Q1245" s="17" t="str">
        <f t="shared" si="59"/>
        <v>Weekdays</v>
      </c>
      <c r="R1245" s="17" t="str">
        <f t="shared" si="57"/>
        <v>Morning</v>
      </c>
      <c r="S1245" s="9" t="str">
        <f t="shared" si="58"/>
        <v>Clear</v>
      </c>
    </row>
    <row r="1246" spans="1:19" x14ac:dyDescent="0.25">
      <c r="A1246">
        <v>643</v>
      </c>
      <c r="B1246" s="19">
        <v>40573</v>
      </c>
      <c r="C1246">
        <v>1</v>
      </c>
      <c r="D1246">
        <v>1</v>
      </c>
      <c r="E1246">
        <v>1</v>
      </c>
      <c r="F1246" t="b">
        <v>0</v>
      </c>
      <c r="G1246">
        <v>0</v>
      </c>
      <c r="H1246">
        <v>1</v>
      </c>
      <c r="I1246">
        <v>0.14000000000000001</v>
      </c>
      <c r="K1246">
        <v>0.21210000000000001</v>
      </c>
      <c r="L1246">
        <v>0.8</v>
      </c>
      <c r="M1246">
        <v>0</v>
      </c>
      <c r="N1246">
        <v>7</v>
      </c>
      <c r="O1246">
        <v>22</v>
      </c>
      <c r="P1246">
        <v>29</v>
      </c>
      <c r="Q1246" s="17" t="str">
        <f t="shared" si="59"/>
        <v>Weekdays</v>
      </c>
      <c r="R1246" s="17" t="str">
        <f t="shared" si="57"/>
        <v>Morning</v>
      </c>
      <c r="S1246" s="9" t="str">
        <f t="shared" si="58"/>
        <v>Clear</v>
      </c>
    </row>
    <row r="1247" spans="1:19" x14ac:dyDescent="0.25">
      <c r="A1247">
        <v>644</v>
      </c>
      <c r="B1247" s="19">
        <v>40573</v>
      </c>
      <c r="C1247">
        <v>1</v>
      </c>
      <c r="D1247">
        <v>1</v>
      </c>
      <c r="E1247">
        <v>2</v>
      </c>
      <c r="F1247" t="b">
        <v>0</v>
      </c>
      <c r="G1247">
        <v>0</v>
      </c>
      <c r="H1247">
        <v>1</v>
      </c>
      <c r="I1247">
        <v>0.16</v>
      </c>
      <c r="K1247">
        <v>0.2273</v>
      </c>
      <c r="L1247">
        <v>0.8</v>
      </c>
      <c r="M1247">
        <v>0</v>
      </c>
      <c r="N1247">
        <v>1</v>
      </c>
      <c r="O1247">
        <v>10</v>
      </c>
      <c r="P1247">
        <v>11</v>
      </c>
      <c r="Q1247" s="17" t="str">
        <f t="shared" si="59"/>
        <v>Weekdays</v>
      </c>
      <c r="R1247" s="17" t="str">
        <f t="shared" si="57"/>
        <v>Morning</v>
      </c>
      <c r="S1247" s="9" t="str">
        <f t="shared" si="58"/>
        <v>Clear</v>
      </c>
    </row>
    <row r="1248" spans="1:19" x14ac:dyDescent="0.25">
      <c r="A1248">
        <v>645</v>
      </c>
      <c r="B1248" s="19">
        <v>40573</v>
      </c>
      <c r="C1248">
        <v>1</v>
      </c>
      <c r="D1248">
        <v>1</v>
      </c>
      <c r="E1248">
        <v>3</v>
      </c>
      <c r="F1248" t="b">
        <v>0</v>
      </c>
      <c r="G1248">
        <v>0</v>
      </c>
      <c r="H1248">
        <v>1</v>
      </c>
      <c r="I1248">
        <v>0.14000000000000001</v>
      </c>
      <c r="K1248">
        <v>0.21210000000000001</v>
      </c>
      <c r="L1248">
        <v>0.93</v>
      </c>
      <c r="M1248">
        <v>0</v>
      </c>
      <c r="N1248">
        <v>1</v>
      </c>
      <c r="O1248">
        <v>7</v>
      </c>
      <c r="P1248">
        <v>8</v>
      </c>
      <c r="Q1248" s="17" t="str">
        <f t="shared" si="59"/>
        <v>Weekdays</v>
      </c>
      <c r="R1248" s="17" t="str">
        <f t="shared" si="57"/>
        <v>Morning</v>
      </c>
      <c r="S1248" s="9" t="str">
        <f t="shared" si="58"/>
        <v>Clear</v>
      </c>
    </row>
    <row r="1249" spans="1:19" x14ac:dyDescent="0.25">
      <c r="A1249">
        <v>646</v>
      </c>
      <c r="B1249" s="19">
        <v>40573</v>
      </c>
      <c r="C1249">
        <v>1</v>
      </c>
      <c r="D1249">
        <v>1</v>
      </c>
      <c r="E1249">
        <v>4</v>
      </c>
      <c r="F1249" t="b">
        <v>0</v>
      </c>
      <c r="G1249">
        <v>0</v>
      </c>
      <c r="H1249">
        <v>1</v>
      </c>
      <c r="I1249">
        <v>0.14000000000000001</v>
      </c>
      <c r="K1249">
        <v>0.21210000000000001</v>
      </c>
      <c r="L1249">
        <v>0.93</v>
      </c>
      <c r="M1249">
        <v>0</v>
      </c>
      <c r="N1249">
        <v>0</v>
      </c>
      <c r="O1249">
        <v>1</v>
      </c>
      <c r="P1249">
        <v>1</v>
      </c>
      <c r="Q1249" s="17" t="str">
        <f t="shared" si="59"/>
        <v>Weekdays</v>
      </c>
      <c r="R1249" s="17" t="str">
        <f t="shared" si="57"/>
        <v>Morning</v>
      </c>
      <c r="S1249" s="9" t="str">
        <f t="shared" si="58"/>
        <v>Clear</v>
      </c>
    </row>
    <row r="1250" spans="1:19" x14ac:dyDescent="0.25">
      <c r="A1250">
        <v>647</v>
      </c>
      <c r="B1250" s="19">
        <v>40573</v>
      </c>
      <c r="C1250">
        <v>1</v>
      </c>
      <c r="D1250">
        <v>1</v>
      </c>
      <c r="E1250">
        <v>5</v>
      </c>
      <c r="F1250" t="b">
        <v>0</v>
      </c>
      <c r="G1250">
        <v>0</v>
      </c>
      <c r="H1250">
        <v>1</v>
      </c>
      <c r="I1250">
        <v>0.14000000000000001</v>
      </c>
      <c r="K1250">
        <v>0.21210000000000001</v>
      </c>
      <c r="L1250">
        <v>0.86</v>
      </c>
      <c r="M1250">
        <v>0</v>
      </c>
      <c r="N1250">
        <v>0</v>
      </c>
      <c r="O1250">
        <v>3</v>
      </c>
      <c r="P1250">
        <v>3</v>
      </c>
      <c r="Q1250" s="17" t="str">
        <f t="shared" si="59"/>
        <v>Weekdays</v>
      </c>
      <c r="R1250" s="17" t="str">
        <f t="shared" si="57"/>
        <v>Morning</v>
      </c>
      <c r="S1250" s="9" t="str">
        <f t="shared" si="58"/>
        <v>Clear</v>
      </c>
    </row>
    <row r="1251" spans="1:19" x14ac:dyDescent="0.25">
      <c r="A1251">
        <v>648</v>
      </c>
      <c r="B1251" s="19">
        <v>40573</v>
      </c>
      <c r="C1251">
        <v>1</v>
      </c>
      <c r="D1251">
        <v>1</v>
      </c>
      <c r="E1251">
        <v>7</v>
      </c>
      <c r="F1251" t="b">
        <v>0</v>
      </c>
      <c r="G1251">
        <v>0</v>
      </c>
      <c r="H1251">
        <v>1</v>
      </c>
      <c r="I1251">
        <v>0.14000000000000001</v>
      </c>
      <c r="K1251">
        <v>0.21210000000000001</v>
      </c>
      <c r="L1251">
        <v>0.86</v>
      </c>
      <c r="M1251">
        <v>0</v>
      </c>
      <c r="N1251">
        <v>0</v>
      </c>
      <c r="O1251">
        <v>3</v>
      </c>
      <c r="P1251">
        <v>3</v>
      </c>
      <c r="Q1251" s="17" t="str">
        <f t="shared" si="59"/>
        <v>Weekdays</v>
      </c>
      <c r="R1251" s="17" t="str">
        <f t="shared" si="57"/>
        <v>Morning</v>
      </c>
      <c r="S1251" s="9" t="str">
        <f t="shared" si="58"/>
        <v>Clear</v>
      </c>
    </row>
    <row r="1252" spans="1:19" x14ac:dyDescent="0.25">
      <c r="A1252">
        <v>649</v>
      </c>
      <c r="B1252" s="19">
        <v>40573</v>
      </c>
      <c r="C1252">
        <v>1</v>
      </c>
      <c r="D1252">
        <v>1</v>
      </c>
      <c r="E1252">
        <v>8</v>
      </c>
      <c r="F1252" t="b">
        <v>0</v>
      </c>
      <c r="G1252">
        <v>0</v>
      </c>
      <c r="H1252">
        <v>2</v>
      </c>
      <c r="I1252">
        <v>0.14000000000000001</v>
      </c>
      <c r="K1252">
        <v>0.21210000000000001</v>
      </c>
      <c r="L1252">
        <v>0.86</v>
      </c>
      <c r="M1252">
        <v>0</v>
      </c>
      <c r="N1252">
        <v>1</v>
      </c>
      <c r="O1252">
        <v>11</v>
      </c>
      <c r="P1252">
        <v>12</v>
      </c>
      <c r="Q1252" s="17" t="str">
        <f t="shared" si="59"/>
        <v>Weekdays</v>
      </c>
      <c r="R1252" s="17" t="str">
        <f t="shared" si="57"/>
        <v>Morning</v>
      </c>
      <c r="S1252" s="9" t="str">
        <f t="shared" si="58"/>
        <v>Mist</v>
      </c>
    </row>
    <row r="1253" spans="1:19" x14ac:dyDescent="0.25">
      <c r="A1253">
        <v>650</v>
      </c>
      <c r="B1253" s="19">
        <v>40573</v>
      </c>
      <c r="C1253">
        <v>1</v>
      </c>
      <c r="D1253">
        <v>1</v>
      </c>
      <c r="E1253">
        <v>9</v>
      </c>
      <c r="F1253" t="b">
        <v>0</v>
      </c>
      <c r="G1253">
        <v>0</v>
      </c>
      <c r="H1253">
        <v>2</v>
      </c>
      <c r="I1253">
        <v>0.16</v>
      </c>
      <c r="K1253">
        <v>0.2273</v>
      </c>
      <c r="L1253">
        <v>0.8</v>
      </c>
      <c r="M1253">
        <v>0</v>
      </c>
      <c r="N1253">
        <v>4</v>
      </c>
      <c r="O1253">
        <v>34</v>
      </c>
      <c r="P1253">
        <v>38</v>
      </c>
      <c r="Q1253" s="17" t="str">
        <f t="shared" si="59"/>
        <v>Weekdays</v>
      </c>
      <c r="R1253" s="17" t="str">
        <f t="shared" si="57"/>
        <v>Morning</v>
      </c>
      <c r="S1253" s="9" t="str">
        <f t="shared" si="58"/>
        <v>Mist</v>
      </c>
    </row>
    <row r="1254" spans="1:19" x14ac:dyDescent="0.25">
      <c r="A1254">
        <v>651</v>
      </c>
      <c r="B1254" s="19">
        <v>40573</v>
      </c>
      <c r="C1254">
        <v>1</v>
      </c>
      <c r="D1254">
        <v>1</v>
      </c>
      <c r="E1254">
        <v>10</v>
      </c>
      <c r="F1254" t="b">
        <v>0</v>
      </c>
      <c r="G1254">
        <v>0</v>
      </c>
      <c r="H1254">
        <v>2</v>
      </c>
      <c r="I1254">
        <v>0.18</v>
      </c>
      <c r="K1254">
        <v>0.2424</v>
      </c>
      <c r="L1254">
        <v>0.8</v>
      </c>
      <c r="M1254">
        <v>0</v>
      </c>
      <c r="N1254">
        <v>7</v>
      </c>
      <c r="O1254">
        <v>57</v>
      </c>
      <c r="P1254">
        <v>64</v>
      </c>
      <c r="Q1254" s="17" t="str">
        <f t="shared" si="59"/>
        <v>Weekdays</v>
      </c>
      <c r="R1254" s="17" t="str">
        <f t="shared" si="57"/>
        <v>Morning</v>
      </c>
      <c r="S1254" s="9" t="str">
        <f t="shared" si="58"/>
        <v>Mist</v>
      </c>
    </row>
    <row r="1255" spans="1:19" x14ac:dyDescent="0.25">
      <c r="A1255">
        <v>652</v>
      </c>
      <c r="B1255" s="19">
        <v>40573</v>
      </c>
      <c r="C1255">
        <v>1</v>
      </c>
      <c r="D1255">
        <v>1</v>
      </c>
      <c r="E1255">
        <v>11</v>
      </c>
      <c r="F1255" t="b">
        <v>0</v>
      </c>
      <c r="G1255">
        <v>0</v>
      </c>
      <c r="H1255">
        <v>1</v>
      </c>
      <c r="I1255">
        <v>0.22</v>
      </c>
      <c r="K1255">
        <v>0.2727</v>
      </c>
      <c r="L1255">
        <v>0.75</v>
      </c>
      <c r="M1255">
        <v>0</v>
      </c>
      <c r="N1255">
        <v>9</v>
      </c>
      <c r="O1255">
        <v>50</v>
      </c>
      <c r="P1255">
        <v>59</v>
      </c>
      <c r="Q1255" s="17" t="str">
        <f t="shared" si="59"/>
        <v>Weekdays</v>
      </c>
      <c r="R1255" s="17" t="str">
        <f t="shared" si="57"/>
        <v>Morning</v>
      </c>
      <c r="S1255" s="9" t="str">
        <f t="shared" si="58"/>
        <v>Clear</v>
      </c>
    </row>
    <row r="1256" spans="1:19" x14ac:dyDescent="0.25">
      <c r="A1256">
        <v>653</v>
      </c>
      <c r="B1256" s="19">
        <v>40573</v>
      </c>
      <c r="C1256">
        <v>1</v>
      </c>
      <c r="D1256">
        <v>1</v>
      </c>
      <c r="E1256">
        <v>12</v>
      </c>
      <c r="F1256" t="b">
        <v>0</v>
      </c>
      <c r="G1256">
        <v>0</v>
      </c>
      <c r="H1256">
        <v>1</v>
      </c>
      <c r="I1256">
        <v>0.3</v>
      </c>
      <c r="K1256">
        <v>0.31819999999999998</v>
      </c>
      <c r="L1256">
        <v>0.52</v>
      </c>
      <c r="M1256">
        <v>0.1045</v>
      </c>
      <c r="N1256">
        <v>10</v>
      </c>
      <c r="O1256">
        <v>87</v>
      </c>
      <c r="P1256">
        <v>97</v>
      </c>
      <c r="Q1256" s="17" t="str">
        <f t="shared" si="59"/>
        <v>Weekdays</v>
      </c>
      <c r="R1256" s="17" t="str">
        <f t="shared" si="57"/>
        <v>Afternoon</v>
      </c>
      <c r="S1256" s="9" t="str">
        <f t="shared" si="58"/>
        <v>Clear</v>
      </c>
    </row>
    <row r="1257" spans="1:19" x14ac:dyDescent="0.25">
      <c r="A1257">
        <v>654</v>
      </c>
      <c r="B1257" s="19">
        <v>40573</v>
      </c>
      <c r="C1257">
        <v>1</v>
      </c>
      <c r="D1257">
        <v>1</v>
      </c>
      <c r="E1257">
        <v>13</v>
      </c>
      <c r="F1257" t="b">
        <v>0</v>
      </c>
      <c r="G1257">
        <v>0</v>
      </c>
      <c r="H1257">
        <v>1</v>
      </c>
      <c r="I1257">
        <v>0.28000000000000003</v>
      </c>
      <c r="K1257">
        <v>0.28789999999999999</v>
      </c>
      <c r="L1257">
        <v>0.61</v>
      </c>
      <c r="M1257">
        <v>0.1045</v>
      </c>
      <c r="N1257">
        <v>13</v>
      </c>
      <c r="O1257">
        <v>71</v>
      </c>
      <c r="P1257">
        <v>84</v>
      </c>
      <c r="Q1257" s="17" t="str">
        <f t="shared" si="59"/>
        <v>Weekdays</v>
      </c>
      <c r="R1257" s="17" t="str">
        <f t="shared" si="57"/>
        <v>Afternoon</v>
      </c>
      <c r="S1257" s="9" t="str">
        <f t="shared" si="58"/>
        <v>Clear</v>
      </c>
    </row>
    <row r="1258" spans="1:19" x14ac:dyDescent="0.25">
      <c r="A1258">
        <v>655</v>
      </c>
      <c r="B1258" s="19">
        <v>40573</v>
      </c>
      <c r="C1258">
        <v>1</v>
      </c>
      <c r="D1258">
        <v>1</v>
      </c>
      <c r="E1258">
        <v>14</v>
      </c>
      <c r="F1258" t="b">
        <v>0</v>
      </c>
      <c r="G1258">
        <v>0</v>
      </c>
      <c r="H1258">
        <v>1</v>
      </c>
      <c r="I1258">
        <v>0.28000000000000003</v>
      </c>
      <c r="K1258">
        <v>0.30299999999999999</v>
      </c>
      <c r="L1258">
        <v>0.61</v>
      </c>
      <c r="M1258">
        <v>8.9599999999999999E-2</v>
      </c>
      <c r="N1258">
        <v>18</v>
      </c>
      <c r="O1258">
        <v>104</v>
      </c>
      <c r="P1258">
        <v>122</v>
      </c>
      <c r="Q1258" s="17" t="str">
        <f t="shared" si="59"/>
        <v>Weekdays</v>
      </c>
      <c r="R1258" s="17" t="str">
        <f t="shared" si="57"/>
        <v>Afternoon</v>
      </c>
      <c r="S1258" s="9" t="str">
        <f t="shared" si="58"/>
        <v>Clear</v>
      </c>
    </row>
    <row r="1259" spans="1:19" x14ac:dyDescent="0.25">
      <c r="A1259">
        <v>656</v>
      </c>
      <c r="B1259" s="19">
        <v>40573</v>
      </c>
      <c r="C1259">
        <v>1</v>
      </c>
      <c r="D1259">
        <v>1</v>
      </c>
      <c r="E1259">
        <v>15</v>
      </c>
      <c r="F1259" t="b">
        <v>0</v>
      </c>
      <c r="G1259">
        <v>0</v>
      </c>
      <c r="H1259">
        <v>1</v>
      </c>
      <c r="I1259">
        <v>0.3</v>
      </c>
      <c r="K1259">
        <v>0.33329999999999999</v>
      </c>
      <c r="L1259">
        <v>0.56000000000000005</v>
      </c>
      <c r="M1259">
        <v>0</v>
      </c>
      <c r="N1259">
        <v>14</v>
      </c>
      <c r="O1259">
        <v>95</v>
      </c>
      <c r="P1259">
        <v>109</v>
      </c>
      <c r="Q1259" s="17" t="str">
        <f t="shared" si="59"/>
        <v>Weekdays</v>
      </c>
      <c r="R1259" s="17" t="str">
        <f t="shared" si="57"/>
        <v>Afternoon</v>
      </c>
      <c r="S1259" s="9" t="str">
        <f t="shared" si="58"/>
        <v>Clear</v>
      </c>
    </row>
    <row r="1260" spans="1:19" x14ac:dyDescent="0.25">
      <c r="A1260">
        <v>657</v>
      </c>
      <c r="B1260" s="19">
        <v>40573</v>
      </c>
      <c r="C1260">
        <v>1</v>
      </c>
      <c r="D1260">
        <v>1</v>
      </c>
      <c r="E1260">
        <v>16</v>
      </c>
      <c r="F1260" t="b">
        <v>0</v>
      </c>
      <c r="G1260">
        <v>0</v>
      </c>
      <c r="H1260">
        <v>1</v>
      </c>
      <c r="I1260">
        <v>0.3</v>
      </c>
      <c r="K1260">
        <v>0.33329999999999999</v>
      </c>
      <c r="L1260">
        <v>0.56000000000000005</v>
      </c>
      <c r="M1260">
        <v>0</v>
      </c>
      <c r="N1260">
        <v>19</v>
      </c>
      <c r="O1260">
        <v>104</v>
      </c>
      <c r="P1260">
        <v>123</v>
      </c>
      <c r="Q1260" s="17" t="str">
        <f t="shared" si="59"/>
        <v>Weekdays</v>
      </c>
      <c r="R1260" s="17" t="str">
        <f t="shared" si="57"/>
        <v>Evening</v>
      </c>
      <c r="S1260" s="9" t="str">
        <f t="shared" si="58"/>
        <v>Clear</v>
      </c>
    </row>
    <row r="1261" spans="1:19" x14ac:dyDescent="0.25">
      <c r="A1261">
        <v>658</v>
      </c>
      <c r="B1261" s="19">
        <v>40573</v>
      </c>
      <c r="C1261">
        <v>1</v>
      </c>
      <c r="D1261">
        <v>1</v>
      </c>
      <c r="E1261">
        <v>17</v>
      </c>
      <c r="F1261" t="b">
        <v>0</v>
      </c>
      <c r="G1261">
        <v>0</v>
      </c>
      <c r="H1261">
        <v>1</v>
      </c>
      <c r="I1261">
        <v>0.3</v>
      </c>
      <c r="K1261">
        <v>0.28789999999999999</v>
      </c>
      <c r="L1261">
        <v>0.56000000000000005</v>
      </c>
      <c r="M1261">
        <v>0.19400000000000001</v>
      </c>
      <c r="N1261">
        <v>6</v>
      </c>
      <c r="O1261">
        <v>71</v>
      </c>
      <c r="P1261">
        <v>77</v>
      </c>
      <c r="Q1261" s="17" t="str">
        <f t="shared" si="59"/>
        <v>Weekdays</v>
      </c>
      <c r="R1261" s="17" t="str">
        <f t="shared" si="57"/>
        <v>Evening</v>
      </c>
      <c r="S1261" s="9" t="str">
        <f t="shared" si="58"/>
        <v>Clear</v>
      </c>
    </row>
    <row r="1262" spans="1:19" x14ac:dyDescent="0.25">
      <c r="A1262">
        <v>659</v>
      </c>
      <c r="B1262" s="19">
        <v>40573</v>
      </c>
      <c r="C1262">
        <v>1</v>
      </c>
      <c r="D1262">
        <v>1</v>
      </c>
      <c r="E1262">
        <v>18</v>
      </c>
      <c r="F1262" t="b">
        <v>0</v>
      </c>
      <c r="G1262">
        <v>0</v>
      </c>
      <c r="H1262">
        <v>1</v>
      </c>
      <c r="I1262">
        <v>0.26</v>
      </c>
      <c r="K1262">
        <v>0.2576</v>
      </c>
      <c r="L1262">
        <v>0.65</v>
      </c>
      <c r="M1262">
        <v>0.16420000000000001</v>
      </c>
      <c r="N1262">
        <v>8</v>
      </c>
      <c r="O1262">
        <v>57</v>
      </c>
      <c r="P1262">
        <v>65</v>
      </c>
      <c r="Q1262" s="17" t="str">
        <f t="shared" si="59"/>
        <v>Weekdays</v>
      </c>
      <c r="R1262" s="17" t="str">
        <f t="shared" si="57"/>
        <v>Evening</v>
      </c>
      <c r="S1262" s="9" t="str">
        <f t="shared" si="58"/>
        <v>Clear</v>
      </c>
    </row>
    <row r="1263" spans="1:19" x14ac:dyDescent="0.25">
      <c r="A1263">
        <v>660</v>
      </c>
      <c r="B1263" s="19">
        <v>40573</v>
      </c>
      <c r="C1263">
        <v>1</v>
      </c>
      <c r="D1263">
        <v>1</v>
      </c>
      <c r="E1263">
        <v>19</v>
      </c>
      <c r="F1263" t="b">
        <v>0</v>
      </c>
      <c r="G1263">
        <v>0</v>
      </c>
      <c r="H1263">
        <v>1</v>
      </c>
      <c r="I1263">
        <v>0.26</v>
      </c>
      <c r="K1263">
        <v>0.2576</v>
      </c>
      <c r="L1263">
        <v>0.65</v>
      </c>
      <c r="M1263">
        <v>0.19400000000000001</v>
      </c>
      <c r="N1263">
        <v>9</v>
      </c>
      <c r="O1263">
        <v>46</v>
      </c>
      <c r="P1263">
        <v>55</v>
      </c>
      <c r="Q1263" s="17" t="str">
        <f t="shared" si="59"/>
        <v>Weekdays</v>
      </c>
      <c r="R1263" s="17" t="str">
        <f t="shared" si="57"/>
        <v>Evening</v>
      </c>
      <c r="S1263" s="9" t="str">
        <f t="shared" si="58"/>
        <v>Clear</v>
      </c>
    </row>
    <row r="1264" spans="1:19" x14ac:dyDescent="0.25">
      <c r="A1264">
        <v>661</v>
      </c>
      <c r="B1264" s="19">
        <v>40573</v>
      </c>
      <c r="C1264">
        <v>1</v>
      </c>
      <c r="D1264">
        <v>1</v>
      </c>
      <c r="E1264">
        <v>20</v>
      </c>
      <c r="F1264" t="b">
        <v>0</v>
      </c>
      <c r="G1264">
        <v>0</v>
      </c>
      <c r="H1264">
        <v>2</v>
      </c>
      <c r="I1264">
        <v>0.26</v>
      </c>
      <c r="K1264">
        <v>0.2727</v>
      </c>
      <c r="L1264">
        <v>0.65</v>
      </c>
      <c r="M1264">
        <v>0.1045</v>
      </c>
      <c r="N1264">
        <v>3</v>
      </c>
      <c r="O1264">
        <v>30</v>
      </c>
      <c r="P1264">
        <v>33</v>
      </c>
      <c r="Q1264" s="17" t="str">
        <f t="shared" si="59"/>
        <v>Weekdays</v>
      </c>
      <c r="R1264" s="17" t="str">
        <f t="shared" si="57"/>
        <v>Evening</v>
      </c>
      <c r="S1264" s="9" t="str">
        <f t="shared" si="58"/>
        <v>Mist</v>
      </c>
    </row>
    <row r="1265" spans="1:19" x14ac:dyDescent="0.25">
      <c r="A1265">
        <v>662</v>
      </c>
      <c r="B1265" s="19">
        <v>40573</v>
      </c>
      <c r="C1265">
        <v>1</v>
      </c>
      <c r="D1265">
        <v>1</v>
      </c>
      <c r="E1265">
        <v>21</v>
      </c>
      <c r="F1265" t="b">
        <v>0</v>
      </c>
      <c r="G1265">
        <v>0</v>
      </c>
      <c r="H1265">
        <v>2</v>
      </c>
      <c r="I1265">
        <v>0.24</v>
      </c>
      <c r="K1265">
        <v>0.2424</v>
      </c>
      <c r="L1265">
        <v>0.7</v>
      </c>
      <c r="M1265">
        <v>0.16420000000000001</v>
      </c>
      <c r="N1265">
        <v>3</v>
      </c>
      <c r="O1265">
        <v>25</v>
      </c>
      <c r="P1265">
        <v>28</v>
      </c>
      <c r="Q1265" s="17" t="str">
        <f t="shared" si="59"/>
        <v>Weekdays</v>
      </c>
      <c r="R1265" s="17" t="str">
        <f t="shared" si="57"/>
        <v>Night</v>
      </c>
      <c r="S1265" s="9" t="str">
        <f t="shared" si="58"/>
        <v>Mist</v>
      </c>
    </row>
    <row r="1266" spans="1:19" x14ac:dyDescent="0.25">
      <c r="A1266">
        <v>663</v>
      </c>
      <c r="B1266" s="19">
        <v>40573</v>
      </c>
      <c r="C1266">
        <v>1</v>
      </c>
      <c r="D1266">
        <v>1</v>
      </c>
      <c r="E1266">
        <v>22</v>
      </c>
      <c r="F1266" t="b">
        <v>0</v>
      </c>
      <c r="G1266">
        <v>0</v>
      </c>
      <c r="H1266">
        <v>2</v>
      </c>
      <c r="I1266">
        <v>0.24</v>
      </c>
      <c r="K1266">
        <v>0.2273</v>
      </c>
      <c r="L1266">
        <v>0.7</v>
      </c>
      <c r="M1266">
        <v>0.19400000000000001</v>
      </c>
      <c r="N1266">
        <v>2</v>
      </c>
      <c r="O1266">
        <v>19</v>
      </c>
      <c r="P1266">
        <v>21</v>
      </c>
      <c r="Q1266" s="17" t="str">
        <f t="shared" si="59"/>
        <v>Weekdays</v>
      </c>
      <c r="R1266" s="17" t="str">
        <f t="shared" si="57"/>
        <v>Night</v>
      </c>
      <c r="S1266" s="9" t="str">
        <f t="shared" si="58"/>
        <v>Mist</v>
      </c>
    </row>
    <row r="1267" spans="1:19" x14ac:dyDescent="0.25">
      <c r="A1267">
        <v>664</v>
      </c>
      <c r="B1267" s="19">
        <v>40573</v>
      </c>
      <c r="C1267">
        <v>1</v>
      </c>
      <c r="D1267">
        <v>1</v>
      </c>
      <c r="E1267">
        <v>23</v>
      </c>
      <c r="F1267" t="b">
        <v>0</v>
      </c>
      <c r="G1267">
        <v>0</v>
      </c>
      <c r="H1267">
        <v>2</v>
      </c>
      <c r="I1267">
        <v>0.24</v>
      </c>
      <c r="K1267">
        <v>0.21210000000000001</v>
      </c>
      <c r="L1267">
        <v>0.65</v>
      </c>
      <c r="M1267">
        <v>0.28360000000000002</v>
      </c>
      <c r="N1267">
        <v>5</v>
      </c>
      <c r="O1267">
        <v>16</v>
      </c>
      <c r="P1267">
        <v>21</v>
      </c>
      <c r="Q1267" s="17" t="str">
        <f t="shared" si="59"/>
        <v>Weekdays</v>
      </c>
      <c r="R1267" s="17" t="str">
        <f t="shared" si="57"/>
        <v>Night</v>
      </c>
      <c r="S1267" s="9" t="str">
        <f t="shared" si="58"/>
        <v>Mist</v>
      </c>
    </row>
    <row r="1268" spans="1:19" x14ac:dyDescent="0.25">
      <c r="A1268">
        <v>665</v>
      </c>
      <c r="B1268" s="19">
        <v>40574</v>
      </c>
      <c r="C1268">
        <v>1</v>
      </c>
      <c r="D1268">
        <v>1</v>
      </c>
      <c r="E1268">
        <v>0</v>
      </c>
      <c r="F1268" t="b">
        <v>0</v>
      </c>
      <c r="G1268">
        <v>1</v>
      </c>
      <c r="H1268">
        <v>2</v>
      </c>
      <c r="I1268">
        <v>0.24</v>
      </c>
      <c r="K1268">
        <v>0.2273</v>
      </c>
      <c r="L1268">
        <v>0.65</v>
      </c>
      <c r="M1268">
        <v>0.22389999999999999</v>
      </c>
      <c r="N1268">
        <v>1</v>
      </c>
      <c r="O1268">
        <v>6</v>
      </c>
      <c r="P1268">
        <v>7</v>
      </c>
      <c r="Q1268" s="17" t="str">
        <f t="shared" si="59"/>
        <v>Weekdays</v>
      </c>
      <c r="R1268" s="17" t="str">
        <f t="shared" si="57"/>
        <v>Morning</v>
      </c>
      <c r="S1268" s="9" t="str">
        <f t="shared" si="58"/>
        <v>Mist</v>
      </c>
    </row>
    <row r="1269" spans="1:19" x14ac:dyDescent="0.25">
      <c r="A1269">
        <v>666</v>
      </c>
      <c r="B1269" s="19">
        <v>40574</v>
      </c>
      <c r="C1269">
        <v>1</v>
      </c>
      <c r="D1269">
        <v>1</v>
      </c>
      <c r="E1269">
        <v>1</v>
      </c>
      <c r="F1269" t="b">
        <v>0</v>
      </c>
      <c r="G1269">
        <v>1</v>
      </c>
      <c r="H1269">
        <v>1</v>
      </c>
      <c r="I1269">
        <v>0.22</v>
      </c>
      <c r="K1269">
        <v>0.21210000000000001</v>
      </c>
      <c r="L1269">
        <v>0.64</v>
      </c>
      <c r="M1269">
        <v>0.25369999999999998</v>
      </c>
      <c r="N1269">
        <v>2</v>
      </c>
      <c r="O1269">
        <v>5</v>
      </c>
      <c r="P1269">
        <v>7</v>
      </c>
      <c r="Q1269" s="17" t="str">
        <f t="shared" si="59"/>
        <v>Weekdays</v>
      </c>
      <c r="R1269" s="17" t="str">
        <f t="shared" si="57"/>
        <v>Morning</v>
      </c>
      <c r="S1269" s="9" t="str">
        <f t="shared" si="58"/>
        <v>Clear</v>
      </c>
    </row>
    <row r="1270" spans="1:19" x14ac:dyDescent="0.25">
      <c r="A1270">
        <v>667</v>
      </c>
      <c r="B1270" s="19">
        <v>40574</v>
      </c>
      <c r="C1270">
        <v>1</v>
      </c>
      <c r="D1270">
        <v>1</v>
      </c>
      <c r="E1270">
        <v>2</v>
      </c>
      <c r="F1270" t="b">
        <v>0</v>
      </c>
      <c r="G1270">
        <v>1</v>
      </c>
      <c r="H1270">
        <v>1</v>
      </c>
      <c r="I1270">
        <v>0.22</v>
      </c>
      <c r="K1270">
        <v>0.2273</v>
      </c>
      <c r="L1270">
        <v>0.64</v>
      </c>
      <c r="M1270">
        <v>0.19400000000000001</v>
      </c>
      <c r="N1270">
        <v>0</v>
      </c>
      <c r="O1270">
        <v>1</v>
      </c>
      <c r="P1270">
        <v>1</v>
      </c>
      <c r="Q1270" s="17" t="str">
        <f t="shared" si="59"/>
        <v>Weekdays</v>
      </c>
      <c r="R1270" s="17" t="str">
        <f t="shared" si="57"/>
        <v>Morning</v>
      </c>
      <c r="S1270" s="9" t="str">
        <f t="shared" si="58"/>
        <v>Clear</v>
      </c>
    </row>
    <row r="1271" spans="1:19" x14ac:dyDescent="0.25">
      <c r="A1271">
        <v>668</v>
      </c>
      <c r="B1271" s="19">
        <v>40574</v>
      </c>
      <c r="C1271">
        <v>1</v>
      </c>
      <c r="D1271">
        <v>1</v>
      </c>
      <c r="E1271">
        <v>3</v>
      </c>
      <c r="F1271" t="b">
        <v>0</v>
      </c>
      <c r="G1271">
        <v>1</v>
      </c>
      <c r="H1271">
        <v>1</v>
      </c>
      <c r="I1271">
        <v>0.22</v>
      </c>
      <c r="K1271">
        <v>0.2273</v>
      </c>
      <c r="L1271">
        <v>0.64</v>
      </c>
      <c r="M1271">
        <v>0.19400000000000001</v>
      </c>
      <c r="N1271">
        <v>0</v>
      </c>
      <c r="O1271">
        <v>2</v>
      </c>
      <c r="P1271">
        <v>2</v>
      </c>
      <c r="Q1271" s="17" t="str">
        <f t="shared" si="59"/>
        <v>Weekdays</v>
      </c>
      <c r="R1271" s="17" t="str">
        <f t="shared" si="57"/>
        <v>Morning</v>
      </c>
      <c r="S1271" s="9" t="str">
        <f t="shared" si="58"/>
        <v>Clear</v>
      </c>
    </row>
    <row r="1272" spans="1:19" x14ac:dyDescent="0.25">
      <c r="A1272">
        <v>669</v>
      </c>
      <c r="B1272" s="19">
        <v>40574</v>
      </c>
      <c r="C1272">
        <v>1</v>
      </c>
      <c r="D1272">
        <v>1</v>
      </c>
      <c r="E1272">
        <v>4</v>
      </c>
      <c r="F1272" t="b">
        <v>0</v>
      </c>
      <c r="G1272">
        <v>1</v>
      </c>
      <c r="H1272">
        <v>1</v>
      </c>
      <c r="I1272">
        <v>0.2</v>
      </c>
      <c r="K1272">
        <v>0.19700000000000001</v>
      </c>
      <c r="L1272">
        <v>0.59</v>
      </c>
      <c r="M1272">
        <v>0.22389999999999999</v>
      </c>
      <c r="N1272">
        <v>0</v>
      </c>
      <c r="O1272">
        <v>2</v>
      </c>
      <c r="P1272">
        <v>2</v>
      </c>
      <c r="Q1272" s="17" t="str">
        <f t="shared" si="59"/>
        <v>Weekdays</v>
      </c>
      <c r="R1272" s="17" t="str">
        <f t="shared" si="57"/>
        <v>Morning</v>
      </c>
      <c r="S1272" s="9" t="str">
        <f t="shared" si="58"/>
        <v>Clear</v>
      </c>
    </row>
    <row r="1273" spans="1:19" x14ac:dyDescent="0.25">
      <c r="A1273">
        <v>670</v>
      </c>
      <c r="B1273" s="19">
        <v>40574</v>
      </c>
      <c r="C1273">
        <v>1</v>
      </c>
      <c r="D1273">
        <v>1</v>
      </c>
      <c r="E1273">
        <v>5</v>
      </c>
      <c r="F1273" t="b">
        <v>0</v>
      </c>
      <c r="G1273">
        <v>1</v>
      </c>
      <c r="H1273">
        <v>1</v>
      </c>
      <c r="I1273">
        <v>0.18</v>
      </c>
      <c r="K1273">
        <v>0.16669999999999999</v>
      </c>
      <c r="L1273">
        <v>0.64</v>
      </c>
      <c r="M1273">
        <v>0.28360000000000002</v>
      </c>
      <c r="N1273">
        <v>0</v>
      </c>
      <c r="O1273">
        <v>8</v>
      </c>
      <c r="P1273">
        <v>8</v>
      </c>
      <c r="Q1273" s="17" t="str">
        <f t="shared" si="59"/>
        <v>Weekdays</v>
      </c>
      <c r="R1273" s="17" t="str">
        <f t="shared" si="57"/>
        <v>Morning</v>
      </c>
      <c r="S1273" s="9" t="str">
        <f t="shared" si="58"/>
        <v>Clear</v>
      </c>
    </row>
    <row r="1274" spans="1:19" x14ac:dyDescent="0.25">
      <c r="A1274">
        <v>671</v>
      </c>
      <c r="B1274" s="19">
        <v>40574</v>
      </c>
      <c r="C1274">
        <v>1</v>
      </c>
      <c r="D1274">
        <v>1</v>
      </c>
      <c r="E1274">
        <v>6</v>
      </c>
      <c r="F1274" t="b">
        <v>0</v>
      </c>
      <c r="G1274">
        <v>1</v>
      </c>
      <c r="H1274">
        <v>1</v>
      </c>
      <c r="I1274">
        <v>0.16</v>
      </c>
      <c r="K1274">
        <v>0.13639999999999999</v>
      </c>
      <c r="L1274">
        <v>0.69</v>
      </c>
      <c r="M1274">
        <v>0.32840000000000003</v>
      </c>
      <c r="N1274">
        <v>0</v>
      </c>
      <c r="O1274">
        <v>37</v>
      </c>
      <c r="P1274">
        <v>37</v>
      </c>
      <c r="Q1274" s="17" t="str">
        <f t="shared" si="59"/>
        <v>Weekdays</v>
      </c>
      <c r="R1274" s="17" t="str">
        <f t="shared" si="57"/>
        <v>Morning</v>
      </c>
      <c r="S1274" s="9" t="str">
        <f t="shared" si="58"/>
        <v>Clear</v>
      </c>
    </row>
    <row r="1275" spans="1:19" x14ac:dyDescent="0.25">
      <c r="A1275">
        <v>672</v>
      </c>
      <c r="B1275" s="19">
        <v>40574</v>
      </c>
      <c r="C1275">
        <v>1</v>
      </c>
      <c r="D1275">
        <v>1</v>
      </c>
      <c r="E1275">
        <v>7</v>
      </c>
      <c r="F1275" t="b">
        <v>0</v>
      </c>
      <c r="G1275">
        <v>1</v>
      </c>
      <c r="H1275">
        <v>2</v>
      </c>
      <c r="I1275">
        <v>0.16</v>
      </c>
      <c r="K1275">
        <v>0.13639999999999999</v>
      </c>
      <c r="L1275">
        <v>0.64</v>
      </c>
      <c r="M1275">
        <v>0.28360000000000002</v>
      </c>
      <c r="N1275">
        <v>1</v>
      </c>
      <c r="O1275">
        <v>71</v>
      </c>
      <c r="P1275">
        <v>72</v>
      </c>
      <c r="Q1275" s="17" t="str">
        <f t="shared" si="59"/>
        <v>Weekdays</v>
      </c>
      <c r="R1275" s="17" t="str">
        <f t="shared" si="57"/>
        <v>Morning</v>
      </c>
      <c r="S1275" s="9" t="str">
        <f t="shared" si="58"/>
        <v>Mist</v>
      </c>
    </row>
    <row r="1276" spans="1:19" x14ac:dyDescent="0.25">
      <c r="A1276">
        <v>673</v>
      </c>
      <c r="B1276" s="19">
        <v>40574</v>
      </c>
      <c r="C1276">
        <v>1</v>
      </c>
      <c r="D1276">
        <v>1</v>
      </c>
      <c r="E1276">
        <v>8</v>
      </c>
      <c r="F1276" t="b">
        <v>0</v>
      </c>
      <c r="G1276">
        <v>1</v>
      </c>
      <c r="H1276">
        <v>2</v>
      </c>
      <c r="I1276">
        <v>0.16</v>
      </c>
      <c r="K1276">
        <v>0.13639999999999999</v>
      </c>
      <c r="L1276">
        <v>0.59</v>
      </c>
      <c r="M1276">
        <v>0.28360000000000002</v>
      </c>
      <c r="N1276">
        <v>3</v>
      </c>
      <c r="O1276">
        <v>182</v>
      </c>
      <c r="P1276">
        <v>185</v>
      </c>
      <c r="Q1276" s="17" t="str">
        <f t="shared" si="59"/>
        <v>Weekdays</v>
      </c>
      <c r="R1276" s="17" t="str">
        <f t="shared" si="57"/>
        <v>Morning</v>
      </c>
      <c r="S1276" s="9" t="str">
        <f t="shared" si="58"/>
        <v>Mist</v>
      </c>
    </row>
    <row r="1277" spans="1:19" x14ac:dyDescent="0.25">
      <c r="A1277">
        <v>674</v>
      </c>
      <c r="B1277" s="19">
        <v>40574</v>
      </c>
      <c r="C1277">
        <v>1</v>
      </c>
      <c r="D1277">
        <v>1</v>
      </c>
      <c r="E1277">
        <v>9</v>
      </c>
      <c r="F1277" t="b">
        <v>0</v>
      </c>
      <c r="G1277">
        <v>1</v>
      </c>
      <c r="H1277">
        <v>2</v>
      </c>
      <c r="I1277">
        <v>0.16</v>
      </c>
      <c r="K1277">
        <v>0.13639999999999999</v>
      </c>
      <c r="L1277">
        <v>0.59</v>
      </c>
      <c r="M1277">
        <v>0.29849999999999999</v>
      </c>
      <c r="N1277">
        <v>0</v>
      </c>
      <c r="O1277">
        <v>112</v>
      </c>
      <c r="P1277">
        <v>112</v>
      </c>
      <c r="Q1277" s="17" t="str">
        <f t="shared" si="59"/>
        <v>Weekdays</v>
      </c>
      <c r="R1277" s="17" t="str">
        <f t="shared" si="57"/>
        <v>Morning</v>
      </c>
      <c r="S1277" s="9" t="str">
        <f t="shared" si="58"/>
        <v>Mist</v>
      </c>
    </row>
    <row r="1278" spans="1:19" x14ac:dyDescent="0.25">
      <c r="A1278">
        <v>675</v>
      </c>
      <c r="B1278" s="19">
        <v>40574</v>
      </c>
      <c r="C1278">
        <v>1</v>
      </c>
      <c r="D1278">
        <v>1</v>
      </c>
      <c r="E1278">
        <v>10</v>
      </c>
      <c r="F1278" t="b">
        <v>0</v>
      </c>
      <c r="G1278">
        <v>1</v>
      </c>
      <c r="H1278">
        <v>2</v>
      </c>
      <c r="I1278">
        <v>0.16</v>
      </c>
      <c r="K1278">
        <v>0.1515</v>
      </c>
      <c r="L1278">
        <v>0.59</v>
      </c>
      <c r="M1278">
        <v>0.19400000000000001</v>
      </c>
      <c r="N1278">
        <v>1</v>
      </c>
      <c r="O1278">
        <v>68</v>
      </c>
      <c r="P1278">
        <v>69</v>
      </c>
      <c r="Q1278" s="17" t="str">
        <f t="shared" si="59"/>
        <v>Weekdays</v>
      </c>
      <c r="R1278" s="17" t="str">
        <f t="shared" si="57"/>
        <v>Morning</v>
      </c>
      <c r="S1278" s="9" t="str">
        <f t="shared" si="58"/>
        <v>Mist</v>
      </c>
    </row>
    <row r="1279" spans="1:19" x14ac:dyDescent="0.25">
      <c r="A1279">
        <v>676</v>
      </c>
      <c r="B1279" s="19">
        <v>40574</v>
      </c>
      <c r="C1279">
        <v>1</v>
      </c>
      <c r="D1279">
        <v>1</v>
      </c>
      <c r="E1279">
        <v>11</v>
      </c>
      <c r="F1279" t="b">
        <v>0</v>
      </c>
      <c r="G1279">
        <v>1</v>
      </c>
      <c r="H1279">
        <v>2</v>
      </c>
      <c r="I1279">
        <v>0.16</v>
      </c>
      <c r="K1279">
        <v>0.1515</v>
      </c>
      <c r="L1279">
        <v>0.59</v>
      </c>
      <c r="M1279">
        <v>0.19400000000000001</v>
      </c>
      <c r="N1279">
        <v>2</v>
      </c>
      <c r="O1279">
        <v>46</v>
      </c>
      <c r="P1279">
        <v>48</v>
      </c>
      <c r="Q1279" s="17" t="str">
        <f t="shared" si="59"/>
        <v>Weekdays</v>
      </c>
      <c r="R1279" s="17" t="str">
        <f t="shared" si="57"/>
        <v>Morning</v>
      </c>
      <c r="S1279" s="9" t="str">
        <f t="shared" si="58"/>
        <v>Mist</v>
      </c>
    </row>
    <row r="1280" spans="1:19" x14ac:dyDescent="0.25">
      <c r="A1280">
        <v>677</v>
      </c>
      <c r="B1280" s="19">
        <v>40574</v>
      </c>
      <c r="C1280">
        <v>1</v>
      </c>
      <c r="D1280">
        <v>1</v>
      </c>
      <c r="E1280">
        <v>12</v>
      </c>
      <c r="F1280" t="b">
        <v>0</v>
      </c>
      <c r="G1280">
        <v>1</v>
      </c>
      <c r="H1280">
        <v>2</v>
      </c>
      <c r="I1280">
        <v>0.18</v>
      </c>
      <c r="K1280">
        <v>0.21210000000000001</v>
      </c>
      <c r="L1280">
        <v>0.55000000000000004</v>
      </c>
      <c r="M1280">
        <v>0.1045</v>
      </c>
      <c r="N1280">
        <v>6</v>
      </c>
      <c r="O1280">
        <v>62</v>
      </c>
      <c r="P1280">
        <v>68</v>
      </c>
      <c r="Q1280" s="17" t="str">
        <f t="shared" si="59"/>
        <v>Weekdays</v>
      </c>
      <c r="R1280" s="17" t="str">
        <f t="shared" si="57"/>
        <v>Afternoon</v>
      </c>
      <c r="S1280" s="9" t="str">
        <f t="shared" si="58"/>
        <v>Mist</v>
      </c>
    </row>
    <row r="1281" spans="1:19" x14ac:dyDescent="0.25">
      <c r="A1281">
        <v>678</v>
      </c>
      <c r="B1281" s="19">
        <v>40574</v>
      </c>
      <c r="C1281">
        <v>1</v>
      </c>
      <c r="D1281">
        <v>1</v>
      </c>
      <c r="E1281">
        <v>13</v>
      </c>
      <c r="F1281" t="b">
        <v>0</v>
      </c>
      <c r="G1281">
        <v>1</v>
      </c>
      <c r="H1281">
        <v>2</v>
      </c>
      <c r="I1281">
        <v>0.16</v>
      </c>
      <c r="K1281">
        <v>0.2273</v>
      </c>
      <c r="L1281">
        <v>0.59</v>
      </c>
      <c r="M1281">
        <v>0</v>
      </c>
      <c r="N1281">
        <v>2</v>
      </c>
      <c r="O1281">
        <v>52</v>
      </c>
      <c r="P1281">
        <v>54</v>
      </c>
      <c r="Q1281" s="17" t="str">
        <f t="shared" si="59"/>
        <v>Weekdays</v>
      </c>
      <c r="R1281" s="17" t="str">
        <f t="shared" si="57"/>
        <v>Afternoon</v>
      </c>
      <c r="S1281" s="9" t="str">
        <f t="shared" si="58"/>
        <v>Mist</v>
      </c>
    </row>
    <row r="1282" spans="1:19" x14ac:dyDescent="0.25">
      <c r="A1282">
        <v>679</v>
      </c>
      <c r="B1282" s="19">
        <v>40574</v>
      </c>
      <c r="C1282">
        <v>1</v>
      </c>
      <c r="D1282">
        <v>1</v>
      </c>
      <c r="E1282">
        <v>14</v>
      </c>
      <c r="F1282" t="b">
        <v>0</v>
      </c>
      <c r="G1282">
        <v>1</v>
      </c>
      <c r="H1282">
        <v>2</v>
      </c>
      <c r="I1282">
        <v>0.18</v>
      </c>
      <c r="K1282">
        <v>0.19700000000000001</v>
      </c>
      <c r="L1282">
        <v>0.55000000000000004</v>
      </c>
      <c r="M1282">
        <v>0.1343</v>
      </c>
      <c r="N1282">
        <v>1</v>
      </c>
      <c r="O1282">
        <v>85</v>
      </c>
      <c r="P1282">
        <v>86</v>
      </c>
      <c r="Q1282" s="17" t="str">
        <f t="shared" si="59"/>
        <v>Weekdays</v>
      </c>
      <c r="R1282" s="17" t="str">
        <f t="shared" ref="R1282:R1345" si="60">IF(E1282&lt;12,"Morning",IF(E1282&lt;16,"Afternoon",IF(E1282&lt;21,"Evening","Night")))</f>
        <v>Afternoon</v>
      </c>
      <c r="S1282" s="9" t="str">
        <f t="shared" ref="S1282:S1345" si="61">IF(H1282=1,"Clear",IF(H1282=2,"Mist",IF(H1282=3,"Light Snow/Rain","Heavy Rain/Snow")))</f>
        <v>Mist</v>
      </c>
    </row>
    <row r="1283" spans="1:19" x14ac:dyDescent="0.25">
      <c r="A1283">
        <v>680</v>
      </c>
      <c r="B1283" s="19">
        <v>40574</v>
      </c>
      <c r="C1283">
        <v>1</v>
      </c>
      <c r="D1283">
        <v>1</v>
      </c>
      <c r="E1283">
        <v>15</v>
      </c>
      <c r="F1283" t="b">
        <v>0</v>
      </c>
      <c r="G1283">
        <v>1</v>
      </c>
      <c r="H1283">
        <v>2</v>
      </c>
      <c r="I1283">
        <v>0.16</v>
      </c>
      <c r="K1283">
        <v>0.18179999999999999</v>
      </c>
      <c r="L1283">
        <v>0.59</v>
      </c>
      <c r="M1283">
        <v>0.1343</v>
      </c>
      <c r="N1283">
        <v>3</v>
      </c>
      <c r="O1283">
        <v>41</v>
      </c>
      <c r="P1283">
        <v>44</v>
      </c>
      <c r="Q1283" s="17" t="str">
        <f t="shared" ref="Q1283:Q1346" si="62">IF(G1283&gt;=5,"Weekends","Weekdays")</f>
        <v>Weekdays</v>
      </c>
      <c r="R1283" s="17" t="str">
        <f t="shared" si="60"/>
        <v>Afternoon</v>
      </c>
      <c r="S1283" s="9" t="str">
        <f t="shared" si="61"/>
        <v>Mist</v>
      </c>
    </row>
    <row r="1284" spans="1:19" x14ac:dyDescent="0.25">
      <c r="A1284">
        <v>681</v>
      </c>
      <c r="B1284" s="19">
        <v>40574</v>
      </c>
      <c r="C1284">
        <v>1</v>
      </c>
      <c r="D1284">
        <v>1</v>
      </c>
      <c r="E1284">
        <v>16</v>
      </c>
      <c r="F1284" t="b">
        <v>0</v>
      </c>
      <c r="G1284">
        <v>1</v>
      </c>
      <c r="H1284">
        <v>2</v>
      </c>
      <c r="I1284">
        <v>0.16</v>
      </c>
      <c r="K1284">
        <v>0.18179999999999999</v>
      </c>
      <c r="L1284">
        <v>0.56000000000000005</v>
      </c>
      <c r="M1284">
        <v>0.19400000000000001</v>
      </c>
      <c r="N1284">
        <v>3</v>
      </c>
      <c r="O1284">
        <v>83</v>
      </c>
      <c r="P1284">
        <v>86</v>
      </c>
      <c r="Q1284" s="17" t="str">
        <f t="shared" si="62"/>
        <v>Weekdays</v>
      </c>
      <c r="R1284" s="17" t="str">
        <f t="shared" si="60"/>
        <v>Evening</v>
      </c>
      <c r="S1284" s="9" t="str">
        <f t="shared" si="61"/>
        <v>Mist</v>
      </c>
    </row>
    <row r="1285" spans="1:19" x14ac:dyDescent="0.25">
      <c r="A1285">
        <v>682</v>
      </c>
      <c r="B1285" s="19">
        <v>40574</v>
      </c>
      <c r="C1285">
        <v>1</v>
      </c>
      <c r="D1285">
        <v>1</v>
      </c>
      <c r="E1285">
        <v>17</v>
      </c>
      <c r="F1285" t="b">
        <v>0</v>
      </c>
      <c r="G1285">
        <v>1</v>
      </c>
      <c r="H1285">
        <v>2</v>
      </c>
      <c r="I1285">
        <v>0.16</v>
      </c>
      <c r="K1285">
        <v>0.1515</v>
      </c>
      <c r="L1285">
        <v>0.59</v>
      </c>
      <c r="M1285">
        <v>0.19400000000000001</v>
      </c>
      <c r="N1285">
        <v>6</v>
      </c>
      <c r="O1285">
        <v>155</v>
      </c>
      <c r="P1285">
        <v>161</v>
      </c>
      <c r="Q1285" s="17" t="str">
        <f t="shared" si="62"/>
        <v>Weekdays</v>
      </c>
      <c r="R1285" s="17" t="str">
        <f t="shared" si="60"/>
        <v>Evening</v>
      </c>
      <c r="S1285" s="9" t="str">
        <f t="shared" si="61"/>
        <v>Mist</v>
      </c>
    </row>
    <row r="1286" spans="1:19" x14ac:dyDescent="0.25">
      <c r="A1286">
        <v>683</v>
      </c>
      <c r="B1286" s="19">
        <v>40574</v>
      </c>
      <c r="C1286">
        <v>1</v>
      </c>
      <c r="D1286">
        <v>1</v>
      </c>
      <c r="E1286">
        <v>18</v>
      </c>
      <c r="F1286" t="b">
        <v>0</v>
      </c>
      <c r="G1286">
        <v>1</v>
      </c>
      <c r="H1286">
        <v>2</v>
      </c>
      <c r="I1286">
        <v>0.16</v>
      </c>
      <c r="K1286">
        <v>0.1515</v>
      </c>
      <c r="L1286">
        <v>0.55000000000000004</v>
      </c>
      <c r="M1286">
        <v>0.22389999999999999</v>
      </c>
      <c r="N1286">
        <v>3</v>
      </c>
      <c r="O1286">
        <v>153</v>
      </c>
      <c r="P1286">
        <v>156</v>
      </c>
      <c r="Q1286" s="17" t="str">
        <f t="shared" si="62"/>
        <v>Weekdays</v>
      </c>
      <c r="R1286" s="17" t="str">
        <f t="shared" si="60"/>
        <v>Evening</v>
      </c>
      <c r="S1286" s="9" t="str">
        <f t="shared" si="61"/>
        <v>Mist</v>
      </c>
    </row>
    <row r="1287" spans="1:19" x14ac:dyDescent="0.25">
      <c r="A1287">
        <v>684</v>
      </c>
      <c r="B1287" s="19">
        <v>40574</v>
      </c>
      <c r="C1287">
        <v>1</v>
      </c>
      <c r="D1287">
        <v>1</v>
      </c>
      <c r="E1287">
        <v>19</v>
      </c>
      <c r="F1287" t="b">
        <v>0</v>
      </c>
      <c r="G1287">
        <v>1</v>
      </c>
      <c r="H1287">
        <v>1</v>
      </c>
      <c r="I1287">
        <v>0.3</v>
      </c>
      <c r="K1287">
        <v>0.31819999999999998</v>
      </c>
      <c r="L1287">
        <v>0.61</v>
      </c>
      <c r="M1287">
        <v>0.1045</v>
      </c>
      <c r="N1287">
        <v>3</v>
      </c>
      <c r="O1287">
        <v>108</v>
      </c>
      <c r="P1287">
        <v>111</v>
      </c>
      <c r="Q1287" s="17" t="str">
        <f t="shared" si="62"/>
        <v>Weekdays</v>
      </c>
      <c r="R1287" s="17" t="str">
        <f t="shared" si="60"/>
        <v>Evening</v>
      </c>
      <c r="S1287" s="9" t="str">
        <f t="shared" si="61"/>
        <v>Clear</v>
      </c>
    </row>
    <row r="1288" spans="1:19" x14ac:dyDescent="0.25">
      <c r="A1288">
        <v>685</v>
      </c>
      <c r="B1288" s="19">
        <v>40574</v>
      </c>
      <c r="C1288">
        <v>1</v>
      </c>
      <c r="D1288">
        <v>1</v>
      </c>
      <c r="E1288">
        <v>20</v>
      </c>
      <c r="F1288" t="b">
        <v>0</v>
      </c>
      <c r="G1288">
        <v>1</v>
      </c>
      <c r="H1288">
        <v>3</v>
      </c>
      <c r="I1288">
        <v>0.16</v>
      </c>
      <c r="K1288">
        <v>0.16669999999999999</v>
      </c>
      <c r="L1288">
        <v>0.59</v>
      </c>
      <c r="M1288">
        <v>0.16420000000000001</v>
      </c>
      <c r="N1288">
        <v>0</v>
      </c>
      <c r="O1288">
        <v>78</v>
      </c>
      <c r="P1288">
        <v>78</v>
      </c>
      <c r="Q1288" s="17" t="str">
        <f t="shared" si="62"/>
        <v>Weekdays</v>
      </c>
      <c r="R1288" s="17" t="str">
        <f t="shared" si="60"/>
        <v>Evening</v>
      </c>
      <c r="S1288" s="9" t="str">
        <f t="shared" si="61"/>
        <v>Light Snow/Rain</v>
      </c>
    </row>
    <row r="1289" spans="1:19" x14ac:dyDescent="0.25">
      <c r="A1289">
        <v>686</v>
      </c>
      <c r="B1289" s="19">
        <v>40574</v>
      </c>
      <c r="C1289">
        <v>1</v>
      </c>
      <c r="D1289">
        <v>1</v>
      </c>
      <c r="E1289">
        <v>21</v>
      </c>
      <c r="F1289" t="b">
        <v>0</v>
      </c>
      <c r="G1289">
        <v>1</v>
      </c>
      <c r="H1289">
        <v>3</v>
      </c>
      <c r="I1289">
        <v>0.16</v>
      </c>
      <c r="K1289">
        <v>0.19700000000000001</v>
      </c>
      <c r="L1289">
        <v>0.59</v>
      </c>
      <c r="M1289">
        <v>8.9599999999999999E-2</v>
      </c>
      <c r="N1289">
        <v>3</v>
      </c>
      <c r="O1289">
        <v>53</v>
      </c>
      <c r="P1289">
        <v>56</v>
      </c>
      <c r="Q1289" s="17" t="str">
        <f t="shared" si="62"/>
        <v>Weekdays</v>
      </c>
      <c r="R1289" s="17" t="str">
        <f t="shared" si="60"/>
        <v>Night</v>
      </c>
      <c r="S1289" s="9" t="str">
        <f t="shared" si="61"/>
        <v>Light Snow/Rain</v>
      </c>
    </row>
    <row r="1290" spans="1:19" x14ac:dyDescent="0.25">
      <c r="A1290">
        <v>687</v>
      </c>
      <c r="B1290" s="19">
        <v>40574</v>
      </c>
      <c r="C1290">
        <v>1</v>
      </c>
      <c r="D1290">
        <v>1</v>
      </c>
      <c r="E1290">
        <v>22</v>
      </c>
      <c r="F1290" t="b">
        <v>0</v>
      </c>
      <c r="G1290">
        <v>1</v>
      </c>
      <c r="H1290">
        <v>2</v>
      </c>
      <c r="I1290">
        <v>0.16</v>
      </c>
      <c r="K1290">
        <v>0.18179999999999999</v>
      </c>
      <c r="L1290">
        <v>0.59</v>
      </c>
      <c r="M1290">
        <v>0.1045</v>
      </c>
      <c r="N1290">
        <v>0</v>
      </c>
      <c r="O1290">
        <v>34</v>
      </c>
      <c r="P1290">
        <v>34</v>
      </c>
      <c r="Q1290" s="17" t="str">
        <f t="shared" si="62"/>
        <v>Weekdays</v>
      </c>
      <c r="R1290" s="17" t="str">
        <f t="shared" si="60"/>
        <v>Night</v>
      </c>
      <c r="S1290" s="9" t="str">
        <f t="shared" si="61"/>
        <v>Mist</v>
      </c>
    </row>
    <row r="1291" spans="1:19" x14ac:dyDescent="0.25">
      <c r="A1291">
        <v>688</v>
      </c>
      <c r="B1291" s="19">
        <v>40574</v>
      </c>
      <c r="C1291">
        <v>1</v>
      </c>
      <c r="D1291">
        <v>1</v>
      </c>
      <c r="E1291">
        <v>23</v>
      </c>
      <c r="F1291" t="b">
        <v>0</v>
      </c>
      <c r="G1291">
        <v>1</v>
      </c>
      <c r="H1291">
        <v>2</v>
      </c>
      <c r="I1291">
        <v>0.16</v>
      </c>
      <c r="K1291">
        <v>0.19700000000000001</v>
      </c>
      <c r="L1291">
        <v>0.64</v>
      </c>
      <c r="M1291">
        <v>8.9599999999999999E-2</v>
      </c>
      <c r="N1291">
        <v>2</v>
      </c>
      <c r="O1291">
        <v>15</v>
      </c>
      <c r="P1291">
        <v>17</v>
      </c>
      <c r="Q1291" s="17" t="str">
        <f t="shared" si="62"/>
        <v>Weekdays</v>
      </c>
      <c r="R1291" s="17" t="str">
        <f t="shared" si="60"/>
        <v>Night</v>
      </c>
      <c r="S1291" s="9" t="str">
        <f t="shared" si="61"/>
        <v>Mist</v>
      </c>
    </row>
    <row r="1292" spans="1:19" x14ac:dyDescent="0.25">
      <c r="A1292">
        <v>689</v>
      </c>
      <c r="B1292" s="19">
        <v>40575</v>
      </c>
      <c r="C1292">
        <v>1</v>
      </c>
      <c r="D1292">
        <v>2</v>
      </c>
      <c r="E1292">
        <v>0</v>
      </c>
      <c r="F1292" t="b">
        <v>0</v>
      </c>
      <c r="G1292">
        <v>2</v>
      </c>
      <c r="H1292">
        <v>2</v>
      </c>
      <c r="I1292">
        <v>0.16</v>
      </c>
      <c r="K1292">
        <v>0.18179999999999999</v>
      </c>
      <c r="L1292">
        <v>0.64</v>
      </c>
      <c r="M1292">
        <v>0.1045</v>
      </c>
      <c r="N1292">
        <v>2</v>
      </c>
      <c r="O1292">
        <v>6</v>
      </c>
      <c r="P1292">
        <v>8</v>
      </c>
      <c r="Q1292" s="17" t="str">
        <f t="shared" si="62"/>
        <v>Weekdays</v>
      </c>
      <c r="R1292" s="17" t="str">
        <f t="shared" si="60"/>
        <v>Morning</v>
      </c>
      <c r="S1292" s="9" t="str">
        <f t="shared" si="61"/>
        <v>Mist</v>
      </c>
    </row>
    <row r="1293" spans="1:19" x14ac:dyDescent="0.25">
      <c r="A1293">
        <v>690</v>
      </c>
      <c r="B1293" s="19">
        <v>40575</v>
      </c>
      <c r="C1293">
        <v>1</v>
      </c>
      <c r="D1293">
        <v>2</v>
      </c>
      <c r="E1293">
        <v>1</v>
      </c>
      <c r="F1293" t="b">
        <v>0</v>
      </c>
      <c r="G1293">
        <v>2</v>
      </c>
      <c r="H1293">
        <v>2</v>
      </c>
      <c r="I1293">
        <v>0.16</v>
      </c>
      <c r="K1293">
        <v>0.18179999999999999</v>
      </c>
      <c r="L1293">
        <v>0.69</v>
      </c>
      <c r="M1293">
        <v>0.1045</v>
      </c>
      <c r="N1293">
        <v>0</v>
      </c>
      <c r="O1293">
        <v>3</v>
      </c>
      <c r="P1293">
        <v>3</v>
      </c>
      <c r="Q1293" s="17" t="str">
        <f t="shared" si="62"/>
        <v>Weekdays</v>
      </c>
      <c r="R1293" s="17" t="str">
        <f t="shared" si="60"/>
        <v>Morning</v>
      </c>
      <c r="S1293" s="9" t="str">
        <f t="shared" si="61"/>
        <v>Mist</v>
      </c>
    </row>
    <row r="1294" spans="1:19" x14ac:dyDescent="0.25">
      <c r="A1294">
        <v>691</v>
      </c>
      <c r="B1294" s="19">
        <v>40575</v>
      </c>
      <c r="C1294">
        <v>1</v>
      </c>
      <c r="D1294">
        <v>2</v>
      </c>
      <c r="E1294">
        <v>2</v>
      </c>
      <c r="F1294" t="b">
        <v>0</v>
      </c>
      <c r="G1294">
        <v>2</v>
      </c>
      <c r="H1294">
        <v>2</v>
      </c>
      <c r="I1294">
        <v>0.16</v>
      </c>
      <c r="K1294">
        <v>0.2273</v>
      </c>
      <c r="L1294">
        <v>0.69</v>
      </c>
      <c r="M1294">
        <v>0</v>
      </c>
      <c r="N1294">
        <v>0</v>
      </c>
      <c r="O1294">
        <v>2</v>
      </c>
      <c r="P1294">
        <v>2</v>
      </c>
      <c r="Q1294" s="17" t="str">
        <f t="shared" si="62"/>
        <v>Weekdays</v>
      </c>
      <c r="R1294" s="17" t="str">
        <f t="shared" si="60"/>
        <v>Morning</v>
      </c>
      <c r="S1294" s="9" t="str">
        <f t="shared" si="61"/>
        <v>Mist</v>
      </c>
    </row>
    <row r="1295" spans="1:19" x14ac:dyDescent="0.25">
      <c r="A1295">
        <v>692</v>
      </c>
      <c r="B1295" s="19">
        <v>40575</v>
      </c>
      <c r="C1295">
        <v>1</v>
      </c>
      <c r="D1295">
        <v>2</v>
      </c>
      <c r="E1295">
        <v>3</v>
      </c>
      <c r="F1295" t="b">
        <v>0</v>
      </c>
      <c r="G1295">
        <v>2</v>
      </c>
      <c r="H1295">
        <v>2</v>
      </c>
      <c r="I1295">
        <v>0.16</v>
      </c>
      <c r="K1295">
        <v>0.2273</v>
      </c>
      <c r="L1295">
        <v>0.69</v>
      </c>
      <c r="M1295">
        <v>0</v>
      </c>
      <c r="N1295">
        <v>0</v>
      </c>
      <c r="O1295">
        <v>2</v>
      </c>
      <c r="P1295">
        <v>2</v>
      </c>
      <c r="Q1295" s="17" t="str">
        <f t="shared" si="62"/>
        <v>Weekdays</v>
      </c>
      <c r="R1295" s="17" t="str">
        <f t="shared" si="60"/>
        <v>Morning</v>
      </c>
      <c r="S1295" s="9" t="str">
        <f t="shared" si="61"/>
        <v>Mist</v>
      </c>
    </row>
    <row r="1296" spans="1:19" x14ac:dyDescent="0.25">
      <c r="A1296">
        <v>693</v>
      </c>
      <c r="B1296" s="19">
        <v>40575</v>
      </c>
      <c r="C1296">
        <v>1</v>
      </c>
      <c r="D1296">
        <v>2</v>
      </c>
      <c r="E1296">
        <v>5</v>
      </c>
      <c r="F1296" t="b">
        <v>0</v>
      </c>
      <c r="G1296">
        <v>2</v>
      </c>
      <c r="H1296">
        <v>3</v>
      </c>
      <c r="I1296">
        <v>0.14000000000000001</v>
      </c>
      <c r="K1296">
        <v>0.21210000000000001</v>
      </c>
      <c r="L1296">
        <v>0.93</v>
      </c>
      <c r="M1296">
        <v>0</v>
      </c>
      <c r="N1296">
        <v>0</v>
      </c>
      <c r="O1296">
        <v>3</v>
      </c>
      <c r="P1296">
        <v>3</v>
      </c>
      <c r="Q1296" s="17" t="str">
        <f t="shared" si="62"/>
        <v>Weekdays</v>
      </c>
      <c r="R1296" s="17" t="str">
        <f t="shared" si="60"/>
        <v>Morning</v>
      </c>
      <c r="S1296" s="9" t="str">
        <f t="shared" si="61"/>
        <v>Light Snow/Rain</v>
      </c>
    </row>
    <row r="1297" spans="1:19" x14ac:dyDescent="0.25">
      <c r="A1297">
        <v>694</v>
      </c>
      <c r="B1297" s="19">
        <v>40575</v>
      </c>
      <c r="C1297">
        <v>1</v>
      </c>
      <c r="D1297">
        <v>2</v>
      </c>
      <c r="E1297">
        <v>6</v>
      </c>
      <c r="F1297" t="b">
        <v>0</v>
      </c>
      <c r="G1297">
        <v>2</v>
      </c>
      <c r="H1297">
        <v>3</v>
      </c>
      <c r="I1297">
        <v>0.14000000000000001</v>
      </c>
      <c r="K1297">
        <v>0.21210000000000001</v>
      </c>
      <c r="L1297">
        <v>0.93</v>
      </c>
      <c r="M1297">
        <v>0</v>
      </c>
      <c r="N1297">
        <v>0</v>
      </c>
      <c r="O1297">
        <v>22</v>
      </c>
      <c r="P1297">
        <v>22</v>
      </c>
      <c r="Q1297" s="17" t="str">
        <f t="shared" si="62"/>
        <v>Weekdays</v>
      </c>
      <c r="R1297" s="17" t="str">
        <f t="shared" si="60"/>
        <v>Morning</v>
      </c>
      <c r="S1297" s="9" t="str">
        <f t="shared" si="61"/>
        <v>Light Snow/Rain</v>
      </c>
    </row>
    <row r="1298" spans="1:19" x14ac:dyDescent="0.25">
      <c r="A1298">
        <v>695</v>
      </c>
      <c r="B1298" s="19">
        <v>40575</v>
      </c>
      <c r="C1298">
        <v>1</v>
      </c>
      <c r="D1298">
        <v>2</v>
      </c>
      <c r="E1298">
        <v>7</v>
      </c>
      <c r="F1298" t="b">
        <v>0</v>
      </c>
      <c r="G1298">
        <v>2</v>
      </c>
      <c r="H1298">
        <v>3</v>
      </c>
      <c r="I1298">
        <v>0.16</v>
      </c>
      <c r="K1298">
        <v>0.2273</v>
      </c>
      <c r="L1298">
        <v>0.93</v>
      </c>
      <c r="M1298">
        <v>0</v>
      </c>
      <c r="N1298">
        <v>0</v>
      </c>
      <c r="O1298">
        <v>52</v>
      </c>
      <c r="P1298">
        <v>52</v>
      </c>
      <c r="Q1298" s="17" t="str">
        <f t="shared" si="62"/>
        <v>Weekdays</v>
      </c>
      <c r="R1298" s="17" t="str">
        <f t="shared" si="60"/>
        <v>Morning</v>
      </c>
      <c r="S1298" s="9" t="str">
        <f t="shared" si="61"/>
        <v>Light Snow/Rain</v>
      </c>
    </row>
    <row r="1299" spans="1:19" x14ac:dyDescent="0.25">
      <c r="A1299">
        <v>696</v>
      </c>
      <c r="B1299" s="19">
        <v>40575</v>
      </c>
      <c r="C1299">
        <v>1</v>
      </c>
      <c r="D1299">
        <v>2</v>
      </c>
      <c r="E1299">
        <v>8</v>
      </c>
      <c r="F1299" t="b">
        <v>0</v>
      </c>
      <c r="G1299">
        <v>2</v>
      </c>
      <c r="H1299">
        <v>3</v>
      </c>
      <c r="I1299">
        <v>0.16</v>
      </c>
      <c r="K1299">
        <v>0.2273</v>
      </c>
      <c r="L1299">
        <v>0.93</v>
      </c>
      <c r="M1299">
        <v>0</v>
      </c>
      <c r="N1299">
        <v>3</v>
      </c>
      <c r="O1299">
        <v>132</v>
      </c>
      <c r="P1299">
        <v>135</v>
      </c>
      <c r="Q1299" s="17" t="str">
        <f t="shared" si="62"/>
        <v>Weekdays</v>
      </c>
      <c r="R1299" s="17" t="str">
        <f t="shared" si="60"/>
        <v>Morning</v>
      </c>
      <c r="S1299" s="9" t="str">
        <f t="shared" si="61"/>
        <v>Light Snow/Rain</v>
      </c>
    </row>
    <row r="1300" spans="1:19" x14ac:dyDescent="0.25">
      <c r="A1300">
        <v>697</v>
      </c>
      <c r="B1300" s="19">
        <v>40575</v>
      </c>
      <c r="C1300">
        <v>1</v>
      </c>
      <c r="D1300">
        <v>2</v>
      </c>
      <c r="E1300">
        <v>9</v>
      </c>
      <c r="F1300" t="b">
        <v>0</v>
      </c>
      <c r="G1300">
        <v>2</v>
      </c>
      <c r="H1300">
        <v>2</v>
      </c>
      <c r="I1300">
        <v>0.16</v>
      </c>
      <c r="K1300">
        <v>0.2273</v>
      </c>
      <c r="L1300">
        <v>0.93</v>
      </c>
      <c r="M1300">
        <v>0</v>
      </c>
      <c r="N1300">
        <v>2</v>
      </c>
      <c r="O1300">
        <v>114</v>
      </c>
      <c r="P1300">
        <v>116</v>
      </c>
      <c r="Q1300" s="17" t="str">
        <f t="shared" si="62"/>
        <v>Weekdays</v>
      </c>
      <c r="R1300" s="17" t="str">
        <f t="shared" si="60"/>
        <v>Morning</v>
      </c>
      <c r="S1300" s="9" t="str">
        <f t="shared" si="61"/>
        <v>Mist</v>
      </c>
    </row>
    <row r="1301" spans="1:19" x14ac:dyDescent="0.25">
      <c r="A1301">
        <v>698</v>
      </c>
      <c r="B1301" s="19">
        <v>40575</v>
      </c>
      <c r="C1301">
        <v>1</v>
      </c>
      <c r="D1301">
        <v>2</v>
      </c>
      <c r="E1301">
        <v>10</v>
      </c>
      <c r="F1301" t="b">
        <v>0</v>
      </c>
      <c r="G1301">
        <v>2</v>
      </c>
      <c r="H1301">
        <v>2</v>
      </c>
      <c r="I1301">
        <v>0.16</v>
      </c>
      <c r="K1301">
        <v>0.2273</v>
      </c>
      <c r="L1301">
        <v>0.93</v>
      </c>
      <c r="M1301">
        <v>0</v>
      </c>
      <c r="N1301">
        <v>0</v>
      </c>
      <c r="O1301">
        <v>47</v>
      </c>
      <c r="P1301">
        <v>47</v>
      </c>
      <c r="Q1301" s="17" t="str">
        <f t="shared" si="62"/>
        <v>Weekdays</v>
      </c>
      <c r="R1301" s="17" t="str">
        <f t="shared" si="60"/>
        <v>Morning</v>
      </c>
      <c r="S1301" s="9" t="str">
        <f t="shared" si="61"/>
        <v>Mist</v>
      </c>
    </row>
    <row r="1302" spans="1:19" x14ac:dyDescent="0.25">
      <c r="A1302">
        <v>699</v>
      </c>
      <c r="B1302" s="19">
        <v>40575</v>
      </c>
      <c r="C1302">
        <v>1</v>
      </c>
      <c r="D1302">
        <v>2</v>
      </c>
      <c r="E1302">
        <v>11</v>
      </c>
      <c r="F1302" t="b">
        <v>0</v>
      </c>
      <c r="G1302">
        <v>2</v>
      </c>
      <c r="H1302">
        <v>2</v>
      </c>
      <c r="I1302">
        <v>0.18</v>
      </c>
      <c r="K1302">
        <v>0.2424</v>
      </c>
      <c r="L1302">
        <v>0.86</v>
      </c>
      <c r="M1302">
        <v>0</v>
      </c>
      <c r="N1302">
        <v>2</v>
      </c>
      <c r="O1302">
        <v>49</v>
      </c>
      <c r="P1302">
        <v>51</v>
      </c>
      <c r="Q1302" s="17" t="str">
        <f t="shared" si="62"/>
        <v>Weekdays</v>
      </c>
      <c r="R1302" s="17" t="str">
        <f t="shared" si="60"/>
        <v>Morning</v>
      </c>
      <c r="S1302" s="9" t="str">
        <f t="shared" si="61"/>
        <v>Mist</v>
      </c>
    </row>
    <row r="1303" spans="1:19" x14ac:dyDescent="0.25">
      <c r="A1303">
        <v>700</v>
      </c>
      <c r="B1303" s="19">
        <v>40575</v>
      </c>
      <c r="C1303">
        <v>1</v>
      </c>
      <c r="D1303">
        <v>2</v>
      </c>
      <c r="E1303">
        <v>12</v>
      </c>
      <c r="F1303" t="b">
        <v>0</v>
      </c>
      <c r="G1303">
        <v>2</v>
      </c>
      <c r="H1303">
        <v>2</v>
      </c>
      <c r="I1303">
        <v>0.2</v>
      </c>
      <c r="K1303">
        <v>0.2576</v>
      </c>
      <c r="L1303">
        <v>0.86</v>
      </c>
      <c r="M1303">
        <v>0</v>
      </c>
      <c r="N1303">
        <v>2</v>
      </c>
      <c r="O1303">
        <v>53</v>
      </c>
      <c r="P1303">
        <v>55</v>
      </c>
      <c r="Q1303" s="17" t="str">
        <f t="shared" si="62"/>
        <v>Weekdays</v>
      </c>
      <c r="R1303" s="17" t="str">
        <f t="shared" si="60"/>
        <v>Afternoon</v>
      </c>
      <c r="S1303" s="9" t="str">
        <f t="shared" si="61"/>
        <v>Mist</v>
      </c>
    </row>
    <row r="1304" spans="1:19" x14ac:dyDescent="0.25">
      <c r="A1304">
        <v>701</v>
      </c>
      <c r="B1304" s="19">
        <v>40575</v>
      </c>
      <c r="C1304">
        <v>1</v>
      </c>
      <c r="D1304">
        <v>2</v>
      </c>
      <c r="E1304">
        <v>13</v>
      </c>
      <c r="F1304" t="b">
        <v>0</v>
      </c>
      <c r="G1304">
        <v>2</v>
      </c>
      <c r="H1304">
        <v>2</v>
      </c>
      <c r="I1304">
        <v>0.2</v>
      </c>
      <c r="K1304">
        <v>0.2576</v>
      </c>
      <c r="L1304">
        <v>0.86</v>
      </c>
      <c r="M1304">
        <v>0</v>
      </c>
      <c r="N1304">
        <v>3</v>
      </c>
      <c r="O1304">
        <v>49</v>
      </c>
      <c r="P1304">
        <v>52</v>
      </c>
      <c r="Q1304" s="17" t="str">
        <f t="shared" si="62"/>
        <v>Weekdays</v>
      </c>
      <c r="R1304" s="17" t="str">
        <f t="shared" si="60"/>
        <v>Afternoon</v>
      </c>
      <c r="S1304" s="9" t="str">
        <f t="shared" si="61"/>
        <v>Mist</v>
      </c>
    </row>
    <row r="1305" spans="1:19" x14ac:dyDescent="0.25">
      <c r="A1305">
        <v>702</v>
      </c>
      <c r="B1305" s="19">
        <v>40575</v>
      </c>
      <c r="C1305">
        <v>1</v>
      </c>
      <c r="D1305">
        <v>2</v>
      </c>
      <c r="E1305">
        <v>14</v>
      </c>
      <c r="F1305" t="b">
        <v>0</v>
      </c>
      <c r="G1305">
        <v>2</v>
      </c>
      <c r="H1305">
        <v>2</v>
      </c>
      <c r="I1305">
        <v>0.22</v>
      </c>
      <c r="K1305">
        <v>0.2576</v>
      </c>
      <c r="L1305">
        <v>0.8</v>
      </c>
      <c r="M1305">
        <v>8.9599999999999999E-2</v>
      </c>
      <c r="N1305">
        <v>5</v>
      </c>
      <c r="O1305">
        <v>49</v>
      </c>
      <c r="P1305">
        <v>54</v>
      </c>
      <c r="Q1305" s="17" t="str">
        <f t="shared" si="62"/>
        <v>Weekdays</v>
      </c>
      <c r="R1305" s="17" t="str">
        <f t="shared" si="60"/>
        <v>Afternoon</v>
      </c>
      <c r="S1305" s="9" t="str">
        <f t="shared" si="61"/>
        <v>Mist</v>
      </c>
    </row>
    <row r="1306" spans="1:19" x14ac:dyDescent="0.25">
      <c r="A1306">
        <v>703</v>
      </c>
      <c r="B1306" s="19">
        <v>40575</v>
      </c>
      <c r="C1306">
        <v>1</v>
      </c>
      <c r="D1306">
        <v>2</v>
      </c>
      <c r="E1306">
        <v>15</v>
      </c>
      <c r="F1306" t="b">
        <v>0</v>
      </c>
      <c r="G1306">
        <v>2</v>
      </c>
      <c r="H1306">
        <v>2</v>
      </c>
      <c r="I1306">
        <v>0.24</v>
      </c>
      <c r="K1306">
        <v>0.28789999999999999</v>
      </c>
      <c r="L1306">
        <v>0.75</v>
      </c>
      <c r="M1306">
        <v>0</v>
      </c>
      <c r="N1306">
        <v>7</v>
      </c>
      <c r="O1306">
        <v>45</v>
      </c>
      <c r="P1306">
        <v>52</v>
      </c>
      <c r="Q1306" s="17" t="str">
        <f t="shared" si="62"/>
        <v>Weekdays</v>
      </c>
      <c r="R1306" s="17" t="str">
        <f t="shared" si="60"/>
        <v>Afternoon</v>
      </c>
      <c r="S1306" s="9" t="str">
        <f t="shared" si="61"/>
        <v>Mist</v>
      </c>
    </row>
    <row r="1307" spans="1:19" x14ac:dyDescent="0.25">
      <c r="A1307">
        <v>704</v>
      </c>
      <c r="B1307" s="19">
        <v>40575</v>
      </c>
      <c r="C1307">
        <v>1</v>
      </c>
      <c r="D1307">
        <v>2</v>
      </c>
      <c r="E1307">
        <v>16</v>
      </c>
      <c r="F1307" t="b">
        <v>0</v>
      </c>
      <c r="G1307">
        <v>2</v>
      </c>
      <c r="H1307">
        <v>2</v>
      </c>
      <c r="I1307">
        <v>0.24</v>
      </c>
      <c r="K1307">
        <v>0.2424</v>
      </c>
      <c r="L1307">
        <v>0.75</v>
      </c>
      <c r="M1307">
        <v>0.1343</v>
      </c>
      <c r="N1307">
        <v>3</v>
      </c>
      <c r="O1307">
        <v>61</v>
      </c>
      <c r="P1307">
        <v>64</v>
      </c>
      <c r="Q1307" s="17" t="str">
        <f t="shared" si="62"/>
        <v>Weekdays</v>
      </c>
      <c r="R1307" s="17" t="str">
        <f t="shared" si="60"/>
        <v>Evening</v>
      </c>
      <c r="S1307" s="9" t="str">
        <f t="shared" si="61"/>
        <v>Mist</v>
      </c>
    </row>
    <row r="1308" spans="1:19" x14ac:dyDescent="0.25">
      <c r="A1308">
        <v>705</v>
      </c>
      <c r="B1308" s="19">
        <v>40575</v>
      </c>
      <c r="C1308">
        <v>1</v>
      </c>
      <c r="D1308">
        <v>2</v>
      </c>
      <c r="E1308">
        <v>17</v>
      </c>
      <c r="F1308" t="b">
        <v>0</v>
      </c>
      <c r="G1308">
        <v>2</v>
      </c>
      <c r="H1308">
        <v>2</v>
      </c>
      <c r="I1308">
        <v>0.24</v>
      </c>
      <c r="K1308">
        <v>0.28789999999999999</v>
      </c>
      <c r="L1308">
        <v>0.75</v>
      </c>
      <c r="M1308">
        <v>0</v>
      </c>
      <c r="N1308">
        <v>4</v>
      </c>
      <c r="O1308">
        <v>172</v>
      </c>
      <c r="P1308">
        <v>176</v>
      </c>
      <c r="Q1308" s="17" t="str">
        <f t="shared" si="62"/>
        <v>Weekdays</v>
      </c>
      <c r="R1308" s="17" t="str">
        <f t="shared" si="60"/>
        <v>Evening</v>
      </c>
      <c r="S1308" s="9" t="str">
        <f t="shared" si="61"/>
        <v>Mist</v>
      </c>
    </row>
    <row r="1309" spans="1:19" x14ac:dyDescent="0.25">
      <c r="A1309">
        <v>706</v>
      </c>
      <c r="B1309" s="19">
        <v>40575</v>
      </c>
      <c r="C1309">
        <v>1</v>
      </c>
      <c r="D1309">
        <v>2</v>
      </c>
      <c r="E1309">
        <v>18</v>
      </c>
      <c r="F1309" t="b">
        <v>0</v>
      </c>
      <c r="G1309">
        <v>2</v>
      </c>
      <c r="H1309">
        <v>2</v>
      </c>
      <c r="I1309">
        <v>0.24</v>
      </c>
      <c r="K1309">
        <v>0.2576</v>
      </c>
      <c r="L1309">
        <v>0.81</v>
      </c>
      <c r="M1309">
        <v>0.1045</v>
      </c>
      <c r="N1309">
        <v>3</v>
      </c>
      <c r="O1309">
        <v>165</v>
      </c>
      <c r="P1309">
        <v>168</v>
      </c>
      <c r="Q1309" s="17" t="str">
        <f t="shared" si="62"/>
        <v>Weekdays</v>
      </c>
      <c r="R1309" s="17" t="str">
        <f t="shared" si="60"/>
        <v>Evening</v>
      </c>
      <c r="S1309" s="9" t="str">
        <f t="shared" si="61"/>
        <v>Mist</v>
      </c>
    </row>
    <row r="1310" spans="1:19" x14ac:dyDescent="0.25">
      <c r="A1310">
        <v>707</v>
      </c>
      <c r="B1310" s="19">
        <v>40575</v>
      </c>
      <c r="C1310">
        <v>1</v>
      </c>
      <c r="D1310">
        <v>2</v>
      </c>
      <c r="E1310">
        <v>19</v>
      </c>
      <c r="F1310" t="b">
        <v>0</v>
      </c>
      <c r="G1310">
        <v>2</v>
      </c>
      <c r="H1310">
        <v>2</v>
      </c>
      <c r="I1310">
        <v>0.24</v>
      </c>
      <c r="K1310">
        <v>0.2424</v>
      </c>
      <c r="L1310">
        <v>0.81</v>
      </c>
      <c r="M1310">
        <v>0.1343</v>
      </c>
      <c r="N1310">
        <v>3</v>
      </c>
      <c r="O1310">
        <v>105</v>
      </c>
      <c r="P1310">
        <v>108</v>
      </c>
      <c r="Q1310" s="17" t="str">
        <f t="shared" si="62"/>
        <v>Weekdays</v>
      </c>
      <c r="R1310" s="17" t="str">
        <f t="shared" si="60"/>
        <v>Evening</v>
      </c>
      <c r="S1310" s="9" t="str">
        <f t="shared" si="61"/>
        <v>Mist</v>
      </c>
    </row>
    <row r="1311" spans="1:19" x14ac:dyDescent="0.25">
      <c r="A1311">
        <v>708</v>
      </c>
      <c r="B1311" s="19">
        <v>40575</v>
      </c>
      <c r="C1311">
        <v>1</v>
      </c>
      <c r="D1311">
        <v>2</v>
      </c>
      <c r="E1311">
        <v>20</v>
      </c>
      <c r="F1311" t="b">
        <v>0</v>
      </c>
      <c r="G1311">
        <v>2</v>
      </c>
      <c r="H1311">
        <v>2</v>
      </c>
      <c r="I1311">
        <v>0.22</v>
      </c>
      <c r="K1311">
        <v>0.2273</v>
      </c>
      <c r="L1311">
        <v>0.87</v>
      </c>
      <c r="M1311">
        <v>0.1343</v>
      </c>
      <c r="N1311">
        <v>5</v>
      </c>
      <c r="O1311">
        <v>69</v>
      </c>
      <c r="P1311">
        <v>74</v>
      </c>
      <c r="Q1311" s="17" t="str">
        <f t="shared" si="62"/>
        <v>Weekdays</v>
      </c>
      <c r="R1311" s="17" t="str">
        <f t="shared" si="60"/>
        <v>Evening</v>
      </c>
      <c r="S1311" s="9" t="str">
        <f t="shared" si="61"/>
        <v>Mist</v>
      </c>
    </row>
    <row r="1312" spans="1:19" x14ac:dyDescent="0.25">
      <c r="A1312">
        <v>709</v>
      </c>
      <c r="B1312" s="19">
        <v>40575</v>
      </c>
      <c r="C1312">
        <v>1</v>
      </c>
      <c r="D1312">
        <v>2</v>
      </c>
      <c r="E1312">
        <v>21</v>
      </c>
      <c r="F1312" t="b">
        <v>0</v>
      </c>
      <c r="G1312">
        <v>2</v>
      </c>
      <c r="H1312">
        <v>2</v>
      </c>
      <c r="I1312">
        <v>0.22</v>
      </c>
      <c r="K1312">
        <v>0.2273</v>
      </c>
      <c r="L1312">
        <v>0.87</v>
      </c>
      <c r="M1312">
        <v>0.1343</v>
      </c>
      <c r="N1312">
        <v>0</v>
      </c>
      <c r="O1312">
        <v>64</v>
      </c>
      <c r="P1312">
        <v>64</v>
      </c>
      <c r="Q1312" s="17" t="str">
        <f t="shared" si="62"/>
        <v>Weekdays</v>
      </c>
      <c r="R1312" s="17" t="str">
        <f t="shared" si="60"/>
        <v>Night</v>
      </c>
      <c r="S1312" s="9" t="str">
        <f t="shared" si="61"/>
        <v>Mist</v>
      </c>
    </row>
    <row r="1313" spans="1:19" x14ac:dyDescent="0.25">
      <c r="A1313">
        <v>710</v>
      </c>
      <c r="B1313" s="19">
        <v>40575</v>
      </c>
      <c r="C1313">
        <v>1</v>
      </c>
      <c r="D1313">
        <v>2</v>
      </c>
      <c r="E1313">
        <v>22</v>
      </c>
      <c r="F1313" t="b">
        <v>0</v>
      </c>
      <c r="G1313">
        <v>2</v>
      </c>
      <c r="H1313">
        <v>2</v>
      </c>
      <c r="I1313">
        <v>0.22</v>
      </c>
      <c r="K1313">
        <v>0.2576</v>
      </c>
      <c r="L1313">
        <v>0.87</v>
      </c>
      <c r="M1313">
        <v>8.9599999999999999E-2</v>
      </c>
      <c r="N1313">
        <v>2</v>
      </c>
      <c r="O1313">
        <v>34</v>
      </c>
      <c r="P1313">
        <v>36</v>
      </c>
      <c r="Q1313" s="17" t="str">
        <f t="shared" si="62"/>
        <v>Weekdays</v>
      </c>
      <c r="R1313" s="17" t="str">
        <f t="shared" si="60"/>
        <v>Night</v>
      </c>
      <c r="S1313" s="9" t="str">
        <f t="shared" si="61"/>
        <v>Mist</v>
      </c>
    </row>
    <row r="1314" spans="1:19" x14ac:dyDescent="0.25">
      <c r="A1314">
        <v>711</v>
      </c>
      <c r="B1314" s="19">
        <v>40575</v>
      </c>
      <c r="C1314">
        <v>1</v>
      </c>
      <c r="D1314">
        <v>2</v>
      </c>
      <c r="E1314">
        <v>23</v>
      </c>
      <c r="F1314" t="b">
        <v>0</v>
      </c>
      <c r="G1314">
        <v>2</v>
      </c>
      <c r="H1314">
        <v>3</v>
      </c>
      <c r="I1314">
        <v>0.2</v>
      </c>
      <c r="K1314">
        <v>0.19700000000000001</v>
      </c>
      <c r="L1314">
        <v>0.93</v>
      </c>
      <c r="M1314">
        <v>0.19400000000000001</v>
      </c>
      <c r="N1314">
        <v>1</v>
      </c>
      <c r="O1314">
        <v>15</v>
      </c>
      <c r="P1314">
        <v>16</v>
      </c>
      <c r="Q1314" s="17" t="str">
        <f t="shared" si="62"/>
        <v>Weekdays</v>
      </c>
      <c r="R1314" s="17" t="str">
        <f t="shared" si="60"/>
        <v>Night</v>
      </c>
      <c r="S1314" s="9" t="str">
        <f t="shared" si="61"/>
        <v>Light Snow/Rain</v>
      </c>
    </row>
    <row r="1315" spans="1:19" x14ac:dyDescent="0.25">
      <c r="A1315">
        <v>712</v>
      </c>
      <c r="B1315" s="19">
        <v>40576</v>
      </c>
      <c r="C1315">
        <v>1</v>
      </c>
      <c r="D1315">
        <v>2</v>
      </c>
      <c r="E1315">
        <v>0</v>
      </c>
      <c r="F1315" t="b">
        <v>0</v>
      </c>
      <c r="G1315">
        <v>3</v>
      </c>
      <c r="H1315">
        <v>3</v>
      </c>
      <c r="I1315">
        <v>0.22</v>
      </c>
      <c r="K1315">
        <v>0.2424</v>
      </c>
      <c r="L1315">
        <v>0.93</v>
      </c>
      <c r="M1315">
        <v>0.1045</v>
      </c>
      <c r="N1315">
        <v>0</v>
      </c>
      <c r="O1315">
        <v>2</v>
      </c>
      <c r="P1315">
        <v>2</v>
      </c>
      <c r="Q1315" s="17" t="str">
        <f t="shared" si="62"/>
        <v>Weekdays</v>
      </c>
      <c r="R1315" s="17" t="str">
        <f t="shared" si="60"/>
        <v>Morning</v>
      </c>
      <c r="S1315" s="9" t="str">
        <f t="shared" si="61"/>
        <v>Light Snow/Rain</v>
      </c>
    </row>
    <row r="1316" spans="1:19" x14ac:dyDescent="0.25">
      <c r="A1316">
        <v>713</v>
      </c>
      <c r="B1316" s="19">
        <v>40576</v>
      </c>
      <c r="C1316">
        <v>1</v>
      </c>
      <c r="D1316">
        <v>2</v>
      </c>
      <c r="E1316">
        <v>1</v>
      </c>
      <c r="F1316" t="b">
        <v>0</v>
      </c>
      <c r="G1316">
        <v>3</v>
      </c>
      <c r="H1316">
        <v>3</v>
      </c>
      <c r="I1316">
        <v>0.22</v>
      </c>
      <c r="K1316">
        <v>0.2273</v>
      </c>
      <c r="L1316">
        <v>0.93</v>
      </c>
      <c r="M1316">
        <v>0.19400000000000001</v>
      </c>
      <c r="N1316">
        <v>0</v>
      </c>
      <c r="O1316">
        <v>3</v>
      </c>
      <c r="P1316">
        <v>3</v>
      </c>
      <c r="Q1316" s="17" t="str">
        <f t="shared" si="62"/>
        <v>Weekdays</v>
      </c>
      <c r="R1316" s="17" t="str">
        <f t="shared" si="60"/>
        <v>Morning</v>
      </c>
      <c r="S1316" s="9" t="str">
        <f t="shared" si="61"/>
        <v>Light Snow/Rain</v>
      </c>
    </row>
    <row r="1317" spans="1:19" x14ac:dyDescent="0.25">
      <c r="A1317">
        <v>714</v>
      </c>
      <c r="B1317" s="19">
        <v>40576</v>
      </c>
      <c r="C1317">
        <v>1</v>
      </c>
      <c r="D1317">
        <v>2</v>
      </c>
      <c r="E1317">
        <v>2</v>
      </c>
      <c r="F1317" t="b">
        <v>0</v>
      </c>
      <c r="G1317">
        <v>3</v>
      </c>
      <c r="H1317">
        <v>3</v>
      </c>
      <c r="I1317">
        <v>0.22</v>
      </c>
      <c r="K1317">
        <v>0.2273</v>
      </c>
      <c r="L1317">
        <v>0.93</v>
      </c>
      <c r="M1317">
        <v>0.1343</v>
      </c>
      <c r="N1317">
        <v>4</v>
      </c>
      <c r="O1317">
        <v>0</v>
      </c>
      <c r="P1317">
        <v>4</v>
      </c>
      <c r="Q1317" s="17" t="str">
        <f t="shared" si="62"/>
        <v>Weekdays</v>
      </c>
      <c r="R1317" s="17" t="str">
        <f t="shared" si="60"/>
        <v>Morning</v>
      </c>
      <c r="S1317" s="9" t="str">
        <f t="shared" si="61"/>
        <v>Light Snow/Rain</v>
      </c>
    </row>
    <row r="1318" spans="1:19" x14ac:dyDescent="0.25">
      <c r="A1318">
        <v>715</v>
      </c>
      <c r="B1318" s="19">
        <v>40576</v>
      </c>
      <c r="C1318">
        <v>1</v>
      </c>
      <c r="D1318">
        <v>2</v>
      </c>
      <c r="E1318">
        <v>3</v>
      </c>
      <c r="F1318" t="b">
        <v>0</v>
      </c>
      <c r="G1318">
        <v>3</v>
      </c>
      <c r="H1318">
        <v>3</v>
      </c>
      <c r="I1318">
        <v>0.22</v>
      </c>
      <c r="K1318">
        <v>0.2273</v>
      </c>
      <c r="L1318">
        <v>0.93</v>
      </c>
      <c r="M1318">
        <v>0.1343</v>
      </c>
      <c r="N1318">
        <v>0</v>
      </c>
      <c r="O1318">
        <v>1</v>
      </c>
      <c r="P1318">
        <v>1</v>
      </c>
      <c r="Q1318" s="17" t="str">
        <f t="shared" si="62"/>
        <v>Weekdays</v>
      </c>
      <c r="R1318" s="17" t="str">
        <f t="shared" si="60"/>
        <v>Morning</v>
      </c>
      <c r="S1318" s="9" t="str">
        <f t="shared" si="61"/>
        <v>Light Snow/Rain</v>
      </c>
    </row>
    <row r="1319" spans="1:19" x14ac:dyDescent="0.25">
      <c r="A1319">
        <v>716</v>
      </c>
      <c r="B1319" s="19">
        <v>40576</v>
      </c>
      <c r="C1319">
        <v>1</v>
      </c>
      <c r="D1319">
        <v>2</v>
      </c>
      <c r="E1319">
        <v>4</v>
      </c>
      <c r="F1319" t="b">
        <v>0</v>
      </c>
      <c r="G1319">
        <v>3</v>
      </c>
      <c r="H1319">
        <v>3</v>
      </c>
      <c r="I1319">
        <v>0.22</v>
      </c>
      <c r="K1319">
        <v>0.21210000000000001</v>
      </c>
      <c r="L1319">
        <v>0.93</v>
      </c>
      <c r="M1319">
        <v>0.28360000000000002</v>
      </c>
      <c r="N1319">
        <v>0</v>
      </c>
      <c r="O1319">
        <v>1</v>
      </c>
      <c r="P1319">
        <v>1</v>
      </c>
      <c r="Q1319" s="17" t="str">
        <f t="shared" si="62"/>
        <v>Weekdays</v>
      </c>
      <c r="R1319" s="17" t="str">
        <f t="shared" si="60"/>
        <v>Morning</v>
      </c>
      <c r="S1319" s="9" t="str">
        <f t="shared" si="61"/>
        <v>Light Snow/Rain</v>
      </c>
    </row>
    <row r="1320" spans="1:19" x14ac:dyDescent="0.25">
      <c r="A1320">
        <v>717</v>
      </c>
      <c r="B1320" s="19">
        <v>40576</v>
      </c>
      <c r="C1320">
        <v>1</v>
      </c>
      <c r="D1320">
        <v>2</v>
      </c>
      <c r="E1320">
        <v>5</v>
      </c>
      <c r="F1320" t="b">
        <v>0</v>
      </c>
      <c r="G1320">
        <v>3</v>
      </c>
      <c r="H1320">
        <v>3</v>
      </c>
      <c r="I1320">
        <v>0.22</v>
      </c>
      <c r="K1320">
        <v>0.2424</v>
      </c>
      <c r="L1320">
        <v>0.93</v>
      </c>
      <c r="M1320">
        <v>0.1045</v>
      </c>
      <c r="N1320">
        <v>0</v>
      </c>
      <c r="O1320">
        <v>3</v>
      </c>
      <c r="P1320">
        <v>3</v>
      </c>
      <c r="Q1320" s="17" t="str">
        <f t="shared" si="62"/>
        <v>Weekdays</v>
      </c>
      <c r="R1320" s="17" t="str">
        <f t="shared" si="60"/>
        <v>Morning</v>
      </c>
      <c r="S1320" s="9" t="str">
        <f t="shared" si="61"/>
        <v>Light Snow/Rain</v>
      </c>
    </row>
    <row r="1321" spans="1:19" x14ac:dyDescent="0.25">
      <c r="A1321">
        <v>718</v>
      </c>
      <c r="B1321" s="19">
        <v>40576</v>
      </c>
      <c r="C1321">
        <v>1</v>
      </c>
      <c r="D1321">
        <v>2</v>
      </c>
      <c r="E1321">
        <v>6</v>
      </c>
      <c r="F1321" t="b">
        <v>0</v>
      </c>
      <c r="G1321">
        <v>3</v>
      </c>
      <c r="H1321">
        <v>3</v>
      </c>
      <c r="I1321">
        <v>0.22</v>
      </c>
      <c r="K1321">
        <v>0.2424</v>
      </c>
      <c r="L1321">
        <v>0.93</v>
      </c>
      <c r="M1321">
        <v>0.1045</v>
      </c>
      <c r="N1321">
        <v>1</v>
      </c>
      <c r="O1321">
        <v>17</v>
      </c>
      <c r="P1321">
        <v>18</v>
      </c>
      <c r="Q1321" s="17" t="str">
        <f t="shared" si="62"/>
        <v>Weekdays</v>
      </c>
      <c r="R1321" s="17" t="str">
        <f t="shared" si="60"/>
        <v>Morning</v>
      </c>
      <c r="S1321" s="9" t="str">
        <f t="shared" si="61"/>
        <v>Light Snow/Rain</v>
      </c>
    </row>
    <row r="1322" spans="1:19" x14ac:dyDescent="0.25">
      <c r="A1322">
        <v>719</v>
      </c>
      <c r="B1322" s="19">
        <v>40576</v>
      </c>
      <c r="C1322">
        <v>1</v>
      </c>
      <c r="D1322">
        <v>2</v>
      </c>
      <c r="E1322">
        <v>7</v>
      </c>
      <c r="F1322" t="b">
        <v>0</v>
      </c>
      <c r="G1322">
        <v>3</v>
      </c>
      <c r="H1322">
        <v>3</v>
      </c>
      <c r="I1322">
        <v>0.22</v>
      </c>
      <c r="K1322">
        <v>0.21210000000000001</v>
      </c>
      <c r="L1322">
        <v>0.93</v>
      </c>
      <c r="M1322">
        <v>0.22389999999999999</v>
      </c>
      <c r="N1322">
        <v>1</v>
      </c>
      <c r="O1322">
        <v>48</v>
      </c>
      <c r="P1322">
        <v>49</v>
      </c>
      <c r="Q1322" s="17" t="str">
        <f t="shared" si="62"/>
        <v>Weekdays</v>
      </c>
      <c r="R1322" s="17" t="str">
        <f t="shared" si="60"/>
        <v>Morning</v>
      </c>
      <c r="S1322" s="9" t="str">
        <f t="shared" si="61"/>
        <v>Light Snow/Rain</v>
      </c>
    </row>
    <row r="1323" spans="1:19" x14ac:dyDescent="0.25">
      <c r="A1323">
        <v>720</v>
      </c>
      <c r="B1323" s="19">
        <v>40576</v>
      </c>
      <c r="C1323">
        <v>1</v>
      </c>
      <c r="D1323">
        <v>2</v>
      </c>
      <c r="E1323">
        <v>8</v>
      </c>
      <c r="F1323" t="b">
        <v>0</v>
      </c>
      <c r="G1323">
        <v>3</v>
      </c>
      <c r="H1323">
        <v>3</v>
      </c>
      <c r="I1323">
        <v>0.22</v>
      </c>
      <c r="K1323">
        <v>0.21210000000000001</v>
      </c>
      <c r="L1323">
        <v>0.93</v>
      </c>
      <c r="M1323">
        <v>0.22389999999999999</v>
      </c>
      <c r="N1323">
        <v>1</v>
      </c>
      <c r="O1323">
        <v>154</v>
      </c>
      <c r="P1323">
        <v>155</v>
      </c>
      <c r="Q1323" s="17" t="str">
        <f t="shared" si="62"/>
        <v>Weekdays</v>
      </c>
      <c r="R1323" s="17" t="str">
        <f t="shared" si="60"/>
        <v>Morning</v>
      </c>
      <c r="S1323" s="9" t="str">
        <f t="shared" si="61"/>
        <v>Light Snow/Rain</v>
      </c>
    </row>
    <row r="1324" spans="1:19" x14ac:dyDescent="0.25">
      <c r="A1324">
        <v>721</v>
      </c>
      <c r="B1324" s="19">
        <v>40576</v>
      </c>
      <c r="C1324">
        <v>1</v>
      </c>
      <c r="D1324">
        <v>2</v>
      </c>
      <c r="E1324">
        <v>9</v>
      </c>
      <c r="F1324" t="b">
        <v>0</v>
      </c>
      <c r="G1324">
        <v>3</v>
      </c>
      <c r="H1324">
        <v>2</v>
      </c>
      <c r="I1324">
        <v>0.24</v>
      </c>
      <c r="K1324">
        <v>0.2576</v>
      </c>
      <c r="L1324">
        <v>0.93</v>
      </c>
      <c r="M1324">
        <v>8.9599999999999999E-2</v>
      </c>
      <c r="N1324">
        <v>4</v>
      </c>
      <c r="O1324">
        <v>119</v>
      </c>
      <c r="P1324">
        <v>123</v>
      </c>
      <c r="Q1324" s="17" t="str">
        <f t="shared" si="62"/>
        <v>Weekdays</v>
      </c>
      <c r="R1324" s="17" t="str">
        <f t="shared" si="60"/>
        <v>Morning</v>
      </c>
      <c r="S1324" s="9" t="str">
        <f t="shared" si="61"/>
        <v>Mist</v>
      </c>
    </row>
    <row r="1325" spans="1:19" x14ac:dyDescent="0.25">
      <c r="A1325">
        <v>722</v>
      </c>
      <c r="B1325" s="19">
        <v>40576</v>
      </c>
      <c r="C1325">
        <v>1</v>
      </c>
      <c r="D1325">
        <v>2</v>
      </c>
      <c r="E1325">
        <v>10</v>
      </c>
      <c r="F1325" t="b">
        <v>0</v>
      </c>
      <c r="G1325">
        <v>3</v>
      </c>
      <c r="H1325">
        <v>2</v>
      </c>
      <c r="I1325">
        <v>0.22</v>
      </c>
      <c r="K1325">
        <v>0.2727</v>
      </c>
      <c r="L1325">
        <v>1</v>
      </c>
      <c r="M1325">
        <v>0</v>
      </c>
      <c r="N1325">
        <v>2</v>
      </c>
      <c r="O1325">
        <v>59</v>
      </c>
      <c r="P1325">
        <v>61</v>
      </c>
      <c r="Q1325" s="17" t="str">
        <f t="shared" si="62"/>
        <v>Weekdays</v>
      </c>
      <c r="R1325" s="17" t="str">
        <f t="shared" si="60"/>
        <v>Morning</v>
      </c>
      <c r="S1325" s="9" t="str">
        <f t="shared" si="61"/>
        <v>Mist</v>
      </c>
    </row>
    <row r="1326" spans="1:19" x14ac:dyDescent="0.25">
      <c r="A1326">
        <v>723</v>
      </c>
      <c r="B1326" s="19">
        <v>40576</v>
      </c>
      <c r="C1326">
        <v>1</v>
      </c>
      <c r="D1326">
        <v>2</v>
      </c>
      <c r="E1326">
        <v>11</v>
      </c>
      <c r="F1326" t="b">
        <v>0</v>
      </c>
      <c r="G1326">
        <v>3</v>
      </c>
      <c r="H1326">
        <v>2</v>
      </c>
      <c r="I1326">
        <v>0.24</v>
      </c>
      <c r="K1326">
        <v>0.2273</v>
      </c>
      <c r="L1326">
        <v>0.93</v>
      </c>
      <c r="M1326">
        <v>0.19400000000000001</v>
      </c>
      <c r="N1326">
        <v>5</v>
      </c>
      <c r="O1326">
        <v>47</v>
      </c>
      <c r="P1326">
        <v>52</v>
      </c>
      <c r="Q1326" s="17" t="str">
        <f t="shared" si="62"/>
        <v>Weekdays</v>
      </c>
      <c r="R1326" s="17" t="str">
        <f t="shared" si="60"/>
        <v>Morning</v>
      </c>
      <c r="S1326" s="9" t="str">
        <f t="shared" si="61"/>
        <v>Mist</v>
      </c>
    </row>
    <row r="1327" spans="1:19" x14ac:dyDescent="0.25">
      <c r="A1327">
        <v>724</v>
      </c>
      <c r="B1327" s="19">
        <v>40576</v>
      </c>
      <c r="C1327">
        <v>1</v>
      </c>
      <c r="D1327">
        <v>2</v>
      </c>
      <c r="E1327">
        <v>12</v>
      </c>
      <c r="F1327" t="b">
        <v>0</v>
      </c>
      <c r="G1327">
        <v>3</v>
      </c>
      <c r="H1327">
        <v>2</v>
      </c>
      <c r="I1327">
        <v>0.24</v>
      </c>
      <c r="K1327">
        <v>0.2273</v>
      </c>
      <c r="L1327">
        <v>0.93</v>
      </c>
      <c r="M1327">
        <v>0.22389999999999999</v>
      </c>
      <c r="N1327">
        <v>3</v>
      </c>
      <c r="O1327">
        <v>61</v>
      </c>
      <c r="P1327">
        <v>64</v>
      </c>
      <c r="Q1327" s="17" t="str">
        <f t="shared" si="62"/>
        <v>Weekdays</v>
      </c>
      <c r="R1327" s="17" t="str">
        <f t="shared" si="60"/>
        <v>Afternoon</v>
      </c>
      <c r="S1327" s="9" t="str">
        <f t="shared" si="61"/>
        <v>Mist</v>
      </c>
    </row>
    <row r="1328" spans="1:19" x14ac:dyDescent="0.25">
      <c r="A1328">
        <v>725</v>
      </c>
      <c r="B1328" s="19">
        <v>40576</v>
      </c>
      <c r="C1328">
        <v>1</v>
      </c>
      <c r="D1328">
        <v>2</v>
      </c>
      <c r="E1328">
        <v>13</v>
      </c>
      <c r="F1328" t="b">
        <v>0</v>
      </c>
      <c r="G1328">
        <v>3</v>
      </c>
      <c r="H1328">
        <v>1</v>
      </c>
      <c r="I1328">
        <v>0.34</v>
      </c>
      <c r="K1328">
        <v>0.33329999999999999</v>
      </c>
      <c r="L1328">
        <v>0.93</v>
      </c>
      <c r="M1328">
        <v>0.16420000000000001</v>
      </c>
      <c r="N1328">
        <v>1</v>
      </c>
      <c r="O1328">
        <v>74</v>
      </c>
      <c r="P1328">
        <v>75</v>
      </c>
      <c r="Q1328" s="17" t="str">
        <f t="shared" si="62"/>
        <v>Weekdays</v>
      </c>
      <c r="R1328" s="17" t="str">
        <f t="shared" si="60"/>
        <v>Afternoon</v>
      </c>
      <c r="S1328" s="9" t="str">
        <f t="shared" si="61"/>
        <v>Clear</v>
      </c>
    </row>
    <row r="1329" spans="1:19" x14ac:dyDescent="0.25">
      <c r="A1329">
        <v>726</v>
      </c>
      <c r="B1329" s="19">
        <v>40576</v>
      </c>
      <c r="C1329">
        <v>1</v>
      </c>
      <c r="D1329">
        <v>2</v>
      </c>
      <c r="E1329">
        <v>14</v>
      </c>
      <c r="F1329" t="b">
        <v>0</v>
      </c>
      <c r="G1329">
        <v>3</v>
      </c>
      <c r="H1329">
        <v>1</v>
      </c>
      <c r="I1329">
        <v>0.38</v>
      </c>
      <c r="K1329">
        <v>0.39389999999999997</v>
      </c>
      <c r="L1329">
        <v>0.82</v>
      </c>
      <c r="M1329">
        <v>0.3881</v>
      </c>
      <c r="N1329">
        <v>2</v>
      </c>
      <c r="O1329">
        <v>61</v>
      </c>
      <c r="P1329">
        <v>63</v>
      </c>
      <c r="Q1329" s="17" t="str">
        <f t="shared" si="62"/>
        <v>Weekdays</v>
      </c>
      <c r="R1329" s="17" t="str">
        <f t="shared" si="60"/>
        <v>Afternoon</v>
      </c>
      <c r="S1329" s="9" t="str">
        <f t="shared" si="61"/>
        <v>Clear</v>
      </c>
    </row>
    <row r="1330" spans="1:19" x14ac:dyDescent="0.25">
      <c r="A1330">
        <v>727</v>
      </c>
      <c r="B1330" s="19">
        <v>40576</v>
      </c>
      <c r="C1330">
        <v>1</v>
      </c>
      <c r="D1330">
        <v>2</v>
      </c>
      <c r="E1330">
        <v>15</v>
      </c>
      <c r="F1330" t="b">
        <v>0</v>
      </c>
      <c r="G1330">
        <v>3</v>
      </c>
      <c r="H1330">
        <v>1</v>
      </c>
      <c r="I1330">
        <v>0.38</v>
      </c>
      <c r="K1330">
        <v>0.39389999999999997</v>
      </c>
      <c r="L1330">
        <v>0.76</v>
      </c>
      <c r="M1330">
        <v>0.32840000000000003</v>
      </c>
      <c r="N1330">
        <v>10</v>
      </c>
      <c r="O1330">
        <v>66</v>
      </c>
      <c r="P1330">
        <v>76</v>
      </c>
      <c r="Q1330" s="17" t="str">
        <f t="shared" si="62"/>
        <v>Weekdays</v>
      </c>
      <c r="R1330" s="17" t="str">
        <f t="shared" si="60"/>
        <v>Afternoon</v>
      </c>
      <c r="S1330" s="9" t="str">
        <f t="shared" si="61"/>
        <v>Clear</v>
      </c>
    </row>
    <row r="1331" spans="1:19" x14ac:dyDescent="0.25">
      <c r="A1331">
        <v>728</v>
      </c>
      <c r="B1331" s="19">
        <v>40576</v>
      </c>
      <c r="C1331">
        <v>1</v>
      </c>
      <c r="D1331">
        <v>2</v>
      </c>
      <c r="E1331">
        <v>16</v>
      </c>
      <c r="F1331" t="b">
        <v>0</v>
      </c>
      <c r="G1331">
        <v>3</v>
      </c>
      <c r="H1331">
        <v>1</v>
      </c>
      <c r="I1331">
        <v>0.36</v>
      </c>
      <c r="K1331">
        <v>0.33329999999999999</v>
      </c>
      <c r="L1331">
        <v>0.71</v>
      </c>
      <c r="M1331">
        <v>0.29849999999999999</v>
      </c>
      <c r="N1331">
        <v>8</v>
      </c>
      <c r="O1331">
        <v>95</v>
      </c>
      <c r="P1331">
        <v>103</v>
      </c>
      <c r="Q1331" s="17" t="str">
        <f t="shared" si="62"/>
        <v>Weekdays</v>
      </c>
      <c r="R1331" s="17" t="str">
        <f t="shared" si="60"/>
        <v>Evening</v>
      </c>
      <c r="S1331" s="9" t="str">
        <f t="shared" si="61"/>
        <v>Clear</v>
      </c>
    </row>
    <row r="1332" spans="1:19" x14ac:dyDescent="0.25">
      <c r="A1332">
        <v>729</v>
      </c>
      <c r="B1332" s="19">
        <v>40576</v>
      </c>
      <c r="C1332">
        <v>1</v>
      </c>
      <c r="D1332">
        <v>2</v>
      </c>
      <c r="E1332">
        <v>17</v>
      </c>
      <c r="F1332" t="b">
        <v>0</v>
      </c>
      <c r="G1332">
        <v>3</v>
      </c>
      <c r="H1332">
        <v>1</v>
      </c>
      <c r="I1332">
        <v>0.36</v>
      </c>
      <c r="K1332">
        <v>0.31819999999999998</v>
      </c>
      <c r="L1332">
        <v>0.53</v>
      </c>
      <c r="M1332">
        <v>0.52239999999999998</v>
      </c>
      <c r="N1332">
        <v>7</v>
      </c>
      <c r="O1332">
        <v>183</v>
      </c>
      <c r="P1332">
        <v>190</v>
      </c>
      <c r="Q1332" s="17" t="str">
        <f t="shared" si="62"/>
        <v>Weekdays</v>
      </c>
      <c r="R1332" s="17" t="str">
        <f t="shared" si="60"/>
        <v>Evening</v>
      </c>
      <c r="S1332" s="9" t="str">
        <f t="shared" si="61"/>
        <v>Clear</v>
      </c>
    </row>
    <row r="1333" spans="1:19" x14ac:dyDescent="0.25">
      <c r="A1333">
        <v>730</v>
      </c>
      <c r="B1333" s="19">
        <v>40576</v>
      </c>
      <c r="C1333">
        <v>1</v>
      </c>
      <c r="D1333">
        <v>2</v>
      </c>
      <c r="E1333">
        <v>18</v>
      </c>
      <c r="F1333" t="b">
        <v>0</v>
      </c>
      <c r="G1333">
        <v>3</v>
      </c>
      <c r="H1333">
        <v>1</v>
      </c>
      <c r="I1333">
        <v>0.34</v>
      </c>
      <c r="K1333">
        <v>0.28789999999999999</v>
      </c>
      <c r="L1333">
        <v>0.42</v>
      </c>
      <c r="M1333">
        <v>0.55220000000000002</v>
      </c>
      <c r="N1333">
        <v>7</v>
      </c>
      <c r="O1333">
        <v>175</v>
      </c>
      <c r="P1333">
        <v>182</v>
      </c>
      <c r="Q1333" s="17" t="str">
        <f t="shared" si="62"/>
        <v>Weekdays</v>
      </c>
      <c r="R1333" s="17" t="str">
        <f t="shared" si="60"/>
        <v>Evening</v>
      </c>
      <c r="S1333" s="9" t="str">
        <f t="shared" si="61"/>
        <v>Clear</v>
      </c>
    </row>
    <row r="1334" spans="1:19" x14ac:dyDescent="0.25">
      <c r="A1334">
        <v>731</v>
      </c>
      <c r="B1334" s="19">
        <v>40576</v>
      </c>
      <c r="C1334">
        <v>1</v>
      </c>
      <c r="D1334">
        <v>2</v>
      </c>
      <c r="E1334">
        <v>19</v>
      </c>
      <c r="F1334" t="b">
        <v>0</v>
      </c>
      <c r="G1334">
        <v>3</v>
      </c>
      <c r="H1334">
        <v>1</v>
      </c>
      <c r="I1334">
        <v>0.28000000000000003</v>
      </c>
      <c r="K1334">
        <v>0.2424</v>
      </c>
      <c r="L1334">
        <v>0.45</v>
      </c>
      <c r="M1334">
        <v>0.49249999999999999</v>
      </c>
      <c r="N1334">
        <v>3</v>
      </c>
      <c r="O1334">
        <v>88</v>
      </c>
      <c r="P1334">
        <v>91</v>
      </c>
      <c r="Q1334" s="17" t="str">
        <f t="shared" si="62"/>
        <v>Weekdays</v>
      </c>
      <c r="R1334" s="17" t="str">
        <f t="shared" si="60"/>
        <v>Evening</v>
      </c>
      <c r="S1334" s="9" t="str">
        <f t="shared" si="61"/>
        <v>Clear</v>
      </c>
    </row>
    <row r="1335" spans="1:19" x14ac:dyDescent="0.25">
      <c r="A1335">
        <v>732</v>
      </c>
      <c r="B1335" s="19">
        <v>40576</v>
      </c>
      <c r="C1335">
        <v>1</v>
      </c>
      <c r="D1335">
        <v>2</v>
      </c>
      <c r="E1335">
        <v>20</v>
      </c>
      <c r="F1335" t="b">
        <v>0</v>
      </c>
      <c r="G1335">
        <v>3</v>
      </c>
      <c r="H1335">
        <v>1</v>
      </c>
      <c r="I1335">
        <v>0.24</v>
      </c>
      <c r="K1335">
        <v>0.19700000000000001</v>
      </c>
      <c r="L1335">
        <v>0.48</v>
      </c>
      <c r="M1335">
        <v>0.55220000000000002</v>
      </c>
      <c r="N1335">
        <v>4</v>
      </c>
      <c r="O1335">
        <v>71</v>
      </c>
      <c r="P1335">
        <v>75</v>
      </c>
      <c r="Q1335" s="17" t="str">
        <f t="shared" si="62"/>
        <v>Weekdays</v>
      </c>
      <c r="R1335" s="17" t="str">
        <f t="shared" si="60"/>
        <v>Evening</v>
      </c>
      <c r="S1335" s="9" t="str">
        <f t="shared" si="61"/>
        <v>Clear</v>
      </c>
    </row>
    <row r="1336" spans="1:19" x14ac:dyDescent="0.25">
      <c r="A1336">
        <v>733</v>
      </c>
      <c r="B1336" s="19">
        <v>40576</v>
      </c>
      <c r="C1336">
        <v>1</v>
      </c>
      <c r="D1336">
        <v>2</v>
      </c>
      <c r="E1336">
        <v>21</v>
      </c>
      <c r="F1336" t="b">
        <v>0</v>
      </c>
      <c r="G1336">
        <v>3</v>
      </c>
      <c r="H1336">
        <v>1</v>
      </c>
      <c r="I1336">
        <v>0.22</v>
      </c>
      <c r="K1336">
        <v>0.19700000000000001</v>
      </c>
      <c r="L1336">
        <v>0.47</v>
      </c>
      <c r="M1336">
        <v>0.32840000000000003</v>
      </c>
      <c r="N1336">
        <v>1</v>
      </c>
      <c r="O1336">
        <v>62</v>
      </c>
      <c r="P1336">
        <v>63</v>
      </c>
      <c r="Q1336" s="17" t="str">
        <f t="shared" si="62"/>
        <v>Weekdays</v>
      </c>
      <c r="R1336" s="17" t="str">
        <f t="shared" si="60"/>
        <v>Night</v>
      </c>
      <c r="S1336" s="9" t="str">
        <f t="shared" si="61"/>
        <v>Clear</v>
      </c>
    </row>
    <row r="1337" spans="1:19" x14ac:dyDescent="0.25">
      <c r="A1337">
        <v>734</v>
      </c>
      <c r="B1337" s="19">
        <v>40576</v>
      </c>
      <c r="C1337">
        <v>1</v>
      </c>
      <c r="D1337">
        <v>2</v>
      </c>
      <c r="E1337">
        <v>22</v>
      </c>
      <c r="F1337" t="b">
        <v>0</v>
      </c>
      <c r="G1337">
        <v>3</v>
      </c>
      <c r="H1337">
        <v>1</v>
      </c>
      <c r="I1337">
        <v>0.22</v>
      </c>
      <c r="K1337">
        <v>0.21210000000000001</v>
      </c>
      <c r="L1337">
        <v>0.44</v>
      </c>
      <c r="M1337">
        <v>0.25369999999999998</v>
      </c>
      <c r="N1337">
        <v>5</v>
      </c>
      <c r="O1337">
        <v>35</v>
      </c>
      <c r="P1337">
        <v>40</v>
      </c>
      <c r="Q1337" s="17" t="str">
        <f t="shared" si="62"/>
        <v>Weekdays</v>
      </c>
      <c r="R1337" s="17" t="str">
        <f t="shared" si="60"/>
        <v>Night</v>
      </c>
      <c r="S1337" s="9" t="str">
        <f t="shared" si="61"/>
        <v>Clear</v>
      </c>
    </row>
    <row r="1338" spans="1:19" x14ac:dyDescent="0.25">
      <c r="A1338">
        <v>735</v>
      </c>
      <c r="B1338" s="19">
        <v>40576</v>
      </c>
      <c r="C1338">
        <v>1</v>
      </c>
      <c r="D1338">
        <v>2</v>
      </c>
      <c r="E1338">
        <v>23</v>
      </c>
      <c r="F1338" t="b">
        <v>0</v>
      </c>
      <c r="G1338">
        <v>3</v>
      </c>
      <c r="H1338">
        <v>1</v>
      </c>
      <c r="I1338">
        <v>0.2</v>
      </c>
      <c r="K1338">
        <v>0.16669999999999999</v>
      </c>
      <c r="L1338">
        <v>0.44</v>
      </c>
      <c r="M1338">
        <v>0.44779999999999998</v>
      </c>
      <c r="N1338">
        <v>3</v>
      </c>
      <c r="O1338">
        <v>29</v>
      </c>
      <c r="P1338">
        <v>32</v>
      </c>
      <c r="Q1338" s="17" t="str">
        <f t="shared" si="62"/>
        <v>Weekdays</v>
      </c>
      <c r="R1338" s="17" t="str">
        <f t="shared" si="60"/>
        <v>Night</v>
      </c>
      <c r="S1338" s="9" t="str">
        <f t="shared" si="61"/>
        <v>Clear</v>
      </c>
    </row>
    <row r="1339" spans="1:19" x14ac:dyDescent="0.25">
      <c r="A1339">
        <v>736</v>
      </c>
      <c r="B1339" s="19">
        <v>40577</v>
      </c>
      <c r="C1339">
        <v>1</v>
      </c>
      <c r="D1339">
        <v>2</v>
      </c>
      <c r="E1339">
        <v>0</v>
      </c>
      <c r="F1339" t="b">
        <v>0</v>
      </c>
      <c r="G1339">
        <v>4</v>
      </c>
      <c r="H1339">
        <v>1</v>
      </c>
      <c r="I1339">
        <v>0.2</v>
      </c>
      <c r="K1339">
        <v>0.16669999999999999</v>
      </c>
      <c r="L1339">
        <v>0.4</v>
      </c>
      <c r="M1339">
        <v>0.44779999999999998</v>
      </c>
      <c r="N1339">
        <v>1</v>
      </c>
      <c r="O1339">
        <v>11</v>
      </c>
      <c r="P1339">
        <v>12</v>
      </c>
      <c r="Q1339" s="17" t="str">
        <f t="shared" si="62"/>
        <v>Weekdays</v>
      </c>
      <c r="R1339" s="17" t="str">
        <f t="shared" si="60"/>
        <v>Morning</v>
      </c>
      <c r="S1339" s="9" t="str">
        <f t="shared" si="61"/>
        <v>Clear</v>
      </c>
    </row>
    <row r="1340" spans="1:19" x14ac:dyDescent="0.25">
      <c r="A1340">
        <v>737</v>
      </c>
      <c r="B1340" s="19">
        <v>40577</v>
      </c>
      <c r="C1340">
        <v>1</v>
      </c>
      <c r="D1340">
        <v>2</v>
      </c>
      <c r="E1340">
        <v>1</v>
      </c>
      <c r="F1340" t="b">
        <v>0</v>
      </c>
      <c r="G1340">
        <v>4</v>
      </c>
      <c r="H1340">
        <v>1</v>
      </c>
      <c r="I1340">
        <v>0.2</v>
      </c>
      <c r="K1340">
        <v>0.1515</v>
      </c>
      <c r="L1340">
        <v>0.44</v>
      </c>
      <c r="M1340">
        <v>0.52239999999999998</v>
      </c>
      <c r="N1340">
        <v>0</v>
      </c>
      <c r="O1340">
        <v>5</v>
      </c>
      <c r="P1340">
        <v>5</v>
      </c>
      <c r="Q1340" s="17" t="str">
        <f t="shared" si="62"/>
        <v>Weekdays</v>
      </c>
      <c r="R1340" s="17" t="str">
        <f t="shared" si="60"/>
        <v>Morning</v>
      </c>
      <c r="S1340" s="9" t="str">
        <f t="shared" si="61"/>
        <v>Clear</v>
      </c>
    </row>
    <row r="1341" spans="1:19" x14ac:dyDescent="0.25">
      <c r="A1341">
        <v>738</v>
      </c>
      <c r="B1341" s="19">
        <v>40577</v>
      </c>
      <c r="C1341">
        <v>1</v>
      </c>
      <c r="D1341">
        <v>2</v>
      </c>
      <c r="E1341">
        <v>2</v>
      </c>
      <c r="F1341" t="b">
        <v>0</v>
      </c>
      <c r="G1341">
        <v>4</v>
      </c>
      <c r="H1341">
        <v>1</v>
      </c>
      <c r="I1341">
        <v>0.18</v>
      </c>
      <c r="K1341">
        <v>0.16669999999999999</v>
      </c>
      <c r="L1341">
        <v>0.43</v>
      </c>
      <c r="M1341">
        <v>0.25369999999999998</v>
      </c>
      <c r="N1341">
        <v>0</v>
      </c>
      <c r="O1341">
        <v>2</v>
      </c>
      <c r="P1341">
        <v>2</v>
      </c>
      <c r="Q1341" s="17" t="str">
        <f t="shared" si="62"/>
        <v>Weekdays</v>
      </c>
      <c r="R1341" s="17" t="str">
        <f t="shared" si="60"/>
        <v>Morning</v>
      </c>
      <c r="S1341" s="9" t="str">
        <f t="shared" si="61"/>
        <v>Clear</v>
      </c>
    </row>
    <row r="1342" spans="1:19" x14ac:dyDescent="0.25">
      <c r="A1342">
        <v>739</v>
      </c>
      <c r="B1342" s="19">
        <v>40577</v>
      </c>
      <c r="C1342">
        <v>1</v>
      </c>
      <c r="D1342">
        <v>2</v>
      </c>
      <c r="E1342">
        <v>3</v>
      </c>
      <c r="F1342" t="b">
        <v>0</v>
      </c>
      <c r="G1342">
        <v>4</v>
      </c>
      <c r="H1342">
        <v>1</v>
      </c>
      <c r="I1342">
        <v>0.18</v>
      </c>
      <c r="K1342">
        <v>0.16669999999999999</v>
      </c>
      <c r="L1342">
        <v>0.43</v>
      </c>
      <c r="M1342">
        <v>0.25369999999999998</v>
      </c>
      <c r="N1342">
        <v>0</v>
      </c>
      <c r="O1342">
        <v>1</v>
      </c>
      <c r="P1342">
        <v>1</v>
      </c>
      <c r="Q1342" s="17" t="str">
        <f t="shared" si="62"/>
        <v>Weekdays</v>
      </c>
      <c r="R1342" s="17" t="str">
        <f t="shared" si="60"/>
        <v>Morning</v>
      </c>
      <c r="S1342" s="9" t="str">
        <f t="shared" si="61"/>
        <v>Clear</v>
      </c>
    </row>
    <row r="1343" spans="1:19" x14ac:dyDescent="0.25">
      <c r="A1343">
        <v>740</v>
      </c>
      <c r="B1343" s="19">
        <v>40577</v>
      </c>
      <c r="C1343">
        <v>1</v>
      </c>
      <c r="D1343">
        <v>2</v>
      </c>
      <c r="E1343">
        <v>5</v>
      </c>
      <c r="F1343" t="b">
        <v>0</v>
      </c>
      <c r="G1343">
        <v>4</v>
      </c>
      <c r="H1343">
        <v>1</v>
      </c>
      <c r="I1343">
        <v>0.16</v>
      </c>
      <c r="K1343">
        <v>0.13639999999999999</v>
      </c>
      <c r="L1343">
        <v>0.5</v>
      </c>
      <c r="M1343">
        <v>0.29849999999999999</v>
      </c>
      <c r="N1343">
        <v>0</v>
      </c>
      <c r="O1343">
        <v>2</v>
      </c>
      <c r="P1343">
        <v>2</v>
      </c>
      <c r="Q1343" s="17" t="str">
        <f t="shared" si="62"/>
        <v>Weekdays</v>
      </c>
      <c r="R1343" s="17" t="str">
        <f t="shared" si="60"/>
        <v>Morning</v>
      </c>
      <c r="S1343" s="9" t="str">
        <f t="shared" si="61"/>
        <v>Clear</v>
      </c>
    </row>
    <row r="1344" spans="1:19" x14ac:dyDescent="0.25">
      <c r="A1344">
        <v>741</v>
      </c>
      <c r="B1344" s="19">
        <v>40577</v>
      </c>
      <c r="C1344">
        <v>1</v>
      </c>
      <c r="D1344">
        <v>2</v>
      </c>
      <c r="E1344">
        <v>6</v>
      </c>
      <c r="F1344" t="b">
        <v>0</v>
      </c>
      <c r="G1344">
        <v>4</v>
      </c>
      <c r="H1344">
        <v>1</v>
      </c>
      <c r="I1344">
        <v>0.16</v>
      </c>
      <c r="K1344">
        <v>0.13639999999999999</v>
      </c>
      <c r="L1344">
        <v>0.43</v>
      </c>
      <c r="M1344">
        <v>0.35820000000000002</v>
      </c>
      <c r="N1344">
        <v>0</v>
      </c>
      <c r="O1344">
        <v>39</v>
      </c>
      <c r="P1344">
        <v>39</v>
      </c>
      <c r="Q1344" s="17" t="str">
        <f t="shared" si="62"/>
        <v>Weekdays</v>
      </c>
      <c r="R1344" s="17" t="str">
        <f t="shared" si="60"/>
        <v>Morning</v>
      </c>
      <c r="S1344" s="9" t="str">
        <f t="shared" si="61"/>
        <v>Clear</v>
      </c>
    </row>
    <row r="1345" spans="1:19" x14ac:dyDescent="0.25">
      <c r="A1345">
        <v>742</v>
      </c>
      <c r="B1345" s="19">
        <v>40577</v>
      </c>
      <c r="C1345">
        <v>1</v>
      </c>
      <c r="D1345">
        <v>2</v>
      </c>
      <c r="E1345">
        <v>7</v>
      </c>
      <c r="F1345" t="b">
        <v>0</v>
      </c>
      <c r="G1345">
        <v>4</v>
      </c>
      <c r="H1345">
        <v>1</v>
      </c>
      <c r="I1345">
        <v>0.14000000000000001</v>
      </c>
      <c r="K1345">
        <v>0.1212</v>
      </c>
      <c r="L1345">
        <v>0.5</v>
      </c>
      <c r="M1345">
        <v>0.32840000000000003</v>
      </c>
      <c r="N1345">
        <v>1</v>
      </c>
      <c r="O1345">
        <v>86</v>
      </c>
      <c r="P1345">
        <v>87</v>
      </c>
      <c r="Q1345" s="17" t="str">
        <f t="shared" si="62"/>
        <v>Weekdays</v>
      </c>
      <c r="R1345" s="17" t="str">
        <f t="shared" si="60"/>
        <v>Morning</v>
      </c>
      <c r="S1345" s="9" t="str">
        <f t="shared" si="61"/>
        <v>Clear</v>
      </c>
    </row>
    <row r="1346" spans="1:19" x14ac:dyDescent="0.25">
      <c r="A1346">
        <v>743</v>
      </c>
      <c r="B1346" s="19">
        <v>40577</v>
      </c>
      <c r="C1346">
        <v>1</v>
      </c>
      <c r="D1346">
        <v>2</v>
      </c>
      <c r="E1346">
        <v>8</v>
      </c>
      <c r="F1346" t="b">
        <v>0</v>
      </c>
      <c r="G1346">
        <v>4</v>
      </c>
      <c r="H1346">
        <v>1</v>
      </c>
      <c r="I1346">
        <v>0.14000000000000001</v>
      </c>
      <c r="K1346">
        <v>0.1212</v>
      </c>
      <c r="L1346">
        <v>0.5</v>
      </c>
      <c r="M1346">
        <v>0.35820000000000002</v>
      </c>
      <c r="N1346">
        <v>4</v>
      </c>
      <c r="O1346">
        <v>184</v>
      </c>
      <c r="P1346">
        <v>188</v>
      </c>
      <c r="Q1346" s="17" t="str">
        <f t="shared" si="62"/>
        <v>Weekdays</v>
      </c>
      <c r="R1346" s="17" t="str">
        <f t="shared" ref="R1346:R1409" si="63">IF(E1346&lt;12,"Morning",IF(E1346&lt;16,"Afternoon",IF(E1346&lt;21,"Evening","Night")))</f>
        <v>Morning</v>
      </c>
      <c r="S1346" s="9" t="str">
        <f t="shared" ref="S1346:S1409" si="64">IF(H1346=1,"Clear",IF(H1346=2,"Mist",IF(H1346=3,"Light Snow/Rain","Heavy Rain/Snow")))</f>
        <v>Clear</v>
      </c>
    </row>
    <row r="1347" spans="1:19" x14ac:dyDescent="0.25">
      <c r="A1347">
        <v>744</v>
      </c>
      <c r="B1347" s="19">
        <v>40577</v>
      </c>
      <c r="C1347">
        <v>1</v>
      </c>
      <c r="D1347">
        <v>2</v>
      </c>
      <c r="E1347">
        <v>9</v>
      </c>
      <c r="F1347" t="b">
        <v>0</v>
      </c>
      <c r="G1347">
        <v>4</v>
      </c>
      <c r="H1347">
        <v>1</v>
      </c>
      <c r="I1347">
        <v>0.16</v>
      </c>
      <c r="K1347">
        <v>0.13639999999999999</v>
      </c>
      <c r="L1347">
        <v>0.47</v>
      </c>
      <c r="M1347">
        <v>0.29849999999999999</v>
      </c>
      <c r="N1347">
        <v>6</v>
      </c>
      <c r="O1347">
        <v>127</v>
      </c>
      <c r="P1347">
        <v>133</v>
      </c>
      <c r="Q1347" s="17" t="str">
        <f t="shared" ref="Q1347:Q1410" si="65">IF(G1347&gt;=5,"Weekends","Weekdays")</f>
        <v>Weekdays</v>
      </c>
      <c r="R1347" s="17" t="str">
        <f t="shared" si="63"/>
        <v>Morning</v>
      </c>
      <c r="S1347" s="9" t="str">
        <f t="shared" si="64"/>
        <v>Clear</v>
      </c>
    </row>
    <row r="1348" spans="1:19" x14ac:dyDescent="0.25">
      <c r="A1348">
        <v>745</v>
      </c>
      <c r="B1348" s="19">
        <v>40577</v>
      </c>
      <c r="C1348">
        <v>1</v>
      </c>
      <c r="D1348">
        <v>2</v>
      </c>
      <c r="E1348">
        <v>10</v>
      </c>
      <c r="F1348" t="b">
        <v>0</v>
      </c>
      <c r="G1348">
        <v>4</v>
      </c>
      <c r="H1348">
        <v>1</v>
      </c>
      <c r="I1348">
        <v>0.18</v>
      </c>
      <c r="K1348">
        <v>0.1515</v>
      </c>
      <c r="L1348">
        <v>0.43</v>
      </c>
      <c r="M1348">
        <v>0.32840000000000003</v>
      </c>
      <c r="N1348">
        <v>2</v>
      </c>
      <c r="O1348">
        <v>50</v>
      </c>
      <c r="P1348">
        <v>52</v>
      </c>
      <c r="Q1348" s="17" t="str">
        <f t="shared" si="65"/>
        <v>Weekdays</v>
      </c>
      <c r="R1348" s="17" t="str">
        <f t="shared" si="63"/>
        <v>Morning</v>
      </c>
      <c r="S1348" s="9" t="str">
        <f t="shared" si="64"/>
        <v>Clear</v>
      </c>
    </row>
    <row r="1349" spans="1:19" x14ac:dyDescent="0.25">
      <c r="A1349">
        <v>746</v>
      </c>
      <c r="B1349" s="19">
        <v>40577</v>
      </c>
      <c r="C1349">
        <v>1</v>
      </c>
      <c r="D1349">
        <v>2</v>
      </c>
      <c r="E1349">
        <v>11</v>
      </c>
      <c r="F1349" t="b">
        <v>0</v>
      </c>
      <c r="G1349">
        <v>4</v>
      </c>
      <c r="H1349">
        <v>1</v>
      </c>
      <c r="I1349">
        <v>0.18</v>
      </c>
      <c r="K1349">
        <v>0.13639999999999999</v>
      </c>
      <c r="L1349">
        <v>0.43</v>
      </c>
      <c r="M1349">
        <v>0.44779999999999998</v>
      </c>
      <c r="N1349">
        <v>9</v>
      </c>
      <c r="O1349">
        <v>55</v>
      </c>
      <c r="P1349">
        <v>64</v>
      </c>
      <c r="Q1349" s="17" t="str">
        <f t="shared" si="65"/>
        <v>Weekdays</v>
      </c>
      <c r="R1349" s="17" t="str">
        <f t="shared" si="63"/>
        <v>Morning</v>
      </c>
      <c r="S1349" s="9" t="str">
        <f t="shared" si="64"/>
        <v>Clear</v>
      </c>
    </row>
    <row r="1350" spans="1:19" x14ac:dyDescent="0.25">
      <c r="A1350">
        <v>747</v>
      </c>
      <c r="B1350" s="19">
        <v>40577</v>
      </c>
      <c r="C1350">
        <v>1</v>
      </c>
      <c r="D1350">
        <v>2</v>
      </c>
      <c r="E1350">
        <v>12</v>
      </c>
      <c r="F1350" t="b">
        <v>0</v>
      </c>
      <c r="G1350">
        <v>4</v>
      </c>
      <c r="H1350">
        <v>1</v>
      </c>
      <c r="I1350">
        <v>0.2</v>
      </c>
      <c r="K1350">
        <v>0.18179999999999999</v>
      </c>
      <c r="L1350">
        <v>0.4</v>
      </c>
      <c r="M1350">
        <v>0.35820000000000002</v>
      </c>
      <c r="N1350">
        <v>2</v>
      </c>
      <c r="O1350">
        <v>67</v>
      </c>
      <c r="P1350">
        <v>69</v>
      </c>
      <c r="Q1350" s="17" t="str">
        <f t="shared" si="65"/>
        <v>Weekdays</v>
      </c>
      <c r="R1350" s="17" t="str">
        <f t="shared" si="63"/>
        <v>Afternoon</v>
      </c>
      <c r="S1350" s="9" t="str">
        <f t="shared" si="64"/>
        <v>Clear</v>
      </c>
    </row>
    <row r="1351" spans="1:19" x14ac:dyDescent="0.25">
      <c r="A1351">
        <v>748</v>
      </c>
      <c r="B1351" s="19">
        <v>40577</v>
      </c>
      <c r="C1351">
        <v>1</v>
      </c>
      <c r="D1351">
        <v>2</v>
      </c>
      <c r="E1351">
        <v>13</v>
      </c>
      <c r="F1351" t="b">
        <v>0</v>
      </c>
      <c r="G1351">
        <v>4</v>
      </c>
      <c r="H1351">
        <v>1</v>
      </c>
      <c r="I1351">
        <v>0.2</v>
      </c>
      <c r="K1351">
        <v>0.16669999999999999</v>
      </c>
      <c r="L1351">
        <v>0.4</v>
      </c>
      <c r="M1351">
        <v>0.41789999999999999</v>
      </c>
      <c r="N1351">
        <v>4</v>
      </c>
      <c r="O1351">
        <v>47</v>
      </c>
      <c r="P1351">
        <v>51</v>
      </c>
      <c r="Q1351" s="17" t="str">
        <f t="shared" si="65"/>
        <v>Weekdays</v>
      </c>
      <c r="R1351" s="17" t="str">
        <f t="shared" si="63"/>
        <v>Afternoon</v>
      </c>
      <c r="S1351" s="9" t="str">
        <f t="shared" si="64"/>
        <v>Clear</v>
      </c>
    </row>
    <row r="1352" spans="1:19" x14ac:dyDescent="0.25">
      <c r="A1352">
        <v>749</v>
      </c>
      <c r="B1352" s="19">
        <v>40577</v>
      </c>
      <c r="C1352">
        <v>1</v>
      </c>
      <c r="D1352">
        <v>2</v>
      </c>
      <c r="E1352">
        <v>14</v>
      </c>
      <c r="F1352" t="b">
        <v>0</v>
      </c>
      <c r="G1352">
        <v>4</v>
      </c>
      <c r="H1352">
        <v>1</v>
      </c>
      <c r="I1352">
        <v>0.22</v>
      </c>
      <c r="K1352">
        <v>0.19700000000000001</v>
      </c>
      <c r="L1352">
        <v>0.37</v>
      </c>
      <c r="M1352">
        <v>0.3881</v>
      </c>
      <c r="N1352">
        <v>4</v>
      </c>
      <c r="O1352">
        <v>43</v>
      </c>
      <c r="P1352">
        <v>47</v>
      </c>
      <c r="Q1352" s="17" t="str">
        <f t="shared" si="65"/>
        <v>Weekdays</v>
      </c>
      <c r="R1352" s="17" t="str">
        <f t="shared" si="63"/>
        <v>Afternoon</v>
      </c>
      <c r="S1352" s="9" t="str">
        <f t="shared" si="64"/>
        <v>Clear</v>
      </c>
    </row>
    <row r="1353" spans="1:19" x14ac:dyDescent="0.25">
      <c r="A1353">
        <v>750</v>
      </c>
      <c r="B1353" s="19">
        <v>40577</v>
      </c>
      <c r="C1353">
        <v>1</v>
      </c>
      <c r="D1353">
        <v>2</v>
      </c>
      <c r="E1353">
        <v>15</v>
      </c>
      <c r="F1353" t="b">
        <v>0</v>
      </c>
      <c r="G1353">
        <v>4</v>
      </c>
      <c r="H1353">
        <v>1</v>
      </c>
      <c r="I1353">
        <v>0.22</v>
      </c>
      <c r="K1353">
        <v>0.19700000000000001</v>
      </c>
      <c r="L1353">
        <v>0.37</v>
      </c>
      <c r="M1353">
        <v>0.32840000000000003</v>
      </c>
      <c r="N1353">
        <v>4</v>
      </c>
      <c r="O1353">
        <v>56</v>
      </c>
      <c r="P1353">
        <v>60</v>
      </c>
      <c r="Q1353" s="17" t="str">
        <f t="shared" si="65"/>
        <v>Weekdays</v>
      </c>
      <c r="R1353" s="17" t="str">
        <f t="shared" si="63"/>
        <v>Afternoon</v>
      </c>
      <c r="S1353" s="9" t="str">
        <f t="shared" si="64"/>
        <v>Clear</v>
      </c>
    </row>
    <row r="1354" spans="1:19" x14ac:dyDescent="0.25">
      <c r="A1354">
        <v>751</v>
      </c>
      <c r="B1354" s="19">
        <v>40577</v>
      </c>
      <c r="C1354">
        <v>1</v>
      </c>
      <c r="D1354">
        <v>2</v>
      </c>
      <c r="E1354">
        <v>16</v>
      </c>
      <c r="F1354" t="b">
        <v>0</v>
      </c>
      <c r="G1354">
        <v>4</v>
      </c>
      <c r="H1354">
        <v>1</v>
      </c>
      <c r="I1354">
        <v>0.22</v>
      </c>
      <c r="K1354">
        <v>0.21210000000000001</v>
      </c>
      <c r="L1354">
        <v>0.37</v>
      </c>
      <c r="M1354">
        <v>0.25369999999999998</v>
      </c>
      <c r="N1354">
        <v>5</v>
      </c>
      <c r="O1354">
        <v>73</v>
      </c>
      <c r="P1354">
        <v>78</v>
      </c>
      <c r="Q1354" s="17" t="str">
        <f t="shared" si="65"/>
        <v>Weekdays</v>
      </c>
      <c r="R1354" s="17" t="str">
        <f t="shared" si="63"/>
        <v>Evening</v>
      </c>
      <c r="S1354" s="9" t="str">
        <f t="shared" si="64"/>
        <v>Clear</v>
      </c>
    </row>
    <row r="1355" spans="1:19" x14ac:dyDescent="0.25">
      <c r="A1355">
        <v>752</v>
      </c>
      <c r="B1355" s="19">
        <v>40577</v>
      </c>
      <c r="C1355">
        <v>1</v>
      </c>
      <c r="D1355">
        <v>2</v>
      </c>
      <c r="E1355">
        <v>17</v>
      </c>
      <c r="F1355" t="b">
        <v>0</v>
      </c>
      <c r="G1355">
        <v>4</v>
      </c>
      <c r="H1355">
        <v>1</v>
      </c>
      <c r="I1355">
        <v>0.2</v>
      </c>
      <c r="K1355">
        <v>0.19700000000000001</v>
      </c>
      <c r="L1355">
        <v>0.4</v>
      </c>
      <c r="M1355">
        <v>0.19400000000000001</v>
      </c>
      <c r="N1355">
        <v>5</v>
      </c>
      <c r="O1355">
        <v>170</v>
      </c>
      <c r="P1355">
        <v>175</v>
      </c>
      <c r="Q1355" s="17" t="str">
        <f t="shared" si="65"/>
        <v>Weekdays</v>
      </c>
      <c r="R1355" s="17" t="str">
        <f t="shared" si="63"/>
        <v>Evening</v>
      </c>
      <c r="S1355" s="9" t="str">
        <f t="shared" si="64"/>
        <v>Clear</v>
      </c>
    </row>
    <row r="1356" spans="1:19" x14ac:dyDescent="0.25">
      <c r="A1356">
        <v>753</v>
      </c>
      <c r="B1356" s="19">
        <v>40577</v>
      </c>
      <c r="C1356">
        <v>1</v>
      </c>
      <c r="D1356">
        <v>2</v>
      </c>
      <c r="E1356">
        <v>18</v>
      </c>
      <c r="F1356" t="b">
        <v>0</v>
      </c>
      <c r="G1356">
        <v>4</v>
      </c>
      <c r="H1356">
        <v>1</v>
      </c>
      <c r="I1356">
        <v>0.2</v>
      </c>
      <c r="K1356">
        <v>0.21210000000000001</v>
      </c>
      <c r="L1356">
        <v>0.4</v>
      </c>
      <c r="M1356">
        <v>0.16420000000000001</v>
      </c>
      <c r="N1356">
        <v>2</v>
      </c>
      <c r="O1356">
        <v>145</v>
      </c>
      <c r="P1356">
        <v>147</v>
      </c>
      <c r="Q1356" s="17" t="str">
        <f t="shared" si="65"/>
        <v>Weekdays</v>
      </c>
      <c r="R1356" s="17" t="str">
        <f t="shared" si="63"/>
        <v>Evening</v>
      </c>
      <c r="S1356" s="9" t="str">
        <f t="shared" si="64"/>
        <v>Clear</v>
      </c>
    </row>
    <row r="1357" spans="1:19" x14ac:dyDescent="0.25">
      <c r="A1357">
        <v>754</v>
      </c>
      <c r="B1357" s="19">
        <v>40577</v>
      </c>
      <c r="C1357">
        <v>1</v>
      </c>
      <c r="D1357">
        <v>2</v>
      </c>
      <c r="E1357">
        <v>19</v>
      </c>
      <c r="F1357" t="b">
        <v>0</v>
      </c>
      <c r="G1357">
        <v>4</v>
      </c>
      <c r="H1357">
        <v>1</v>
      </c>
      <c r="I1357">
        <v>0.2</v>
      </c>
      <c r="K1357">
        <v>0.2576</v>
      </c>
      <c r="L1357">
        <v>0.4</v>
      </c>
      <c r="M1357">
        <v>0</v>
      </c>
      <c r="N1357">
        <v>4</v>
      </c>
      <c r="O1357">
        <v>92</v>
      </c>
      <c r="P1357">
        <v>96</v>
      </c>
      <c r="Q1357" s="17" t="str">
        <f t="shared" si="65"/>
        <v>Weekdays</v>
      </c>
      <c r="R1357" s="17" t="str">
        <f t="shared" si="63"/>
        <v>Evening</v>
      </c>
      <c r="S1357" s="9" t="str">
        <f t="shared" si="64"/>
        <v>Clear</v>
      </c>
    </row>
    <row r="1358" spans="1:19" x14ac:dyDescent="0.25">
      <c r="A1358">
        <v>755</v>
      </c>
      <c r="B1358" s="19">
        <v>40577</v>
      </c>
      <c r="C1358">
        <v>1</v>
      </c>
      <c r="D1358">
        <v>2</v>
      </c>
      <c r="E1358">
        <v>20</v>
      </c>
      <c r="F1358" t="b">
        <v>0</v>
      </c>
      <c r="G1358">
        <v>4</v>
      </c>
      <c r="H1358">
        <v>1</v>
      </c>
      <c r="I1358">
        <v>0.2</v>
      </c>
      <c r="K1358">
        <v>0.2273</v>
      </c>
      <c r="L1358">
        <v>0.47</v>
      </c>
      <c r="M1358">
        <v>8.9599999999999999E-2</v>
      </c>
      <c r="N1358">
        <v>1</v>
      </c>
      <c r="O1358">
        <v>108</v>
      </c>
      <c r="P1358">
        <v>109</v>
      </c>
      <c r="Q1358" s="17" t="str">
        <f t="shared" si="65"/>
        <v>Weekdays</v>
      </c>
      <c r="R1358" s="17" t="str">
        <f t="shared" si="63"/>
        <v>Evening</v>
      </c>
      <c r="S1358" s="9" t="str">
        <f t="shared" si="64"/>
        <v>Clear</v>
      </c>
    </row>
    <row r="1359" spans="1:19" x14ac:dyDescent="0.25">
      <c r="A1359">
        <v>756</v>
      </c>
      <c r="B1359" s="19">
        <v>40577</v>
      </c>
      <c r="C1359">
        <v>1</v>
      </c>
      <c r="D1359">
        <v>2</v>
      </c>
      <c r="E1359">
        <v>21</v>
      </c>
      <c r="F1359" t="b">
        <v>0</v>
      </c>
      <c r="G1359">
        <v>4</v>
      </c>
      <c r="H1359">
        <v>1</v>
      </c>
      <c r="I1359">
        <v>0.18</v>
      </c>
      <c r="K1359">
        <v>0.21210000000000001</v>
      </c>
      <c r="L1359">
        <v>0.55000000000000004</v>
      </c>
      <c r="M1359">
        <v>0.1045</v>
      </c>
      <c r="N1359">
        <v>1</v>
      </c>
      <c r="O1359">
        <v>53</v>
      </c>
      <c r="P1359">
        <v>54</v>
      </c>
      <c r="Q1359" s="17" t="str">
        <f t="shared" si="65"/>
        <v>Weekdays</v>
      </c>
      <c r="R1359" s="17" t="str">
        <f t="shared" si="63"/>
        <v>Night</v>
      </c>
      <c r="S1359" s="9" t="str">
        <f t="shared" si="64"/>
        <v>Clear</v>
      </c>
    </row>
    <row r="1360" spans="1:19" x14ac:dyDescent="0.25">
      <c r="A1360">
        <v>757</v>
      </c>
      <c r="B1360" s="19">
        <v>40577</v>
      </c>
      <c r="C1360">
        <v>1</v>
      </c>
      <c r="D1360">
        <v>2</v>
      </c>
      <c r="E1360">
        <v>22</v>
      </c>
      <c r="F1360" t="b">
        <v>0</v>
      </c>
      <c r="G1360">
        <v>4</v>
      </c>
      <c r="H1360">
        <v>1</v>
      </c>
      <c r="I1360">
        <v>0.18</v>
      </c>
      <c r="K1360">
        <v>0.21210000000000001</v>
      </c>
      <c r="L1360">
        <v>0.51</v>
      </c>
      <c r="M1360">
        <v>8.9599999999999999E-2</v>
      </c>
      <c r="N1360">
        <v>2</v>
      </c>
      <c r="O1360">
        <v>39</v>
      </c>
      <c r="P1360">
        <v>41</v>
      </c>
      <c r="Q1360" s="17" t="str">
        <f t="shared" si="65"/>
        <v>Weekdays</v>
      </c>
      <c r="R1360" s="17" t="str">
        <f t="shared" si="63"/>
        <v>Night</v>
      </c>
      <c r="S1360" s="9" t="str">
        <f t="shared" si="64"/>
        <v>Clear</v>
      </c>
    </row>
    <row r="1361" spans="1:19" x14ac:dyDescent="0.25">
      <c r="A1361">
        <v>758</v>
      </c>
      <c r="B1361" s="19">
        <v>40577</v>
      </c>
      <c r="C1361">
        <v>1</v>
      </c>
      <c r="D1361">
        <v>2</v>
      </c>
      <c r="E1361">
        <v>23</v>
      </c>
      <c r="F1361" t="b">
        <v>0</v>
      </c>
      <c r="G1361">
        <v>4</v>
      </c>
      <c r="H1361">
        <v>1</v>
      </c>
      <c r="I1361">
        <v>0.2</v>
      </c>
      <c r="K1361">
        <v>0.2273</v>
      </c>
      <c r="L1361">
        <v>0.47</v>
      </c>
      <c r="M1361">
        <v>0.1045</v>
      </c>
      <c r="N1361">
        <v>4</v>
      </c>
      <c r="O1361">
        <v>34</v>
      </c>
      <c r="P1361">
        <v>38</v>
      </c>
      <c r="Q1361" s="17" t="str">
        <f t="shared" si="65"/>
        <v>Weekdays</v>
      </c>
      <c r="R1361" s="17" t="str">
        <f t="shared" si="63"/>
        <v>Night</v>
      </c>
      <c r="S1361" s="9" t="str">
        <f t="shared" si="64"/>
        <v>Clear</v>
      </c>
    </row>
    <row r="1362" spans="1:19" x14ac:dyDescent="0.25">
      <c r="A1362">
        <v>759</v>
      </c>
      <c r="B1362" s="19">
        <v>40578</v>
      </c>
      <c r="C1362">
        <v>1</v>
      </c>
      <c r="D1362">
        <v>2</v>
      </c>
      <c r="E1362">
        <v>0</v>
      </c>
      <c r="F1362" t="b">
        <v>0</v>
      </c>
      <c r="G1362">
        <v>5</v>
      </c>
      <c r="H1362">
        <v>2</v>
      </c>
      <c r="I1362">
        <v>0.2</v>
      </c>
      <c r="K1362">
        <v>0.2576</v>
      </c>
      <c r="L1362">
        <v>0.44</v>
      </c>
      <c r="M1362">
        <v>0</v>
      </c>
      <c r="N1362">
        <v>3</v>
      </c>
      <c r="O1362">
        <v>10</v>
      </c>
      <c r="P1362">
        <v>13</v>
      </c>
      <c r="Q1362" s="17" t="str">
        <f t="shared" si="65"/>
        <v>Weekends</v>
      </c>
      <c r="R1362" s="17" t="str">
        <f t="shared" si="63"/>
        <v>Morning</v>
      </c>
      <c r="S1362" s="9" t="str">
        <f t="shared" si="64"/>
        <v>Mist</v>
      </c>
    </row>
    <row r="1363" spans="1:19" x14ac:dyDescent="0.25">
      <c r="A1363">
        <v>760</v>
      </c>
      <c r="B1363" s="19">
        <v>40578</v>
      </c>
      <c r="C1363">
        <v>1</v>
      </c>
      <c r="D1363">
        <v>2</v>
      </c>
      <c r="E1363">
        <v>1</v>
      </c>
      <c r="F1363" t="b">
        <v>0</v>
      </c>
      <c r="G1363">
        <v>5</v>
      </c>
      <c r="H1363">
        <v>2</v>
      </c>
      <c r="I1363">
        <v>0.16</v>
      </c>
      <c r="K1363">
        <v>0.2273</v>
      </c>
      <c r="L1363">
        <v>0.59</v>
      </c>
      <c r="M1363">
        <v>0</v>
      </c>
      <c r="N1363">
        <v>0</v>
      </c>
      <c r="O1363">
        <v>7</v>
      </c>
      <c r="P1363">
        <v>7</v>
      </c>
      <c r="Q1363" s="17" t="str">
        <f t="shared" si="65"/>
        <v>Weekends</v>
      </c>
      <c r="R1363" s="17" t="str">
        <f t="shared" si="63"/>
        <v>Morning</v>
      </c>
      <c r="S1363" s="9" t="str">
        <f t="shared" si="64"/>
        <v>Mist</v>
      </c>
    </row>
    <row r="1364" spans="1:19" x14ac:dyDescent="0.25">
      <c r="A1364">
        <v>761</v>
      </c>
      <c r="B1364" s="19">
        <v>40578</v>
      </c>
      <c r="C1364">
        <v>1</v>
      </c>
      <c r="D1364">
        <v>2</v>
      </c>
      <c r="E1364">
        <v>2</v>
      </c>
      <c r="F1364" t="b">
        <v>0</v>
      </c>
      <c r="G1364">
        <v>5</v>
      </c>
      <c r="H1364">
        <v>2</v>
      </c>
      <c r="I1364">
        <v>0.14000000000000001</v>
      </c>
      <c r="K1364">
        <v>0.16669999999999999</v>
      </c>
      <c r="L1364">
        <v>0.63</v>
      </c>
      <c r="M1364">
        <v>0.1045</v>
      </c>
      <c r="N1364">
        <v>0</v>
      </c>
      <c r="O1364">
        <v>1</v>
      </c>
      <c r="P1364">
        <v>1</v>
      </c>
      <c r="Q1364" s="17" t="str">
        <f t="shared" si="65"/>
        <v>Weekends</v>
      </c>
      <c r="R1364" s="17" t="str">
        <f t="shared" si="63"/>
        <v>Morning</v>
      </c>
      <c r="S1364" s="9" t="str">
        <f t="shared" si="64"/>
        <v>Mist</v>
      </c>
    </row>
    <row r="1365" spans="1:19" x14ac:dyDescent="0.25">
      <c r="A1365">
        <v>762</v>
      </c>
      <c r="B1365" s="19">
        <v>40578</v>
      </c>
      <c r="C1365">
        <v>1</v>
      </c>
      <c r="D1365">
        <v>2</v>
      </c>
      <c r="E1365">
        <v>3</v>
      </c>
      <c r="F1365" t="b">
        <v>0</v>
      </c>
      <c r="G1365">
        <v>5</v>
      </c>
      <c r="H1365">
        <v>2</v>
      </c>
      <c r="I1365">
        <v>0.14000000000000001</v>
      </c>
      <c r="K1365">
        <v>0.16669999999999999</v>
      </c>
      <c r="L1365">
        <v>0.63</v>
      </c>
      <c r="M1365">
        <v>0.1045</v>
      </c>
      <c r="N1365">
        <v>0</v>
      </c>
      <c r="O1365">
        <v>1</v>
      </c>
      <c r="P1365">
        <v>1</v>
      </c>
      <c r="Q1365" s="17" t="str">
        <f t="shared" si="65"/>
        <v>Weekends</v>
      </c>
      <c r="R1365" s="17" t="str">
        <f t="shared" si="63"/>
        <v>Morning</v>
      </c>
      <c r="S1365" s="9" t="str">
        <f t="shared" si="64"/>
        <v>Mist</v>
      </c>
    </row>
    <row r="1366" spans="1:19" x14ac:dyDescent="0.25">
      <c r="A1366">
        <v>763</v>
      </c>
      <c r="B1366" s="19">
        <v>40578</v>
      </c>
      <c r="C1366">
        <v>1</v>
      </c>
      <c r="D1366">
        <v>2</v>
      </c>
      <c r="E1366">
        <v>5</v>
      </c>
      <c r="F1366" t="b">
        <v>0</v>
      </c>
      <c r="G1366">
        <v>5</v>
      </c>
      <c r="H1366">
        <v>2</v>
      </c>
      <c r="I1366">
        <v>0.14000000000000001</v>
      </c>
      <c r="K1366">
        <v>0.1515</v>
      </c>
      <c r="L1366">
        <v>0.63</v>
      </c>
      <c r="M1366">
        <v>0.1343</v>
      </c>
      <c r="N1366">
        <v>0</v>
      </c>
      <c r="O1366">
        <v>7</v>
      </c>
      <c r="P1366">
        <v>7</v>
      </c>
      <c r="Q1366" s="17" t="str">
        <f t="shared" si="65"/>
        <v>Weekends</v>
      </c>
      <c r="R1366" s="17" t="str">
        <f t="shared" si="63"/>
        <v>Morning</v>
      </c>
      <c r="S1366" s="9" t="str">
        <f t="shared" si="64"/>
        <v>Mist</v>
      </c>
    </row>
    <row r="1367" spans="1:19" x14ac:dyDescent="0.25">
      <c r="A1367">
        <v>764</v>
      </c>
      <c r="B1367" s="19">
        <v>40578</v>
      </c>
      <c r="C1367">
        <v>1</v>
      </c>
      <c r="D1367">
        <v>2</v>
      </c>
      <c r="E1367">
        <v>6</v>
      </c>
      <c r="F1367" t="b">
        <v>0</v>
      </c>
      <c r="G1367">
        <v>5</v>
      </c>
      <c r="H1367">
        <v>2</v>
      </c>
      <c r="I1367">
        <v>0.16</v>
      </c>
      <c r="K1367">
        <v>0.2273</v>
      </c>
      <c r="L1367">
        <v>0.55000000000000004</v>
      </c>
      <c r="M1367">
        <v>0</v>
      </c>
      <c r="N1367">
        <v>2</v>
      </c>
      <c r="O1367">
        <v>26</v>
      </c>
      <c r="P1367">
        <v>28</v>
      </c>
      <c r="Q1367" s="17" t="str">
        <f t="shared" si="65"/>
        <v>Weekends</v>
      </c>
      <c r="R1367" s="17" t="str">
        <f t="shared" si="63"/>
        <v>Morning</v>
      </c>
      <c r="S1367" s="9" t="str">
        <f t="shared" si="64"/>
        <v>Mist</v>
      </c>
    </row>
    <row r="1368" spans="1:19" x14ac:dyDescent="0.25">
      <c r="A1368">
        <v>765</v>
      </c>
      <c r="B1368" s="19">
        <v>40578</v>
      </c>
      <c r="C1368">
        <v>1</v>
      </c>
      <c r="D1368">
        <v>2</v>
      </c>
      <c r="E1368">
        <v>7</v>
      </c>
      <c r="F1368" t="b">
        <v>0</v>
      </c>
      <c r="G1368">
        <v>5</v>
      </c>
      <c r="H1368">
        <v>1</v>
      </c>
      <c r="I1368">
        <v>0.14000000000000001</v>
      </c>
      <c r="K1368">
        <v>0.21210000000000001</v>
      </c>
      <c r="L1368">
        <v>0.59</v>
      </c>
      <c r="M1368">
        <v>0</v>
      </c>
      <c r="N1368">
        <v>0</v>
      </c>
      <c r="O1368">
        <v>87</v>
      </c>
      <c r="P1368">
        <v>87</v>
      </c>
      <c r="Q1368" s="17" t="str">
        <f t="shared" si="65"/>
        <v>Weekends</v>
      </c>
      <c r="R1368" s="17" t="str">
        <f t="shared" si="63"/>
        <v>Morning</v>
      </c>
      <c r="S1368" s="9" t="str">
        <f t="shared" si="64"/>
        <v>Clear</v>
      </c>
    </row>
    <row r="1369" spans="1:19" x14ac:dyDescent="0.25">
      <c r="A1369">
        <v>766</v>
      </c>
      <c r="B1369" s="19">
        <v>40578</v>
      </c>
      <c r="C1369">
        <v>1</v>
      </c>
      <c r="D1369">
        <v>2</v>
      </c>
      <c r="E1369">
        <v>8</v>
      </c>
      <c r="F1369" t="b">
        <v>0</v>
      </c>
      <c r="G1369">
        <v>5</v>
      </c>
      <c r="H1369">
        <v>1</v>
      </c>
      <c r="I1369">
        <v>0.14000000000000001</v>
      </c>
      <c r="K1369">
        <v>0.1515</v>
      </c>
      <c r="L1369">
        <v>0.74</v>
      </c>
      <c r="M1369">
        <v>0.1343</v>
      </c>
      <c r="N1369">
        <v>3</v>
      </c>
      <c r="O1369">
        <v>217</v>
      </c>
      <c r="P1369">
        <v>220</v>
      </c>
      <c r="Q1369" s="17" t="str">
        <f t="shared" si="65"/>
        <v>Weekends</v>
      </c>
      <c r="R1369" s="17" t="str">
        <f t="shared" si="63"/>
        <v>Morning</v>
      </c>
      <c r="S1369" s="9" t="str">
        <f t="shared" si="64"/>
        <v>Clear</v>
      </c>
    </row>
    <row r="1370" spans="1:19" x14ac:dyDescent="0.25">
      <c r="A1370">
        <v>767</v>
      </c>
      <c r="B1370" s="19">
        <v>40578</v>
      </c>
      <c r="C1370">
        <v>1</v>
      </c>
      <c r="D1370">
        <v>2</v>
      </c>
      <c r="E1370">
        <v>9</v>
      </c>
      <c r="F1370" t="b">
        <v>0</v>
      </c>
      <c r="G1370">
        <v>5</v>
      </c>
      <c r="H1370">
        <v>2</v>
      </c>
      <c r="I1370">
        <v>0.16</v>
      </c>
      <c r="K1370">
        <v>0.18179999999999999</v>
      </c>
      <c r="L1370">
        <v>0.8</v>
      </c>
      <c r="M1370">
        <v>0.1343</v>
      </c>
      <c r="N1370">
        <v>3</v>
      </c>
      <c r="O1370">
        <v>124</v>
      </c>
      <c r="P1370">
        <v>127</v>
      </c>
      <c r="Q1370" s="17" t="str">
        <f t="shared" si="65"/>
        <v>Weekends</v>
      </c>
      <c r="R1370" s="17" t="str">
        <f t="shared" si="63"/>
        <v>Morning</v>
      </c>
      <c r="S1370" s="9" t="str">
        <f t="shared" si="64"/>
        <v>Mist</v>
      </c>
    </row>
    <row r="1371" spans="1:19" x14ac:dyDescent="0.25">
      <c r="A1371">
        <v>768</v>
      </c>
      <c r="B1371" s="19">
        <v>40578</v>
      </c>
      <c r="C1371">
        <v>1</v>
      </c>
      <c r="D1371">
        <v>2</v>
      </c>
      <c r="E1371">
        <v>10</v>
      </c>
      <c r="F1371" t="b">
        <v>0</v>
      </c>
      <c r="G1371">
        <v>5</v>
      </c>
      <c r="H1371">
        <v>2</v>
      </c>
      <c r="I1371">
        <v>0.2</v>
      </c>
      <c r="K1371">
        <v>0.21210000000000001</v>
      </c>
      <c r="L1371">
        <v>0.51</v>
      </c>
      <c r="M1371">
        <v>0.1343</v>
      </c>
      <c r="N1371">
        <v>5</v>
      </c>
      <c r="O1371">
        <v>46</v>
      </c>
      <c r="P1371">
        <v>51</v>
      </c>
      <c r="Q1371" s="17" t="str">
        <f t="shared" si="65"/>
        <v>Weekends</v>
      </c>
      <c r="R1371" s="17" t="str">
        <f t="shared" si="63"/>
        <v>Morning</v>
      </c>
      <c r="S1371" s="9" t="str">
        <f t="shared" si="64"/>
        <v>Mist</v>
      </c>
    </row>
    <row r="1372" spans="1:19" x14ac:dyDescent="0.25">
      <c r="A1372">
        <v>769</v>
      </c>
      <c r="B1372" s="19">
        <v>40578</v>
      </c>
      <c r="C1372">
        <v>1</v>
      </c>
      <c r="D1372">
        <v>2</v>
      </c>
      <c r="E1372">
        <v>11</v>
      </c>
      <c r="F1372" t="b">
        <v>0</v>
      </c>
      <c r="G1372">
        <v>5</v>
      </c>
      <c r="H1372">
        <v>1</v>
      </c>
      <c r="I1372">
        <v>0.22</v>
      </c>
      <c r="K1372">
        <v>0.2273</v>
      </c>
      <c r="L1372">
        <v>0.51</v>
      </c>
      <c r="M1372">
        <v>0.16420000000000001</v>
      </c>
      <c r="N1372">
        <v>3</v>
      </c>
      <c r="O1372">
        <v>61</v>
      </c>
      <c r="P1372">
        <v>64</v>
      </c>
      <c r="Q1372" s="17" t="str">
        <f t="shared" si="65"/>
        <v>Weekends</v>
      </c>
      <c r="R1372" s="17" t="str">
        <f t="shared" si="63"/>
        <v>Morning</v>
      </c>
      <c r="S1372" s="9" t="str">
        <f t="shared" si="64"/>
        <v>Clear</v>
      </c>
    </row>
    <row r="1373" spans="1:19" x14ac:dyDescent="0.25">
      <c r="A1373">
        <v>770</v>
      </c>
      <c r="B1373" s="19">
        <v>40578</v>
      </c>
      <c r="C1373">
        <v>1</v>
      </c>
      <c r="D1373">
        <v>2</v>
      </c>
      <c r="E1373">
        <v>12</v>
      </c>
      <c r="F1373" t="b">
        <v>0</v>
      </c>
      <c r="G1373">
        <v>5</v>
      </c>
      <c r="H1373">
        <v>2</v>
      </c>
      <c r="I1373">
        <v>0.24</v>
      </c>
      <c r="K1373">
        <v>0.2424</v>
      </c>
      <c r="L1373">
        <v>0.48</v>
      </c>
      <c r="M1373">
        <v>0.16420000000000001</v>
      </c>
      <c r="N1373">
        <v>8</v>
      </c>
      <c r="O1373">
        <v>78</v>
      </c>
      <c r="P1373">
        <v>86</v>
      </c>
      <c r="Q1373" s="17" t="str">
        <f t="shared" si="65"/>
        <v>Weekends</v>
      </c>
      <c r="R1373" s="17" t="str">
        <f t="shared" si="63"/>
        <v>Afternoon</v>
      </c>
      <c r="S1373" s="9" t="str">
        <f t="shared" si="64"/>
        <v>Mist</v>
      </c>
    </row>
    <row r="1374" spans="1:19" x14ac:dyDescent="0.25">
      <c r="A1374">
        <v>771</v>
      </c>
      <c r="B1374" s="19">
        <v>40578</v>
      </c>
      <c r="C1374">
        <v>1</v>
      </c>
      <c r="D1374">
        <v>2</v>
      </c>
      <c r="E1374">
        <v>13</v>
      </c>
      <c r="F1374" t="b">
        <v>0</v>
      </c>
      <c r="G1374">
        <v>5</v>
      </c>
      <c r="H1374">
        <v>2</v>
      </c>
      <c r="I1374">
        <v>0.26</v>
      </c>
      <c r="K1374">
        <v>0.2576</v>
      </c>
      <c r="L1374">
        <v>0.5</v>
      </c>
      <c r="M1374">
        <v>0.22389999999999999</v>
      </c>
      <c r="N1374">
        <v>9</v>
      </c>
      <c r="O1374">
        <v>73</v>
      </c>
      <c r="P1374">
        <v>82</v>
      </c>
      <c r="Q1374" s="17" t="str">
        <f t="shared" si="65"/>
        <v>Weekends</v>
      </c>
      <c r="R1374" s="17" t="str">
        <f t="shared" si="63"/>
        <v>Afternoon</v>
      </c>
      <c r="S1374" s="9" t="str">
        <f t="shared" si="64"/>
        <v>Mist</v>
      </c>
    </row>
    <row r="1375" spans="1:19" x14ac:dyDescent="0.25">
      <c r="A1375">
        <v>772</v>
      </c>
      <c r="B1375" s="19">
        <v>40578</v>
      </c>
      <c r="C1375">
        <v>1</v>
      </c>
      <c r="D1375">
        <v>2</v>
      </c>
      <c r="E1375">
        <v>14</v>
      </c>
      <c r="F1375" t="b">
        <v>0</v>
      </c>
      <c r="G1375">
        <v>5</v>
      </c>
      <c r="H1375">
        <v>2</v>
      </c>
      <c r="I1375">
        <v>0.28000000000000003</v>
      </c>
      <c r="K1375">
        <v>0.2727</v>
      </c>
      <c r="L1375">
        <v>0.45</v>
      </c>
      <c r="M1375">
        <v>0.16420000000000001</v>
      </c>
      <c r="N1375">
        <v>15</v>
      </c>
      <c r="O1375">
        <v>76</v>
      </c>
      <c r="P1375">
        <v>91</v>
      </c>
      <c r="Q1375" s="17" t="str">
        <f t="shared" si="65"/>
        <v>Weekends</v>
      </c>
      <c r="R1375" s="17" t="str">
        <f t="shared" si="63"/>
        <v>Afternoon</v>
      </c>
      <c r="S1375" s="9" t="str">
        <f t="shared" si="64"/>
        <v>Mist</v>
      </c>
    </row>
    <row r="1376" spans="1:19" x14ac:dyDescent="0.25">
      <c r="A1376">
        <v>773</v>
      </c>
      <c r="B1376" s="19">
        <v>40578</v>
      </c>
      <c r="C1376">
        <v>1</v>
      </c>
      <c r="D1376">
        <v>2</v>
      </c>
      <c r="E1376">
        <v>15</v>
      </c>
      <c r="F1376" t="b">
        <v>0</v>
      </c>
      <c r="G1376">
        <v>5</v>
      </c>
      <c r="H1376">
        <v>2</v>
      </c>
      <c r="I1376">
        <v>0.28000000000000003</v>
      </c>
      <c r="K1376">
        <v>0.2727</v>
      </c>
      <c r="L1376">
        <v>0.48</v>
      </c>
      <c r="M1376">
        <v>0.25369999999999998</v>
      </c>
      <c r="N1376">
        <v>9</v>
      </c>
      <c r="O1376">
        <v>81</v>
      </c>
      <c r="P1376">
        <v>90</v>
      </c>
      <c r="Q1376" s="17" t="str">
        <f t="shared" si="65"/>
        <v>Weekends</v>
      </c>
      <c r="R1376" s="17" t="str">
        <f t="shared" si="63"/>
        <v>Afternoon</v>
      </c>
      <c r="S1376" s="9" t="str">
        <f t="shared" si="64"/>
        <v>Mist</v>
      </c>
    </row>
    <row r="1377" spans="1:19" x14ac:dyDescent="0.25">
      <c r="A1377">
        <v>774</v>
      </c>
      <c r="B1377" s="19">
        <v>40578</v>
      </c>
      <c r="C1377">
        <v>1</v>
      </c>
      <c r="D1377">
        <v>2</v>
      </c>
      <c r="E1377">
        <v>16</v>
      </c>
      <c r="F1377" t="b">
        <v>0</v>
      </c>
      <c r="G1377">
        <v>5</v>
      </c>
      <c r="H1377">
        <v>2</v>
      </c>
      <c r="I1377">
        <v>0.3</v>
      </c>
      <c r="K1377">
        <v>0.28789999999999999</v>
      </c>
      <c r="L1377">
        <v>0.42</v>
      </c>
      <c r="M1377">
        <v>0.22389999999999999</v>
      </c>
      <c r="N1377">
        <v>8</v>
      </c>
      <c r="O1377">
        <v>91</v>
      </c>
      <c r="P1377">
        <v>99</v>
      </c>
      <c r="Q1377" s="17" t="str">
        <f t="shared" si="65"/>
        <v>Weekends</v>
      </c>
      <c r="R1377" s="17" t="str">
        <f t="shared" si="63"/>
        <v>Evening</v>
      </c>
      <c r="S1377" s="9" t="str">
        <f t="shared" si="64"/>
        <v>Mist</v>
      </c>
    </row>
    <row r="1378" spans="1:19" x14ac:dyDescent="0.25">
      <c r="A1378">
        <v>775</v>
      </c>
      <c r="B1378" s="19">
        <v>40578</v>
      </c>
      <c r="C1378">
        <v>1</v>
      </c>
      <c r="D1378">
        <v>2</v>
      </c>
      <c r="E1378">
        <v>17</v>
      </c>
      <c r="F1378" t="b">
        <v>0</v>
      </c>
      <c r="G1378">
        <v>5</v>
      </c>
      <c r="H1378">
        <v>2</v>
      </c>
      <c r="I1378">
        <v>0.26</v>
      </c>
      <c r="K1378">
        <v>0.2727</v>
      </c>
      <c r="L1378">
        <v>0.56000000000000005</v>
      </c>
      <c r="M1378">
        <v>0.1343</v>
      </c>
      <c r="N1378">
        <v>10</v>
      </c>
      <c r="O1378">
        <v>195</v>
      </c>
      <c r="P1378">
        <v>205</v>
      </c>
      <c r="Q1378" s="17" t="str">
        <f t="shared" si="65"/>
        <v>Weekends</v>
      </c>
      <c r="R1378" s="17" t="str">
        <f t="shared" si="63"/>
        <v>Evening</v>
      </c>
      <c r="S1378" s="9" t="str">
        <f t="shared" si="64"/>
        <v>Mist</v>
      </c>
    </row>
    <row r="1379" spans="1:19" x14ac:dyDescent="0.25">
      <c r="A1379">
        <v>776</v>
      </c>
      <c r="B1379" s="19">
        <v>40578</v>
      </c>
      <c r="C1379">
        <v>1</v>
      </c>
      <c r="D1379">
        <v>2</v>
      </c>
      <c r="E1379">
        <v>18</v>
      </c>
      <c r="F1379" t="b">
        <v>0</v>
      </c>
      <c r="G1379">
        <v>5</v>
      </c>
      <c r="H1379">
        <v>2</v>
      </c>
      <c r="I1379">
        <v>0.24</v>
      </c>
      <c r="K1379">
        <v>0.2576</v>
      </c>
      <c r="L1379">
        <v>0.6</v>
      </c>
      <c r="M1379">
        <v>0.1045</v>
      </c>
      <c r="N1379">
        <v>3</v>
      </c>
      <c r="O1379">
        <v>152</v>
      </c>
      <c r="P1379">
        <v>155</v>
      </c>
      <c r="Q1379" s="17" t="str">
        <f t="shared" si="65"/>
        <v>Weekends</v>
      </c>
      <c r="R1379" s="17" t="str">
        <f t="shared" si="63"/>
        <v>Evening</v>
      </c>
      <c r="S1379" s="9" t="str">
        <f t="shared" si="64"/>
        <v>Mist</v>
      </c>
    </row>
    <row r="1380" spans="1:19" x14ac:dyDescent="0.25">
      <c r="A1380">
        <v>777</v>
      </c>
      <c r="B1380" s="19">
        <v>40578</v>
      </c>
      <c r="C1380">
        <v>1</v>
      </c>
      <c r="D1380">
        <v>2</v>
      </c>
      <c r="E1380">
        <v>19</v>
      </c>
      <c r="F1380" t="b">
        <v>0</v>
      </c>
      <c r="G1380">
        <v>5</v>
      </c>
      <c r="H1380">
        <v>2</v>
      </c>
      <c r="I1380">
        <v>0.24</v>
      </c>
      <c r="K1380">
        <v>0.2424</v>
      </c>
      <c r="L1380">
        <v>0.65</v>
      </c>
      <c r="M1380">
        <v>0.1343</v>
      </c>
      <c r="N1380">
        <v>1</v>
      </c>
      <c r="O1380">
        <v>102</v>
      </c>
      <c r="P1380">
        <v>103</v>
      </c>
      <c r="Q1380" s="17" t="str">
        <f t="shared" si="65"/>
        <v>Weekends</v>
      </c>
      <c r="R1380" s="17" t="str">
        <f t="shared" si="63"/>
        <v>Evening</v>
      </c>
      <c r="S1380" s="9" t="str">
        <f t="shared" si="64"/>
        <v>Mist</v>
      </c>
    </row>
    <row r="1381" spans="1:19" x14ac:dyDescent="0.25">
      <c r="A1381">
        <v>778</v>
      </c>
      <c r="B1381" s="19">
        <v>40578</v>
      </c>
      <c r="C1381">
        <v>1</v>
      </c>
      <c r="D1381">
        <v>2</v>
      </c>
      <c r="E1381">
        <v>20</v>
      </c>
      <c r="F1381" t="b">
        <v>0</v>
      </c>
      <c r="G1381">
        <v>5</v>
      </c>
      <c r="H1381">
        <v>2</v>
      </c>
      <c r="I1381">
        <v>0.24</v>
      </c>
      <c r="K1381">
        <v>0.2424</v>
      </c>
      <c r="L1381">
        <v>0.65</v>
      </c>
      <c r="M1381">
        <v>0.16420000000000001</v>
      </c>
      <c r="N1381">
        <v>2</v>
      </c>
      <c r="O1381">
        <v>69</v>
      </c>
      <c r="P1381">
        <v>71</v>
      </c>
      <c r="Q1381" s="17" t="str">
        <f t="shared" si="65"/>
        <v>Weekends</v>
      </c>
      <c r="R1381" s="17" t="str">
        <f t="shared" si="63"/>
        <v>Evening</v>
      </c>
      <c r="S1381" s="9" t="str">
        <f t="shared" si="64"/>
        <v>Mist</v>
      </c>
    </row>
    <row r="1382" spans="1:19" x14ac:dyDescent="0.25">
      <c r="A1382">
        <v>779</v>
      </c>
      <c r="B1382" s="19">
        <v>40578</v>
      </c>
      <c r="C1382">
        <v>1</v>
      </c>
      <c r="D1382">
        <v>2</v>
      </c>
      <c r="E1382">
        <v>21</v>
      </c>
      <c r="F1382" t="b">
        <v>0</v>
      </c>
      <c r="G1382">
        <v>5</v>
      </c>
      <c r="H1382">
        <v>2</v>
      </c>
      <c r="I1382">
        <v>0.24</v>
      </c>
      <c r="K1382">
        <v>0.2424</v>
      </c>
      <c r="L1382">
        <v>0.7</v>
      </c>
      <c r="M1382">
        <v>0.16420000000000001</v>
      </c>
      <c r="N1382">
        <v>2</v>
      </c>
      <c r="O1382">
        <v>41</v>
      </c>
      <c r="P1382">
        <v>43</v>
      </c>
      <c r="Q1382" s="17" t="str">
        <f t="shared" si="65"/>
        <v>Weekends</v>
      </c>
      <c r="R1382" s="17" t="str">
        <f t="shared" si="63"/>
        <v>Night</v>
      </c>
      <c r="S1382" s="9" t="str">
        <f t="shared" si="64"/>
        <v>Mist</v>
      </c>
    </row>
    <row r="1383" spans="1:19" x14ac:dyDescent="0.25">
      <c r="A1383">
        <v>780</v>
      </c>
      <c r="B1383" s="19">
        <v>40578</v>
      </c>
      <c r="C1383">
        <v>1</v>
      </c>
      <c r="D1383">
        <v>2</v>
      </c>
      <c r="E1383">
        <v>22</v>
      </c>
      <c r="F1383" t="b">
        <v>0</v>
      </c>
      <c r="G1383">
        <v>5</v>
      </c>
      <c r="H1383">
        <v>2</v>
      </c>
      <c r="I1383">
        <v>0.24</v>
      </c>
      <c r="K1383">
        <v>0.2424</v>
      </c>
      <c r="L1383">
        <v>0.65</v>
      </c>
      <c r="M1383">
        <v>0.16420000000000001</v>
      </c>
      <c r="N1383">
        <v>1</v>
      </c>
      <c r="O1383">
        <v>45</v>
      </c>
      <c r="P1383">
        <v>46</v>
      </c>
      <c r="Q1383" s="17" t="str">
        <f t="shared" si="65"/>
        <v>Weekends</v>
      </c>
      <c r="R1383" s="17" t="str">
        <f t="shared" si="63"/>
        <v>Night</v>
      </c>
      <c r="S1383" s="9" t="str">
        <f t="shared" si="64"/>
        <v>Mist</v>
      </c>
    </row>
    <row r="1384" spans="1:19" x14ac:dyDescent="0.25">
      <c r="A1384">
        <v>781</v>
      </c>
      <c r="B1384" s="19">
        <v>40578</v>
      </c>
      <c r="C1384">
        <v>1</v>
      </c>
      <c r="D1384">
        <v>2</v>
      </c>
      <c r="E1384">
        <v>23</v>
      </c>
      <c r="F1384" t="b">
        <v>0</v>
      </c>
      <c r="G1384">
        <v>5</v>
      </c>
      <c r="H1384">
        <v>2</v>
      </c>
      <c r="I1384">
        <v>0.24</v>
      </c>
      <c r="K1384">
        <v>0.2424</v>
      </c>
      <c r="L1384">
        <v>0.7</v>
      </c>
      <c r="M1384">
        <v>0.1343</v>
      </c>
      <c r="N1384">
        <v>1</v>
      </c>
      <c r="O1384">
        <v>30</v>
      </c>
      <c r="P1384">
        <v>31</v>
      </c>
      <c r="Q1384" s="17" t="str">
        <f t="shared" si="65"/>
        <v>Weekends</v>
      </c>
      <c r="R1384" s="17" t="str">
        <f t="shared" si="63"/>
        <v>Night</v>
      </c>
      <c r="S1384" s="9" t="str">
        <f t="shared" si="64"/>
        <v>Mist</v>
      </c>
    </row>
    <row r="1385" spans="1:19" x14ac:dyDescent="0.25">
      <c r="A1385">
        <v>782</v>
      </c>
      <c r="B1385" s="19">
        <v>40579</v>
      </c>
      <c r="C1385">
        <v>1</v>
      </c>
      <c r="D1385">
        <v>2</v>
      </c>
      <c r="E1385">
        <v>0</v>
      </c>
      <c r="F1385" t="b">
        <v>0</v>
      </c>
      <c r="G1385">
        <v>6</v>
      </c>
      <c r="H1385">
        <v>2</v>
      </c>
      <c r="I1385">
        <v>0.24</v>
      </c>
      <c r="K1385">
        <v>0.2424</v>
      </c>
      <c r="L1385">
        <v>0.7</v>
      </c>
      <c r="M1385">
        <v>0.16420000000000001</v>
      </c>
      <c r="N1385">
        <v>3</v>
      </c>
      <c r="O1385">
        <v>36</v>
      </c>
      <c r="P1385">
        <v>39</v>
      </c>
      <c r="Q1385" s="17" t="str">
        <f t="shared" si="65"/>
        <v>Weekends</v>
      </c>
      <c r="R1385" s="17" t="str">
        <f t="shared" si="63"/>
        <v>Morning</v>
      </c>
      <c r="S1385" s="9" t="str">
        <f t="shared" si="64"/>
        <v>Mist</v>
      </c>
    </row>
    <row r="1386" spans="1:19" x14ac:dyDescent="0.25">
      <c r="A1386">
        <v>783</v>
      </c>
      <c r="B1386" s="19">
        <v>40579</v>
      </c>
      <c r="C1386">
        <v>1</v>
      </c>
      <c r="D1386">
        <v>2</v>
      </c>
      <c r="E1386">
        <v>1</v>
      </c>
      <c r="F1386" t="b">
        <v>0</v>
      </c>
      <c r="G1386">
        <v>6</v>
      </c>
      <c r="H1386">
        <v>2</v>
      </c>
      <c r="I1386">
        <v>0.24</v>
      </c>
      <c r="K1386">
        <v>0.2424</v>
      </c>
      <c r="L1386">
        <v>0.65</v>
      </c>
      <c r="M1386">
        <v>0.16420000000000001</v>
      </c>
      <c r="N1386">
        <v>1</v>
      </c>
      <c r="O1386">
        <v>17</v>
      </c>
      <c r="P1386">
        <v>18</v>
      </c>
      <c r="Q1386" s="17" t="str">
        <f t="shared" si="65"/>
        <v>Weekends</v>
      </c>
      <c r="R1386" s="17" t="str">
        <f t="shared" si="63"/>
        <v>Morning</v>
      </c>
      <c r="S1386" s="9" t="str">
        <f t="shared" si="64"/>
        <v>Mist</v>
      </c>
    </row>
    <row r="1387" spans="1:19" x14ac:dyDescent="0.25">
      <c r="A1387">
        <v>784</v>
      </c>
      <c r="B1387" s="19">
        <v>40579</v>
      </c>
      <c r="C1387">
        <v>1</v>
      </c>
      <c r="D1387">
        <v>2</v>
      </c>
      <c r="E1387">
        <v>2</v>
      </c>
      <c r="F1387" t="b">
        <v>0</v>
      </c>
      <c r="G1387">
        <v>6</v>
      </c>
      <c r="H1387">
        <v>2</v>
      </c>
      <c r="I1387">
        <v>0.24</v>
      </c>
      <c r="K1387">
        <v>0.2424</v>
      </c>
      <c r="L1387">
        <v>0.75</v>
      </c>
      <c r="M1387">
        <v>0.16420000000000001</v>
      </c>
      <c r="N1387">
        <v>5</v>
      </c>
      <c r="O1387">
        <v>12</v>
      </c>
      <c r="P1387">
        <v>17</v>
      </c>
      <c r="Q1387" s="17" t="str">
        <f t="shared" si="65"/>
        <v>Weekends</v>
      </c>
      <c r="R1387" s="17" t="str">
        <f t="shared" si="63"/>
        <v>Morning</v>
      </c>
      <c r="S1387" s="9" t="str">
        <f t="shared" si="64"/>
        <v>Mist</v>
      </c>
    </row>
    <row r="1388" spans="1:19" x14ac:dyDescent="0.25">
      <c r="A1388">
        <v>785</v>
      </c>
      <c r="B1388" s="19">
        <v>40579</v>
      </c>
      <c r="C1388">
        <v>1</v>
      </c>
      <c r="D1388">
        <v>2</v>
      </c>
      <c r="E1388">
        <v>3</v>
      </c>
      <c r="F1388" t="b">
        <v>0</v>
      </c>
      <c r="G1388">
        <v>6</v>
      </c>
      <c r="H1388">
        <v>2</v>
      </c>
      <c r="I1388">
        <v>0.24</v>
      </c>
      <c r="K1388">
        <v>0.2424</v>
      </c>
      <c r="L1388">
        <v>0.75</v>
      </c>
      <c r="M1388">
        <v>0.16420000000000001</v>
      </c>
      <c r="N1388">
        <v>1</v>
      </c>
      <c r="O1388">
        <v>10</v>
      </c>
      <c r="P1388">
        <v>11</v>
      </c>
      <c r="Q1388" s="17" t="str">
        <f t="shared" si="65"/>
        <v>Weekends</v>
      </c>
      <c r="R1388" s="17" t="str">
        <f t="shared" si="63"/>
        <v>Morning</v>
      </c>
      <c r="S1388" s="9" t="str">
        <f t="shared" si="64"/>
        <v>Mist</v>
      </c>
    </row>
    <row r="1389" spans="1:19" x14ac:dyDescent="0.25">
      <c r="A1389">
        <v>786</v>
      </c>
      <c r="B1389" s="19">
        <v>40579</v>
      </c>
      <c r="C1389">
        <v>1</v>
      </c>
      <c r="D1389">
        <v>2</v>
      </c>
      <c r="E1389">
        <v>4</v>
      </c>
      <c r="F1389" t="b">
        <v>0</v>
      </c>
      <c r="G1389">
        <v>6</v>
      </c>
      <c r="H1389">
        <v>3</v>
      </c>
      <c r="I1389">
        <v>0.22</v>
      </c>
      <c r="K1389">
        <v>0.2273</v>
      </c>
      <c r="L1389">
        <v>0.93</v>
      </c>
      <c r="M1389">
        <v>0.1343</v>
      </c>
      <c r="N1389">
        <v>0</v>
      </c>
      <c r="O1389">
        <v>8</v>
      </c>
      <c r="P1389">
        <v>8</v>
      </c>
      <c r="Q1389" s="17" t="str">
        <f t="shared" si="65"/>
        <v>Weekends</v>
      </c>
      <c r="R1389" s="17" t="str">
        <f t="shared" si="63"/>
        <v>Morning</v>
      </c>
      <c r="S1389" s="9" t="str">
        <f t="shared" si="64"/>
        <v>Light Snow/Rain</v>
      </c>
    </row>
    <row r="1390" spans="1:19" x14ac:dyDescent="0.25">
      <c r="A1390">
        <v>787</v>
      </c>
      <c r="B1390" s="19">
        <v>40579</v>
      </c>
      <c r="C1390">
        <v>1</v>
      </c>
      <c r="D1390">
        <v>2</v>
      </c>
      <c r="E1390">
        <v>5</v>
      </c>
      <c r="F1390" t="b">
        <v>0</v>
      </c>
      <c r="G1390">
        <v>6</v>
      </c>
      <c r="H1390">
        <v>3</v>
      </c>
      <c r="I1390">
        <v>0.2</v>
      </c>
      <c r="K1390">
        <v>0.2273</v>
      </c>
      <c r="L1390">
        <v>1</v>
      </c>
      <c r="M1390">
        <v>8.9599999999999999E-2</v>
      </c>
      <c r="N1390">
        <v>0</v>
      </c>
      <c r="O1390">
        <v>9</v>
      </c>
      <c r="P1390">
        <v>9</v>
      </c>
      <c r="Q1390" s="17" t="str">
        <f t="shared" si="65"/>
        <v>Weekends</v>
      </c>
      <c r="R1390" s="17" t="str">
        <f t="shared" si="63"/>
        <v>Morning</v>
      </c>
      <c r="S1390" s="9" t="str">
        <f t="shared" si="64"/>
        <v>Light Snow/Rain</v>
      </c>
    </row>
    <row r="1391" spans="1:19" x14ac:dyDescent="0.25">
      <c r="A1391">
        <v>788</v>
      </c>
      <c r="B1391" s="19">
        <v>40579</v>
      </c>
      <c r="C1391">
        <v>1</v>
      </c>
      <c r="D1391">
        <v>2</v>
      </c>
      <c r="E1391">
        <v>6</v>
      </c>
      <c r="F1391" t="b">
        <v>0</v>
      </c>
      <c r="G1391">
        <v>6</v>
      </c>
      <c r="H1391">
        <v>3</v>
      </c>
      <c r="I1391">
        <v>0.2</v>
      </c>
      <c r="K1391">
        <v>0.2576</v>
      </c>
      <c r="L1391">
        <v>1</v>
      </c>
      <c r="M1391">
        <v>0</v>
      </c>
      <c r="N1391">
        <v>0</v>
      </c>
      <c r="O1391">
        <v>4</v>
      </c>
      <c r="P1391">
        <v>4</v>
      </c>
      <c r="Q1391" s="17" t="str">
        <f t="shared" si="65"/>
        <v>Weekends</v>
      </c>
      <c r="R1391" s="17" t="str">
        <f t="shared" si="63"/>
        <v>Morning</v>
      </c>
      <c r="S1391" s="9" t="str">
        <f t="shared" si="64"/>
        <v>Light Snow/Rain</v>
      </c>
    </row>
    <row r="1392" spans="1:19" x14ac:dyDescent="0.25">
      <c r="A1392">
        <v>789</v>
      </c>
      <c r="B1392" s="19">
        <v>40579</v>
      </c>
      <c r="C1392">
        <v>1</v>
      </c>
      <c r="D1392">
        <v>2</v>
      </c>
      <c r="E1392">
        <v>7</v>
      </c>
      <c r="F1392" t="b">
        <v>0</v>
      </c>
      <c r="G1392">
        <v>6</v>
      </c>
      <c r="H1392">
        <v>3</v>
      </c>
      <c r="I1392">
        <v>0.22</v>
      </c>
      <c r="K1392">
        <v>0.2576</v>
      </c>
      <c r="L1392">
        <v>0.93</v>
      </c>
      <c r="M1392">
        <v>8.9599999999999999E-2</v>
      </c>
      <c r="N1392">
        <v>0</v>
      </c>
      <c r="O1392">
        <v>4</v>
      </c>
      <c r="P1392">
        <v>4</v>
      </c>
      <c r="Q1392" s="17" t="str">
        <f t="shared" si="65"/>
        <v>Weekends</v>
      </c>
      <c r="R1392" s="17" t="str">
        <f t="shared" si="63"/>
        <v>Morning</v>
      </c>
      <c r="S1392" s="9" t="str">
        <f t="shared" si="64"/>
        <v>Light Snow/Rain</v>
      </c>
    </row>
    <row r="1393" spans="1:19" x14ac:dyDescent="0.25">
      <c r="A1393">
        <v>790</v>
      </c>
      <c r="B1393" s="19">
        <v>40579</v>
      </c>
      <c r="C1393">
        <v>1</v>
      </c>
      <c r="D1393">
        <v>2</v>
      </c>
      <c r="E1393">
        <v>8</v>
      </c>
      <c r="F1393" t="b">
        <v>0</v>
      </c>
      <c r="G1393">
        <v>6</v>
      </c>
      <c r="H1393">
        <v>3</v>
      </c>
      <c r="I1393">
        <v>0.2</v>
      </c>
      <c r="K1393">
        <v>0.2273</v>
      </c>
      <c r="L1393">
        <v>1</v>
      </c>
      <c r="M1393">
        <v>8.9599999999999999E-2</v>
      </c>
      <c r="N1393">
        <v>0</v>
      </c>
      <c r="O1393">
        <v>10</v>
      </c>
      <c r="P1393">
        <v>10</v>
      </c>
      <c r="Q1393" s="17" t="str">
        <f t="shared" si="65"/>
        <v>Weekends</v>
      </c>
      <c r="R1393" s="17" t="str">
        <f t="shared" si="63"/>
        <v>Morning</v>
      </c>
      <c r="S1393" s="9" t="str">
        <f t="shared" si="64"/>
        <v>Light Snow/Rain</v>
      </c>
    </row>
    <row r="1394" spans="1:19" x14ac:dyDescent="0.25">
      <c r="A1394">
        <v>791</v>
      </c>
      <c r="B1394" s="19">
        <v>40579</v>
      </c>
      <c r="C1394">
        <v>1</v>
      </c>
      <c r="D1394">
        <v>2</v>
      </c>
      <c r="E1394">
        <v>9</v>
      </c>
      <c r="F1394" t="b">
        <v>0</v>
      </c>
      <c r="G1394">
        <v>6</v>
      </c>
      <c r="H1394">
        <v>3</v>
      </c>
      <c r="I1394">
        <v>0.2</v>
      </c>
      <c r="K1394">
        <v>0.2273</v>
      </c>
      <c r="L1394">
        <v>1</v>
      </c>
      <c r="M1394">
        <v>8.9599999999999999E-2</v>
      </c>
      <c r="N1394">
        <v>3</v>
      </c>
      <c r="O1394">
        <v>17</v>
      </c>
      <c r="P1394">
        <v>20</v>
      </c>
      <c r="Q1394" s="17" t="str">
        <f t="shared" si="65"/>
        <v>Weekends</v>
      </c>
      <c r="R1394" s="17" t="str">
        <f t="shared" si="63"/>
        <v>Morning</v>
      </c>
      <c r="S1394" s="9" t="str">
        <f t="shared" si="64"/>
        <v>Light Snow/Rain</v>
      </c>
    </row>
    <row r="1395" spans="1:19" x14ac:dyDescent="0.25">
      <c r="A1395">
        <v>792</v>
      </c>
      <c r="B1395" s="19">
        <v>40579</v>
      </c>
      <c r="C1395">
        <v>1</v>
      </c>
      <c r="D1395">
        <v>2</v>
      </c>
      <c r="E1395">
        <v>10</v>
      </c>
      <c r="F1395" t="b">
        <v>0</v>
      </c>
      <c r="G1395">
        <v>6</v>
      </c>
      <c r="H1395">
        <v>3</v>
      </c>
      <c r="I1395">
        <v>0.2</v>
      </c>
      <c r="K1395">
        <v>0.21210000000000001</v>
      </c>
      <c r="L1395">
        <v>1</v>
      </c>
      <c r="M1395">
        <v>0.1343</v>
      </c>
      <c r="N1395">
        <v>3</v>
      </c>
      <c r="O1395">
        <v>31</v>
      </c>
      <c r="P1395">
        <v>34</v>
      </c>
      <c r="Q1395" s="17" t="str">
        <f t="shared" si="65"/>
        <v>Weekends</v>
      </c>
      <c r="R1395" s="17" t="str">
        <f t="shared" si="63"/>
        <v>Morning</v>
      </c>
      <c r="S1395" s="9" t="str">
        <f t="shared" si="64"/>
        <v>Light Snow/Rain</v>
      </c>
    </row>
    <row r="1396" spans="1:19" x14ac:dyDescent="0.25">
      <c r="A1396">
        <v>793</v>
      </c>
      <c r="B1396" s="19">
        <v>40579</v>
      </c>
      <c r="C1396">
        <v>1</v>
      </c>
      <c r="D1396">
        <v>2</v>
      </c>
      <c r="E1396">
        <v>11</v>
      </c>
      <c r="F1396" t="b">
        <v>0</v>
      </c>
      <c r="G1396">
        <v>6</v>
      </c>
      <c r="H1396">
        <v>3</v>
      </c>
      <c r="I1396">
        <v>0.22</v>
      </c>
      <c r="K1396">
        <v>0.2273</v>
      </c>
      <c r="L1396">
        <v>1</v>
      </c>
      <c r="M1396">
        <v>0.1343</v>
      </c>
      <c r="N1396">
        <v>1</v>
      </c>
      <c r="O1396">
        <v>46</v>
      </c>
      <c r="P1396">
        <v>47</v>
      </c>
      <c r="Q1396" s="17" t="str">
        <f t="shared" si="65"/>
        <v>Weekends</v>
      </c>
      <c r="R1396" s="17" t="str">
        <f t="shared" si="63"/>
        <v>Morning</v>
      </c>
      <c r="S1396" s="9" t="str">
        <f t="shared" si="64"/>
        <v>Light Snow/Rain</v>
      </c>
    </row>
    <row r="1397" spans="1:19" x14ac:dyDescent="0.25">
      <c r="A1397">
        <v>794</v>
      </c>
      <c r="B1397" s="19">
        <v>40579</v>
      </c>
      <c r="C1397">
        <v>1</v>
      </c>
      <c r="D1397">
        <v>2</v>
      </c>
      <c r="E1397">
        <v>12</v>
      </c>
      <c r="F1397" t="b">
        <v>0</v>
      </c>
      <c r="G1397">
        <v>6</v>
      </c>
      <c r="H1397">
        <v>3</v>
      </c>
      <c r="I1397">
        <v>0.22</v>
      </c>
      <c r="K1397">
        <v>0.2273</v>
      </c>
      <c r="L1397">
        <v>1</v>
      </c>
      <c r="M1397">
        <v>0.16420000000000001</v>
      </c>
      <c r="N1397">
        <v>10</v>
      </c>
      <c r="O1397">
        <v>42</v>
      </c>
      <c r="P1397">
        <v>52</v>
      </c>
      <c r="Q1397" s="17" t="str">
        <f t="shared" si="65"/>
        <v>Weekends</v>
      </c>
      <c r="R1397" s="17" t="str">
        <f t="shared" si="63"/>
        <v>Afternoon</v>
      </c>
      <c r="S1397" s="9" t="str">
        <f t="shared" si="64"/>
        <v>Light Snow/Rain</v>
      </c>
    </row>
    <row r="1398" spans="1:19" x14ac:dyDescent="0.25">
      <c r="A1398">
        <v>795</v>
      </c>
      <c r="B1398" s="19">
        <v>40579</v>
      </c>
      <c r="C1398">
        <v>1</v>
      </c>
      <c r="D1398">
        <v>2</v>
      </c>
      <c r="E1398">
        <v>13</v>
      </c>
      <c r="F1398" t="b">
        <v>0</v>
      </c>
      <c r="G1398">
        <v>6</v>
      </c>
      <c r="H1398">
        <v>3</v>
      </c>
      <c r="I1398">
        <v>0.22</v>
      </c>
      <c r="K1398">
        <v>0.2273</v>
      </c>
      <c r="L1398">
        <v>1</v>
      </c>
      <c r="M1398">
        <v>0.16420000000000001</v>
      </c>
      <c r="N1398">
        <v>10</v>
      </c>
      <c r="O1398">
        <v>62</v>
      </c>
      <c r="P1398">
        <v>72</v>
      </c>
      <c r="Q1398" s="17" t="str">
        <f t="shared" si="65"/>
        <v>Weekends</v>
      </c>
      <c r="R1398" s="17" t="str">
        <f t="shared" si="63"/>
        <v>Afternoon</v>
      </c>
      <c r="S1398" s="9" t="str">
        <f t="shared" si="64"/>
        <v>Light Snow/Rain</v>
      </c>
    </row>
    <row r="1399" spans="1:19" x14ac:dyDescent="0.25">
      <c r="A1399">
        <v>796</v>
      </c>
      <c r="B1399" s="19">
        <v>40579</v>
      </c>
      <c r="C1399">
        <v>1</v>
      </c>
      <c r="D1399">
        <v>2</v>
      </c>
      <c r="E1399">
        <v>14</v>
      </c>
      <c r="F1399" t="b">
        <v>0</v>
      </c>
      <c r="G1399">
        <v>6</v>
      </c>
      <c r="H1399">
        <v>3</v>
      </c>
      <c r="I1399">
        <v>0.22</v>
      </c>
      <c r="K1399">
        <v>0.2727</v>
      </c>
      <c r="L1399">
        <v>1</v>
      </c>
      <c r="M1399">
        <v>0</v>
      </c>
      <c r="N1399">
        <v>5</v>
      </c>
      <c r="O1399">
        <v>50</v>
      </c>
      <c r="P1399">
        <v>55</v>
      </c>
      <c r="Q1399" s="17" t="str">
        <f t="shared" si="65"/>
        <v>Weekends</v>
      </c>
      <c r="R1399" s="17" t="str">
        <f t="shared" si="63"/>
        <v>Afternoon</v>
      </c>
      <c r="S1399" s="9" t="str">
        <f t="shared" si="64"/>
        <v>Light Snow/Rain</v>
      </c>
    </row>
    <row r="1400" spans="1:19" x14ac:dyDescent="0.25">
      <c r="A1400">
        <v>797</v>
      </c>
      <c r="B1400" s="19">
        <v>40579</v>
      </c>
      <c r="C1400">
        <v>1</v>
      </c>
      <c r="D1400">
        <v>2</v>
      </c>
      <c r="E1400">
        <v>15</v>
      </c>
      <c r="F1400" t="b">
        <v>0</v>
      </c>
      <c r="G1400">
        <v>6</v>
      </c>
      <c r="H1400">
        <v>3</v>
      </c>
      <c r="I1400">
        <v>0.22</v>
      </c>
      <c r="K1400">
        <v>0.2727</v>
      </c>
      <c r="L1400">
        <v>1</v>
      </c>
      <c r="M1400">
        <v>0</v>
      </c>
      <c r="N1400">
        <v>11</v>
      </c>
      <c r="O1400">
        <v>49</v>
      </c>
      <c r="P1400">
        <v>60</v>
      </c>
      <c r="Q1400" s="17" t="str">
        <f t="shared" si="65"/>
        <v>Weekends</v>
      </c>
      <c r="R1400" s="17" t="str">
        <f t="shared" si="63"/>
        <v>Afternoon</v>
      </c>
      <c r="S1400" s="9" t="str">
        <f t="shared" si="64"/>
        <v>Light Snow/Rain</v>
      </c>
    </row>
    <row r="1401" spans="1:19" x14ac:dyDescent="0.25">
      <c r="A1401">
        <v>798</v>
      </c>
      <c r="B1401" s="19">
        <v>40579</v>
      </c>
      <c r="C1401">
        <v>1</v>
      </c>
      <c r="D1401">
        <v>2</v>
      </c>
      <c r="E1401">
        <v>16</v>
      </c>
      <c r="F1401" t="b">
        <v>0</v>
      </c>
      <c r="G1401">
        <v>6</v>
      </c>
      <c r="H1401">
        <v>3</v>
      </c>
      <c r="I1401">
        <v>0.22</v>
      </c>
      <c r="K1401">
        <v>0.2273</v>
      </c>
      <c r="L1401">
        <v>1</v>
      </c>
      <c r="M1401">
        <v>0.1343</v>
      </c>
      <c r="N1401">
        <v>8</v>
      </c>
      <c r="O1401">
        <v>63</v>
      </c>
      <c r="P1401">
        <v>71</v>
      </c>
      <c r="Q1401" s="17" t="str">
        <f t="shared" si="65"/>
        <v>Weekends</v>
      </c>
      <c r="R1401" s="17" t="str">
        <f t="shared" si="63"/>
        <v>Evening</v>
      </c>
      <c r="S1401" s="9" t="str">
        <f t="shared" si="64"/>
        <v>Light Snow/Rain</v>
      </c>
    </row>
    <row r="1402" spans="1:19" x14ac:dyDescent="0.25">
      <c r="A1402">
        <v>799</v>
      </c>
      <c r="B1402" s="19">
        <v>40579</v>
      </c>
      <c r="C1402">
        <v>1</v>
      </c>
      <c r="D1402">
        <v>2</v>
      </c>
      <c r="E1402">
        <v>17</v>
      </c>
      <c r="F1402" t="b">
        <v>0</v>
      </c>
      <c r="G1402">
        <v>6</v>
      </c>
      <c r="H1402">
        <v>2</v>
      </c>
      <c r="I1402">
        <v>0.24</v>
      </c>
      <c r="K1402">
        <v>0.21210000000000001</v>
      </c>
      <c r="L1402">
        <v>1</v>
      </c>
      <c r="M1402">
        <v>0.28360000000000002</v>
      </c>
      <c r="N1402">
        <v>14</v>
      </c>
      <c r="O1402">
        <v>64</v>
      </c>
      <c r="P1402">
        <v>78</v>
      </c>
      <c r="Q1402" s="17" t="str">
        <f t="shared" si="65"/>
        <v>Weekends</v>
      </c>
      <c r="R1402" s="17" t="str">
        <f t="shared" si="63"/>
        <v>Evening</v>
      </c>
      <c r="S1402" s="9" t="str">
        <f t="shared" si="64"/>
        <v>Mist</v>
      </c>
    </row>
    <row r="1403" spans="1:19" x14ac:dyDescent="0.25">
      <c r="A1403">
        <v>800</v>
      </c>
      <c r="B1403" s="19">
        <v>40579</v>
      </c>
      <c r="C1403">
        <v>1</v>
      </c>
      <c r="D1403">
        <v>2</v>
      </c>
      <c r="E1403">
        <v>18</v>
      </c>
      <c r="F1403" t="b">
        <v>0</v>
      </c>
      <c r="G1403">
        <v>6</v>
      </c>
      <c r="H1403">
        <v>2</v>
      </c>
      <c r="I1403">
        <v>0.28000000000000003</v>
      </c>
      <c r="K1403">
        <v>0.2424</v>
      </c>
      <c r="L1403">
        <v>0.93</v>
      </c>
      <c r="M1403">
        <v>0.44779999999999998</v>
      </c>
      <c r="N1403">
        <v>2</v>
      </c>
      <c r="O1403">
        <v>81</v>
      </c>
      <c r="P1403">
        <v>83</v>
      </c>
      <c r="Q1403" s="17" t="str">
        <f t="shared" si="65"/>
        <v>Weekends</v>
      </c>
      <c r="R1403" s="17" t="str">
        <f t="shared" si="63"/>
        <v>Evening</v>
      </c>
      <c r="S1403" s="9" t="str">
        <f t="shared" si="64"/>
        <v>Mist</v>
      </c>
    </row>
    <row r="1404" spans="1:19" x14ac:dyDescent="0.25">
      <c r="A1404">
        <v>801</v>
      </c>
      <c r="B1404" s="19">
        <v>40579</v>
      </c>
      <c r="C1404">
        <v>1</v>
      </c>
      <c r="D1404">
        <v>2</v>
      </c>
      <c r="E1404">
        <v>19</v>
      </c>
      <c r="F1404" t="b">
        <v>0</v>
      </c>
      <c r="G1404">
        <v>6</v>
      </c>
      <c r="H1404">
        <v>2</v>
      </c>
      <c r="I1404">
        <v>0.28000000000000003</v>
      </c>
      <c r="K1404">
        <v>0.2424</v>
      </c>
      <c r="L1404">
        <v>0.93</v>
      </c>
      <c r="M1404">
        <v>0.44779999999999998</v>
      </c>
      <c r="N1404">
        <v>6</v>
      </c>
      <c r="O1404">
        <v>78</v>
      </c>
      <c r="P1404">
        <v>84</v>
      </c>
      <c r="Q1404" s="17" t="str">
        <f t="shared" si="65"/>
        <v>Weekends</v>
      </c>
      <c r="R1404" s="17" t="str">
        <f t="shared" si="63"/>
        <v>Evening</v>
      </c>
      <c r="S1404" s="9" t="str">
        <f t="shared" si="64"/>
        <v>Mist</v>
      </c>
    </row>
    <row r="1405" spans="1:19" x14ac:dyDescent="0.25">
      <c r="A1405">
        <v>802</v>
      </c>
      <c r="B1405" s="19">
        <v>40579</v>
      </c>
      <c r="C1405">
        <v>1</v>
      </c>
      <c r="D1405">
        <v>2</v>
      </c>
      <c r="E1405">
        <v>20</v>
      </c>
      <c r="F1405" t="b">
        <v>0</v>
      </c>
      <c r="G1405">
        <v>6</v>
      </c>
      <c r="H1405">
        <v>1</v>
      </c>
      <c r="I1405">
        <v>0.3</v>
      </c>
      <c r="K1405">
        <v>0.28789999999999999</v>
      </c>
      <c r="L1405">
        <v>0.87</v>
      </c>
      <c r="M1405">
        <v>0.25369999999999998</v>
      </c>
      <c r="N1405">
        <v>5</v>
      </c>
      <c r="O1405">
        <v>64</v>
      </c>
      <c r="P1405">
        <v>69</v>
      </c>
      <c r="Q1405" s="17" t="str">
        <f t="shared" si="65"/>
        <v>Weekends</v>
      </c>
      <c r="R1405" s="17" t="str">
        <f t="shared" si="63"/>
        <v>Evening</v>
      </c>
      <c r="S1405" s="9" t="str">
        <f t="shared" si="64"/>
        <v>Clear</v>
      </c>
    </row>
    <row r="1406" spans="1:19" x14ac:dyDescent="0.25">
      <c r="A1406">
        <v>803</v>
      </c>
      <c r="B1406" s="19">
        <v>40579</v>
      </c>
      <c r="C1406">
        <v>1</v>
      </c>
      <c r="D1406">
        <v>2</v>
      </c>
      <c r="E1406">
        <v>21</v>
      </c>
      <c r="F1406" t="b">
        <v>0</v>
      </c>
      <c r="G1406">
        <v>6</v>
      </c>
      <c r="H1406">
        <v>1</v>
      </c>
      <c r="I1406">
        <v>0.26</v>
      </c>
      <c r="K1406">
        <v>0.2576</v>
      </c>
      <c r="L1406">
        <v>1</v>
      </c>
      <c r="M1406">
        <v>0.19400000000000001</v>
      </c>
      <c r="N1406">
        <v>3</v>
      </c>
      <c r="O1406">
        <v>53</v>
      </c>
      <c r="P1406">
        <v>56</v>
      </c>
      <c r="Q1406" s="17" t="str">
        <f t="shared" si="65"/>
        <v>Weekends</v>
      </c>
      <c r="R1406" s="17" t="str">
        <f t="shared" si="63"/>
        <v>Night</v>
      </c>
      <c r="S1406" s="9" t="str">
        <f t="shared" si="64"/>
        <v>Clear</v>
      </c>
    </row>
    <row r="1407" spans="1:19" x14ac:dyDescent="0.25">
      <c r="A1407">
        <v>804</v>
      </c>
      <c r="B1407" s="19">
        <v>40579</v>
      </c>
      <c r="C1407">
        <v>1</v>
      </c>
      <c r="D1407">
        <v>2</v>
      </c>
      <c r="E1407">
        <v>22</v>
      </c>
      <c r="F1407" t="b">
        <v>0</v>
      </c>
      <c r="G1407">
        <v>6</v>
      </c>
      <c r="H1407">
        <v>1</v>
      </c>
      <c r="I1407">
        <v>0.26</v>
      </c>
      <c r="K1407">
        <v>0.2727</v>
      </c>
      <c r="L1407">
        <v>0.93</v>
      </c>
      <c r="M1407">
        <v>0.1343</v>
      </c>
      <c r="N1407">
        <v>2</v>
      </c>
      <c r="O1407">
        <v>43</v>
      </c>
      <c r="P1407">
        <v>45</v>
      </c>
      <c r="Q1407" s="17" t="str">
        <f t="shared" si="65"/>
        <v>Weekends</v>
      </c>
      <c r="R1407" s="17" t="str">
        <f t="shared" si="63"/>
        <v>Night</v>
      </c>
      <c r="S1407" s="9" t="str">
        <f t="shared" si="64"/>
        <v>Clear</v>
      </c>
    </row>
    <row r="1408" spans="1:19" x14ac:dyDescent="0.25">
      <c r="A1408">
        <v>805</v>
      </c>
      <c r="B1408" s="19">
        <v>40579</v>
      </c>
      <c r="C1408">
        <v>1</v>
      </c>
      <c r="D1408">
        <v>2</v>
      </c>
      <c r="E1408">
        <v>23</v>
      </c>
      <c r="F1408" t="b">
        <v>0</v>
      </c>
      <c r="G1408">
        <v>6</v>
      </c>
      <c r="H1408">
        <v>1</v>
      </c>
      <c r="I1408">
        <v>0.26</v>
      </c>
      <c r="K1408">
        <v>0.2576</v>
      </c>
      <c r="L1408">
        <v>0.93</v>
      </c>
      <c r="M1408">
        <v>0.22389999999999999</v>
      </c>
      <c r="N1408">
        <v>7</v>
      </c>
      <c r="O1408">
        <v>52</v>
      </c>
      <c r="P1408">
        <v>59</v>
      </c>
      <c r="Q1408" s="17" t="str">
        <f t="shared" si="65"/>
        <v>Weekends</v>
      </c>
      <c r="R1408" s="17" t="str">
        <f t="shared" si="63"/>
        <v>Night</v>
      </c>
      <c r="S1408" s="9" t="str">
        <f t="shared" si="64"/>
        <v>Clear</v>
      </c>
    </row>
    <row r="1409" spans="1:19" x14ac:dyDescent="0.25">
      <c r="A1409">
        <v>806</v>
      </c>
      <c r="B1409" s="19">
        <v>40580</v>
      </c>
      <c r="C1409">
        <v>1</v>
      </c>
      <c r="D1409">
        <v>2</v>
      </c>
      <c r="E1409">
        <v>0</v>
      </c>
      <c r="F1409" t="b">
        <v>0</v>
      </c>
      <c r="G1409">
        <v>0</v>
      </c>
      <c r="H1409">
        <v>1</v>
      </c>
      <c r="I1409">
        <v>0.26</v>
      </c>
      <c r="K1409">
        <v>0.2576</v>
      </c>
      <c r="L1409">
        <v>0.7</v>
      </c>
      <c r="M1409">
        <v>0.19400000000000001</v>
      </c>
      <c r="N1409">
        <v>2</v>
      </c>
      <c r="O1409">
        <v>37</v>
      </c>
      <c r="P1409">
        <v>39</v>
      </c>
      <c r="Q1409" s="17" t="str">
        <f t="shared" si="65"/>
        <v>Weekdays</v>
      </c>
      <c r="R1409" s="17" t="str">
        <f t="shared" si="63"/>
        <v>Morning</v>
      </c>
      <c r="S1409" s="9" t="str">
        <f t="shared" si="64"/>
        <v>Clear</v>
      </c>
    </row>
    <row r="1410" spans="1:19" x14ac:dyDescent="0.25">
      <c r="A1410">
        <v>807</v>
      </c>
      <c r="B1410" s="19">
        <v>40580</v>
      </c>
      <c r="C1410">
        <v>1</v>
      </c>
      <c r="D1410">
        <v>2</v>
      </c>
      <c r="E1410">
        <v>1</v>
      </c>
      <c r="F1410" t="b">
        <v>0</v>
      </c>
      <c r="G1410">
        <v>0</v>
      </c>
      <c r="H1410">
        <v>1</v>
      </c>
      <c r="I1410">
        <v>0.26</v>
      </c>
      <c r="K1410">
        <v>0.2273</v>
      </c>
      <c r="L1410">
        <v>0.65</v>
      </c>
      <c r="M1410">
        <v>0.41789999999999999</v>
      </c>
      <c r="N1410">
        <v>4</v>
      </c>
      <c r="O1410">
        <v>40</v>
      </c>
      <c r="P1410">
        <v>44</v>
      </c>
      <c r="Q1410" s="17" t="str">
        <f t="shared" si="65"/>
        <v>Weekdays</v>
      </c>
      <c r="R1410" s="17" t="str">
        <f t="shared" ref="R1410:R1473" si="66">IF(E1410&lt;12,"Morning",IF(E1410&lt;16,"Afternoon",IF(E1410&lt;21,"Evening","Night")))</f>
        <v>Morning</v>
      </c>
      <c r="S1410" s="9" t="str">
        <f t="shared" ref="S1410:S1473" si="67">IF(H1410=1,"Clear",IF(H1410=2,"Mist",IF(H1410=3,"Light Snow/Rain","Heavy Rain/Snow")))</f>
        <v>Clear</v>
      </c>
    </row>
    <row r="1411" spans="1:19" x14ac:dyDescent="0.25">
      <c r="A1411">
        <v>808</v>
      </c>
      <c r="B1411" s="19">
        <v>40580</v>
      </c>
      <c r="C1411">
        <v>1</v>
      </c>
      <c r="D1411">
        <v>2</v>
      </c>
      <c r="E1411">
        <v>2</v>
      </c>
      <c r="F1411" t="b">
        <v>0</v>
      </c>
      <c r="G1411">
        <v>0</v>
      </c>
      <c r="H1411">
        <v>1</v>
      </c>
      <c r="I1411">
        <v>0.26</v>
      </c>
      <c r="K1411">
        <v>0.2273</v>
      </c>
      <c r="L1411">
        <v>0.6</v>
      </c>
      <c r="M1411">
        <v>0.32840000000000003</v>
      </c>
      <c r="N1411">
        <v>0</v>
      </c>
      <c r="O1411">
        <v>20</v>
      </c>
      <c r="P1411">
        <v>20</v>
      </c>
      <c r="Q1411" s="17" t="str">
        <f t="shared" ref="Q1411:Q1474" si="68">IF(G1411&gt;=5,"Weekends","Weekdays")</f>
        <v>Weekdays</v>
      </c>
      <c r="R1411" s="17" t="str">
        <f t="shared" si="66"/>
        <v>Morning</v>
      </c>
      <c r="S1411" s="9" t="str">
        <f t="shared" si="67"/>
        <v>Clear</v>
      </c>
    </row>
    <row r="1412" spans="1:19" x14ac:dyDescent="0.25">
      <c r="A1412">
        <v>809</v>
      </c>
      <c r="B1412" s="19">
        <v>40580</v>
      </c>
      <c r="C1412">
        <v>1</v>
      </c>
      <c r="D1412">
        <v>2</v>
      </c>
      <c r="E1412">
        <v>3</v>
      </c>
      <c r="F1412" t="b">
        <v>0</v>
      </c>
      <c r="G1412">
        <v>0</v>
      </c>
      <c r="H1412">
        <v>1</v>
      </c>
      <c r="I1412">
        <v>0.26</v>
      </c>
      <c r="K1412">
        <v>0.28789999999999999</v>
      </c>
      <c r="L1412">
        <v>0.6</v>
      </c>
      <c r="M1412">
        <v>8.9599999999999999E-2</v>
      </c>
      <c r="N1412">
        <v>3</v>
      </c>
      <c r="O1412">
        <v>10</v>
      </c>
      <c r="P1412">
        <v>13</v>
      </c>
      <c r="Q1412" s="17" t="str">
        <f t="shared" si="68"/>
        <v>Weekdays</v>
      </c>
      <c r="R1412" s="17" t="str">
        <f t="shared" si="66"/>
        <v>Morning</v>
      </c>
      <c r="S1412" s="9" t="str">
        <f t="shared" si="67"/>
        <v>Clear</v>
      </c>
    </row>
    <row r="1413" spans="1:19" x14ac:dyDescent="0.25">
      <c r="A1413">
        <v>810</v>
      </c>
      <c r="B1413" s="19">
        <v>40580</v>
      </c>
      <c r="C1413">
        <v>1</v>
      </c>
      <c r="D1413">
        <v>2</v>
      </c>
      <c r="E1413">
        <v>4</v>
      </c>
      <c r="F1413" t="b">
        <v>0</v>
      </c>
      <c r="G1413">
        <v>0</v>
      </c>
      <c r="H1413">
        <v>1</v>
      </c>
      <c r="I1413">
        <v>0.26</v>
      </c>
      <c r="K1413">
        <v>0.2273</v>
      </c>
      <c r="L1413">
        <v>0.6</v>
      </c>
      <c r="M1413">
        <v>0.35820000000000002</v>
      </c>
      <c r="N1413">
        <v>0</v>
      </c>
      <c r="O1413">
        <v>2</v>
      </c>
      <c r="P1413">
        <v>2</v>
      </c>
      <c r="Q1413" s="17" t="str">
        <f t="shared" si="68"/>
        <v>Weekdays</v>
      </c>
      <c r="R1413" s="17" t="str">
        <f t="shared" si="66"/>
        <v>Morning</v>
      </c>
      <c r="S1413" s="9" t="str">
        <f t="shared" si="67"/>
        <v>Clear</v>
      </c>
    </row>
    <row r="1414" spans="1:19" x14ac:dyDescent="0.25">
      <c r="A1414">
        <v>811</v>
      </c>
      <c r="B1414" s="19">
        <v>40580</v>
      </c>
      <c r="C1414">
        <v>1</v>
      </c>
      <c r="D1414">
        <v>2</v>
      </c>
      <c r="E1414">
        <v>5</v>
      </c>
      <c r="F1414" t="b">
        <v>0</v>
      </c>
      <c r="G1414">
        <v>0</v>
      </c>
      <c r="H1414">
        <v>1</v>
      </c>
      <c r="I1414">
        <v>0.26</v>
      </c>
      <c r="K1414">
        <v>0.2576</v>
      </c>
      <c r="L1414">
        <v>0.6</v>
      </c>
      <c r="M1414">
        <v>0.22389999999999999</v>
      </c>
      <c r="N1414">
        <v>0</v>
      </c>
      <c r="O1414">
        <v>1</v>
      </c>
      <c r="P1414">
        <v>1</v>
      </c>
      <c r="Q1414" s="17" t="str">
        <f t="shared" si="68"/>
        <v>Weekdays</v>
      </c>
      <c r="R1414" s="17" t="str">
        <f t="shared" si="66"/>
        <v>Morning</v>
      </c>
      <c r="S1414" s="9" t="str">
        <f t="shared" si="67"/>
        <v>Clear</v>
      </c>
    </row>
    <row r="1415" spans="1:19" x14ac:dyDescent="0.25">
      <c r="A1415">
        <v>812</v>
      </c>
      <c r="B1415" s="19">
        <v>40580</v>
      </c>
      <c r="C1415">
        <v>1</v>
      </c>
      <c r="D1415">
        <v>2</v>
      </c>
      <c r="E1415">
        <v>6</v>
      </c>
      <c r="F1415" t="b">
        <v>0</v>
      </c>
      <c r="G1415">
        <v>0</v>
      </c>
      <c r="H1415">
        <v>1</v>
      </c>
      <c r="I1415">
        <v>0.26</v>
      </c>
      <c r="K1415">
        <v>0.2576</v>
      </c>
      <c r="L1415">
        <v>0.6</v>
      </c>
      <c r="M1415">
        <v>0.22389999999999999</v>
      </c>
      <c r="N1415">
        <v>0</v>
      </c>
      <c r="O1415">
        <v>1</v>
      </c>
      <c r="P1415">
        <v>1</v>
      </c>
      <c r="Q1415" s="17" t="str">
        <f t="shared" si="68"/>
        <v>Weekdays</v>
      </c>
      <c r="R1415" s="17" t="str">
        <f t="shared" si="66"/>
        <v>Morning</v>
      </c>
      <c r="S1415" s="9" t="str">
        <f t="shared" si="67"/>
        <v>Clear</v>
      </c>
    </row>
    <row r="1416" spans="1:19" x14ac:dyDescent="0.25">
      <c r="A1416">
        <v>813</v>
      </c>
      <c r="B1416" s="19">
        <v>40580</v>
      </c>
      <c r="C1416">
        <v>1</v>
      </c>
      <c r="D1416">
        <v>2</v>
      </c>
      <c r="E1416">
        <v>7</v>
      </c>
      <c r="F1416" t="b">
        <v>0</v>
      </c>
      <c r="G1416">
        <v>0</v>
      </c>
      <c r="H1416">
        <v>1</v>
      </c>
      <c r="I1416">
        <v>0.24</v>
      </c>
      <c r="K1416">
        <v>0.2424</v>
      </c>
      <c r="L1416">
        <v>0.65</v>
      </c>
      <c r="M1416">
        <v>0.16420000000000001</v>
      </c>
      <c r="N1416">
        <v>0</v>
      </c>
      <c r="O1416">
        <v>8</v>
      </c>
      <c r="P1416">
        <v>8</v>
      </c>
      <c r="Q1416" s="17" t="str">
        <f t="shared" si="68"/>
        <v>Weekdays</v>
      </c>
      <c r="R1416" s="17" t="str">
        <f t="shared" si="66"/>
        <v>Morning</v>
      </c>
      <c r="S1416" s="9" t="str">
        <f t="shared" si="67"/>
        <v>Clear</v>
      </c>
    </row>
    <row r="1417" spans="1:19" x14ac:dyDescent="0.25">
      <c r="A1417">
        <v>814</v>
      </c>
      <c r="B1417" s="19">
        <v>40580</v>
      </c>
      <c r="C1417">
        <v>1</v>
      </c>
      <c r="D1417">
        <v>2</v>
      </c>
      <c r="E1417">
        <v>8</v>
      </c>
      <c r="F1417" t="b">
        <v>0</v>
      </c>
      <c r="G1417">
        <v>0</v>
      </c>
      <c r="H1417">
        <v>1</v>
      </c>
      <c r="I1417">
        <v>0.24</v>
      </c>
      <c r="K1417">
        <v>0.2576</v>
      </c>
      <c r="L1417">
        <v>0.65</v>
      </c>
      <c r="M1417">
        <v>0.1045</v>
      </c>
      <c r="N1417">
        <v>2</v>
      </c>
      <c r="O1417">
        <v>21</v>
      </c>
      <c r="P1417">
        <v>23</v>
      </c>
      <c r="Q1417" s="17" t="str">
        <f t="shared" si="68"/>
        <v>Weekdays</v>
      </c>
      <c r="R1417" s="17" t="str">
        <f t="shared" si="66"/>
        <v>Morning</v>
      </c>
      <c r="S1417" s="9" t="str">
        <f t="shared" si="67"/>
        <v>Clear</v>
      </c>
    </row>
    <row r="1418" spans="1:19" x14ac:dyDescent="0.25">
      <c r="A1418">
        <v>815</v>
      </c>
      <c r="B1418" s="19">
        <v>40580</v>
      </c>
      <c r="C1418">
        <v>1</v>
      </c>
      <c r="D1418">
        <v>2</v>
      </c>
      <c r="E1418">
        <v>9</v>
      </c>
      <c r="F1418" t="b">
        <v>0</v>
      </c>
      <c r="G1418">
        <v>0</v>
      </c>
      <c r="H1418">
        <v>1</v>
      </c>
      <c r="I1418">
        <v>0.28000000000000003</v>
      </c>
      <c r="K1418">
        <v>0.28789999999999999</v>
      </c>
      <c r="L1418">
        <v>0.56000000000000005</v>
      </c>
      <c r="M1418">
        <v>0.1045</v>
      </c>
      <c r="N1418">
        <v>7</v>
      </c>
      <c r="O1418">
        <v>38</v>
      </c>
      <c r="P1418">
        <v>45</v>
      </c>
      <c r="Q1418" s="17" t="str">
        <f t="shared" si="68"/>
        <v>Weekdays</v>
      </c>
      <c r="R1418" s="17" t="str">
        <f t="shared" si="66"/>
        <v>Morning</v>
      </c>
      <c r="S1418" s="9" t="str">
        <f t="shared" si="67"/>
        <v>Clear</v>
      </c>
    </row>
    <row r="1419" spans="1:19" x14ac:dyDescent="0.25">
      <c r="A1419">
        <v>816</v>
      </c>
      <c r="B1419" s="19">
        <v>40580</v>
      </c>
      <c r="C1419">
        <v>1</v>
      </c>
      <c r="D1419">
        <v>2</v>
      </c>
      <c r="E1419">
        <v>10</v>
      </c>
      <c r="F1419" t="b">
        <v>0</v>
      </c>
      <c r="G1419">
        <v>0</v>
      </c>
      <c r="H1419">
        <v>1</v>
      </c>
      <c r="I1419">
        <v>0.3</v>
      </c>
      <c r="K1419">
        <v>0.28789999999999999</v>
      </c>
      <c r="L1419">
        <v>0.52</v>
      </c>
      <c r="M1419">
        <v>0.25369999999999998</v>
      </c>
      <c r="N1419">
        <v>15</v>
      </c>
      <c r="O1419">
        <v>74</v>
      </c>
      <c r="P1419">
        <v>89</v>
      </c>
      <c r="Q1419" s="17" t="str">
        <f t="shared" si="68"/>
        <v>Weekdays</v>
      </c>
      <c r="R1419" s="17" t="str">
        <f t="shared" si="66"/>
        <v>Morning</v>
      </c>
      <c r="S1419" s="9" t="str">
        <f t="shared" si="67"/>
        <v>Clear</v>
      </c>
    </row>
    <row r="1420" spans="1:19" x14ac:dyDescent="0.25">
      <c r="A1420">
        <v>817</v>
      </c>
      <c r="B1420" s="19">
        <v>40580</v>
      </c>
      <c r="C1420">
        <v>1</v>
      </c>
      <c r="D1420">
        <v>2</v>
      </c>
      <c r="E1420">
        <v>11</v>
      </c>
      <c r="F1420" t="b">
        <v>0</v>
      </c>
      <c r="G1420">
        <v>0</v>
      </c>
      <c r="H1420">
        <v>1</v>
      </c>
      <c r="I1420">
        <v>0.32</v>
      </c>
      <c r="K1420">
        <v>0.30299999999999999</v>
      </c>
      <c r="L1420">
        <v>0.49</v>
      </c>
      <c r="M1420">
        <v>0.25369999999999998</v>
      </c>
      <c r="N1420">
        <v>28</v>
      </c>
      <c r="O1420">
        <v>89</v>
      </c>
      <c r="P1420">
        <v>117</v>
      </c>
      <c r="Q1420" s="17" t="str">
        <f t="shared" si="68"/>
        <v>Weekdays</v>
      </c>
      <c r="R1420" s="17" t="str">
        <f t="shared" si="66"/>
        <v>Morning</v>
      </c>
      <c r="S1420" s="9" t="str">
        <f t="shared" si="67"/>
        <v>Clear</v>
      </c>
    </row>
    <row r="1421" spans="1:19" x14ac:dyDescent="0.25">
      <c r="A1421">
        <v>818</v>
      </c>
      <c r="B1421" s="19">
        <v>40580</v>
      </c>
      <c r="C1421">
        <v>1</v>
      </c>
      <c r="D1421">
        <v>2</v>
      </c>
      <c r="E1421">
        <v>12</v>
      </c>
      <c r="F1421" t="b">
        <v>0</v>
      </c>
      <c r="G1421">
        <v>0</v>
      </c>
      <c r="H1421">
        <v>1</v>
      </c>
      <c r="I1421">
        <v>0.34</v>
      </c>
      <c r="K1421">
        <v>0.33329999999999999</v>
      </c>
      <c r="L1421">
        <v>0.46</v>
      </c>
      <c r="M1421">
        <v>0</v>
      </c>
      <c r="N1421">
        <v>48</v>
      </c>
      <c r="O1421">
        <v>126</v>
      </c>
      <c r="P1421">
        <v>174</v>
      </c>
      <c r="Q1421" s="17" t="str">
        <f t="shared" si="68"/>
        <v>Weekdays</v>
      </c>
      <c r="R1421" s="17" t="str">
        <f t="shared" si="66"/>
        <v>Afternoon</v>
      </c>
      <c r="S1421" s="9" t="str">
        <f t="shared" si="67"/>
        <v>Clear</v>
      </c>
    </row>
    <row r="1422" spans="1:19" x14ac:dyDescent="0.25">
      <c r="A1422">
        <v>819</v>
      </c>
      <c r="B1422" s="19">
        <v>40580</v>
      </c>
      <c r="C1422">
        <v>1</v>
      </c>
      <c r="D1422">
        <v>2</v>
      </c>
      <c r="E1422">
        <v>13</v>
      </c>
      <c r="F1422" t="b">
        <v>0</v>
      </c>
      <c r="G1422">
        <v>0</v>
      </c>
      <c r="H1422">
        <v>1</v>
      </c>
      <c r="I1422">
        <v>0.34</v>
      </c>
      <c r="K1422">
        <v>0.36359999999999998</v>
      </c>
      <c r="L1422">
        <v>0.46</v>
      </c>
      <c r="M1422">
        <v>0</v>
      </c>
      <c r="N1422">
        <v>47</v>
      </c>
      <c r="O1422">
        <v>135</v>
      </c>
      <c r="P1422">
        <v>182</v>
      </c>
      <c r="Q1422" s="17" t="str">
        <f t="shared" si="68"/>
        <v>Weekdays</v>
      </c>
      <c r="R1422" s="17" t="str">
        <f t="shared" si="66"/>
        <v>Afternoon</v>
      </c>
      <c r="S1422" s="9" t="str">
        <f t="shared" si="67"/>
        <v>Clear</v>
      </c>
    </row>
    <row r="1423" spans="1:19" x14ac:dyDescent="0.25">
      <c r="A1423">
        <v>820</v>
      </c>
      <c r="B1423" s="19">
        <v>40580</v>
      </c>
      <c r="C1423">
        <v>1</v>
      </c>
      <c r="D1423">
        <v>2</v>
      </c>
      <c r="E1423">
        <v>14</v>
      </c>
      <c r="F1423" t="b">
        <v>0</v>
      </c>
      <c r="G1423">
        <v>0</v>
      </c>
      <c r="H1423">
        <v>1</v>
      </c>
      <c r="I1423">
        <v>0.34</v>
      </c>
      <c r="K1423">
        <v>0.34849999999999998</v>
      </c>
      <c r="L1423">
        <v>0.46</v>
      </c>
      <c r="M1423">
        <v>8.9599999999999999E-2</v>
      </c>
      <c r="N1423">
        <v>47</v>
      </c>
      <c r="O1423">
        <v>114</v>
      </c>
      <c r="P1423">
        <v>161</v>
      </c>
      <c r="Q1423" s="17" t="str">
        <f t="shared" si="68"/>
        <v>Weekdays</v>
      </c>
      <c r="R1423" s="17" t="str">
        <f t="shared" si="66"/>
        <v>Afternoon</v>
      </c>
      <c r="S1423" s="9" t="str">
        <f t="shared" si="67"/>
        <v>Clear</v>
      </c>
    </row>
    <row r="1424" spans="1:19" x14ac:dyDescent="0.25">
      <c r="A1424">
        <v>821</v>
      </c>
      <c r="B1424" s="19">
        <v>40580</v>
      </c>
      <c r="C1424">
        <v>1</v>
      </c>
      <c r="D1424">
        <v>2</v>
      </c>
      <c r="E1424">
        <v>15</v>
      </c>
      <c r="F1424" t="b">
        <v>0</v>
      </c>
      <c r="G1424">
        <v>0</v>
      </c>
      <c r="H1424">
        <v>1</v>
      </c>
      <c r="I1424">
        <v>0.34</v>
      </c>
      <c r="K1424">
        <v>0.34849999999999998</v>
      </c>
      <c r="L1424">
        <v>0.46</v>
      </c>
      <c r="M1424">
        <v>8.9599999999999999E-2</v>
      </c>
      <c r="N1424">
        <v>52</v>
      </c>
      <c r="O1424">
        <v>130</v>
      </c>
      <c r="P1424">
        <v>182</v>
      </c>
      <c r="Q1424" s="17" t="str">
        <f t="shared" si="68"/>
        <v>Weekdays</v>
      </c>
      <c r="R1424" s="17" t="str">
        <f t="shared" si="66"/>
        <v>Afternoon</v>
      </c>
      <c r="S1424" s="9" t="str">
        <f t="shared" si="67"/>
        <v>Clear</v>
      </c>
    </row>
    <row r="1425" spans="1:19" x14ac:dyDescent="0.25">
      <c r="A1425">
        <v>822</v>
      </c>
      <c r="B1425" s="19">
        <v>40580</v>
      </c>
      <c r="C1425">
        <v>1</v>
      </c>
      <c r="D1425">
        <v>2</v>
      </c>
      <c r="E1425">
        <v>16</v>
      </c>
      <c r="F1425" t="b">
        <v>0</v>
      </c>
      <c r="G1425">
        <v>0</v>
      </c>
      <c r="H1425">
        <v>1</v>
      </c>
      <c r="I1425">
        <v>0.34</v>
      </c>
      <c r="K1425">
        <v>0.34849999999999998</v>
      </c>
      <c r="L1425">
        <v>0.49</v>
      </c>
      <c r="M1425">
        <v>0.1045</v>
      </c>
      <c r="N1425">
        <v>42</v>
      </c>
      <c r="O1425">
        <v>115</v>
      </c>
      <c r="P1425">
        <v>157</v>
      </c>
      <c r="Q1425" s="17" t="str">
        <f t="shared" si="68"/>
        <v>Weekdays</v>
      </c>
      <c r="R1425" s="17" t="str">
        <f t="shared" si="66"/>
        <v>Evening</v>
      </c>
      <c r="S1425" s="9" t="str">
        <f t="shared" si="67"/>
        <v>Clear</v>
      </c>
    </row>
    <row r="1426" spans="1:19" x14ac:dyDescent="0.25">
      <c r="A1426">
        <v>823</v>
      </c>
      <c r="B1426" s="19">
        <v>40580</v>
      </c>
      <c r="C1426">
        <v>1</v>
      </c>
      <c r="D1426">
        <v>2</v>
      </c>
      <c r="E1426">
        <v>17</v>
      </c>
      <c r="F1426" t="b">
        <v>0</v>
      </c>
      <c r="G1426">
        <v>0</v>
      </c>
      <c r="H1426">
        <v>1</v>
      </c>
      <c r="I1426">
        <v>0.34</v>
      </c>
      <c r="K1426">
        <v>0.36359999999999998</v>
      </c>
      <c r="L1426">
        <v>0.46</v>
      </c>
      <c r="M1426">
        <v>0</v>
      </c>
      <c r="N1426">
        <v>24</v>
      </c>
      <c r="O1426">
        <v>97</v>
      </c>
      <c r="P1426">
        <v>121</v>
      </c>
      <c r="Q1426" s="17" t="str">
        <f t="shared" si="68"/>
        <v>Weekdays</v>
      </c>
      <c r="R1426" s="17" t="str">
        <f t="shared" si="66"/>
        <v>Evening</v>
      </c>
      <c r="S1426" s="9" t="str">
        <f t="shared" si="67"/>
        <v>Clear</v>
      </c>
    </row>
    <row r="1427" spans="1:19" x14ac:dyDescent="0.25">
      <c r="A1427">
        <v>824</v>
      </c>
      <c r="B1427" s="19">
        <v>40580</v>
      </c>
      <c r="C1427">
        <v>1</v>
      </c>
      <c r="D1427">
        <v>2</v>
      </c>
      <c r="E1427">
        <v>18</v>
      </c>
      <c r="F1427" t="b">
        <v>0</v>
      </c>
      <c r="G1427">
        <v>0</v>
      </c>
      <c r="H1427">
        <v>1</v>
      </c>
      <c r="I1427">
        <v>0.3</v>
      </c>
      <c r="K1427">
        <v>0.30299999999999999</v>
      </c>
      <c r="L1427">
        <v>0.56000000000000005</v>
      </c>
      <c r="M1427">
        <v>0.16420000000000001</v>
      </c>
      <c r="N1427">
        <v>13</v>
      </c>
      <c r="O1427">
        <v>65</v>
      </c>
      <c r="P1427">
        <v>78</v>
      </c>
      <c r="Q1427" s="17" t="str">
        <f t="shared" si="68"/>
        <v>Weekdays</v>
      </c>
      <c r="R1427" s="17" t="str">
        <f t="shared" si="66"/>
        <v>Evening</v>
      </c>
      <c r="S1427" s="9" t="str">
        <f t="shared" si="67"/>
        <v>Clear</v>
      </c>
    </row>
    <row r="1428" spans="1:19" x14ac:dyDescent="0.25">
      <c r="A1428">
        <v>825</v>
      </c>
      <c r="B1428" s="19">
        <v>40580</v>
      </c>
      <c r="C1428">
        <v>1</v>
      </c>
      <c r="D1428">
        <v>2</v>
      </c>
      <c r="E1428">
        <v>19</v>
      </c>
      <c r="F1428" t="b">
        <v>0</v>
      </c>
      <c r="G1428">
        <v>0</v>
      </c>
      <c r="H1428">
        <v>1</v>
      </c>
      <c r="I1428">
        <v>0.28000000000000003</v>
      </c>
      <c r="K1428">
        <v>0.28789999999999999</v>
      </c>
      <c r="L1428">
        <v>0.61</v>
      </c>
      <c r="M1428">
        <v>0.1343</v>
      </c>
      <c r="N1428">
        <v>1</v>
      </c>
      <c r="O1428">
        <v>20</v>
      </c>
      <c r="P1428">
        <v>21</v>
      </c>
      <c r="Q1428" s="17" t="str">
        <f t="shared" si="68"/>
        <v>Weekdays</v>
      </c>
      <c r="R1428" s="17" t="str">
        <f t="shared" si="66"/>
        <v>Evening</v>
      </c>
      <c r="S1428" s="9" t="str">
        <f t="shared" si="67"/>
        <v>Clear</v>
      </c>
    </row>
    <row r="1429" spans="1:19" x14ac:dyDescent="0.25">
      <c r="A1429">
        <v>826</v>
      </c>
      <c r="B1429" s="19">
        <v>40580</v>
      </c>
      <c r="C1429">
        <v>1</v>
      </c>
      <c r="D1429">
        <v>2</v>
      </c>
      <c r="E1429">
        <v>20</v>
      </c>
      <c r="F1429" t="b">
        <v>0</v>
      </c>
      <c r="G1429">
        <v>0</v>
      </c>
      <c r="H1429">
        <v>1</v>
      </c>
      <c r="I1429">
        <v>0.28000000000000003</v>
      </c>
      <c r="K1429">
        <v>0.28789999999999999</v>
      </c>
      <c r="L1429">
        <v>0.61</v>
      </c>
      <c r="M1429">
        <v>0.1045</v>
      </c>
      <c r="N1429">
        <v>5</v>
      </c>
      <c r="O1429">
        <v>21</v>
      </c>
      <c r="P1429">
        <v>26</v>
      </c>
      <c r="Q1429" s="17" t="str">
        <f t="shared" si="68"/>
        <v>Weekdays</v>
      </c>
      <c r="R1429" s="17" t="str">
        <f t="shared" si="66"/>
        <v>Evening</v>
      </c>
      <c r="S1429" s="9" t="str">
        <f t="shared" si="67"/>
        <v>Clear</v>
      </c>
    </row>
    <row r="1430" spans="1:19" x14ac:dyDescent="0.25">
      <c r="A1430">
        <v>827</v>
      </c>
      <c r="B1430" s="19">
        <v>40580</v>
      </c>
      <c r="C1430">
        <v>1</v>
      </c>
      <c r="D1430">
        <v>2</v>
      </c>
      <c r="E1430">
        <v>21</v>
      </c>
      <c r="F1430" t="b">
        <v>0</v>
      </c>
      <c r="G1430">
        <v>0</v>
      </c>
      <c r="H1430">
        <v>1</v>
      </c>
      <c r="I1430">
        <v>0.26</v>
      </c>
      <c r="K1430">
        <v>0.30299999999999999</v>
      </c>
      <c r="L1430">
        <v>0.6</v>
      </c>
      <c r="M1430">
        <v>0</v>
      </c>
      <c r="N1430">
        <v>5</v>
      </c>
      <c r="O1430">
        <v>22</v>
      </c>
      <c r="P1430">
        <v>27</v>
      </c>
      <c r="Q1430" s="17" t="str">
        <f t="shared" si="68"/>
        <v>Weekdays</v>
      </c>
      <c r="R1430" s="17" t="str">
        <f t="shared" si="66"/>
        <v>Night</v>
      </c>
      <c r="S1430" s="9" t="str">
        <f t="shared" si="67"/>
        <v>Clear</v>
      </c>
    </row>
    <row r="1431" spans="1:19" x14ac:dyDescent="0.25">
      <c r="A1431">
        <v>828</v>
      </c>
      <c r="B1431" s="19">
        <v>40580</v>
      </c>
      <c r="C1431">
        <v>1</v>
      </c>
      <c r="D1431">
        <v>2</v>
      </c>
      <c r="E1431">
        <v>22</v>
      </c>
      <c r="F1431" t="b">
        <v>0</v>
      </c>
      <c r="G1431">
        <v>0</v>
      </c>
      <c r="H1431">
        <v>1</v>
      </c>
      <c r="I1431">
        <v>0.26</v>
      </c>
      <c r="K1431">
        <v>0.30299999999999999</v>
      </c>
      <c r="L1431">
        <v>0.6</v>
      </c>
      <c r="M1431">
        <v>0</v>
      </c>
      <c r="N1431">
        <v>5</v>
      </c>
      <c r="O1431">
        <v>57</v>
      </c>
      <c r="P1431">
        <v>62</v>
      </c>
      <c r="Q1431" s="17" t="str">
        <f t="shared" si="68"/>
        <v>Weekdays</v>
      </c>
      <c r="R1431" s="17" t="str">
        <f t="shared" si="66"/>
        <v>Night</v>
      </c>
      <c r="S1431" s="9" t="str">
        <f t="shared" si="67"/>
        <v>Clear</v>
      </c>
    </row>
    <row r="1432" spans="1:19" x14ac:dyDescent="0.25">
      <c r="A1432">
        <v>829</v>
      </c>
      <c r="B1432" s="19">
        <v>40580</v>
      </c>
      <c r="C1432">
        <v>1</v>
      </c>
      <c r="D1432">
        <v>2</v>
      </c>
      <c r="E1432">
        <v>23</v>
      </c>
      <c r="F1432" t="b">
        <v>0</v>
      </c>
      <c r="G1432">
        <v>0</v>
      </c>
      <c r="H1432">
        <v>1</v>
      </c>
      <c r="I1432">
        <v>0.24</v>
      </c>
      <c r="K1432">
        <v>0.28789999999999999</v>
      </c>
      <c r="L1432">
        <v>0.65</v>
      </c>
      <c r="M1432">
        <v>0</v>
      </c>
      <c r="N1432">
        <v>4</v>
      </c>
      <c r="O1432">
        <v>26</v>
      </c>
      <c r="P1432">
        <v>30</v>
      </c>
      <c r="Q1432" s="17" t="str">
        <f t="shared" si="68"/>
        <v>Weekdays</v>
      </c>
      <c r="R1432" s="17" t="str">
        <f t="shared" si="66"/>
        <v>Night</v>
      </c>
      <c r="S1432" s="9" t="str">
        <f t="shared" si="67"/>
        <v>Clear</v>
      </c>
    </row>
    <row r="1433" spans="1:19" x14ac:dyDescent="0.25">
      <c r="A1433">
        <v>830</v>
      </c>
      <c r="B1433" s="19">
        <v>40581</v>
      </c>
      <c r="C1433">
        <v>1</v>
      </c>
      <c r="D1433">
        <v>2</v>
      </c>
      <c r="E1433">
        <v>0</v>
      </c>
      <c r="F1433" t="b">
        <v>0</v>
      </c>
      <c r="G1433">
        <v>1</v>
      </c>
      <c r="H1433">
        <v>1</v>
      </c>
      <c r="I1433">
        <v>0.24</v>
      </c>
      <c r="K1433">
        <v>0.28789999999999999</v>
      </c>
      <c r="L1433">
        <v>0.65</v>
      </c>
      <c r="M1433">
        <v>0</v>
      </c>
      <c r="N1433">
        <v>1</v>
      </c>
      <c r="O1433">
        <v>14</v>
      </c>
      <c r="P1433">
        <v>15</v>
      </c>
      <c r="Q1433" s="17" t="str">
        <f t="shared" si="68"/>
        <v>Weekdays</v>
      </c>
      <c r="R1433" s="17" t="str">
        <f t="shared" si="66"/>
        <v>Morning</v>
      </c>
      <c r="S1433" s="9" t="str">
        <f t="shared" si="67"/>
        <v>Clear</v>
      </c>
    </row>
    <row r="1434" spans="1:19" x14ac:dyDescent="0.25">
      <c r="A1434">
        <v>831</v>
      </c>
      <c r="B1434" s="19">
        <v>40581</v>
      </c>
      <c r="C1434">
        <v>1</v>
      </c>
      <c r="D1434">
        <v>2</v>
      </c>
      <c r="E1434">
        <v>1</v>
      </c>
      <c r="F1434" t="b">
        <v>0</v>
      </c>
      <c r="G1434">
        <v>1</v>
      </c>
      <c r="H1434">
        <v>1</v>
      </c>
      <c r="I1434">
        <v>0.22</v>
      </c>
      <c r="K1434">
        <v>0.2727</v>
      </c>
      <c r="L1434">
        <v>0.75</v>
      </c>
      <c r="M1434">
        <v>0</v>
      </c>
      <c r="N1434">
        <v>1</v>
      </c>
      <c r="O1434">
        <v>4</v>
      </c>
      <c r="P1434">
        <v>5</v>
      </c>
      <c r="Q1434" s="17" t="str">
        <f t="shared" si="68"/>
        <v>Weekdays</v>
      </c>
      <c r="R1434" s="17" t="str">
        <f t="shared" si="66"/>
        <v>Morning</v>
      </c>
      <c r="S1434" s="9" t="str">
        <f t="shared" si="67"/>
        <v>Clear</v>
      </c>
    </row>
    <row r="1435" spans="1:19" x14ac:dyDescent="0.25">
      <c r="A1435">
        <v>832</v>
      </c>
      <c r="B1435" s="19">
        <v>40581</v>
      </c>
      <c r="C1435">
        <v>1</v>
      </c>
      <c r="D1435">
        <v>2</v>
      </c>
      <c r="E1435">
        <v>2</v>
      </c>
      <c r="F1435" t="b">
        <v>0</v>
      </c>
      <c r="G1435">
        <v>1</v>
      </c>
      <c r="H1435">
        <v>1</v>
      </c>
      <c r="I1435">
        <v>0.2</v>
      </c>
      <c r="K1435">
        <v>0.2576</v>
      </c>
      <c r="L1435">
        <v>0.8</v>
      </c>
      <c r="M1435">
        <v>0</v>
      </c>
      <c r="N1435">
        <v>0</v>
      </c>
      <c r="O1435">
        <v>3</v>
      </c>
      <c r="P1435">
        <v>3</v>
      </c>
      <c r="Q1435" s="17" t="str">
        <f t="shared" si="68"/>
        <v>Weekdays</v>
      </c>
      <c r="R1435" s="17" t="str">
        <f t="shared" si="66"/>
        <v>Morning</v>
      </c>
      <c r="S1435" s="9" t="str">
        <f t="shared" si="67"/>
        <v>Clear</v>
      </c>
    </row>
    <row r="1436" spans="1:19" x14ac:dyDescent="0.25">
      <c r="A1436">
        <v>833</v>
      </c>
      <c r="B1436" s="19">
        <v>40581</v>
      </c>
      <c r="C1436">
        <v>1</v>
      </c>
      <c r="D1436">
        <v>2</v>
      </c>
      <c r="E1436">
        <v>3</v>
      </c>
      <c r="F1436" t="b">
        <v>0</v>
      </c>
      <c r="G1436">
        <v>1</v>
      </c>
      <c r="H1436">
        <v>1</v>
      </c>
      <c r="I1436">
        <v>0.2</v>
      </c>
      <c r="K1436">
        <v>0.2576</v>
      </c>
      <c r="L1436">
        <v>0.86</v>
      </c>
      <c r="M1436">
        <v>0</v>
      </c>
      <c r="N1436">
        <v>0</v>
      </c>
      <c r="O1436">
        <v>1</v>
      </c>
      <c r="P1436">
        <v>1</v>
      </c>
      <c r="Q1436" s="17" t="str">
        <f t="shared" si="68"/>
        <v>Weekdays</v>
      </c>
      <c r="R1436" s="17" t="str">
        <f t="shared" si="66"/>
        <v>Morning</v>
      </c>
      <c r="S1436" s="9" t="str">
        <f t="shared" si="67"/>
        <v>Clear</v>
      </c>
    </row>
    <row r="1437" spans="1:19" x14ac:dyDescent="0.25">
      <c r="A1437">
        <v>834</v>
      </c>
      <c r="B1437" s="19">
        <v>40581</v>
      </c>
      <c r="C1437">
        <v>1</v>
      </c>
      <c r="D1437">
        <v>2</v>
      </c>
      <c r="E1437">
        <v>4</v>
      </c>
      <c r="F1437" t="b">
        <v>0</v>
      </c>
      <c r="G1437">
        <v>1</v>
      </c>
      <c r="H1437">
        <v>1</v>
      </c>
      <c r="I1437">
        <v>0.2</v>
      </c>
      <c r="K1437">
        <v>0.2576</v>
      </c>
      <c r="L1437">
        <v>0.86</v>
      </c>
      <c r="M1437">
        <v>0</v>
      </c>
      <c r="N1437">
        <v>1</v>
      </c>
      <c r="O1437">
        <v>1</v>
      </c>
      <c r="P1437">
        <v>2</v>
      </c>
      <c r="Q1437" s="17" t="str">
        <f t="shared" si="68"/>
        <v>Weekdays</v>
      </c>
      <c r="R1437" s="17" t="str">
        <f t="shared" si="66"/>
        <v>Morning</v>
      </c>
      <c r="S1437" s="9" t="str">
        <f t="shared" si="67"/>
        <v>Clear</v>
      </c>
    </row>
    <row r="1438" spans="1:19" x14ac:dyDescent="0.25">
      <c r="A1438">
        <v>835</v>
      </c>
      <c r="B1438" s="19">
        <v>40581</v>
      </c>
      <c r="C1438">
        <v>1</v>
      </c>
      <c r="D1438">
        <v>2</v>
      </c>
      <c r="E1438">
        <v>5</v>
      </c>
      <c r="F1438" t="b">
        <v>0</v>
      </c>
      <c r="G1438">
        <v>1</v>
      </c>
      <c r="H1438">
        <v>1</v>
      </c>
      <c r="I1438">
        <v>0.2</v>
      </c>
      <c r="K1438">
        <v>0.2576</v>
      </c>
      <c r="L1438">
        <v>0.86</v>
      </c>
      <c r="M1438">
        <v>0</v>
      </c>
      <c r="N1438">
        <v>1</v>
      </c>
      <c r="O1438">
        <v>9</v>
      </c>
      <c r="P1438">
        <v>10</v>
      </c>
      <c r="Q1438" s="17" t="str">
        <f t="shared" si="68"/>
        <v>Weekdays</v>
      </c>
      <c r="R1438" s="17" t="str">
        <f t="shared" si="66"/>
        <v>Morning</v>
      </c>
      <c r="S1438" s="9" t="str">
        <f t="shared" si="67"/>
        <v>Clear</v>
      </c>
    </row>
    <row r="1439" spans="1:19" x14ac:dyDescent="0.25">
      <c r="A1439">
        <v>836</v>
      </c>
      <c r="B1439" s="19">
        <v>40581</v>
      </c>
      <c r="C1439">
        <v>1</v>
      </c>
      <c r="D1439">
        <v>2</v>
      </c>
      <c r="E1439">
        <v>6</v>
      </c>
      <c r="F1439" t="b">
        <v>0</v>
      </c>
      <c r="G1439">
        <v>1</v>
      </c>
      <c r="H1439">
        <v>1</v>
      </c>
      <c r="I1439">
        <v>0.18</v>
      </c>
      <c r="K1439">
        <v>0.2424</v>
      </c>
      <c r="L1439">
        <v>0.93</v>
      </c>
      <c r="M1439">
        <v>0</v>
      </c>
      <c r="N1439">
        <v>1</v>
      </c>
      <c r="O1439">
        <v>29</v>
      </c>
      <c r="P1439">
        <v>30</v>
      </c>
      <c r="Q1439" s="17" t="str">
        <f t="shared" si="68"/>
        <v>Weekdays</v>
      </c>
      <c r="R1439" s="17" t="str">
        <f t="shared" si="66"/>
        <v>Morning</v>
      </c>
      <c r="S1439" s="9" t="str">
        <f t="shared" si="67"/>
        <v>Clear</v>
      </c>
    </row>
    <row r="1440" spans="1:19" x14ac:dyDescent="0.25">
      <c r="A1440">
        <v>837</v>
      </c>
      <c r="B1440" s="19">
        <v>40581</v>
      </c>
      <c r="C1440">
        <v>1</v>
      </c>
      <c r="D1440">
        <v>2</v>
      </c>
      <c r="E1440">
        <v>7</v>
      </c>
      <c r="F1440" t="b">
        <v>0</v>
      </c>
      <c r="G1440">
        <v>1</v>
      </c>
      <c r="H1440">
        <v>1</v>
      </c>
      <c r="I1440">
        <v>0.18</v>
      </c>
      <c r="K1440">
        <v>0.2424</v>
      </c>
      <c r="L1440">
        <v>0.86</v>
      </c>
      <c r="M1440">
        <v>0</v>
      </c>
      <c r="N1440">
        <v>6</v>
      </c>
      <c r="O1440">
        <v>89</v>
      </c>
      <c r="P1440">
        <v>95</v>
      </c>
      <c r="Q1440" s="17" t="str">
        <f t="shared" si="68"/>
        <v>Weekdays</v>
      </c>
      <c r="R1440" s="17" t="str">
        <f t="shared" si="66"/>
        <v>Morning</v>
      </c>
      <c r="S1440" s="9" t="str">
        <f t="shared" si="67"/>
        <v>Clear</v>
      </c>
    </row>
    <row r="1441" spans="1:19" x14ac:dyDescent="0.25">
      <c r="A1441">
        <v>838</v>
      </c>
      <c r="B1441" s="19">
        <v>40581</v>
      </c>
      <c r="C1441">
        <v>1</v>
      </c>
      <c r="D1441">
        <v>2</v>
      </c>
      <c r="E1441">
        <v>8</v>
      </c>
      <c r="F1441" t="b">
        <v>0</v>
      </c>
      <c r="G1441">
        <v>1</v>
      </c>
      <c r="H1441">
        <v>2</v>
      </c>
      <c r="I1441">
        <v>0.16</v>
      </c>
      <c r="K1441">
        <v>0.2273</v>
      </c>
      <c r="L1441">
        <v>1</v>
      </c>
      <c r="M1441">
        <v>0</v>
      </c>
      <c r="N1441">
        <v>7</v>
      </c>
      <c r="O1441">
        <v>223</v>
      </c>
      <c r="P1441">
        <v>230</v>
      </c>
      <c r="Q1441" s="17" t="str">
        <f t="shared" si="68"/>
        <v>Weekdays</v>
      </c>
      <c r="R1441" s="17" t="str">
        <f t="shared" si="66"/>
        <v>Morning</v>
      </c>
      <c r="S1441" s="9" t="str">
        <f t="shared" si="67"/>
        <v>Mist</v>
      </c>
    </row>
    <row r="1442" spans="1:19" x14ac:dyDescent="0.25">
      <c r="A1442">
        <v>839</v>
      </c>
      <c r="B1442" s="19">
        <v>40581</v>
      </c>
      <c r="C1442">
        <v>1</v>
      </c>
      <c r="D1442">
        <v>2</v>
      </c>
      <c r="E1442">
        <v>9</v>
      </c>
      <c r="F1442" t="b">
        <v>0</v>
      </c>
      <c r="G1442">
        <v>1</v>
      </c>
      <c r="H1442">
        <v>1</v>
      </c>
      <c r="I1442">
        <v>0.22</v>
      </c>
      <c r="K1442">
        <v>0.2727</v>
      </c>
      <c r="L1442">
        <v>0.8</v>
      </c>
      <c r="M1442">
        <v>0</v>
      </c>
      <c r="N1442">
        <v>3</v>
      </c>
      <c r="O1442">
        <v>115</v>
      </c>
      <c r="P1442">
        <v>118</v>
      </c>
      <c r="Q1442" s="17" t="str">
        <f t="shared" si="68"/>
        <v>Weekdays</v>
      </c>
      <c r="R1442" s="17" t="str">
        <f t="shared" si="66"/>
        <v>Morning</v>
      </c>
      <c r="S1442" s="9" t="str">
        <f t="shared" si="67"/>
        <v>Clear</v>
      </c>
    </row>
    <row r="1443" spans="1:19" x14ac:dyDescent="0.25">
      <c r="A1443">
        <v>840</v>
      </c>
      <c r="B1443" s="19">
        <v>40581</v>
      </c>
      <c r="C1443">
        <v>1</v>
      </c>
      <c r="D1443">
        <v>2</v>
      </c>
      <c r="E1443">
        <v>10</v>
      </c>
      <c r="F1443" t="b">
        <v>0</v>
      </c>
      <c r="G1443">
        <v>1</v>
      </c>
      <c r="H1443">
        <v>1</v>
      </c>
      <c r="I1443">
        <v>0.24</v>
      </c>
      <c r="K1443">
        <v>0.2576</v>
      </c>
      <c r="L1443">
        <v>0.75</v>
      </c>
      <c r="M1443">
        <v>0.1045</v>
      </c>
      <c r="N1443">
        <v>6</v>
      </c>
      <c r="O1443">
        <v>49</v>
      </c>
      <c r="P1443">
        <v>55</v>
      </c>
      <c r="Q1443" s="17" t="str">
        <f t="shared" si="68"/>
        <v>Weekdays</v>
      </c>
      <c r="R1443" s="17" t="str">
        <f t="shared" si="66"/>
        <v>Morning</v>
      </c>
      <c r="S1443" s="9" t="str">
        <f t="shared" si="67"/>
        <v>Clear</v>
      </c>
    </row>
    <row r="1444" spans="1:19" x14ac:dyDescent="0.25">
      <c r="A1444">
        <v>841</v>
      </c>
      <c r="B1444" s="19">
        <v>40581</v>
      </c>
      <c r="C1444">
        <v>1</v>
      </c>
      <c r="D1444">
        <v>2</v>
      </c>
      <c r="E1444">
        <v>11</v>
      </c>
      <c r="F1444" t="b">
        <v>0</v>
      </c>
      <c r="G1444">
        <v>1</v>
      </c>
      <c r="H1444">
        <v>1</v>
      </c>
      <c r="I1444">
        <v>0.3</v>
      </c>
      <c r="K1444">
        <v>0.31819999999999998</v>
      </c>
      <c r="L1444">
        <v>0.65</v>
      </c>
      <c r="M1444">
        <v>8.9599999999999999E-2</v>
      </c>
      <c r="N1444">
        <v>11</v>
      </c>
      <c r="O1444">
        <v>36</v>
      </c>
      <c r="P1444">
        <v>47</v>
      </c>
      <c r="Q1444" s="17" t="str">
        <f t="shared" si="68"/>
        <v>Weekdays</v>
      </c>
      <c r="R1444" s="17" t="str">
        <f t="shared" si="66"/>
        <v>Morning</v>
      </c>
      <c r="S1444" s="9" t="str">
        <f t="shared" si="67"/>
        <v>Clear</v>
      </c>
    </row>
    <row r="1445" spans="1:19" x14ac:dyDescent="0.25">
      <c r="A1445">
        <v>842</v>
      </c>
      <c r="B1445" s="19">
        <v>40581</v>
      </c>
      <c r="C1445">
        <v>1</v>
      </c>
      <c r="D1445">
        <v>2</v>
      </c>
      <c r="E1445">
        <v>12</v>
      </c>
      <c r="F1445" t="b">
        <v>0</v>
      </c>
      <c r="G1445">
        <v>1</v>
      </c>
      <c r="H1445">
        <v>2</v>
      </c>
      <c r="I1445">
        <v>0.32</v>
      </c>
      <c r="K1445">
        <v>0.34849999999999998</v>
      </c>
      <c r="L1445">
        <v>0.62</v>
      </c>
      <c r="M1445">
        <v>0</v>
      </c>
      <c r="N1445">
        <v>7</v>
      </c>
      <c r="O1445">
        <v>59</v>
      </c>
      <c r="P1445">
        <v>66</v>
      </c>
      <c r="Q1445" s="17" t="str">
        <f t="shared" si="68"/>
        <v>Weekdays</v>
      </c>
      <c r="R1445" s="17" t="str">
        <f t="shared" si="66"/>
        <v>Afternoon</v>
      </c>
      <c r="S1445" s="9" t="str">
        <f t="shared" si="67"/>
        <v>Mist</v>
      </c>
    </row>
    <row r="1446" spans="1:19" x14ac:dyDescent="0.25">
      <c r="A1446">
        <v>843</v>
      </c>
      <c r="B1446" s="19">
        <v>40581</v>
      </c>
      <c r="C1446">
        <v>1</v>
      </c>
      <c r="D1446">
        <v>2</v>
      </c>
      <c r="E1446">
        <v>13</v>
      </c>
      <c r="F1446" t="b">
        <v>0</v>
      </c>
      <c r="G1446">
        <v>1</v>
      </c>
      <c r="H1446">
        <v>2</v>
      </c>
      <c r="I1446">
        <v>0.36</v>
      </c>
      <c r="K1446">
        <v>0.36359999999999998</v>
      </c>
      <c r="L1446">
        <v>0.56999999999999995</v>
      </c>
      <c r="M1446">
        <v>8.9599999999999999E-2</v>
      </c>
      <c r="N1446">
        <v>10</v>
      </c>
      <c r="O1446">
        <v>54</v>
      </c>
      <c r="P1446">
        <v>64</v>
      </c>
      <c r="Q1446" s="17" t="str">
        <f t="shared" si="68"/>
        <v>Weekdays</v>
      </c>
      <c r="R1446" s="17" t="str">
        <f t="shared" si="66"/>
        <v>Afternoon</v>
      </c>
      <c r="S1446" s="9" t="str">
        <f t="shared" si="67"/>
        <v>Mist</v>
      </c>
    </row>
    <row r="1447" spans="1:19" x14ac:dyDescent="0.25">
      <c r="A1447">
        <v>844</v>
      </c>
      <c r="B1447" s="19">
        <v>40581</v>
      </c>
      <c r="C1447">
        <v>1</v>
      </c>
      <c r="D1447">
        <v>2</v>
      </c>
      <c r="E1447">
        <v>14</v>
      </c>
      <c r="F1447" t="b">
        <v>0</v>
      </c>
      <c r="G1447">
        <v>1</v>
      </c>
      <c r="H1447">
        <v>2</v>
      </c>
      <c r="I1447">
        <v>0.36</v>
      </c>
      <c r="K1447">
        <v>0.36359999999999998</v>
      </c>
      <c r="L1447">
        <v>0.56999999999999995</v>
      </c>
      <c r="M1447">
        <v>8.9599999999999999E-2</v>
      </c>
      <c r="N1447">
        <v>8</v>
      </c>
      <c r="O1447">
        <v>52</v>
      </c>
      <c r="P1447">
        <v>60</v>
      </c>
      <c r="Q1447" s="17" t="str">
        <f t="shared" si="68"/>
        <v>Weekdays</v>
      </c>
      <c r="R1447" s="17" t="str">
        <f t="shared" si="66"/>
        <v>Afternoon</v>
      </c>
      <c r="S1447" s="9" t="str">
        <f t="shared" si="67"/>
        <v>Mist</v>
      </c>
    </row>
    <row r="1448" spans="1:19" x14ac:dyDescent="0.25">
      <c r="A1448">
        <v>845</v>
      </c>
      <c r="B1448" s="19">
        <v>40581</v>
      </c>
      <c r="C1448">
        <v>1</v>
      </c>
      <c r="D1448">
        <v>2</v>
      </c>
      <c r="E1448">
        <v>15</v>
      </c>
      <c r="F1448" t="b">
        <v>0</v>
      </c>
      <c r="G1448">
        <v>1</v>
      </c>
      <c r="H1448">
        <v>2</v>
      </c>
      <c r="I1448">
        <v>0.38</v>
      </c>
      <c r="K1448">
        <v>0.39389999999999997</v>
      </c>
      <c r="L1448">
        <v>0.54</v>
      </c>
      <c r="M1448">
        <v>8.9599999999999999E-2</v>
      </c>
      <c r="N1448">
        <v>4</v>
      </c>
      <c r="O1448">
        <v>46</v>
      </c>
      <c r="P1448">
        <v>50</v>
      </c>
      <c r="Q1448" s="17" t="str">
        <f t="shared" si="68"/>
        <v>Weekdays</v>
      </c>
      <c r="R1448" s="17" t="str">
        <f t="shared" si="66"/>
        <v>Afternoon</v>
      </c>
      <c r="S1448" s="9" t="str">
        <f t="shared" si="67"/>
        <v>Mist</v>
      </c>
    </row>
    <row r="1449" spans="1:19" x14ac:dyDescent="0.25">
      <c r="A1449">
        <v>846</v>
      </c>
      <c r="B1449" s="19">
        <v>40581</v>
      </c>
      <c r="C1449">
        <v>1</v>
      </c>
      <c r="D1449">
        <v>2</v>
      </c>
      <c r="E1449">
        <v>16</v>
      </c>
      <c r="F1449" t="b">
        <v>0</v>
      </c>
      <c r="G1449">
        <v>1</v>
      </c>
      <c r="H1449">
        <v>2</v>
      </c>
      <c r="I1449">
        <v>0.36</v>
      </c>
      <c r="K1449">
        <v>0.34849999999999998</v>
      </c>
      <c r="L1449">
        <v>0.56999999999999995</v>
      </c>
      <c r="M1449">
        <v>0.1343</v>
      </c>
      <c r="N1449">
        <v>16</v>
      </c>
      <c r="O1449">
        <v>98</v>
      </c>
      <c r="P1449">
        <v>114</v>
      </c>
      <c r="Q1449" s="17" t="str">
        <f t="shared" si="68"/>
        <v>Weekdays</v>
      </c>
      <c r="R1449" s="17" t="str">
        <f t="shared" si="66"/>
        <v>Evening</v>
      </c>
      <c r="S1449" s="9" t="str">
        <f t="shared" si="67"/>
        <v>Mist</v>
      </c>
    </row>
    <row r="1450" spans="1:19" x14ac:dyDescent="0.25">
      <c r="A1450">
        <v>847</v>
      </c>
      <c r="B1450" s="19">
        <v>40581</v>
      </c>
      <c r="C1450">
        <v>1</v>
      </c>
      <c r="D1450">
        <v>2</v>
      </c>
      <c r="E1450">
        <v>17</v>
      </c>
      <c r="F1450" t="b">
        <v>0</v>
      </c>
      <c r="G1450">
        <v>1</v>
      </c>
      <c r="H1450">
        <v>2</v>
      </c>
      <c r="I1450">
        <v>0.32</v>
      </c>
      <c r="K1450">
        <v>0.31819999999999998</v>
      </c>
      <c r="L1450">
        <v>0.7</v>
      </c>
      <c r="M1450">
        <v>0.16420000000000001</v>
      </c>
      <c r="N1450">
        <v>9</v>
      </c>
      <c r="O1450">
        <v>207</v>
      </c>
      <c r="P1450">
        <v>216</v>
      </c>
      <c r="Q1450" s="17" t="str">
        <f t="shared" si="68"/>
        <v>Weekdays</v>
      </c>
      <c r="R1450" s="17" t="str">
        <f t="shared" si="66"/>
        <v>Evening</v>
      </c>
      <c r="S1450" s="9" t="str">
        <f t="shared" si="67"/>
        <v>Mist</v>
      </c>
    </row>
    <row r="1451" spans="1:19" x14ac:dyDescent="0.25">
      <c r="A1451">
        <v>848</v>
      </c>
      <c r="B1451" s="19">
        <v>40581</v>
      </c>
      <c r="C1451">
        <v>1</v>
      </c>
      <c r="D1451">
        <v>2</v>
      </c>
      <c r="E1451">
        <v>18</v>
      </c>
      <c r="F1451" t="b">
        <v>0</v>
      </c>
      <c r="G1451">
        <v>1</v>
      </c>
      <c r="H1451">
        <v>2</v>
      </c>
      <c r="I1451">
        <v>0.34</v>
      </c>
      <c r="K1451">
        <v>0.33329999999999999</v>
      </c>
      <c r="L1451">
        <v>0.66</v>
      </c>
      <c r="M1451">
        <v>0.1343</v>
      </c>
      <c r="N1451">
        <v>5</v>
      </c>
      <c r="O1451">
        <v>170</v>
      </c>
      <c r="P1451">
        <v>175</v>
      </c>
      <c r="Q1451" s="17" t="str">
        <f t="shared" si="68"/>
        <v>Weekdays</v>
      </c>
      <c r="R1451" s="17" t="str">
        <f t="shared" si="66"/>
        <v>Evening</v>
      </c>
      <c r="S1451" s="9" t="str">
        <f t="shared" si="67"/>
        <v>Mist</v>
      </c>
    </row>
    <row r="1452" spans="1:19" x14ac:dyDescent="0.25">
      <c r="A1452">
        <v>849</v>
      </c>
      <c r="B1452" s="19">
        <v>40581</v>
      </c>
      <c r="C1452">
        <v>1</v>
      </c>
      <c r="D1452">
        <v>2</v>
      </c>
      <c r="E1452">
        <v>19</v>
      </c>
      <c r="F1452" t="b">
        <v>0</v>
      </c>
      <c r="G1452">
        <v>1</v>
      </c>
      <c r="H1452">
        <v>2</v>
      </c>
      <c r="I1452">
        <v>0.32</v>
      </c>
      <c r="K1452">
        <v>0.34849999999999998</v>
      </c>
      <c r="L1452">
        <v>0.7</v>
      </c>
      <c r="M1452">
        <v>0</v>
      </c>
      <c r="N1452">
        <v>5</v>
      </c>
      <c r="O1452">
        <v>123</v>
      </c>
      <c r="P1452">
        <v>128</v>
      </c>
      <c r="Q1452" s="17" t="str">
        <f t="shared" si="68"/>
        <v>Weekdays</v>
      </c>
      <c r="R1452" s="17" t="str">
        <f t="shared" si="66"/>
        <v>Evening</v>
      </c>
      <c r="S1452" s="9" t="str">
        <f t="shared" si="67"/>
        <v>Mist</v>
      </c>
    </row>
    <row r="1453" spans="1:19" x14ac:dyDescent="0.25">
      <c r="A1453">
        <v>850</v>
      </c>
      <c r="B1453" s="19">
        <v>40581</v>
      </c>
      <c r="C1453">
        <v>1</v>
      </c>
      <c r="D1453">
        <v>2</v>
      </c>
      <c r="E1453">
        <v>20</v>
      </c>
      <c r="F1453" t="b">
        <v>0</v>
      </c>
      <c r="G1453">
        <v>1</v>
      </c>
      <c r="H1453">
        <v>2</v>
      </c>
      <c r="I1453">
        <v>0.32</v>
      </c>
      <c r="K1453">
        <v>0.33329999999999999</v>
      </c>
      <c r="L1453">
        <v>0.7</v>
      </c>
      <c r="M1453">
        <v>0.1045</v>
      </c>
      <c r="N1453">
        <v>6</v>
      </c>
      <c r="O1453">
        <v>82</v>
      </c>
      <c r="P1453">
        <v>88</v>
      </c>
      <c r="Q1453" s="17" t="str">
        <f t="shared" si="68"/>
        <v>Weekdays</v>
      </c>
      <c r="R1453" s="17" t="str">
        <f t="shared" si="66"/>
        <v>Evening</v>
      </c>
      <c r="S1453" s="9" t="str">
        <f t="shared" si="67"/>
        <v>Mist</v>
      </c>
    </row>
    <row r="1454" spans="1:19" x14ac:dyDescent="0.25">
      <c r="A1454">
        <v>851</v>
      </c>
      <c r="B1454" s="19">
        <v>40581</v>
      </c>
      <c r="C1454">
        <v>1</v>
      </c>
      <c r="D1454">
        <v>2</v>
      </c>
      <c r="E1454">
        <v>21</v>
      </c>
      <c r="F1454" t="b">
        <v>0</v>
      </c>
      <c r="G1454">
        <v>1</v>
      </c>
      <c r="H1454">
        <v>1</v>
      </c>
      <c r="I1454">
        <v>0.32</v>
      </c>
      <c r="K1454">
        <v>0.34849999999999998</v>
      </c>
      <c r="L1454">
        <v>0.7</v>
      </c>
      <c r="M1454">
        <v>0</v>
      </c>
      <c r="N1454">
        <v>3</v>
      </c>
      <c r="O1454">
        <v>75</v>
      </c>
      <c r="P1454">
        <v>78</v>
      </c>
      <c r="Q1454" s="17" t="str">
        <f t="shared" si="68"/>
        <v>Weekdays</v>
      </c>
      <c r="R1454" s="17" t="str">
        <f t="shared" si="66"/>
        <v>Night</v>
      </c>
      <c r="S1454" s="9" t="str">
        <f t="shared" si="67"/>
        <v>Clear</v>
      </c>
    </row>
    <row r="1455" spans="1:19" x14ac:dyDescent="0.25">
      <c r="A1455">
        <v>852</v>
      </c>
      <c r="B1455" s="19">
        <v>40581</v>
      </c>
      <c r="C1455">
        <v>1</v>
      </c>
      <c r="D1455">
        <v>2</v>
      </c>
      <c r="E1455">
        <v>22</v>
      </c>
      <c r="F1455" t="b">
        <v>0</v>
      </c>
      <c r="G1455">
        <v>1</v>
      </c>
      <c r="H1455">
        <v>1</v>
      </c>
      <c r="I1455">
        <v>0.28000000000000003</v>
      </c>
      <c r="K1455">
        <v>0.30299999999999999</v>
      </c>
      <c r="L1455">
        <v>0.81</v>
      </c>
      <c r="M1455">
        <v>8.9599999999999999E-2</v>
      </c>
      <c r="N1455">
        <v>3</v>
      </c>
      <c r="O1455">
        <v>34</v>
      </c>
      <c r="P1455">
        <v>37</v>
      </c>
      <c r="Q1455" s="17" t="str">
        <f t="shared" si="68"/>
        <v>Weekdays</v>
      </c>
      <c r="R1455" s="17" t="str">
        <f t="shared" si="66"/>
        <v>Night</v>
      </c>
      <c r="S1455" s="9" t="str">
        <f t="shared" si="67"/>
        <v>Clear</v>
      </c>
    </row>
    <row r="1456" spans="1:19" x14ac:dyDescent="0.25">
      <c r="A1456">
        <v>853</v>
      </c>
      <c r="B1456" s="19">
        <v>40581</v>
      </c>
      <c r="C1456">
        <v>1</v>
      </c>
      <c r="D1456">
        <v>2</v>
      </c>
      <c r="E1456">
        <v>23</v>
      </c>
      <c r="F1456" t="b">
        <v>0</v>
      </c>
      <c r="G1456">
        <v>1</v>
      </c>
      <c r="H1456">
        <v>2</v>
      </c>
      <c r="I1456">
        <v>0.3</v>
      </c>
      <c r="K1456">
        <v>0.33329999999999999</v>
      </c>
      <c r="L1456">
        <v>0.81</v>
      </c>
      <c r="M1456">
        <v>0</v>
      </c>
      <c r="N1456">
        <v>6</v>
      </c>
      <c r="O1456">
        <v>19</v>
      </c>
      <c r="P1456">
        <v>25</v>
      </c>
      <c r="Q1456" s="17" t="str">
        <f t="shared" si="68"/>
        <v>Weekdays</v>
      </c>
      <c r="R1456" s="17" t="str">
        <f t="shared" si="66"/>
        <v>Night</v>
      </c>
      <c r="S1456" s="9" t="str">
        <f t="shared" si="67"/>
        <v>Mist</v>
      </c>
    </row>
    <row r="1457" spans="1:19" x14ac:dyDescent="0.25">
      <c r="A1457">
        <v>854</v>
      </c>
      <c r="B1457" s="19">
        <v>40582</v>
      </c>
      <c r="C1457">
        <v>1</v>
      </c>
      <c r="D1457">
        <v>2</v>
      </c>
      <c r="E1457">
        <v>0</v>
      </c>
      <c r="F1457" t="b">
        <v>0</v>
      </c>
      <c r="G1457">
        <v>2</v>
      </c>
      <c r="H1457">
        <v>2</v>
      </c>
      <c r="I1457">
        <v>0.28000000000000003</v>
      </c>
      <c r="K1457">
        <v>0.31819999999999998</v>
      </c>
      <c r="L1457">
        <v>0.87</v>
      </c>
      <c r="M1457">
        <v>0</v>
      </c>
      <c r="N1457">
        <v>4</v>
      </c>
      <c r="O1457">
        <v>6</v>
      </c>
      <c r="P1457">
        <v>10</v>
      </c>
      <c r="Q1457" s="17" t="str">
        <f t="shared" si="68"/>
        <v>Weekdays</v>
      </c>
      <c r="R1457" s="17" t="str">
        <f t="shared" si="66"/>
        <v>Morning</v>
      </c>
      <c r="S1457" s="9" t="str">
        <f t="shared" si="67"/>
        <v>Mist</v>
      </c>
    </row>
    <row r="1458" spans="1:19" x14ac:dyDescent="0.25">
      <c r="A1458">
        <v>855</v>
      </c>
      <c r="B1458" s="19">
        <v>40582</v>
      </c>
      <c r="C1458">
        <v>1</v>
      </c>
      <c r="D1458">
        <v>2</v>
      </c>
      <c r="E1458">
        <v>1</v>
      </c>
      <c r="F1458" t="b">
        <v>0</v>
      </c>
      <c r="G1458">
        <v>2</v>
      </c>
      <c r="H1458">
        <v>2</v>
      </c>
      <c r="I1458">
        <v>0.28000000000000003</v>
      </c>
      <c r="K1458">
        <v>0.31819999999999998</v>
      </c>
      <c r="L1458">
        <v>0.87</v>
      </c>
      <c r="M1458">
        <v>0</v>
      </c>
      <c r="N1458">
        <v>0</v>
      </c>
      <c r="O1458">
        <v>4</v>
      </c>
      <c r="P1458">
        <v>4</v>
      </c>
      <c r="Q1458" s="17" t="str">
        <f t="shared" si="68"/>
        <v>Weekdays</v>
      </c>
      <c r="R1458" s="17" t="str">
        <f t="shared" si="66"/>
        <v>Morning</v>
      </c>
      <c r="S1458" s="9" t="str">
        <f t="shared" si="67"/>
        <v>Mist</v>
      </c>
    </row>
    <row r="1459" spans="1:19" x14ac:dyDescent="0.25">
      <c r="A1459">
        <v>856</v>
      </c>
      <c r="B1459" s="19">
        <v>40582</v>
      </c>
      <c r="C1459">
        <v>1</v>
      </c>
      <c r="D1459">
        <v>2</v>
      </c>
      <c r="E1459">
        <v>2</v>
      </c>
      <c r="F1459" t="b">
        <v>0</v>
      </c>
      <c r="G1459">
        <v>2</v>
      </c>
      <c r="H1459">
        <v>2</v>
      </c>
      <c r="I1459">
        <v>0.26</v>
      </c>
      <c r="K1459">
        <v>0.2727</v>
      </c>
      <c r="L1459">
        <v>0.93</v>
      </c>
      <c r="M1459">
        <v>0.1045</v>
      </c>
      <c r="N1459">
        <v>1</v>
      </c>
      <c r="O1459">
        <v>1</v>
      </c>
      <c r="P1459">
        <v>2</v>
      </c>
      <c r="Q1459" s="17" t="str">
        <f t="shared" si="68"/>
        <v>Weekdays</v>
      </c>
      <c r="R1459" s="17" t="str">
        <f t="shared" si="66"/>
        <v>Morning</v>
      </c>
      <c r="S1459" s="9" t="str">
        <f t="shared" si="67"/>
        <v>Mist</v>
      </c>
    </row>
    <row r="1460" spans="1:19" x14ac:dyDescent="0.25">
      <c r="A1460">
        <v>857</v>
      </c>
      <c r="B1460" s="19">
        <v>40582</v>
      </c>
      <c r="C1460">
        <v>1</v>
      </c>
      <c r="D1460">
        <v>2</v>
      </c>
      <c r="E1460">
        <v>3</v>
      </c>
      <c r="F1460" t="b">
        <v>0</v>
      </c>
      <c r="G1460">
        <v>2</v>
      </c>
      <c r="H1460">
        <v>3</v>
      </c>
      <c r="I1460">
        <v>0.28000000000000003</v>
      </c>
      <c r="K1460">
        <v>0.2727</v>
      </c>
      <c r="L1460">
        <v>0.93</v>
      </c>
      <c r="M1460">
        <v>0.16420000000000001</v>
      </c>
      <c r="N1460">
        <v>0</v>
      </c>
      <c r="O1460">
        <v>1</v>
      </c>
      <c r="P1460">
        <v>1</v>
      </c>
      <c r="Q1460" s="17" t="str">
        <f t="shared" si="68"/>
        <v>Weekdays</v>
      </c>
      <c r="R1460" s="17" t="str">
        <f t="shared" si="66"/>
        <v>Morning</v>
      </c>
      <c r="S1460" s="9" t="str">
        <f t="shared" si="67"/>
        <v>Light Snow/Rain</v>
      </c>
    </row>
    <row r="1461" spans="1:19" x14ac:dyDescent="0.25">
      <c r="A1461">
        <v>858</v>
      </c>
      <c r="B1461" s="19">
        <v>40582</v>
      </c>
      <c r="C1461">
        <v>1</v>
      </c>
      <c r="D1461">
        <v>2</v>
      </c>
      <c r="E1461">
        <v>4</v>
      </c>
      <c r="F1461" t="b">
        <v>0</v>
      </c>
      <c r="G1461">
        <v>2</v>
      </c>
      <c r="H1461">
        <v>1</v>
      </c>
      <c r="I1461">
        <v>0.26</v>
      </c>
      <c r="K1461">
        <v>0.2576</v>
      </c>
      <c r="L1461">
        <v>0.93</v>
      </c>
      <c r="M1461">
        <v>0.16420000000000001</v>
      </c>
      <c r="N1461">
        <v>0</v>
      </c>
      <c r="O1461">
        <v>3</v>
      </c>
      <c r="P1461">
        <v>3</v>
      </c>
      <c r="Q1461" s="17" t="str">
        <f t="shared" si="68"/>
        <v>Weekdays</v>
      </c>
      <c r="R1461" s="17" t="str">
        <f t="shared" si="66"/>
        <v>Morning</v>
      </c>
      <c r="S1461" s="9" t="str">
        <f t="shared" si="67"/>
        <v>Clear</v>
      </c>
    </row>
    <row r="1462" spans="1:19" x14ac:dyDescent="0.25">
      <c r="A1462">
        <v>859</v>
      </c>
      <c r="B1462" s="19">
        <v>40582</v>
      </c>
      <c r="C1462">
        <v>1</v>
      </c>
      <c r="D1462">
        <v>2</v>
      </c>
      <c r="E1462">
        <v>5</v>
      </c>
      <c r="F1462" t="b">
        <v>0</v>
      </c>
      <c r="G1462">
        <v>2</v>
      </c>
      <c r="H1462">
        <v>1</v>
      </c>
      <c r="I1462">
        <v>0.26</v>
      </c>
      <c r="K1462">
        <v>0.2273</v>
      </c>
      <c r="L1462">
        <v>0.81</v>
      </c>
      <c r="M1462">
        <v>0.32840000000000003</v>
      </c>
      <c r="N1462">
        <v>0</v>
      </c>
      <c r="O1462">
        <v>2</v>
      </c>
      <c r="P1462">
        <v>2</v>
      </c>
      <c r="Q1462" s="17" t="str">
        <f t="shared" si="68"/>
        <v>Weekdays</v>
      </c>
      <c r="R1462" s="17" t="str">
        <f t="shared" si="66"/>
        <v>Morning</v>
      </c>
      <c r="S1462" s="9" t="str">
        <f t="shared" si="67"/>
        <v>Clear</v>
      </c>
    </row>
    <row r="1463" spans="1:19" x14ac:dyDescent="0.25">
      <c r="A1463">
        <v>860</v>
      </c>
      <c r="B1463" s="19">
        <v>40582</v>
      </c>
      <c r="C1463">
        <v>1</v>
      </c>
      <c r="D1463">
        <v>2</v>
      </c>
      <c r="E1463">
        <v>6</v>
      </c>
      <c r="F1463" t="b">
        <v>0</v>
      </c>
      <c r="G1463">
        <v>2</v>
      </c>
      <c r="H1463">
        <v>1</v>
      </c>
      <c r="I1463">
        <v>0.26</v>
      </c>
      <c r="K1463">
        <v>0.2273</v>
      </c>
      <c r="L1463">
        <v>0.7</v>
      </c>
      <c r="M1463">
        <v>0.32840000000000003</v>
      </c>
      <c r="N1463">
        <v>0</v>
      </c>
      <c r="O1463">
        <v>39</v>
      </c>
      <c r="P1463">
        <v>39</v>
      </c>
      <c r="Q1463" s="17" t="str">
        <f t="shared" si="68"/>
        <v>Weekdays</v>
      </c>
      <c r="R1463" s="17" t="str">
        <f t="shared" si="66"/>
        <v>Morning</v>
      </c>
      <c r="S1463" s="9" t="str">
        <f t="shared" si="67"/>
        <v>Clear</v>
      </c>
    </row>
    <row r="1464" spans="1:19" x14ac:dyDescent="0.25">
      <c r="A1464">
        <v>861</v>
      </c>
      <c r="B1464" s="19">
        <v>40582</v>
      </c>
      <c r="C1464">
        <v>1</v>
      </c>
      <c r="D1464">
        <v>2</v>
      </c>
      <c r="E1464">
        <v>7</v>
      </c>
      <c r="F1464" t="b">
        <v>0</v>
      </c>
      <c r="G1464">
        <v>2</v>
      </c>
      <c r="H1464">
        <v>1</v>
      </c>
      <c r="I1464">
        <v>0.24</v>
      </c>
      <c r="K1464">
        <v>0.19700000000000001</v>
      </c>
      <c r="L1464">
        <v>0.65</v>
      </c>
      <c r="M1464">
        <v>0.41789999999999999</v>
      </c>
      <c r="N1464">
        <v>3</v>
      </c>
      <c r="O1464">
        <v>97</v>
      </c>
      <c r="P1464">
        <v>100</v>
      </c>
      <c r="Q1464" s="17" t="str">
        <f t="shared" si="68"/>
        <v>Weekdays</v>
      </c>
      <c r="R1464" s="17" t="str">
        <f t="shared" si="66"/>
        <v>Morning</v>
      </c>
      <c r="S1464" s="9" t="str">
        <f t="shared" si="67"/>
        <v>Clear</v>
      </c>
    </row>
    <row r="1465" spans="1:19" x14ac:dyDescent="0.25">
      <c r="A1465">
        <v>862</v>
      </c>
      <c r="B1465" s="19">
        <v>40582</v>
      </c>
      <c r="C1465">
        <v>1</v>
      </c>
      <c r="D1465">
        <v>2</v>
      </c>
      <c r="E1465">
        <v>8</v>
      </c>
      <c r="F1465" t="b">
        <v>0</v>
      </c>
      <c r="G1465">
        <v>2</v>
      </c>
      <c r="H1465">
        <v>1</v>
      </c>
      <c r="I1465">
        <v>0.24</v>
      </c>
      <c r="K1465">
        <v>0.19700000000000001</v>
      </c>
      <c r="L1465">
        <v>0.56000000000000005</v>
      </c>
      <c r="M1465">
        <v>0.49249999999999999</v>
      </c>
      <c r="N1465">
        <v>7</v>
      </c>
      <c r="O1465">
        <v>236</v>
      </c>
      <c r="P1465">
        <v>243</v>
      </c>
      <c r="Q1465" s="17" t="str">
        <f t="shared" si="68"/>
        <v>Weekdays</v>
      </c>
      <c r="R1465" s="17" t="str">
        <f t="shared" si="66"/>
        <v>Morning</v>
      </c>
      <c r="S1465" s="9" t="str">
        <f t="shared" si="67"/>
        <v>Clear</v>
      </c>
    </row>
    <row r="1466" spans="1:19" x14ac:dyDescent="0.25">
      <c r="A1466">
        <v>863</v>
      </c>
      <c r="B1466" s="19">
        <v>40582</v>
      </c>
      <c r="C1466">
        <v>1</v>
      </c>
      <c r="D1466">
        <v>2</v>
      </c>
      <c r="E1466">
        <v>9</v>
      </c>
      <c r="F1466" t="b">
        <v>0</v>
      </c>
      <c r="G1466">
        <v>2</v>
      </c>
      <c r="H1466">
        <v>1</v>
      </c>
      <c r="I1466">
        <v>0.24</v>
      </c>
      <c r="K1466">
        <v>0.19700000000000001</v>
      </c>
      <c r="L1466">
        <v>0.52</v>
      </c>
      <c r="M1466">
        <v>0.49249999999999999</v>
      </c>
      <c r="N1466">
        <v>7</v>
      </c>
      <c r="O1466">
        <v>128</v>
      </c>
      <c r="P1466">
        <v>135</v>
      </c>
      <c r="Q1466" s="17" t="str">
        <f t="shared" si="68"/>
        <v>Weekdays</v>
      </c>
      <c r="R1466" s="17" t="str">
        <f t="shared" si="66"/>
        <v>Morning</v>
      </c>
      <c r="S1466" s="9" t="str">
        <f t="shared" si="67"/>
        <v>Clear</v>
      </c>
    </row>
    <row r="1467" spans="1:19" x14ac:dyDescent="0.25">
      <c r="A1467">
        <v>864</v>
      </c>
      <c r="B1467" s="19">
        <v>40582</v>
      </c>
      <c r="C1467">
        <v>1</v>
      </c>
      <c r="D1467">
        <v>2</v>
      </c>
      <c r="E1467">
        <v>10</v>
      </c>
      <c r="F1467" t="b">
        <v>0</v>
      </c>
      <c r="G1467">
        <v>2</v>
      </c>
      <c r="H1467">
        <v>1</v>
      </c>
      <c r="I1467">
        <v>0.22</v>
      </c>
      <c r="K1467">
        <v>0.18179999999999999</v>
      </c>
      <c r="L1467">
        <v>0.47</v>
      </c>
      <c r="M1467">
        <v>0.55220000000000002</v>
      </c>
      <c r="N1467">
        <v>4</v>
      </c>
      <c r="O1467">
        <v>44</v>
      </c>
      <c r="P1467">
        <v>48</v>
      </c>
      <c r="Q1467" s="17" t="str">
        <f t="shared" si="68"/>
        <v>Weekdays</v>
      </c>
      <c r="R1467" s="17" t="str">
        <f t="shared" si="66"/>
        <v>Morning</v>
      </c>
      <c r="S1467" s="9" t="str">
        <f t="shared" si="67"/>
        <v>Clear</v>
      </c>
    </row>
    <row r="1468" spans="1:19" x14ac:dyDescent="0.25">
      <c r="A1468">
        <v>865</v>
      </c>
      <c r="B1468" s="19">
        <v>40582</v>
      </c>
      <c r="C1468">
        <v>1</v>
      </c>
      <c r="D1468">
        <v>2</v>
      </c>
      <c r="E1468">
        <v>11</v>
      </c>
      <c r="F1468" t="b">
        <v>0</v>
      </c>
      <c r="G1468">
        <v>2</v>
      </c>
      <c r="H1468">
        <v>1</v>
      </c>
      <c r="I1468">
        <v>0.22</v>
      </c>
      <c r="K1468">
        <v>0.18179999999999999</v>
      </c>
      <c r="L1468">
        <v>0.47</v>
      </c>
      <c r="M1468">
        <v>0.4627</v>
      </c>
      <c r="N1468">
        <v>1</v>
      </c>
      <c r="O1468">
        <v>49</v>
      </c>
      <c r="P1468">
        <v>50</v>
      </c>
      <c r="Q1468" s="17" t="str">
        <f t="shared" si="68"/>
        <v>Weekdays</v>
      </c>
      <c r="R1468" s="17" t="str">
        <f t="shared" si="66"/>
        <v>Morning</v>
      </c>
      <c r="S1468" s="9" t="str">
        <f t="shared" si="67"/>
        <v>Clear</v>
      </c>
    </row>
    <row r="1469" spans="1:19" x14ac:dyDescent="0.25">
      <c r="A1469">
        <v>866</v>
      </c>
      <c r="B1469" s="19">
        <v>40582</v>
      </c>
      <c r="C1469">
        <v>1</v>
      </c>
      <c r="D1469">
        <v>2</v>
      </c>
      <c r="E1469">
        <v>12</v>
      </c>
      <c r="F1469" t="b">
        <v>0</v>
      </c>
      <c r="G1469">
        <v>2</v>
      </c>
      <c r="H1469">
        <v>1</v>
      </c>
      <c r="I1469">
        <v>0.24</v>
      </c>
      <c r="K1469">
        <v>0.19700000000000001</v>
      </c>
      <c r="L1469">
        <v>0.38</v>
      </c>
      <c r="M1469">
        <v>0.49249999999999999</v>
      </c>
      <c r="N1469">
        <v>2</v>
      </c>
      <c r="O1469">
        <v>63</v>
      </c>
      <c r="P1469">
        <v>65</v>
      </c>
      <c r="Q1469" s="17" t="str">
        <f t="shared" si="68"/>
        <v>Weekdays</v>
      </c>
      <c r="R1469" s="17" t="str">
        <f t="shared" si="66"/>
        <v>Afternoon</v>
      </c>
      <c r="S1469" s="9" t="str">
        <f t="shared" si="67"/>
        <v>Clear</v>
      </c>
    </row>
    <row r="1470" spans="1:19" x14ac:dyDescent="0.25">
      <c r="A1470">
        <v>867</v>
      </c>
      <c r="B1470" s="19">
        <v>40582</v>
      </c>
      <c r="C1470">
        <v>1</v>
      </c>
      <c r="D1470">
        <v>2</v>
      </c>
      <c r="E1470">
        <v>13</v>
      </c>
      <c r="F1470" t="b">
        <v>0</v>
      </c>
      <c r="G1470">
        <v>2</v>
      </c>
      <c r="H1470">
        <v>2</v>
      </c>
      <c r="I1470">
        <v>0.24</v>
      </c>
      <c r="K1470">
        <v>0.19700000000000001</v>
      </c>
      <c r="L1470">
        <v>0.32</v>
      </c>
      <c r="M1470">
        <v>0.44779999999999998</v>
      </c>
      <c r="N1470">
        <v>2</v>
      </c>
      <c r="O1470">
        <v>48</v>
      </c>
      <c r="P1470">
        <v>50</v>
      </c>
      <c r="Q1470" s="17" t="str">
        <f t="shared" si="68"/>
        <v>Weekdays</v>
      </c>
      <c r="R1470" s="17" t="str">
        <f t="shared" si="66"/>
        <v>Afternoon</v>
      </c>
      <c r="S1470" s="9" t="str">
        <f t="shared" si="67"/>
        <v>Mist</v>
      </c>
    </row>
    <row r="1471" spans="1:19" x14ac:dyDescent="0.25">
      <c r="A1471">
        <v>868</v>
      </c>
      <c r="B1471" s="19">
        <v>40582</v>
      </c>
      <c r="C1471">
        <v>1</v>
      </c>
      <c r="D1471">
        <v>2</v>
      </c>
      <c r="E1471">
        <v>14</v>
      </c>
      <c r="F1471" t="b">
        <v>0</v>
      </c>
      <c r="G1471">
        <v>2</v>
      </c>
      <c r="H1471">
        <v>1</v>
      </c>
      <c r="I1471">
        <v>0.22</v>
      </c>
      <c r="K1471">
        <v>0.19700000000000001</v>
      </c>
      <c r="L1471">
        <v>0.37</v>
      </c>
      <c r="M1471">
        <v>0.41789999999999999</v>
      </c>
      <c r="N1471">
        <v>3</v>
      </c>
      <c r="O1471">
        <v>61</v>
      </c>
      <c r="P1471">
        <v>64</v>
      </c>
      <c r="Q1471" s="17" t="str">
        <f t="shared" si="68"/>
        <v>Weekdays</v>
      </c>
      <c r="R1471" s="17" t="str">
        <f t="shared" si="66"/>
        <v>Afternoon</v>
      </c>
      <c r="S1471" s="9" t="str">
        <f t="shared" si="67"/>
        <v>Clear</v>
      </c>
    </row>
    <row r="1472" spans="1:19" x14ac:dyDescent="0.25">
      <c r="A1472">
        <v>869</v>
      </c>
      <c r="B1472" s="19">
        <v>40582</v>
      </c>
      <c r="C1472">
        <v>1</v>
      </c>
      <c r="D1472">
        <v>2</v>
      </c>
      <c r="E1472">
        <v>15</v>
      </c>
      <c r="F1472" t="b">
        <v>0</v>
      </c>
      <c r="G1472">
        <v>2</v>
      </c>
      <c r="H1472">
        <v>1</v>
      </c>
      <c r="I1472">
        <v>0.22</v>
      </c>
      <c r="K1472">
        <v>0.19700000000000001</v>
      </c>
      <c r="L1472">
        <v>0.35</v>
      </c>
      <c r="M1472">
        <v>0.3881</v>
      </c>
      <c r="N1472">
        <v>6</v>
      </c>
      <c r="O1472">
        <v>45</v>
      </c>
      <c r="P1472">
        <v>51</v>
      </c>
      <c r="Q1472" s="17" t="str">
        <f t="shared" si="68"/>
        <v>Weekdays</v>
      </c>
      <c r="R1472" s="17" t="str">
        <f t="shared" si="66"/>
        <v>Afternoon</v>
      </c>
      <c r="S1472" s="9" t="str">
        <f t="shared" si="67"/>
        <v>Clear</v>
      </c>
    </row>
    <row r="1473" spans="1:19" x14ac:dyDescent="0.25">
      <c r="A1473">
        <v>870</v>
      </c>
      <c r="B1473" s="19">
        <v>40582</v>
      </c>
      <c r="C1473">
        <v>1</v>
      </c>
      <c r="D1473">
        <v>2</v>
      </c>
      <c r="E1473">
        <v>16</v>
      </c>
      <c r="F1473" t="b">
        <v>0</v>
      </c>
      <c r="G1473">
        <v>2</v>
      </c>
      <c r="H1473">
        <v>1</v>
      </c>
      <c r="I1473">
        <v>0.22</v>
      </c>
      <c r="K1473">
        <v>0.18179999999999999</v>
      </c>
      <c r="L1473">
        <v>0.35</v>
      </c>
      <c r="M1473">
        <v>0.52239999999999998</v>
      </c>
      <c r="N1473">
        <v>4</v>
      </c>
      <c r="O1473">
        <v>79</v>
      </c>
      <c r="P1473">
        <v>83</v>
      </c>
      <c r="Q1473" s="17" t="str">
        <f t="shared" si="68"/>
        <v>Weekdays</v>
      </c>
      <c r="R1473" s="17" t="str">
        <f t="shared" si="66"/>
        <v>Evening</v>
      </c>
      <c r="S1473" s="9" t="str">
        <f t="shared" si="67"/>
        <v>Clear</v>
      </c>
    </row>
    <row r="1474" spans="1:19" x14ac:dyDescent="0.25">
      <c r="A1474">
        <v>871</v>
      </c>
      <c r="B1474" s="19">
        <v>40582</v>
      </c>
      <c r="C1474">
        <v>1</v>
      </c>
      <c r="D1474">
        <v>2</v>
      </c>
      <c r="E1474">
        <v>17</v>
      </c>
      <c r="F1474" t="b">
        <v>0</v>
      </c>
      <c r="G1474">
        <v>2</v>
      </c>
      <c r="H1474">
        <v>1</v>
      </c>
      <c r="I1474">
        <v>0.22</v>
      </c>
      <c r="K1474">
        <v>0.18179999999999999</v>
      </c>
      <c r="L1474">
        <v>0.32</v>
      </c>
      <c r="M1474">
        <v>0.58209999999999995</v>
      </c>
      <c r="N1474">
        <v>4</v>
      </c>
      <c r="O1474">
        <v>172</v>
      </c>
      <c r="P1474">
        <v>176</v>
      </c>
      <c r="Q1474" s="17" t="str">
        <f t="shared" si="68"/>
        <v>Weekdays</v>
      </c>
      <c r="R1474" s="17" t="str">
        <f t="shared" ref="R1474:R1537" si="69">IF(E1474&lt;12,"Morning",IF(E1474&lt;16,"Afternoon",IF(E1474&lt;21,"Evening","Night")))</f>
        <v>Evening</v>
      </c>
      <c r="S1474" s="9" t="str">
        <f t="shared" ref="S1474:S1537" si="70">IF(H1474=1,"Clear",IF(H1474=2,"Mist",IF(H1474=3,"Light Snow/Rain","Heavy Rain/Snow")))</f>
        <v>Clear</v>
      </c>
    </row>
    <row r="1475" spans="1:19" x14ac:dyDescent="0.25">
      <c r="A1475">
        <v>872</v>
      </c>
      <c r="B1475" s="19">
        <v>40582</v>
      </c>
      <c r="C1475">
        <v>1</v>
      </c>
      <c r="D1475">
        <v>2</v>
      </c>
      <c r="E1475">
        <v>18</v>
      </c>
      <c r="F1475" t="b">
        <v>0</v>
      </c>
      <c r="G1475">
        <v>2</v>
      </c>
      <c r="H1475">
        <v>1</v>
      </c>
      <c r="I1475">
        <v>0.2</v>
      </c>
      <c r="K1475">
        <v>0.18179999999999999</v>
      </c>
      <c r="L1475">
        <v>0.32</v>
      </c>
      <c r="M1475">
        <v>0.3881</v>
      </c>
      <c r="N1475">
        <v>1</v>
      </c>
      <c r="O1475">
        <v>151</v>
      </c>
      <c r="P1475">
        <v>152</v>
      </c>
      <c r="Q1475" s="17" t="str">
        <f t="shared" ref="Q1475:Q1538" si="71">IF(G1475&gt;=5,"Weekends","Weekdays")</f>
        <v>Weekdays</v>
      </c>
      <c r="R1475" s="17" t="str">
        <f t="shared" si="69"/>
        <v>Evening</v>
      </c>
      <c r="S1475" s="9" t="str">
        <f t="shared" si="70"/>
        <v>Clear</v>
      </c>
    </row>
    <row r="1476" spans="1:19" x14ac:dyDescent="0.25">
      <c r="A1476">
        <v>873</v>
      </c>
      <c r="B1476" s="19">
        <v>40582</v>
      </c>
      <c r="C1476">
        <v>1</v>
      </c>
      <c r="D1476">
        <v>2</v>
      </c>
      <c r="E1476">
        <v>19</v>
      </c>
      <c r="F1476" t="b">
        <v>0</v>
      </c>
      <c r="G1476">
        <v>2</v>
      </c>
      <c r="H1476">
        <v>1</v>
      </c>
      <c r="I1476">
        <v>0.16</v>
      </c>
      <c r="K1476">
        <v>0.1212</v>
      </c>
      <c r="L1476">
        <v>0.4</v>
      </c>
      <c r="M1476">
        <v>0.4627</v>
      </c>
      <c r="N1476">
        <v>1</v>
      </c>
      <c r="O1476">
        <v>100</v>
      </c>
      <c r="P1476">
        <v>101</v>
      </c>
      <c r="Q1476" s="17" t="str">
        <f t="shared" si="71"/>
        <v>Weekdays</v>
      </c>
      <c r="R1476" s="17" t="str">
        <f t="shared" si="69"/>
        <v>Evening</v>
      </c>
      <c r="S1476" s="9" t="str">
        <f t="shared" si="70"/>
        <v>Clear</v>
      </c>
    </row>
    <row r="1477" spans="1:19" x14ac:dyDescent="0.25">
      <c r="A1477">
        <v>874</v>
      </c>
      <c r="B1477" s="19">
        <v>40582</v>
      </c>
      <c r="C1477">
        <v>1</v>
      </c>
      <c r="D1477">
        <v>2</v>
      </c>
      <c r="E1477">
        <v>20</v>
      </c>
      <c r="F1477" t="b">
        <v>0</v>
      </c>
      <c r="G1477">
        <v>2</v>
      </c>
      <c r="H1477">
        <v>1</v>
      </c>
      <c r="I1477">
        <v>0.16</v>
      </c>
      <c r="K1477">
        <v>0.13639999999999999</v>
      </c>
      <c r="L1477">
        <v>0.4</v>
      </c>
      <c r="M1477">
        <v>0.32840000000000003</v>
      </c>
      <c r="N1477">
        <v>3</v>
      </c>
      <c r="O1477">
        <v>53</v>
      </c>
      <c r="P1477">
        <v>56</v>
      </c>
      <c r="Q1477" s="17" t="str">
        <f t="shared" si="71"/>
        <v>Weekdays</v>
      </c>
      <c r="R1477" s="17" t="str">
        <f t="shared" si="69"/>
        <v>Evening</v>
      </c>
      <c r="S1477" s="9" t="str">
        <f t="shared" si="70"/>
        <v>Clear</v>
      </c>
    </row>
    <row r="1478" spans="1:19" x14ac:dyDescent="0.25">
      <c r="A1478">
        <v>875</v>
      </c>
      <c r="B1478" s="19">
        <v>40582</v>
      </c>
      <c r="C1478">
        <v>1</v>
      </c>
      <c r="D1478">
        <v>2</v>
      </c>
      <c r="E1478">
        <v>21</v>
      </c>
      <c r="F1478" t="b">
        <v>0</v>
      </c>
      <c r="G1478">
        <v>2</v>
      </c>
      <c r="H1478">
        <v>1</v>
      </c>
      <c r="I1478">
        <v>0.14000000000000001</v>
      </c>
      <c r="K1478">
        <v>0.1061</v>
      </c>
      <c r="L1478">
        <v>0.33</v>
      </c>
      <c r="M1478">
        <v>0.4627</v>
      </c>
      <c r="N1478">
        <v>8</v>
      </c>
      <c r="O1478">
        <v>46</v>
      </c>
      <c r="P1478">
        <v>54</v>
      </c>
      <c r="Q1478" s="17" t="str">
        <f t="shared" si="71"/>
        <v>Weekdays</v>
      </c>
      <c r="R1478" s="17" t="str">
        <f t="shared" si="69"/>
        <v>Night</v>
      </c>
      <c r="S1478" s="9" t="str">
        <f t="shared" si="70"/>
        <v>Clear</v>
      </c>
    </row>
    <row r="1479" spans="1:19" x14ac:dyDescent="0.25">
      <c r="A1479">
        <v>876</v>
      </c>
      <c r="B1479" s="19">
        <v>40582</v>
      </c>
      <c r="C1479">
        <v>1</v>
      </c>
      <c r="D1479">
        <v>2</v>
      </c>
      <c r="E1479">
        <v>22</v>
      </c>
      <c r="F1479" t="b">
        <v>0</v>
      </c>
      <c r="G1479">
        <v>2</v>
      </c>
      <c r="H1479">
        <v>1</v>
      </c>
      <c r="I1479">
        <v>0.12</v>
      </c>
      <c r="K1479">
        <v>0.1061</v>
      </c>
      <c r="L1479">
        <v>0.33</v>
      </c>
      <c r="M1479">
        <v>0.35820000000000002</v>
      </c>
      <c r="N1479">
        <v>0</v>
      </c>
      <c r="O1479">
        <v>29</v>
      </c>
      <c r="P1479">
        <v>29</v>
      </c>
      <c r="Q1479" s="17" t="str">
        <f t="shared" si="71"/>
        <v>Weekdays</v>
      </c>
      <c r="R1479" s="17" t="str">
        <f t="shared" si="69"/>
        <v>Night</v>
      </c>
      <c r="S1479" s="9" t="str">
        <f t="shared" si="70"/>
        <v>Clear</v>
      </c>
    </row>
    <row r="1480" spans="1:19" x14ac:dyDescent="0.25">
      <c r="A1480">
        <v>877</v>
      </c>
      <c r="B1480" s="19">
        <v>40582</v>
      </c>
      <c r="C1480">
        <v>1</v>
      </c>
      <c r="D1480">
        <v>2</v>
      </c>
      <c r="E1480">
        <v>23</v>
      </c>
      <c r="F1480" t="b">
        <v>0</v>
      </c>
      <c r="G1480">
        <v>2</v>
      </c>
      <c r="H1480">
        <v>1</v>
      </c>
      <c r="I1480">
        <v>0.12</v>
      </c>
      <c r="K1480">
        <v>0.1061</v>
      </c>
      <c r="L1480">
        <v>0.33</v>
      </c>
      <c r="M1480">
        <v>0.32840000000000003</v>
      </c>
      <c r="N1480">
        <v>3</v>
      </c>
      <c r="O1480">
        <v>9</v>
      </c>
      <c r="P1480">
        <v>12</v>
      </c>
      <c r="Q1480" s="17" t="str">
        <f t="shared" si="71"/>
        <v>Weekdays</v>
      </c>
      <c r="R1480" s="17" t="str">
        <f t="shared" si="69"/>
        <v>Night</v>
      </c>
      <c r="S1480" s="9" t="str">
        <f t="shared" si="70"/>
        <v>Clear</v>
      </c>
    </row>
    <row r="1481" spans="1:19" x14ac:dyDescent="0.25">
      <c r="A1481">
        <v>878</v>
      </c>
      <c r="B1481" s="19">
        <v>40583</v>
      </c>
      <c r="C1481">
        <v>1</v>
      </c>
      <c r="D1481">
        <v>2</v>
      </c>
      <c r="E1481">
        <v>0</v>
      </c>
      <c r="F1481" t="b">
        <v>0</v>
      </c>
      <c r="G1481">
        <v>3</v>
      </c>
      <c r="H1481">
        <v>1</v>
      </c>
      <c r="I1481">
        <v>0.1</v>
      </c>
      <c r="K1481">
        <v>7.5800000000000006E-2</v>
      </c>
      <c r="L1481">
        <v>0.36</v>
      </c>
      <c r="M1481">
        <v>0.35820000000000002</v>
      </c>
      <c r="N1481">
        <v>0</v>
      </c>
      <c r="O1481">
        <v>17</v>
      </c>
      <c r="P1481">
        <v>17</v>
      </c>
      <c r="Q1481" s="17" t="str">
        <f t="shared" si="71"/>
        <v>Weekdays</v>
      </c>
      <c r="R1481" s="17" t="str">
        <f t="shared" si="69"/>
        <v>Morning</v>
      </c>
      <c r="S1481" s="9" t="str">
        <f t="shared" si="70"/>
        <v>Clear</v>
      </c>
    </row>
    <row r="1482" spans="1:19" x14ac:dyDescent="0.25">
      <c r="A1482">
        <v>879</v>
      </c>
      <c r="B1482" s="19">
        <v>40583</v>
      </c>
      <c r="C1482">
        <v>1</v>
      </c>
      <c r="D1482">
        <v>2</v>
      </c>
      <c r="E1482">
        <v>1</v>
      </c>
      <c r="F1482" t="b">
        <v>0</v>
      </c>
      <c r="G1482">
        <v>3</v>
      </c>
      <c r="H1482">
        <v>1</v>
      </c>
      <c r="I1482">
        <v>0.1</v>
      </c>
      <c r="K1482">
        <v>0.1061</v>
      </c>
      <c r="L1482">
        <v>0.36</v>
      </c>
      <c r="M1482">
        <v>0.22389999999999999</v>
      </c>
      <c r="N1482">
        <v>0</v>
      </c>
      <c r="O1482">
        <v>7</v>
      </c>
      <c r="P1482">
        <v>7</v>
      </c>
      <c r="Q1482" s="17" t="str">
        <f t="shared" si="71"/>
        <v>Weekdays</v>
      </c>
      <c r="R1482" s="17" t="str">
        <f t="shared" si="69"/>
        <v>Morning</v>
      </c>
      <c r="S1482" s="9" t="str">
        <f t="shared" si="70"/>
        <v>Clear</v>
      </c>
    </row>
    <row r="1483" spans="1:19" x14ac:dyDescent="0.25">
      <c r="A1483">
        <v>880</v>
      </c>
      <c r="B1483" s="19">
        <v>40583</v>
      </c>
      <c r="C1483">
        <v>1</v>
      </c>
      <c r="D1483">
        <v>2</v>
      </c>
      <c r="E1483">
        <v>2</v>
      </c>
      <c r="F1483" t="b">
        <v>0</v>
      </c>
      <c r="G1483">
        <v>3</v>
      </c>
      <c r="H1483">
        <v>1</v>
      </c>
      <c r="I1483">
        <v>0.08</v>
      </c>
      <c r="K1483">
        <v>7.5800000000000006E-2</v>
      </c>
      <c r="L1483">
        <v>0.38</v>
      </c>
      <c r="M1483">
        <v>0.28360000000000002</v>
      </c>
      <c r="N1483">
        <v>1</v>
      </c>
      <c r="O1483">
        <v>2</v>
      </c>
      <c r="P1483">
        <v>3</v>
      </c>
      <c r="Q1483" s="17" t="str">
        <f t="shared" si="71"/>
        <v>Weekdays</v>
      </c>
      <c r="R1483" s="17" t="str">
        <f t="shared" si="69"/>
        <v>Morning</v>
      </c>
      <c r="S1483" s="9" t="str">
        <f t="shared" si="70"/>
        <v>Clear</v>
      </c>
    </row>
    <row r="1484" spans="1:19" x14ac:dyDescent="0.25">
      <c r="A1484">
        <v>881</v>
      </c>
      <c r="B1484" s="19">
        <v>40583</v>
      </c>
      <c r="C1484">
        <v>1</v>
      </c>
      <c r="D1484">
        <v>2</v>
      </c>
      <c r="E1484">
        <v>3</v>
      </c>
      <c r="F1484" t="b">
        <v>0</v>
      </c>
      <c r="G1484">
        <v>3</v>
      </c>
      <c r="H1484">
        <v>1</v>
      </c>
      <c r="I1484">
        <v>0.06</v>
      </c>
      <c r="K1484">
        <v>7.5800000000000006E-2</v>
      </c>
      <c r="L1484">
        <v>0.45</v>
      </c>
      <c r="M1484">
        <v>0.1343</v>
      </c>
      <c r="N1484">
        <v>0</v>
      </c>
      <c r="O1484">
        <v>2</v>
      </c>
      <c r="P1484">
        <v>2</v>
      </c>
      <c r="Q1484" s="17" t="str">
        <f t="shared" si="71"/>
        <v>Weekdays</v>
      </c>
      <c r="R1484" s="17" t="str">
        <f t="shared" si="69"/>
        <v>Morning</v>
      </c>
      <c r="S1484" s="9" t="str">
        <f t="shared" si="70"/>
        <v>Clear</v>
      </c>
    </row>
    <row r="1485" spans="1:19" x14ac:dyDescent="0.25">
      <c r="A1485">
        <v>882</v>
      </c>
      <c r="B1485" s="19">
        <v>40583</v>
      </c>
      <c r="C1485">
        <v>1</v>
      </c>
      <c r="D1485">
        <v>2</v>
      </c>
      <c r="E1485">
        <v>5</v>
      </c>
      <c r="F1485" t="b">
        <v>0</v>
      </c>
      <c r="G1485">
        <v>3</v>
      </c>
      <c r="H1485">
        <v>1</v>
      </c>
      <c r="I1485">
        <v>0.06</v>
      </c>
      <c r="K1485">
        <v>0.1061</v>
      </c>
      <c r="L1485">
        <v>0.45</v>
      </c>
      <c r="M1485">
        <v>0.1045</v>
      </c>
      <c r="N1485">
        <v>0</v>
      </c>
      <c r="O1485">
        <v>7</v>
      </c>
      <c r="P1485">
        <v>7</v>
      </c>
      <c r="Q1485" s="17" t="str">
        <f t="shared" si="71"/>
        <v>Weekdays</v>
      </c>
      <c r="R1485" s="17" t="str">
        <f t="shared" si="69"/>
        <v>Morning</v>
      </c>
      <c r="S1485" s="9" t="str">
        <f t="shared" si="70"/>
        <v>Clear</v>
      </c>
    </row>
    <row r="1486" spans="1:19" x14ac:dyDescent="0.25">
      <c r="A1486">
        <v>883</v>
      </c>
      <c r="B1486" s="19">
        <v>40583</v>
      </c>
      <c r="C1486">
        <v>1</v>
      </c>
      <c r="D1486">
        <v>2</v>
      </c>
      <c r="E1486">
        <v>6</v>
      </c>
      <c r="F1486" t="b">
        <v>0</v>
      </c>
      <c r="G1486">
        <v>3</v>
      </c>
      <c r="H1486">
        <v>1</v>
      </c>
      <c r="I1486">
        <v>0.06</v>
      </c>
      <c r="K1486">
        <v>0.1515</v>
      </c>
      <c r="L1486">
        <v>0.45</v>
      </c>
      <c r="M1486">
        <v>0</v>
      </c>
      <c r="N1486">
        <v>0</v>
      </c>
      <c r="O1486">
        <v>43</v>
      </c>
      <c r="P1486">
        <v>43</v>
      </c>
      <c r="Q1486" s="17" t="str">
        <f t="shared" si="71"/>
        <v>Weekdays</v>
      </c>
      <c r="R1486" s="17" t="str">
        <f t="shared" si="69"/>
        <v>Morning</v>
      </c>
      <c r="S1486" s="9" t="str">
        <f t="shared" si="70"/>
        <v>Clear</v>
      </c>
    </row>
    <row r="1487" spans="1:19" x14ac:dyDescent="0.25">
      <c r="A1487">
        <v>884</v>
      </c>
      <c r="B1487" s="19">
        <v>40583</v>
      </c>
      <c r="C1487">
        <v>1</v>
      </c>
      <c r="D1487">
        <v>2</v>
      </c>
      <c r="E1487">
        <v>7</v>
      </c>
      <c r="F1487" t="b">
        <v>0</v>
      </c>
      <c r="G1487">
        <v>3</v>
      </c>
      <c r="H1487">
        <v>1</v>
      </c>
      <c r="I1487">
        <v>0.06</v>
      </c>
      <c r="K1487">
        <v>0.1061</v>
      </c>
      <c r="L1487">
        <v>0.49</v>
      </c>
      <c r="M1487">
        <v>0.1045</v>
      </c>
      <c r="N1487">
        <v>4</v>
      </c>
      <c r="O1487">
        <v>95</v>
      </c>
      <c r="P1487">
        <v>99</v>
      </c>
      <c r="Q1487" s="17" t="str">
        <f t="shared" si="71"/>
        <v>Weekdays</v>
      </c>
      <c r="R1487" s="17" t="str">
        <f t="shared" si="69"/>
        <v>Morning</v>
      </c>
      <c r="S1487" s="9" t="str">
        <f t="shared" si="70"/>
        <v>Clear</v>
      </c>
    </row>
    <row r="1488" spans="1:19" x14ac:dyDescent="0.25">
      <c r="A1488">
        <v>885</v>
      </c>
      <c r="B1488" s="19">
        <v>40583</v>
      </c>
      <c r="C1488">
        <v>1</v>
      </c>
      <c r="D1488">
        <v>2</v>
      </c>
      <c r="E1488">
        <v>8</v>
      </c>
      <c r="F1488" t="b">
        <v>0</v>
      </c>
      <c r="G1488">
        <v>3</v>
      </c>
      <c r="H1488">
        <v>1</v>
      </c>
      <c r="I1488">
        <v>0.1</v>
      </c>
      <c r="K1488">
        <v>0.13639999999999999</v>
      </c>
      <c r="L1488">
        <v>0.42</v>
      </c>
      <c r="M1488">
        <v>0</v>
      </c>
      <c r="N1488">
        <v>1</v>
      </c>
      <c r="O1488">
        <v>198</v>
      </c>
      <c r="P1488">
        <v>199</v>
      </c>
      <c r="Q1488" s="17" t="str">
        <f t="shared" si="71"/>
        <v>Weekdays</v>
      </c>
      <c r="R1488" s="17" t="str">
        <f t="shared" si="69"/>
        <v>Morning</v>
      </c>
      <c r="S1488" s="9" t="str">
        <f t="shared" si="70"/>
        <v>Clear</v>
      </c>
    </row>
    <row r="1489" spans="1:19" x14ac:dyDescent="0.25">
      <c r="A1489">
        <v>886</v>
      </c>
      <c r="B1489" s="19">
        <v>40583</v>
      </c>
      <c r="C1489">
        <v>1</v>
      </c>
      <c r="D1489">
        <v>2</v>
      </c>
      <c r="E1489">
        <v>9</v>
      </c>
      <c r="F1489" t="b">
        <v>0</v>
      </c>
      <c r="G1489">
        <v>3</v>
      </c>
      <c r="H1489">
        <v>1</v>
      </c>
      <c r="I1489">
        <v>0.12</v>
      </c>
      <c r="K1489">
        <v>0.13639999999999999</v>
      </c>
      <c r="L1489">
        <v>0.39</v>
      </c>
      <c r="M1489">
        <v>0.16420000000000001</v>
      </c>
      <c r="N1489">
        <v>4</v>
      </c>
      <c r="O1489">
        <v>119</v>
      </c>
      <c r="P1489">
        <v>123</v>
      </c>
      <c r="Q1489" s="17" t="str">
        <f t="shared" si="71"/>
        <v>Weekdays</v>
      </c>
      <c r="R1489" s="17" t="str">
        <f t="shared" si="69"/>
        <v>Morning</v>
      </c>
      <c r="S1489" s="9" t="str">
        <f t="shared" si="70"/>
        <v>Clear</v>
      </c>
    </row>
    <row r="1490" spans="1:19" x14ac:dyDescent="0.25">
      <c r="A1490">
        <v>887</v>
      </c>
      <c r="B1490" s="19">
        <v>40583</v>
      </c>
      <c r="C1490">
        <v>1</v>
      </c>
      <c r="D1490">
        <v>2</v>
      </c>
      <c r="E1490">
        <v>10</v>
      </c>
      <c r="F1490" t="b">
        <v>0</v>
      </c>
      <c r="G1490">
        <v>3</v>
      </c>
      <c r="H1490">
        <v>1</v>
      </c>
      <c r="I1490">
        <v>0.14000000000000001</v>
      </c>
      <c r="K1490">
        <v>0.18179999999999999</v>
      </c>
      <c r="L1490">
        <v>0.36</v>
      </c>
      <c r="M1490">
        <v>0</v>
      </c>
      <c r="N1490">
        <v>8</v>
      </c>
      <c r="O1490">
        <v>51</v>
      </c>
      <c r="P1490">
        <v>59</v>
      </c>
      <c r="Q1490" s="17" t="str">
        <f t="shared" si="71"/>
        <v>Weekdays</v>
      </c>
      <c r="R1490" s="17" t="str">
        <f t="shared" si="69"/>
        <v>Morning</v>
      </c>
      <c r="S1490" s="9" t="str">
        <f t="shared" si="70"/>
        <v>Clear</v>
      </c>
    </row>
    <row r="1491" spans="1:19" x14ac:dyDescent="0.25">
      <c r="A1491">
        <v>888</v>
      </c>
      <c r="B1491" s="19">
        <v>40583</v>
      </c>
      <c r="C1491">
        <v>1</v>
      </c>
      <c r="D1491">
        <v>2</v>
      </c>
      <c r="E1491">
        <v>11</v>
      </c>
      <c r="F1491" t="b">
        <v>0</v>
      </c>
      <c r="G1491">
        <v>3</v>
      </c>
      <c r="H1491">
        <v>2</v>
      </c>
      <c r="I1491">
        <v>0.14000000000000001</v>
      </c>
      <c r="K1491">
        <v>0.1515</v>
      </c>
      <c r="L1491">
        <v>0.43</v>
      </c>
      <c r="M1491">
        <v>0.16420000000000001</v>
      </c>
      <c r="N1491">
        <v>1</v>
      </c>
      <c r="O1491">
        <v>40</v>
      </c>
      <c r="P1491">
        <v>41</v>
      </c>
      <c r="Q1491" s="17" t="str">
        <f t="shared" si="71"/>
        <v>Weekdays</v>
      </c>
      <c r="R1491" s="17" t="str">
        <f t="shared" si="69"/>
        <v>Morning</v>
      </c>
      <c r="S1491" s="9" t="str">
        <f t="shared" si="70"/>
        <v>Mist</v>
      </c>
    </row>
    <row r="1492" spans="1:19" x14ac:dyDescent="0.25">
      <c r="A1492">
        <v>889</v>
      </c>
      <c r="B1492" s="19">
        <v>40583</v>
      </c>
      <c r="C1492">
        <v>1</v>
      </c>
      <c r="D1492">
        <v>2</v>
      </c>
      <c r="E1492">
        <v>12</v>
      </c>
      <c r="F1492" t="b">
        <v>0</v>
      </c>
      <c r="G1492">
        <v>3</v>
      </c>
      <c r="H1492">
        <v>2</v>
      </c>
      <c r="I1492">
        <v>0.18</v>
      </c>
      <c r="K1492">
        <v>0.18179999999999999</v>
      </c>
      <c r="L1492">
        <v>0.4</v>
      </c>
      <c r="M1492">
        <v>0.22389999999999999</v>
      </c>
      <c r="N1492">
        <v>4</v>
      </c>
      <c r="O1492">
        <v>57</v>
      </c>
      <c r="P1492">
        <v>61</v>
      </c>
      <c r="Q1492" s="17" t="str">
        <f t="shared" si="71"/>
        <v>Weekdays</v>
      </c>
      <c r="R1492" s="17" t="str">
        <f t="shared" si="69"/>
        <v>Afternoon</v>
      </c>
      <c r="S1492" s="9" t="str">
        <f t="shared" si="70"/>
        <v>Mist</v>
      </c>
    </row>
    <row r="1493" spans="1:19" x14ac:dyDescent="0.25">
      <c r="A1493">
        <v>890</v>
      </c>
      <c r="B1493" s="19">
        <v>40583</v>
      </c>
      <c r="C1493">
        <v>1</v>
      </c>
      <c r="D1493">
        <v>2</v>
      </c>
      <c r="E1493">
        <v>13</v>
      </c>
      <c r="F1493" t="b">
        <v>0</v>
      </c>
      <c r="G1493">
        <v>3</v>
      </c>
      <c r="H1493">
        <v>1</v>
      </c>
      <c r="I1493">
        <v>0.18</v>
      </c>
      <c r="K1493">
        <v>0.16669999999999999</v>
      </c>
      <c r="L1493">
        <v>0.4</v>
      </c>
      <c r="M1493">
        <v>0.25369999999999998</v>
      </c>
      <c r="N1493">
        <v>2</v>
      </c>
      <c r="O1493">
        <v>67</v>
      </c>
      <c r="P1493">
        <v>69</v>
      </c>
      <c r="Q1493" s="17" t="str">
        <f t="shared" si="71"/>
        <v>Weekdays</v>
      </c>
      <c r="R1493" s="17" t="str">
        <f t="shared" si="69"/>
        <v>Afternoon</v>
      </c>
      <c r="S1493" s="9" t="str">
        <f t="shared" si="70"/>
        <v>Clear</v>
      </c>
    </row>
    <row r="1494" spans="1:19" x14ac:dyDescent="0.25">
      <c r="A1494">
        <v>891</v>
      </c>
      <c r="B1494" s="19">
        <v>40583</v>
      </c>
      <c r="C1494">
        <v>1</v>
      </c>
      <c r="D1494">
        <v>2</v>
      </c>
      <c r="E1494">
        <v>14</v>
      </c>
      <c r="F1494" t="b">
        <v>0</v>
      </c>
      <c r="G1494">
        <v>3</v>
      </c>
      <c r="H1494">
        <v>1</v>
      </c>
      <c r="I1494">
        <v>0.2</v>
      </c>
      <c r="K1494">
        <v>0.18179999999999999</v>
      </c>
      <c r="L1494">
        <v>0.34</v>
      </c>
      <c r="M1494">
        <v>0.29849999999999999</v>
      </c>
      <c r="N1494">
        <v>2</v>
      </c>
      <c r="O1494">
        <v>56</v>
      </c>
      <c r="P1494">
        <v>58</v>
      </c>
      <c r="Q1494" s="17" t="str">
        <f t="shared" si="71"/>
        <v>Weekdays</v>
      </c>
      <c r="R1494" s="17" t="str">
        <f t="shared" si="69"/>
        <v>Afternoon</v>
      </c>
      <c r="S1494" s="9" t="str">
        <f t="shared" si="70"/>
        <v>Clear</v>
      </c>
    </row>
    <row r="1495" spans="1:19" x14ac:dyDescent="0.25">
      <c r="A1495">
        <v>892</v>
      </c>
      <c r="B1495" s="19">
        <v>40583</v>
      </c>
      <c r="C1495">
        <v>1</v>
      </c>
      <c r="D1495">
        <v>2</v>
      </c>
      <c r="E1495">
        <v>15</v>
      </c>
      <c r="F1495" t="b">
        <v>0</v>
      </c>
      <c r="G1495">
        <v>3</v>
      </c>
      <c r="H1495">
        <v>2</v>
      </c>
      <c r="I1495">
        <v>0.2</v>
      </c>
      <c r="K1495">
        <v>0.18179999999999999</v>
      </c>
      <c r="L1495">
        <v>0.34</v>
      </c>
      <c r="M1495">
        <v>0.28360000000000002</v>
      </c>
      <c r="N1495">
        <v>3</v>
      </c>
      <c r="O1495">
        <v>61</v>
      </c>
      <c r="P1495">
        <v>64</v>
      </c>
      <c r="Q1495" s="17" t="str">
        <f t="shared" si="71"/>
        <v>Weekdays</v>
      </c>
      <c r="R1495" s="17" t="str">
        <f t="shared" si="69"/>
        <v>Afternoon</v>
      </c>
      <c r="S1495" s="9" t="str">
        <f t="shared" si="70"/>
        <v>Mist</v>
      </c>
    </row>
    <row r="1496" spans="1:19" x14ac:dyDescent="0.25">
      <c r="A1496">
        <v>893</v>
      </c>
      <c r="B1496" s="19">
        <v>40583</v>
      </c>
      <c r="C1496">
        <v>1</v>
      </c>
      <c r="D1496">
        <v>2</v>
      </c>
      <c r="E1496">
        <v>16</v>
      </c>
      <c r="F1496" t="b">
        <v>0</v>
      </c>
      <c r="G1496">
        <v>3</v>
      </c>
      <c r="H1496">
        <v>2</v>
      </c>
      <c r="I1496">
        <v>0.2</v>
      </c>
      <c r="K1496">
        <v>0.19700000000000001</v>
      </c>
      <c r="L1496">
        <v>0.37</v>
      </c>
      <c r="M1496">
        <v>0.25369999999999998</v>
      </c>
      <c r="N1496">
        <v>7</v>
      </c>
      <c r="O1496">
        <v>72</v>
      </c>
      <c r="P1496">
        <v>79</v>
      </c>
      <c r="Q1496" s="17" t="str">
        <f t="shared" si="71"/>
        <v>Weekdays</v>
      </c>
      <c r="R1496" s="17" t="str">
        <f t="shared" si="69"/>
        <v>Evening</v>
      </c>
      <c r="S1496" s="9" t="str">
        <f t="shared" si="70"/>
        <v>Mist</v>
      </c>
    </row>
    <row r="1497" spans="1:19" x14ac:dyDescent="0.25">
      <c r="A1497">
        <v>894</v>
      </c>
      <c r="B1497" s="19">
        <v>40583</v>
      </c>
      <c r="C1497">
        <v>1</v>
      </c>
      <c r="D1497">
        <v>2</v>
      </c>
      <c r="E1497">
        <v>17</v>
      </c>
      <c r="F1497" t="b">
        <v>0</v>
      </c>
      <c r="G1497">
        <v>3</v>
      </c>
      <c r="H1497">
        <v>2</v>
      </c>
      <c r="I1497">
        <v>0.2</v>
      </c>
      <c r="K1497">
        <v>0.19700000000000001</v>
      </c>
      <c r="L1497">
        <v>0.34</v>
      </c>
      <c r="M1497">
        <v>0.25369999999999998</v>
      </c>
      <c r="N1497">
        <v>9</v>
      </c>
      <c r="O1497">
        <v>157</v>
      </c>
      <c r="P1497">
        <v>166</v>
      </c>
      <c r="Q1497" s="17" t="str">
        <f t="shared" si="71"/>
        <v>Weekdays</v>
      </c>
      <c r="R1497" s="17" t="str">
        <f t="shared" si="69"/>
        <v>Evening</v>
      </c>
      <c r="S1497" s="9" t="str">
        <f t="shared" si="70"/>
        <v>Mist</v>
      </c>
    </row>
    <row r="1498" spans="1:19" x14ac:dyDescent="0.25">
      <c r="A1498">
        <v>895</v>
      </c>
      <c r="B1498" s="19">
        <v>40583</v>
      </c>
      <c r="C1498">
        <v>1</v>
      </c>
      <c r="D1498">
        <v>2</v>
      </c>
      <c r="E1498">
        <v>18</v>
      </c>
      <c r="F1498" t="b">
        <v>0</v>
      </c>
      <c r="G1498">
        <v>3</v>
      </c>
      <c r="H1498">
        <v>2</v>
      </c>
      <c r="I1498">
        <v>0.18</v>
      </c>
      <c r="K1498">
        <v>0.16669999999999999</v>
      </c>
      <c r="L1498">
        <v>0.47</v>
      </c>
      <c r="M1498">
        <v>0.29849999999999999</v>
      </c>
      <c r="N1498">
        <v>2</v>
      </c>
      <c r="O1498">
        <v>168</v>
      </c>
      <c r="P1498">
        <v>170</v>
      </c>
      <c r="Q1498" s="17" t="str">
        <f t="shared" si="71"/>
        <v>Weekdays</v>
      </c>
      <c r="R1498" s="17" t="str">
        <f t="shared" si="69"/>
        <v>Evening</v>
      </c>
      <c r="S1498" s="9" t="str">
        <f t="shared" si="70"/>
        <v>Mist</v>
      </c>
    </row>
    <row r="1499" spans="1:19" x14ac:dyDescent="0.25">
      <c r="A1499">
        <v>896</v>
      </c>
      <c r="B1499" s="19">
        <v>40583</v>
      </c>
      <c r="C1499">
        <v>1</v>
      </c>
      <c r="D1499">
        <v>2</v>
      </c>
      <c r="E1499">
        <v>19</v>
      </c>
      <c r="F1499" t="b">
        <v>0</v>
      </c>
      <c r="G1499">
        <v>3</v>
      </c>
      <c r="H1499">
        <v>3</v>
      </c>
      <c r="I1499">
        <v>0.14000000000000001</v>
      </c>
      <c r="K1499">
        <v>0.1212</v>
      </c>
      <c r="L1499">
        <v>0.86</v>
      </c>
      <c r="M1499">
        <v>0.25369999999999998</v>
      </c>
      <c r="N1499">
        <v>1</v>
      </c>
      <c r="O1499">
        <v>87</v>
      </c>
      <c r="P1499">
        <v>88</v>
      </c>
      <c r="Q1499" s="17" t="str">
        <f t="shared" si="71"/>
        <v>Weekdays</v>
      </c>
      <c r="R1499" s="17" t="str">
        <f t="shared" si="69"/>
        <v>Evening</v>
      </c>
      <c r="S1499" s="9" t="str">
        <f t="shared" si="70"/>
        <v>Light Snow/Rain</v>
      </c>
    </row>
    <row r="1500" spans="1:19" x14ac:dyDescent="0.25">
      <c r="A1500">
        <v>897</v>
      </c>
      <c r="B1500" s="19">
        <v>40583</v>
      </c>
      <c r="C1500">
        <v>1</v>
      </c>
      <c r="D1500">
        <v>2</v>
      </c>
      <c r="E1500">
        <v>20</v>
      </c>
      <c r="F1500" t="b">
        <v>0</v>
      </c>
      <c r="G1500">
        <v>3</v>
      </c>
      <c r="H1500">
        <v>3</v>
      </c>
      <c r="I1500">
        <v>0.14000000000000001</v>
      </c>
      <c r="K1500">
        <v>0.1515</v>
      </c>
      <c r="L1500">
        <v>0.86</v>
      </c>
      <c r="M1500">
        <v>0.16420000000000001</v>
      </c>
      <c r="N1500">
        <v>0</v>
      </c>
      <c r="O1500">
        <v>84</v>
      </c>
      <c r="P1500">
        <v>84</v>
      </c>
      <c r="Q1500" s="17" t="str">
        <f t="shared" si="71"/>
        <v>Weekdays</v>
      </c>
      <c r="R1500" s="17" t="str">
        <f t="shared" si="69"/>
        <v>Evening</v>
      </c>
      <c r="S1500" s="9" t="str">
        <f t="shared" si="70"/>
        <v>Light Snow/Rain</v>
      </c>
    </row>
    <row r="1501" spans="1:19" x14ac:dyDescent="0.25">
      <c r="A1501">
        <v>898</v>
      </c>
      <c r="B1501" s="19">
        <v>40583</v>
      </c>
      <c r="C1501">
        <v>1</v>
      </c>
      <c r="D1501">
        <v>2</v>
      </c>
      <c r="E1501">
        <v>21</v>
      </c>
      <c r="F1501" t="b">
        <v>0</v>
      </c>
      <c r="G1501">
        <v>3</v>
      </c>
      <c r="H1501">
        <v>2</v>
      </c>
      <c r="I1501">
        <v>0.14000000000000001</v>
      </c>
      <c r="K1501">
        <v>0.1515</v>
      </c>
      <c r="L1501">
        <v>0.86</v>
      </c>
      <c r="M1501">
        <v>0.16420000000000001</v>
      </c>
      <c r="N1501">
        <v>0</v>
      </c>
      <c r="O1501">
        <v>83</v>
      </c>
      <c r="P1501">
        <v>83</v>
      </c>
      <c r="Q1501" s="17" t="str">
        <f t="shared" si="71"/>
        <v>Weekdays</v>
      </c>
      <c r="R1501" s="17" t="str">
        <f t="shared" si="69"/>
        <v>Night</v>
      </c>
      <c r="S1501" s="9" t="str">
        <f t="shared" si="70"/>
        <v>Mist</v>
      </c>
    </row>
    <row r="1502" spans="1:19" x14ac:dyDescent="0.25">
      <c r="A1502">
        <v>899</v>
      </c>
      <c r="B1502" s="19">
        <v>40583</v>
      </c>
      <c r="C1502">
        <v>1</v>
      </c>
      <c r="D1502">
        <v>2</v>
      </c>
      <c r="E1502">
        <v>22</v>
      </c>
      <c r="F1502" t="b">
        <v>0</v>
      </c>
      <c r="G1502">
        <v>3</v>
      </c>
      <c r="H1502">
        <v>3</v>
      </c>
      <c r="I1502">
        <v>0.16</v>
      </c>
      <c r="K1502">
        <v>0.16669999999999999</v>
      </c>
      <c r="L1502">
        <v>0.8</v>
      </c>
      <c r="M1502">
        <v>0.16420000000000001</v>
      </c>
      <c r="N1502">
        <v>4</v>
      </c>
      <c r="O1502">
        <v>42</v>
      </c>
      <c r="P1502">
        <v>46</v>
      </c>
      <c r="Q1502" s="17" t="str">
        <f t="shared" si="71"/>
        <v>Weekdays</v>
      </c>
      <c r="R1502" s="17" t="str">
        <f t="shared" si="69"/>
        <v>Night</v>
      </c>
      <c r="S1502" s="9" t="str">
        <f t="shared" si="70"/>
        <v>Light Snow/Rain</v>
      </c>
    </row>
    <row r="1503" spans="1:19" x14ac:dyDescent="0.25">
      <c r="A1503">
        <v>900</v>
      </c>
      <c r="B1503" s="19">
        <v>40583</v>
      </c>
      <c r="C1503">
        <v>1</v>
      </c>
      <c r="D1503">
        <v>2</v>
      </c>
      <c r="E1503">
        <v>23</v>
      </c>
      <c r="F1503" t="b">
        <v>0</v>
      </c>
      <c r="G1503">
        <v>3</v>
      </c>
      <c r="H1503">
        <v>3</v>
      </c>
      <c r="I1503">
        <v>0.16</v>
      </c>
      <c r="K1503">
        <v>0.1515</v>
      </c>
      <c r="L1503">
        <v>0.8</v>
      </c>
      <c r="M1503">
        <v>0.19400000000000001</v>
      </c>
      <c r="N1503">
        <v>0</v>
      </c>
      <c r="O1503">
        <v>37</v>
      </c>
      <c r="P1503">
        <v>37</v>
      </c>
      <c r="Q1503" s="17" t="str">
        <f t="shared" si="71"/>
        <v>Weekdays</v>
      </c>
      <c r="R1503" s="17" t="str">
        <f t="shared" si="69"/>
        <v>Night</v>
      </c>
      <c r="S1503" s="9" t="str">
        <f t="shared" si="70"/>
        <v>Light Snow/Rain</v>
      </c>
    </row>
    <row r="1504" spans="1:19" x14ac:dyDescent="0.25">
      <c r="A1504">
        <v>901</v>
      </c>
      <c r="B1504" s="19">
        <v>40584</v>
      </c>
      <c r="C1504">
        <v>1</v>
      </c>
      <c r="D1504">
        <v>2</v>
      </c>
      <c r="E1504">
        <v>0</v>
      </c>
      <c r="F1504" t="b">
        <v>0</v>
      </c>
      <c r="G1504">
        <v>4</v>
      </c>
      <c r="H1504">
        <v>3</v>
      </c>
      <c r="I1504">
        <v>0.14000000000000001</v>
      </c>
      <c r="K1504">
        <v>0.13639999999999999</v>
      </c>
      <c r="L1504">
        <v>0.86</v>
      </c>
      <c r="M1504">
        <v>0.19400000000000001</v>
      </c>
      <c r="N1504">
        <v>0</v>
      </c>
      <c r="O1504">
        <v>16</v>
      </c>
      <c r="P1504">
        <v>16</v>
      </c>
      <c r="Q1504" s="17" t="str">
        <f t="shared" si="71"/>
        <v>Weekdays</v>
      </c>
      <c r="R1504" s="17" t="str">
        <f t="shared" si="69"/>
        <v>Morning</v>
      </c>
      <c r="S1504" s="9" t="str">
        <f t="shared" si="70"/>
        <v>Light Snow/Rain</v>
      </c>
    </row>
    <row r="1505" spans="1:19" x14ac:dyDescent="0.25">
      <c r="A1505">
        <v>902</v>
      </c>
      <c r="B1505" s="19">
        <v>40584</v>
      </c>
      <c r="C1505">
        <v>1</v>
      </c>
      <c r="D1505">
        <v>2</v>
      </c>
      <c r="E1505">
        <v>1</v>
      </c>
      <c r="F1505" t="b">
        <v>0</v>
      </c>
      <c r="G1505">
        <v>4</v>
      </c>
      <c r="H1505">
        <v>3</v>
      </c>
      <c r="I1505">
        <v>0.14000000000000001</v>
      </c>
      <c r="K1505">
        <v>0.1515</v>
      </c>
      <c r="L1505">
        <v>0.8</v>
      </c>
      <c r="M1505">
        <v>0.1343</v>
      </c>
      <c r="N1505">
        <v>0</v>
      </c>
      <c r="O1505">
        <v>7</v>
      </c>
      <c r="P1505">
        <v>7</v>
      </c>
      <c r="Q1505" s="17" t="str">
        <f t="shared" si="71"/>
        <v>Weekdays</v>
      </c>
      <c r="R1505" s="17" t="str">
        <f t="shared" si="69"/>
        <v>Morning</v>
      </c>
      <c r="S1505" s="9" t="str">
        <f t="shared" si="70"/>
        <v>Light Snow/Rain</v>
      </c>
    </row>
    <row r="1506" spans="1:19" x14ac:dyDescent="0.25">
      <c r="A1506">
        <v>903</v>
      </c>
      <c r="B1506" s="19">
        <v>40584</v>
      </c>
      <c r="C1506">
        <v>1</v>
      </c>
      <c r="D1506">
        <v>2</v>
      </c>
      <c r="E1506">
        <v>2</v>
      </c>
      <c r="F1506" t="b">
        <v>0</v>
      </c>
      <c r="G1506">
        <v>4</v>
      </c>
      <c r="H1506">
        <v>3</v>
      </c>
      <c r="I1506">
        <v>0.14000000000000001</v>
      </c>
      <c r="K1506">
        <v>0.1515</v>
      </c>
      <c r="L1506">
        <v>0.8</v>
      </c>
      <c r="M1506">
        <v>0.1343</v>
      </c>
      <c r="N1506">
        <v>0</v>
      </c>
      <c r="O1506">
        <v>3</v>
      </c>
      <c r="P1506">
        <v>3</v>
      </c>
      <c r="Q1506" s="17" t="str">
        <f t="shared" si="71"/>
        <v>Weekdays</v>
      </c>
      <c r="R1506" s="17" t="str">
        <f t="shared" si="69"/>
        <v>Morning</v>
      </c>
      <c r="S1506" s="9" t="str">
        <f t="shared" si="70"/>
        <v>Light Snow/Rain</v>
      </c>
    </row>
    <row r="1507" spans="1:19" x14ac:dyDescent="0.25">
      <c r="A1507">
        <v>904</v>
      </c>
      <c r="B1507" s="19">
        <v>40584</v>
      </c>
      <c r="C1507">
        <v>1</v>
      </c>
      <c r="D1507">
        <v>2</v>
      </c>
      <c r="E1507">
        <v>4</v>
      </c>
      <c r="F1507" t="b">
        <v>0</v>
      </c>
      <c r="G1507">
        <v>4</v>
      </c>
      <c r="H1507">
        <v>2</v>
      </c>
      <c r="I1507">
        <v>0.14000000000000001</v>
      </c>
      <c r="K1507">
        <v>0.13639999999999999</v>
      </c>
      <c r="L1507">
        <v>0.59</v>
      </c>
      <c r="M1507">
        <v>0.22389999999999999</v>
      </c>
      <c r="N1507">
        <v>0</v>
      </c>
      <c r="O1507">
        <v>1</v>
      </c>
      <c r="P1507">
        <v>1</v>
      </c>
      <c r="Q1507" s="17" t="str">
        <f t="shared" si="71"/>
        <v>Weekdays</v>
      </c>
      <c r="R1507" s="17" t="str">
        <f t="shared" si="69"/>
        <v>Morning</v>
      </c>
      <c r="S1507" s="9" t="str">
        <f t="shared" si="70"/>
        <v>Mist</v>
      </c>
    </row>
    <row r="1508" spans="1:19" x14ac:dyDescent="0.25">
      <c r="A1508">
        <v>905</v>
      </c>
      <c r="B1508" s="19">
        <v>40584</v>
      </c>
      <c r="C1508">
        <v>1</v>
      </c>
      <c r="D1508">
        <v>2</v>
      </c>
      <c r="E1508">
        <v>5</v>
      </c>
      <c r="F1508" t="b">
        <v>0</v>
      </c>
      <c r="G1508">
        <v>4</v>
      </c>
      <c r="H1508">
        <v>2</v>
      </c>
      <c r="I1508">
        <v>0.12</v>
      </c>
      <c r="K1508">
        <v>0.1212</v>
      </c>
      <c r="L1508">
        <v>0.5</v>
      </c>
      <c r="M1508">
        <v>0.22389999999999999</v>
      </c>
      <c r="N1508">
        <v>0</v>
      </c>
      <c r="O1508">
        <v>6</v>
      </c>
      <c r="P1508">
        <v>6</v>
      </c>
      <c r="Q1508" s="17" t="str">
        <f t="shared" si="71"/>
        <v>Weekdays</v>
      </c>
      <c r="R1508" s="17" t="str">
        <f t="shared" si="69"/>
        <v>Morning</v>
      </c>
      <c r="S1508" s="9" t="str">
        <f t="shared" si="70"/>
        <v>Mist</v>
      </c>
    </row>
    <row r="1509" spans="1:19" x14ac:dyDescent="0.25">
      <c r="A1509">
        <v>906</v>
      </c>
      <c r="B1509" s="19">
        <v>40584</v>
      </c>
      <c r="C1509">
        <v>1</v>
      </c>
      <c r="D1509">
        <v>2</v>
      </c>
      <c r="E1509">
        <v>6</v>
      </c>
      <c r="F1509" t="b">
        <v>0</v>
      </c>
      <c r="G1509">
        <v>4</v>
      </c>
      <c r="H1509">
        <v>2</v>
      </c>
      <c r="I1509">
        <v>0.12</v>
      </c>
      <c r="K1509">
        <v>0.1212</v>
      </c>
      <c r="L1509">
        <v>0.54</v>
      </c>
      <c r="M1509">
        <v>0.28360000000000002</v>
      </c>
      <c r="N1509">
        <v>0</v>
      </c>
      <c r="O1509">
        <v>26</v>
      </c>
      <c r="P1509">
        <v>26</v>
      </c>
      <c r="Q1509" s="17" t="str">
        <f t="shared" si="71"/>
        <v>Weekdays</v>
      </c>
      <c r="R1509" s="17" t="str">
        <f t="shared" si="69"/>
        <v>Morning</v>
      </c>
      <c r="S1509" s="9" t="str">
        <f t="shared" si="70"/>
        <v>Mist</v>
      </c>
    </row>
    <row r="1510" spans="1:19" x14ac:dyDescent="0.25">
      <c r="A1510">
        <v>907</v>
      </c>
      <c r="B1510" s="19">
        <v>40584</v>
      </c>
      <c r="C1510">
        <v>1</v>
      </c>
      <c r="D1510">
        <v>2</v>
      </c>
      <c r="E1510">
        <v>7</v>
      </c>
      <c r="F1510" t="b">
        <v>0</v>
      </c>
      <c r="G1510">
        <v>4</v>
      </c>
      <c r="H1510">
        <v>1</v>
      </c>
      <c r="I1510">
        <v>0.1</v>
      </c>
      <c r="K1510">
        <v>7.5800000000000006E-2</v>
      </c>
      <c r="L1510">
        <v>0.5</v>
      </c>
      <c r="M1510">
        <v>0.41789999999999999</v>
      </c>
      <c r="N1510">
        <v>0</v>
      </c>
      <c r="O1510">
        <v>99</v>
      </c>
      <c r="P1510">
        <v>99</v>
      </c>
      <c r="Q1510" s="17" t="str">
        <f t="shared" si="71"/>
        <v>Weekdays</v>
      </c>
      <c r="R1510" s="17" t="str">
        <f t="shared" si="69"/>
        <v>Morning</v>
      </c>
      <c r="S1510" s="9" t="str">
        <f t="shared" si="70"/>
        <v>Clear</v>
      </c>
    </row>
    <row r="1511" spans="1:19" x14ac:dyDescent="0.25">
      <c r="A1511">
        <v>908</v>
      </c>
      <c r="B1511" s="19">
        <v>40584</v>
      </c>
      <c r="C1511">
        <v>1</v>
      </c>
      <c r="D1511">
        <v>2</v>
      </c>
      <c r="E1511">
        <v>8</v>
      </c>
      <c r="F1511" t="b">
        <v>0</v>
      </c>
      <c r="G1511">
        <v>4</v>
      </c>
      <c r="H1511">
        <v>1</v>
      </c>
      <c r="I1511">
        <v>0.1</v>
      </c>
      <c r="K1511">
        <v>7.5800000000000006E-2</v>
      </c>
      <c r="L1511">
        <v>0.49</v>
      </c>
      <c r="M1511">
        <v>0.32840000000000003</v>
      </c>
      <c r="N1511">
        <v>5</v>
      </c>
      <c r="O1511">
        <v>173</v>
      </c>
      <c r="P1511">
        <v>178</v>
      </c>
      <c r="Q1511" s="17" t="str">
        <f t="shared" si="71"/>
        <v>Weekdays</v>
      </c>
      <c r="R1511" s="17" t="str">
        <f t="shared" si="69"/>
        <v>Morning</v>
      </c>
      <c r="S1511" s="9" t="str">
        <f t="shared" si="70"/>
        <v>Clear</v>
      </c>
    </row>
    <row r="1512" spans="1:19" x14ac:dyDescent="0.25">
      <c r="A1512">
        <v>909</v>
      </c>
      <c r="B1512" s="19">
        <v>40584</v>
      </c>
      <c r="C1512">
        <v>1</v>
      </c>
      <c r="D1512">
        <v>2</v>
      </c>
      <c r="E1512">
        <v>9</v>
      </c>
      <c r="F1512" t="b">
        <v>0</v>
      </c>
      <c r="G1512">
        <v>4</v>
      </c>
      <c r="H1512">
        <v>1</v>
      </c>
      <c r="I1512">
        <v>0.12</v>
      </c>
      <c r="K1512">
        <v>0.1061</v>
      </c>
      <c r="L1512">
        <v>0.42</v>
      </c>
      <c r="M1512">
        <v>0.35820000000000002</v>
      </c>
      <c r="N1512">
        <v>1</v>
      </c>
      <c r="O1512">
        <v>121</v>
      </c>
      <c r="P1512">
        <v>122</v>
      </c>
      <c r="Q1512" s="17" t="str">
        <f t="shared" si="71"/>
        <v>Weekdays</v>
      </c>
      <c r="R1512" s="17" t="str">
        <f t="shared" si="69"/>
        <v>Morning</v>
      </c>
      <c r="S1512" s="9" t="str">
        <f t="shared" si="70"/>
        <v>Clear</v>
      </c>
    </row>
    <row r="1513" spans="1:19" x14ac:dyDescent="0.25">
      <c r="A1513">
        <v>910</v>
      </c>
      <c r="B1513" s="19">
        <v>40584</v>
      </c>
      <c r="C1513">
        <v>1</v>
      </c>
      <c r="D1513">
        <v>2</v>
      </c>
      <c r="E1513">
        <v>10</v>
      </c>
      <c r="F1513" t="b">
        <v>0</v>
      </c>
      <c r="G1513">
        <v>4</v>
      </c>
      <c r="H1513">
        <v>1</v>
      </c>
      <c r="I1513">
        <v>0.12</v>
      </c>
      <c r="K1513">
        <v>0.1061</v>
      </c>
      <c r="L1513">
        <v>0.42</v>
      </c>
      <c r="M1513">
        <v>0.29849999999999999</v>
      </c>
      <c r="N1513">
        <v>1</v>
      </c>
      <c r="O1513">
        <v>34</v>
      </c>
      <c r="P1513">
        <v>35</v>
      </c>
      <c r="Q1513" s="17" t="str">
        <f t="shared" si="71"/>
        <v>Weekdays</v>
      </c>
      <c r="R1513" s="17" t="str">
        <f t="shared" si="69"/>
        <v>Morning</v>
      </c>
      <c r="S1513" s="9" t="str">
        <f t="shared" si="70"/>
        <v>Clear</v>
      </c>
    </row>
    <row r="1514" spans="1:19" x14ac:dyDescent="0.25">
      <c r="A1514">
        <v>911</v>
      </c>
      <c r="B1514" s="19">
        <v>40584</v>
      </c>
      <c r="C1514">
        <v>1</v>
      </c>
      <c r="D1514">
        <v>2</v>
      </c>
      <c r="E1514">
        <v>11</v>
      </c>
      <c r="F1514" t="b">
        <v>0</v>
      </c>
      <c r="G1514">
        <v>4</v>
      </c>
      <c r="H1514">
        <v>1</v>
      </c>
      <c r="I1514">
        <v>0.14000000000000001</v>
      </c>
      <c r="K1514">
        <v>0.1212</v>
      </c>
      <c r="L1514">
        <v>0.39</v>
      </c>
      <c r="M1514">
        <v>0.35820000000000002</v>
      </c>
      <c r="N1514">
        <v>1</v>
      </c>
      <c r="O1514">
        <v>44</v>
      </c>
      <c r="P1514">
        <v>45</v>
      </c>
      <c r="Q1514" s="17" t="str">
        <f t="shared" si="71"/>
        <v>Weekdays</v>
      </c>
      <c r="R1514" s="17" t="str">
        <f t="shared" si="69"/>
        <v>Morning</v>
      </c>
      <c r="S1514" s="9" t="str">
        <f t="shared" si="70"/>
        <v>Clear</v>
      </c>
    </row>
    <row r="1515" spans="1:19" x14ac:dyDescent="0.25">
      <c r="A1515">
        <v>912</v>
      </c>
      <c r="B1515" s="19">
        <v>40584</v>
      </c>
      <c r="C1515">
        <v>1</v>
      </c>
      <c r="D1515">
        <v>2</v>
      </c>
      <c r="E1515">
        <v>12</v>
      </c>
      <c r="F1515" t="b">
        <v>0</v>
      </c>
      <c r="G1515">
        <v>4</v>
      </c>
      <c r="H1515">
        <v>1</v>
      </c>
      <c r="I1515">
        <v>0.16</v>
      </c>
      <c r="K1515">
        <v>0.13639999999999999</v>
      </c>
      <c r="L1515">
        <v>0.34</v>
      </c>
      <c r="M1515">
        <v>0.3881</v>
      </c>
      <c r="N1515">
        <v>4</v>
      </c>
      <c r="O1515">
        <v>65</v>
      </c>
      <c r="P1515">
        <v>69</v>
      </c>
      <c r="Q1515" s="17" t="str">
        <f t="shared" si="71"/>
        <v>Weekdays</v>
      </c>
      <c r="R1515" s="17" t="str">
        <f t="shared" si="69"/>
        <v>Afternoon</v>
      </c>
      <c r="S1515" s="9" t="str">
        <f t="shared" si="70"/>
        <v>Clear</v>
      </c>
    </row>
    <row r="1516" spans="1:19" x14ac:dyDescent="0.25">
      <c r="A1516">
        <v>913</v>
      </c>
      <c r="B1516" s="19">
        <v>40584</v>
      </c>
      <c r="C1516">
        <v>1</v>
      </c>
      <c r="D1516">
        <v>2</v>
      </c>
      <c r="E1516">
        <v>13</v>
      </c>
      <c r="F1516" t="b">
        <v>0</v>
      </c>
      <c r="G1516">
        <v>4</v>
      </c>
      <c r="H1516">
        <v>1</v>
      </c>
      <c r="I1516">
        <v>0.18</v>
      </c>
      <c r="K1516">
        <v>0.16669999999999999</v>
      </c>
      <c r="L1516">
        <v>0.28999999999999998</v>
      </c>
      <c r="M1516">
        <v>0.29849999999999999</v>
      </c>
      <c r="N1516">
        <v>3</v>
      </c>
      <c r="O1516">
        <v>59</v>
      </c>
      <c r="P1516">
        <v>62</v>
      </c>
      <c r="Q1516" s="17" t="str">
        <f t="shared" si="71"/>
        <v>Weekdays</v>
      </c>
      <c r="R1516" s="17" t="str">
        <f t="shared" si="69"/>
        <v>Afternoon</v>
      </c>
      <c r="S1516" s="9" t="str">
        <f t="shared" si="70"/>
        <v>Clear</v>
      </c>
    </row>
    <row r="1517" spans="1:19" x14ac:dyDescent="0.25">
      <c r="A1517">
        <v>914</v>
      </c>
      <c r="B1517" s="19">
        <v>40584</v>
      </c>
      <c r="C1517">
        <v>1</v>
      </c>
      <c r="D1517">
        <v>2</v>
      </c>
      <c r="E1517">
        <v>14</v>
      </c>
      <c r="F1517" t="b">
        <v>0</v>
      </c>
      <c r="G1517">
        <v>4</v>
      </c>
      <c r="H1517">
        <v>1</v>
      </c>
      <c r="I1517">
        <v>0.2</v>
      </c>
      <c r="K1517">
        <v>0.18179999999999999</v>
      </c>
      <c r="L1517">
        <v>0.27</v>
      </c>
      <c r="M1517">
        <v>0.28360000000000002</v>
      </c>
      <c r="N1517">
        <v>6</v>
      </c>
      <c r="O1517">
        <v>42</v>
      </c>
      <c r="P1517">
        <v>48</v>
      </c>
      <c r="Q1517" s="17" t="str">
        <f t="shared" si="71"/>
        <v>Weekdays</v>
      </c>
      <c r="R1517" s="17" t="str">
        <f t="shared" si="69"/>
        <v>Afternoon</v>
      </c>
      <c r="S1517" s="9" t="str">
        <f t="shared" si="70"/>
        <v>Clear</v>
      </c>
    </row>
    <row r="1518" spans="1:19" x14ac:dyDescent="0.25">
      <c r="A1518">
        <v>915</v>
      </c>
      <c r="B1518" s="19">
        <v>40584</v>
      </c>
      <c r="C1518">
        <v>1</v>
      </c>
      <c r="D1518">
        <v>2</v>
      </c>
      <c r="E1518">
        <v>15</v>
      </c>
      <c r="F1518" t="b">
        <v>0</v>
      </c>
      <c r="G1518">
        <v>4</v>
      </c>
      <c r="H1518">
        <v>1</v>
      </c>
      <c r="I1518">
        <v>0.2</v>
      </c>
      <c r="K1518">
        <v>0.19700000000000001</v>
      </c>
      <c r="L1518">
        <v>0.25</v>
      </c>
      <c r="M1518">
        <v>0.25369999999999998</v>
      </c>
      <c r="N1518">
        <v>0</v>
      </c>
      <c r="O1518">
        <v>50</v>
      </c>
      <c r="P1518">
        <v>50</v>
      </c>
      <c r="Q1518" s="17" t="str">
        <f t="shared" si="71"/>
        <v>Weekdays</v>
      </c>
      <c r="R1518" s="17" t="str">
        <f t="shared" si="69"/>
        <v>Afternoon</v>
      </c>
      <c r="S1518" s="9" t="str">
        <f t="shared" si="70"/>
        <v>Clear</v>
      </c>
    </row>
    <row r="1519" spans="1:19" x14ac:dyDescent="0.25">
      <c r="A1519">
        <v>916</v>
      </c>
      <c r="B1519" s="19">
        <v>40584</v>
      </c>
      <c r="C1519">
        <v>1</v>
      </c>
      <c r="D1519">
        <v>2</v>
      </c>
      <c r="E1519">
        <v>16</v>
      </c>
      <c r="F1519" t="b">
        <v>0</v>
      </c>
      <c r="G1519">
        <v>4</v>
      </c>
      <c r="H1519">
        <v>1</v>
      </c>
      <c r="I1519">
        <v>0.2</v>
      </c>
      <c r="K1519">
        <v>0.18179999999999999</v>
      </c>
      <c r="L1519">
        <v>0.27</v>
      </c>
      <c r="M1519">
        <v>0.29849999999999999</v>
      </c>
      <c r="N1519">
        <v>4</v>
      </c>
      <c r="O1519">
        <v>76</v>
      </c>
      <c r="P1519">
        <v>80</v>
      </c>
      <c r="Q1519" s="17" t="str">
        <f t="shared" si="71"/>
        <v>Weekdays</v>
      </c>
      <c r="R1519" s="17" t="str">
        <f t="shared" si="69"/>
        <v>Evening</v>
      </c>
      <c r="S1519" s="9" t="str">
        <f t="shared" si="70"/>
        <v>Clear</v>
      </c>
    </row>
    <row r="1520" spans="1:19" x14ac:dyDescent="0.25">
      <c r="A1520">
        <v>917</v>
      </c>
      <c r="B1520" s="19">
        <v>40584</v>
      </c>
      <c r="C1520">
        <v>1</v>
      </c>
      <c r="D1520">
        <v>2</v>
      </c>
      <c r="E1520">
        <v>17</v>
      </c>
      <c r="F1520" t="b">
        <v>0</v>
      </c>
      <c r="G1520">
        <v>4</v>
      </c>
      <c r="H1520">
        <v>1</v>
      </c>
      <c r="I1520">
        <v>0.18</v>
      </c>
      <c r="K1520">
        <v>0.18179999999999999</v>
      </c>
      <c r="L1520">
        <v>0.26</v>
      </c>
      <c r="M1520">
        <v>0.19400000000000001</v>
      </c>
      <c r="N1520">
        <v>6</v>
      </c>
      <c r="O1520">
        <v>159</v>
      </c>
      <c r="P1520">
        <v>165</v>
      </c>
      <c r="Q1520" s="17" t="str">
        <f t="shared" si="71"/>
        <v>Weekdays</v>
      </c>
      <c r="R1520" s="17" t="str">
        <f t="shared" si="69"/>
        <v>Evening</v>
      </c>
      <c r="S1520" s="9" t="str">
        <f t="shared" si="70"/>
        <v>Clear</v>
      </c>
    </row>
    <row r="1521" spans="1:19" x14ac:dyDescent="0.25">
      <c r="A1521">
        <v>918</v>
      </c>
      <c r="B1521" s="19">
        <v>40584</v>
      </c>
      <c r="C1521">
        <v>1</v>
      </c>
      <c r="D1521">
        <v>2</v>
      </c>
      <c r="E1521">
        <v>18</v>
      </c>
      <c r="F1521" t="b">
        <v>0</v>
      </c>
      <c r="G1521">
        <v>4</v>
      </c>
      <c r="H1521">
        <v>1</v>
      </c>
      <c r="I1521">
        <v>0.16</v>
      </c>
      <c r="K1521">
        <v>0.18179999999999999</v>
      </c>
      <c r="L1521">
        <v>0.28000000000000003</v>
      </c>
      <c r="M1521">
        <v>0.1343</v>
      </c>
      <c r="N1521">
        <v>3</v>
      </c>
      <c r="O1521">
        <v>157</v>
      </c>
      <c r="P1521">
        <v>160</v>
      </c>
      <c r="Q1521" s="17" t="str">
        <f t="shared" si="71"/>
        <v>Weekdays</v>
      </c>
      <c r="R1521" s="17" t="str">
        <f t="shared" si="69"/>
        <v>Evening</v>
      </c>
      <c r="S1521" s="9" t="str">
        <f t="shared" si="70"/>
        <v>Clear</v>
      </c>
    </row>
    <row r="1522" spans="1:19" x14ac:dyDescent="0.25">
      <c r="A1522">
        <v>919</v>
      </c>
      <c r="B1522" s="19">
        <v>40584</v>
      </c>
      <c r="C1522">
        <v>1</v>
      </c>
      <c r="D1522">
        <v>2</v>
      </c>
      <c r="E1522">
        <v>19</v>
      </c>
      <c r="F1522" t="b">
        <v>0</v>
      </c>
      <c r="G1522">
        <v>4</v>
      </c>
      <c r="H1522">
        <v>1</v>
      </c>
      <c r="I1522">
        <v>0.14000000000000001</v>
      </c>
      <c r="K1522">
        <v>0.16669999999999999</v>
      </c>
      <c r="L1522">
        <v>0.28000000000000003</v>
      </c>
      <c r="M1522">
        <v>0.1045</v>
      </c>
      <c r="N1522">
        <v>2</v>
      </c>
      <c r="O1522">
        <v>110</v>
      </c>
      <c r="P1522">
        <v>112</v>
      </c>
      <c r="Q1522" s="17" t="str">
        <f t="shared" si="71"/>
        <v>Weekdays</v>
      </c>
      <c r="R1522" s="17" t="str">
        <f t="shared" si="69"/>
        <v>Evening</v>
      </c>
      <c r="S1522" s="9" t="str">
        <f t="shared" si="70"/>
        <v>Clear</v>
      </c>
    </row>
    <row r="1523" spans="1:19" x14ac:dyDescent="0.25">
      <c r="A1523">
        <v>920</v>
      </c>
      <c r="B1523" s="19">
        <v>40584</v>
      </c>
      <c r="C1523">
        <v>1</v>
      </c>
      <c r="D1523">
        <v>2</v>
      </c>
      <c r="E1523">
        <v>20</v>
      </c>
      <c r="F1523" t="b">
        <v>0</v>
      </c>
      <c r="G1523">
        <v>4</v>
      </c>
      <c r="H1523">
        <v>1</v>
      </c>
      <c r="I1523">
        <v>0.14000000000000001</v>
      </c>
      <c r="K1523">
        <v>0.18179999999999999</v>
      </c>
      <c r="L1523">
        <v>0.31</v>
      </c>
      <c r="M1523">
        <v>8.9599999999999999E-2</v>
      </c>
      <c r="N1523">
        <v>4</v>
      </c>
      <c r="O1523">
        <v>93</v>
      </c>
      <c r="P1523">
        <v>97</v>
      </c>
      <c r="Q1523" s="17" t="str">
        <f t="shared" si="71"/>
        <v>Weekdays</v>
      </c>
      <c r="R1523" s="17" t="str">
        <f t="shared" si="69"/>
        <v>Evening</v>
      </c>
      <c r="S1523" s="9" t="str">
        <f t="shared" si="70"/>
        <v>Clear</v>
      </c>
    </row>
    <row r="1524" spans="1:19" x14ac:dyDescent="0.25">
      <c r="A1524">
        <v>921</v>
      </c>
      <c r="B1524" s="19">
        <v>40584</v>
      </c>
      <c r="C1524">
        <v>1</v>
      </c>
      <c r="D1524">
        <v>2</v>
      </c>
      <c r="E1524">
        <v>21</v>
      </c>
      <c r="F1524" t="b">
        <v>0</v>
      </c>
      <c r="G1524">
        <v>4</v>
      </c>
      <c r="H1524">
        <v>1</v>
      </c>
      <c r="I1524">
        <v>0.14000000000000001</v>
      </c>
      <c r="K1524">
        <v>0.21210000000000001</v>
      </c>
      <c r="L1524">
        <v>0.39</v>
      </c>
      <c r="M1524">
        <v>0</v>
      </c>
      <c r="N1524">
        <v>2</v>
      </c>
      <c r="O1524">
        <v>70</v>
      </c>
      <c r="P1524">
        <v>72</v>
      </c>
      <c r="Q1524" s="17" t="str">
        <f t="shared" si="71"/>
        <v>Weekdays</v>
      </c>
      <c r="R1524" s="17" t="str">
        <f t="shared" si="69"/>
        <v>Night</v>
      </c>
      <c r="S1524" s="9" t="str">
        <f t="shared" si="70"/>
        <v>Clear</v>
      </c>
    </row>
    <row r="1525" spans="1:19" x14ac:dyDescent="0.25">
      <c r="A1525">
        <v>922</v>
      </c>
      <c r="B1525" s="19">
        <v>40584</v>
      </c>
      <c r="C1525">
        <v>1</v>
      </c>
      <c r="D1525">
        <v>2</v>
      </c>
      <c r="E1525">
        <v>22</v>
      </c>
      <c r="F1525" t="b">
        <v>0</v>
      </c>
      <c r="G1525">
        <v>4</v>
      </c>
      <c r="H1525">
        <v>1</v>
      </c>
      <c r="I1525">
        <v>0.12</v>
      </c>
      <c r="K1525">
        <v>0.19700000000000001</v>
      </c>
      <c r="L1525">
        <v>0.39</v>
      </c>
      <c r="M1525">
        <v>0</v>
      </c>
      <c r="N1525">
        <v>4</v>
      </c>
      <c r="O1525">
        <v>47</v>
      </c>
      <c r="P1525">
        <v>51</v>
      </c>
      <c r="Q1525" s="17" t="str">
        <f t="shared" si="71"/>
        <v>Weekdays</v>
      </c>
      <c r="R1525" s="17" t="str">
        <f t="shared" si="69"/>
        <v>Night</v>
      </c>
      <c r="S1525" s="9" t="str">
        <f t="shared" si="70"/>
        <v>Clear</v>
      </c>
    </row>
    <row r="1526" spans="1:19" x14ac:dyDescent="0.25">
      <c r="A1526">
        <v>923</v>
      </c>
      <c r="B1526" s="19">
        <v>40584</v>
      </c>
      <c r="C1526">
        <v>1</v>
      </c>
      <c r="D1526">
        <v>2</v>
      </c>
      <c r="E1526">
        <v>23</v>
      </c>
      <c r="F1526" t="b">
        <v>0</v>
      </c>
      <c r="G1526">
        <v>4</v>
      </c>
      <c r="H1526">
        <v>1</v>
      </c>
      <c r="I1526">
        <v>0.12</v>
      </c>
      <c r="K1526">
        <v>0.1515</v>
      </c>
      <c r="L1526">
        <v>0.42</v>
      </c>
      <c r="M1526">
        <v>0.1045</v>
      </c>
      <c r="N1526">
        <v>1</v>
      </c>
      <c r="O1526">
        <v>33</v>
      </c>
      <c r="P1526">
        <v>34</v>
      </c>
      <c r="Q1526" s="17" t="str">
        <f t="shared" si="71"/>
        <v>Weekdays</v>
      </c>
      <c r="R1526" s="17" t="str">
        <f t="shared" si="69"/>
        <v>Night</v>
      </c>
      <c r="S1526" s="9" t="str">
        <f t="shared" si="70"/>
        <v>Clear</v>
      </c>
    </row>
    <row r="1527" spans="1:19" x14ac:dyDescent="0.25">
      <c r="A1527">
        <v>924</v>
      </c>
      <c r="B1527" s="19">
        <v>40585</v>
      </c>
      <c r="C1527">
        <v>1</v>
      </c>
      <c r="D1527">
        <v>2</v>
      </c>
      <c r="E1527">
        <v>0</v>
      </c>
      <c r="F1527" t="b">
        <v>0</v>
      </c>
      <c r="G1527">
        <v>5</v>
      </c>
      <c r="H1527">
        <v>1</v>
      </c>
      <c r="I1527">
        <v>0.1</v>
      </c>
      <c r="K1527">
        <v>0.13639999999999999</v>
      </c>
      <c r="L1527">
        <v>0.49</v>
      </c>
      <c r="M1527">
        <v>0.1045</v>
      </c>
      <c r="N1527">
        <v>2</v>
      </c>
      <c r="O1527">
        <v>12</v>
      </c>
      <c r="P1527">
        <v>14</v>
      </c>
      <c r="Q1527" s="17" t="str">
        <f t="shared" si="71"/>
        <v>Weekends</v>
      </c>
      <c r="R1527" s="17" t="str">
        <f t="shared" si="69"/>
        <v>Morning</v>
      </c>
      <c r="S1527" s="9" t="str">
        <f t="shared" si="70"/>
        <v>Clear</v>
      </c>
    </row>
    <row r="1528" spans="1:19" x14ac:dyDescent="0.25">
      <c r="A1528">
        <v>925</v>
      </c>
      <c r="B1528" s="19">
        <v>40585</v>
      </c>
      <c r="C1528">
        <v>1</v>
      </c>
      <c r="D1528">
        <v>2</v>
      </c>
      <c r="E1528">
        <v>1</v>
      </c>
      <c r="F1528" t="b">
        <v>0</v>
      </c>
      <c r="G1528">
        <v>5</v>
      </c>
      <c r="H1528">
        <v>1</v>
      </c>
      <c r="I1528">
        <v>0.1</v>
      </c>
      <c r="K1528">
        <v>0.13639999999999999</v>
      </c>
      <c r="L1528">
        <v>0.54</v>
      </c>
      <c r="M1528">
        <v>8.9599999999999999E-2</v>
      </c>
      <c r="N1528">
        <v>1</v>
      </c>
      <c r="O1528">
        <v>6</v>
      </c>
      <c r="P1528">
        <v>7</v>
      </c>
      <c r="Q1528" s="17" t="str">
        <f t="shared" si="71"/>
        <v>Weekends</v>
      </c>
      <c r="R1528" s="17" t="str">
        <f t="shared" si="69"/>
        <v>Morning</v>
      </c>
      <c r="S1528" s="9" t="str">
        <f t="shared" si="70"/>
        <v>Clear</v>
      </c>
    </row>
    <row r="1529" spans="1:19" x14ac:dyDescent="0.25">
      <c r="A1529">
        <v>926</v>
      </c>
      <c r="B1529" s="19">
        <v>40585</v>
      </c>
      <c r="C1529">
        <v>1</v>
      </c>
      <c r="D1529">
        <v>2</v>
      </c>
      <c r="E1529">
        <v>2</v>
      </c>
      <c r="F1529" t="b">
        <v>0</v>
      </c>
      <c r="G1529">
        <v>5</v>
      </c>
      <c r="H1529">
        <v>1</v>
      </c>
      <c r="I1529">
        <v>0.1</v>
      </c>
      <c r="K1529">
        <v>0.13639999999999999</v>
      </c>
      <c r="L1529">
        <v>0.54</v>
      </c>
      <c r="M1529">
        <v>8.9599999999999999E-2</v>
      </c>
      <c r="N1529">
        <v>0</v>
      </c>
      <c r="O1529">
        <v>3</v>
      </c>
      <c r="P1529">
        <v>3</v>
      </c>
      <c r="Q1529" s="17" t="str">
        <f t="shared" si="71"/>
        <v>Weekends</v>
      </c>
      <c r="R1529" s="17" t="str">
        <f t="shared" si="69"/>
        <v>Morning</v>
      </c>
      <c r="S1529" s="9" t="str">
        <f t="shared" si="70"/>
        <v>Clear</v>
      </c>
    </row>
    <row r="1530" spans="1:19" x14ac:dyDescent="0.25">
      <c r="A1530">
        <v>927</v>
      </c>
      <c r="B1530" s="19">
        <v>40585</v>
      </c>
      <c r="C1530">
        <v>1</v>
      </c>
      <c r="D1530">
        <v>2</v>
      </c>
      <c r="E1530">
        <v>5</v>
      </c>
      <c r="F1530" t="b">
        <v>0</v>
      </c>
      <c r="G1530">
        <v>5</v>
      </c>
      <c r="H1530">
        <v>1</v>
      </c>
      <c r="I1530">
        <v>0.08</v>
      </c>
      <c r="K1530">
        <v>0.1212</v>
      </c>
      <c r="L1530">
        <v>0.63</v>
      </c>
      <c r="M1530">
        <v>8.9599999999999999E-2</v>
      </c>
      <c r="N1530">
        <v>0</v>
      </c>
      <c r="O1530">
        <v>4</v>
      </c>
      <c r="P1530">
        <v>4</v>
      </c>
      <c r="Q1530" s="17" t="str">
        <f t="shared" si="71"/>
        <v>Weekends</v>
      </c>
      <c r="R1530" s="17" t="str">
        <f t="shared" si="69"/>
        <v>Morning</v>
      </c>
      <c r="S1530" s="9" t="str">
        <f t="shared" si="70"/>
        <v>Clear</v>
      </c>
    </row>
    <row r="1531" spans="1:19" x14ac:dyDescent="0.25">
      <c r="A1531">
        <v>928</v>
      </c>
      <c r="B1531" s="19">
        <v>40585</v>
      </c>
      <c r="C1531">
        <v>1</v>
      </c>
      <c r="D1531">
        <v>2</v>
      </c>
      <c r="E1531">
        <v>6</v>
      </c>
      <c r="F1531" t="b">
        <v>0</v>
      </c>
      <c r="G1531">
        <v>5</v>
      </c>
      <c r="H1531">
        <v>1</v>
      </c>
      <c r="I1531">
        <v>0.1</v>
      </c>
      <c r="K1531">
        <v>0.18179999999999999</v>
      </c>
      <c r="L1531">
        <v>0.68</v>
      </c>
      <c r="M1531">
        <v>0</v>
      </c>
      <c r="N1531">
        <v>1</v>
      </c>
      <c r="O1531">
        <v>23</v>
      </c>
      <c r="P1531">
        <v>24</v>
      </c>
      <c r="Q1531" s="17" t="str">
        <f t="shared" si="71"/>
        <v>Weekends</v>
      </c>
      <c r="R1531" s="17" t="str">
        <f t="shared" si="69"/>
        <v>Morning</v>
      </c>
      <c r="S1531" s="9" t="str">
        <f t="shared" si="70"/>
        <v>Clear</v>
      </c>
    </row>
    <row r="1532" spans="1:19" x14ac:dyDescent="0.25">
      <c r="A1532">
        <v>929</v>
      </c>
      <c r="B1532" s="19">
        <v>40585</v>
      </c>
      <c r="C1532">
        <v>1</v>
      </c>
      <c r="D1532">
        <v>2</v>
      </c>
      <c r="E1532">
        <v>7</v>
      </c>
      <c r="F1532" t="b">
        <v>0</v>
      </c>
      <c r="G1532">
        <v>5</v>
      </c>
      <c r="H1532">
        <v>1</v>
      </c>
      <c r="I1532">
        <v>0.08</v>
      </c>
      <c r="K1532">
        <v>0.16669999999999999</v>
      </c>
      <c r="L1532">
        <v>0.73</v>
      </c>
      <c r="M1532">
        <v>0</v>
      </c>
      <c r="N1532">
        <v>1</v>
      </c>
      <c r="O1532">
        <v>73</v>
      </c>
      <c r="P1532">
        <v>74</v>
      </c>
      <c r="Q1532" s="17" t="str">
        <f t="shared" si="71"/>
        <v>Weekends</v>
      </c>
      <c r="R1532" s="17" t="str">
        <f t="shared" si="69"/>
        <v>Morning</v>
      </c>
      <c r="S1532" s="9" t="str">
        <f t="shared" si="70"/>
        <v>Clear</v>
      </c>
    </row>
    <row r="1533" spans="1:19" x14ac:dyDescent="0.25">
      <c r="A1533">
        <v>930</v>
      </c>
      <c r="B1533" s="19">
        <v>40585</v>
      </c>
      <c r="C1533">
        <v>1</v>
      </c>
      <c r="D1533">
        <v>2</v>
      </c>
      <c r="E1533">
        <v>8</v>
      </c>
      <c r="F1533" t="b">
        <v>0</v>
      </c>
      <c r="G1533">
        <v>5</v>
      </c>
      <c r="H1533">
        <v>1</v>
      </c>
      <c r="I1533">
        <v>0.1</v>
      </c>
      <c r="K1533">
        <v>0.1212</v>
      </c>
      <c r="L1533">
        <v>0.74</v>
      </c>
      <c r="M1533">
        <v>0.16420000000000001</v>
      </c>
      <c r="N1533">
        <v>4</v>
      </c>
      <c r="O1533">
        <v>212</v>
      </c>
      <c r="P1533">
        <v>216</v>
      </c>
      <c r="Q1533" s="17" t="str">
        <f t="shared" si="71"/>
        <v>Weekends</v>
      </c>
      <c r="R1533" s="17" t="str">
        <f t="shared" si="69"/>
        <v>Morning</v>
      </c>
      <c r="S1533" s="9" t="str">
        <f t="shared" si="70"/>
        <v>Clear</v>
      </c>
    </row>
    <row r="1534" spans="1:19" x14ac:dyDescent="0.25">
      <c r="A1534">
        <v>931</v>
      </c>
      <c r="B1534" s="19">
        <v>40585</v>
      </c>
      <c r="C1534">
        <v>1</v>
      </c>
      <c r="D1534">
        <v>2</v>
      </c>
      <c r="E1534">
        <v>9</v>
      </c>
      <c r="F1534" t="b">
        <v>0</v>
      </c>
      <c r="G1534">
        <v>5</v>
      </c>
      <c r="H1534">
        <v>1</v>
      </c>
      <c r="I1534">
        <v>0.12</v>
      </c>
      <c r="K1534">
        <v>0.1212</v>
      </c>
      <c r="L1534">
        <v>0.74</v>
      </c>
      <c r="M1534">
        <v>0.22389999999999999</v>
      </c>
      <c r="N1534">
        <v>8</v>
      </c>
      <c r="O1534">
        <v>132</v>
      </c>
      <c r="P1534">
        <v>140</v>
      </c>
      <c r="Q1534" s="17" t="str">
        <f t="shared" si="71"/>
        <v>Weekends</v>
      </c>
      <c r="R1534" s="17" t="str">
        <f t="shared" si="69"/>
        <v>Morning</v>
      </c>
      <c r="S1534" s="9" t="str">
        <f t="shared" si="70"/>
        <v>Clear</v>
      </c>
    </row>
    <row r="1535" spans="1:19" x14ac:dyDescent="0.25">
      <c r="A1535">
        <v>932</v>
      </c>
      <c r="B1535" s="19">
        <v>40585</v>
      </c>
      <c r="C1535">
        <v>1</v>
      </c>
      <c r="D1535">
        <v>2</v>
      </c>
      <c r="E1535">
        <v>10</v>
      </c>
      <c r="F1535" t="b">
        <v>0</v>
      </c>
      <c r="G1535">
        <v>5</v>
      </c>
      <c r="H1535">
        <v>1</v>
      </c>
      <c r="I1535">
        <v>0.14000000000000001</v>
      </c>
      <c r="K1535">
        <v>0.13639999999999999</v>
      </c>
      <c r="L1535">
        <v>0.69</v>
      </c>
      <c r="M1535">
        <v>0.19400000000000001</v>
      </c>
      <c r="N1535">
        <v>5</v>
      </c>
      <c r="O1535">
        <v>39</v>
      </c>
      <c r="P1535">
        <v>44</v>
      </c>
      <c r="Q1535" s="17" t="str">
        <f t="shared" si="71"/>
        <v>Weekends</v>
      </c>
      <c r="R1535" s="17" t="str">
        <f t="shared" si="69"/>
        <v>Morning</v>
      </c>
      <c r="S1535" s="9" t="str">
        <f t="shared" si="70"/>
        <v>Clear</v>
      </c>
    </row>
    <row r="1536" spans="1:19" x14ac:dyDescent="0.25">
      <c r="A1536">
        <v>933</v>
      </c>
      <c r="B1536" s="19">
        <v>40585</v>
      </c>
      <c r="C1536">
        <v>1</v>
      </c>
      <c r="D1536">
        <v>2</v>
      </c>
      <c r="E1536">
        <v>11</v>
      </c>
      <c r="F1536" t="b">
        <v>0</v>
      </c>
      <c r="G1536">
        <v>5</v>
      </c>
      <c r="H1536">
        <v>1</v>
      </c>
      <c r="I1536">
        <v>0.22</v>
      </c>
      <c r="K1536">
        <v>0.2273</v>
      </c>
      <c r="L1536">
        <v>0.47</v>
      </c>
      <c r="M1536">
        <v>0.1343</v>
      </c>
      <c r="N1536">
        <v>12</v>
      </c>
      <c r="O1536">
        <v>52</v>
      </c>
      <c r="P1536">
        <v>64</v>
      </c>
      <c r="Q1536" s="17" t="str">
        <f t="shared" si="71"/>
        <v>Weekends</v>
      </c>
      <c r="R1536" s="17" t="str">
        <f t="shared" si="69"/>
        <v>Morning</v>
      </c>
      <c r="S1536" s="9" t="str">
        <f t="shared" si="70"/>
        <v>Clear</v>
      </c>
    </row>
    <row r="1537" spans="1:19" x14ac:dyDescent="0.25">
      <c r="A1537">
        <v>934</v>
      </c>
      <c r="B1537" s="19">
        <v>40585</v>
      </c>
      <c r="C1537">
        <v>1</v>
      </c>
      <c r="D1537">
        <v>2</v>
      </c>
      <c r="E1537">
        <v>12</v>
      </c>
      <c r="F1537" t="b">
        <v>0</v>
      </c>
      <c r="G1537">
        <v>5</v>
      </c>
      <c r="H1537">
        <v>1</v>
      </c>
      <c r="I1537">
        <v>0.22</v>
      </c>
      <c r="K1537">
        <v>0.2273</v>
      </c>
      <c r="L1537">
        <v>0.47</v>
      </c>
      <c r="M1537">
        <v>0.1343</v>
      </c>
      <c r="N1537">
        <v>7</v>
      </c>
      <c r="O1537">
        <v>64</v>
      </c>
      <c r="P1537">
        <v>71</v>
      </c>
      <c r="Q1537" s="17" t="str">
        <f t="shared" si="71"/>
        <v>Weekends</v>
      </c>
      <c r="R1537" s="17" t="str">
        <f t="shared" si="69"/>
        <v>Afternoon</v>
      </c>
      <c r="S1537" s="9" t="str">
        <f t="shared" si="70"/>
        <v>Clear</v>
      </c>
    </row>
    <row r="1538" spans="1:19" x14ac:dyDescent="0.25">
      <c r="A1538">
        <v>935</v>
      </c>
      <c r="B1538" s="19">
        <v>40585</v>
      </c>
      <c r="C1538">
        <v>1</v>
      </c>
      <c r="D1538">
        <v>2</v>
      </c>
      <c r="E1538">
        <v>13</v>
      </c>
      <c r="F1538" t="b">
        <v>0</v>
      </c>
      <c r="G1538">
        <v>5</v>
      </c>
      <c r="H1538">
        <v>1</v>
      </c>
      <c r="I1538">
        <v>0.24</v>
      </c>
      <c r="K1538">
        <v>0.2273</v>
      </c>
      <c r="L1538">
        <v>0.35</v>
      </c>
      <c r="M1538">
        <v>0.19400000000000001</v>
      </c>
      <c r="N1538">
        <v>21</v>
      </c>
      <c r="O1538">
        <v>89</v>
      </c>
      <c r="P1538">
        <v>110</v>
      </c>
      <c r="Q1538" s="17" t="str">
        <f t="shared" si="71"/>
        <v>Weekends</v>
      </c>
      <c r="R1538" s="17" t="str">
        <f t="shared" ref="R1538:R1601" si="72">IF(E1538&lt;12,"Morning",IF(E1538&lt;16,"Afternoon",IF(E1538&lt;21,"Evening","Night")))</f>
        <v>Afternoon</v>
      </c>
      <c r="S1538" s="9" t="str">
        <f t="shared" ref="S1538:S1601" si="73">IF(H1538=1,"Clear",IF(H1538=2,"Mist",IF(H1538=3,"Light Snow/Rain","Heavy Rain/Snow")))</f>
        <v>Clear</v>
      </c>
    </row>
    <row r="1539" spans="1:19" x14ac:dyDescent="0.25">
      <c r="A1539">
        <v>936</v>
      </c>
      <c r="B1539" s="19">
        <v>40585</v>
      </c>
      <c r="C1539">
        <v>1</v>
      </c>
      <c r="D1539">
        <v>2</v>
      </c>
      <c r="E1539">
        <v>14</v>
      </c>
      <c r="F1539" t="b">
        <v>0</v>
      </c>
      <c r="G1539">
        <v>5</v>
      </c>
      <c r="H1539">
        <v>1</v>
      </c>
      <c r="I1539">
        <v>0.3</v>
      </c>
      <c r="K1539">
        <v>0.28789999999999999</v>
      </c>
      <c r="L1539">
        <v>0.26</v>
      </c>
      <c r="M1539">
        <v>0.25369999999999998</v>
      </c>
      <c r="N1539">
        <v>17</v>
      </c>
      <c r="O1539">
        <v>67</v>
      </c>
      <c r="P1539">
        <v>84</v>
      </c>
      <c r="Q1539" s="17" t="str">
        <f t="shared" ref="Q1539:Q1602" si="74">IF(G1539&gt;=5,"Weekends","Weekdays")</f>
        <v>Weekends</v>
      </c>
      <c r="R1539" s="17" t="str">
        <f t="shared" si="72"/>
        <v>Afternoon</v>
      </c>
      <c r="S1539" s="9" t="str">
        <f t="shared" si="73"/>
        <v>Clear</v>
      </c>
    </row>
    <row r="1540" spans="1:19" x14ac:dyDescent="0.25">
      <c r="A1540">
        <v>937</v>
      </c>
      <c r="B1540" s="19">
        <v>40585</v>
      </c>
      <c r="C1540">
        <v>1</v>
      </c>
      <c r="D1540">
        <v>2</v>
      </c>
      <c r="E1540">
        <v>15</v>
      </c>
      <c r="F1540" t="b">
        <v>0</v>
      </c>
      <c r="G1540">
        <v>5</v>
      </c>
      <c r="H1540">
        <v>1</v>
      </c>
      <c r="I1540">
        <v>0.32</v>
      </c>
      <c r="K1540">
        <v>0.31819999999999998</v>
      </c>
      <c r="L1540">
        <v>0.21</v>
      </c>
      <c r="M1540">
        <v>0.16420000000000001</v>
      </c>
      <c r="N1540">
        <v>12</v>
      </c>
      <c r="O1540">
        <v>62</v>
      </c>
      <c r="P1540">
        <v>74</v>
      </c>
      <c r="Q1540" s="17" t="str">
        <f t="shared" si="74"/>
        <v>Weekends</v>
      </c>
      <c r="R1540" s="17" t="str">
        <f t="shared" si="72"/>
        <v>Afternoon</v>
      </c>
      <c r="S1540" s="9" t="str">
        <f t="shared" si="73"/>
        <v>Clear</v>
      </c>
    </row>
    <row r="1541" spans="1:19" x14ac:dyDescent="0.25">
      <c r="A1541">
        <v>938</v>
      </c>
      <c r="B1541" s="19">
        <v>40585</v>
      </c>
      <c r="C1541">
        <v>1</v>
      </c>
      <c r="D1541">
        <v>2</v>
      </c>
      <c r="E1541">
        <v>16</v>
      </c>
      <c r="F1541" t="b">
        <v>0</v>
      </c>
      <c r="G1541">
        <v>5</v>
      </c>
      <c r="H1541">
        <v>1</v>
      </c>
      <c r="I1541">
        <v>0.3</v>
      </c>
      <c r="K1541">
        <v>0.28789999999999999</v>
      </c>
      <c r="L1541">
        <v>0.28000000000000003</v>
      </c>
      <c r="M1541">
        <v>0.19400000000000001</v>
      </c>
      <c r="N1541">
        <v>14</v>
      </c>
      <c r="O1541">
        <v>111</v>
      </c>
      <c r="P1541">
        <v>125</v>
      </c>
      <c r="Q1541" s="17" t="str">
        <f t="shared" si="74"/>
        <v>Weekends</v>
      </c>
      <c r="R1541" s="17" t="str">
        <f t="shared" si="72"/>
        <v>Evening</v>
      </c>
      <c r="S1541" s="9" t="str">
        <f t="shared" si="73"/>
        <v>Clear</v>
      </c>
    </row>
    <row r="1542" spans="1:19" x14ac:dyDescent="0.25">
      <c r="A1542">
        <v>939</v>
      </c>
      <c r="B1542" s="19">
        <v>40585</v>
      </c>
      <c r="C1542">
        <v>1</v>
      </c>
      <c r="D1542">
        <v>2</v>
      </c>
      <c r="E1542">
        <v>17</v>
      </c>
      <c r="F1542" t="b">
        <v>0</v>
      </c>
      <c r="G1542">
        <v>5</v>
      </c>
      <c r="H1542">
        <v>1</v>
      </c>
      <c r="I1542">
        <v>0.3</v>
      </c>
      <c r="K1542">
        <v>0.33329999999999999</v>
      </c>
      <c r="L1542">
        <v>0.24</v>
      </c>
      <c r="M1542">
        <v>0</v>
      </c>
      <c r="N1542">
        <v>18</v>
      </c>
      <c r="O1542">
        <v>193</v>
      </c>
      <c r="P1542">
        <v>211</v>
      </c>
      <c r="Q1542" s="17" t="str">
        <f t="shared" si="74"/>
        <v>Weekends</v>
      </c>
      <c r="R1542" s="17" t="str">
        <f t="shared" si="72"/>
        <v>Evening</v>
      </c>
      <c r="S1542" s="9" t="str">
        <f t="shared" si="73"/>
        <v>Clear</v>
      </c>
    </row>
    <row r="1543" spans="1:19" x14ac:dyDescent="0.25">
      <c r="A1543">
        <v>940</v>
      </c>
      <c r="B1543" s="19">
        <v>40585</v>
      </c>
      <c r="C1543">
        <v>1</v>
      </c>
      <c r="D1543">
        <v>2</v>
      </c>
      <c r="E1543">
        <v>18</v>
      </c>
      <c r="F1543" t="b">
        <v>0</v>
      </c>
      <c r="G1543">
        <v>5</v>
      </c>
      <c r="H1543">
        <v>1</v>
      </c>
      <c r="I1543">
        <v>0.28000000000000003</v>
      </c>
      <c r="K1543">
        <v>0.31819999999999998</v>
      </c>
      <c r="L1543">
        <v>0.28000000000000003</v>
      </c>
      <c r="M1543">
        <v>0</v>
      </c>
      <c r="N1543">
        <v>9</v>
      </c>
      <c r="O1543">
        <v>165</v>
      </c>
      <c r="P1543">
        <v>174</v>
      </c>
      <c r="Q1543" s="17" t="str">
        <f t="shared" si="74"/>
        <v>Weekends</v>
      </c>
      <c r="R1543" s="17" t="str">
        <f t="shared" si="72"/>
        <v>Evening</v>
      </c>
      <c r="S1543" s="9" t="str">
        <f t="shared" si="73"/>
        <v>Clear</v>
      </c>
    </row>
    <row r="1544" spans="1:19" x14ac:dyDescent="0.25">
      <c r="A1544">
        <v>941</v>
      </c>
      <c r="B1544" s="19">
        <v>40585</v>
      </c>
      <c r="C1544">
        <v>1</v>
      </c>
      <c r="D1544">
        <v>2</v>
      </c>
      <c r="E1544">
        <v>19</v>
      </c>
      <c r="F1544" t="b">
        <v>0</v>
      </c>
      <c r="G1544">
        <v>5</v>
      </c>
      <c r="H1544">
        <v>1</v>
      </c>
      <c r="I1544">
        <v>0.26</v>
      </c>
      <c r="K1544">
        <v>0.30299999999999999</v>
      </c>
      <c r="L1544">
        <v>0.33</v>
      </c>
      <c r="M1544">
        <v>0</v>
      </c>
      <c r="N1544">
        <v>7</v>
      </c>
      <c r="O1544">
        <v>94</v>
      </c>
      <c r="P1544">
        <v>101</v>
      </c>
      <c r="Q1544" s="17" t="str">
        <f t="shared" si="74"/>
        <v>Weekends</v>
      </c>
      <c r="R1544" s="17" t="str">
        <f t="shared" si="72"/>
        <v>Evening</v>
      </c>
      <c r="S1544" s="9" t="str">
        <f t="shared" si="73"/>
        <v>Clear</v>
      </c>
    </row>
    <row r="1545" spans="1:19" x14ac:dyDescent="0.25">
      <c r="A1545">
        <v>942</v>
      </c>
      <c r="B1545" s="19">
        <v>40585</v>
      </c>
      <c r="C1545">
        <v>1</v>
      </c>
      <c r="D1545">
        <v>2</v>
      </c>
      <c r="E1545">
        <v>20</v>
      </c>
      <c r="F1545" t="b">
        <v>0</v>
      </c>
      <c r="G1545">
        <v>5</v>
      </c>
      <c r="H1545">
        <v>1</v>
      </c>
      <c r="I1545">
        <v>0.22</v>
      </c>
      <c r="K1545">
        <v>0.2273</v>
      </c>
      <c r="L1545">
        <v>0.55000000000000004</v>
      </c>
      <c r="M1545">
        <v>0.1343</v>
      </c>
      <c r="N1545">
        <v>2</v>
      </c>
      <c r="O1545">
        <v>61</v>
      </c>
      <c r="P1545">
        <v>63</v>
      </c>
      <c r="Q1545" s="17" t="str">
        <f t="shared" si="74"/>
        <v>Weekends</v>
      </c>
      <c r="R1545" s="17" t="str">
        <f t="shared" si="72"/>
        <v>Evening</v>
      </c>
      <c r="S1545" s="9" t="str">
        <f t="shared" si="73"/>
        <v>Clear</v>
      </c>
    </row>
    <row r="1546" spans="1:19" x14ac:dyDescent="0.25">
      <c r="A1546">
        <v>943</v>
      </c>
      <c r="B1546" s="19">
        <v>40585</v>
      </c>
      <c r="C1546">
        <v>1</v>
      </c>
      <c r="D1546">
        <v>2</v>
      </c>
      <c r="E1546">
        <v>21</v>
      </c>
      <c r="F1546" t="b">
        <v>0</v>
      </c>
      <c r="G1546">
        <v>5</v>
      </c>
      <c r="H1546">
        <v>1</v>
      </c>
      <c r="I1546">
        <v>0.2</v>
      </c>
      <c r="K1546">
        <v>0.21210000000000001</v>
      </c>
      <c r="L1546">
        <v>0.59</v>
      </c>
      <c r="M1546">
        <v>0.1343</v>
      </c>
      <c r="N1546">
        <v>1</v>
      </c>
      <c r="O1546">
        <v>46</v>
      </c>
      <c r="P1546">
        <v>47</v>
      </c>
      <c r="Q1546" s="17" t="str">
        <f t="shared" si="74"/>
        <v>Weekends</v>
      </c>
      <c r="R1546" s="17" t="str">
        <f t="shared" si="72"/>
        <v>Night</v>
      </c>
      <c r="S1546" s="9" t="str">
        <f t="shared" si="73"/>
        <v>Clear</v>
      </c>
    </row>
    <row r="1547" spans="1:19" x14ac:dyDescent="0.25">
      <c r="A1547">
        <v>944</v>
      </c>
      <c r="B1547" s="19">
        <v>40585</v>
      </c>
      <c r="C1547">
        <v>1</v>
      </c>
      <c r="D1547">
        <v>2</v>
      </c>
      <c r="E1547">
        <v>22</v>
      </c>
      <c r="F1547" t="b">
        <v>0</v>
      </c>
      <c r="G1547">
        <v>5</v>
      </c>
      <c r="H1547">
        <v>1</v>
      </c>
      <c r="I1547">
        <v>0.2</v>
      </c>
      <c r="K1547">
        <v>0.2273</v>
      </c>
      <c r="L1547">
        <v>0.64</v>
      </c>
      <c r="M1547">
        <v>8.9599999999999999E-2</v>
      </c>
      <c r="N1547">
        <v>2</v>
      </c>
      <c r="O1547">
        <v>41</v>
      </c>
      <c r="P1547">
        <v>43</v>
      </c>
      <c r="Q1547" s="17" t="str">
        <f t="shared" si="74"/>
        <v>Weekends</v>
      </c>
      <c r="R1547" s="17" t="str">
        <f t="shared" si="72"/>
        <v>Night</v>
      </c>
      <c r="S1547" s="9" t="str">
        <f t="shared" si="73"/>
        <v>Clear</v>
      </c>
    </row>
    <row r="1548" spans="1:19" x14ac:dyDescent="0.25">
      <c r="A1548">
        <v>945</v>
      </c>
      <c r="B1548" s="19">
        <v>40585</v>
      </c>
      <c r="C1548">
        <v>1</v>
      </c>
      <c r="D1548">
        <v>2</v>
      </c>
      <c r="E1548">
        <v>23</v>
      </c>
      <c r="F1548" t="b">
        <v>0</v>
      </c>
      <c r="G1548">
        <v>5</v>
      </c>
      <c r="H1548">
        <v>1</v>
      </c>
      <c r="I1548">
        <v>0.18</v>
      </c>
      <c r="K1548">
        <v>0.2424</v>
      </c>
      <c r="L1548">
        <v>0.69</v>
      </c>
      <c r="M1548">
        <v>0</v>
      </c>
      <c r="N1548">
        <v>5</v>
      </c>
      <c r="O1548">
        <v>48</v>
      </c>
      <c r="P1548">
        <v>53</v>
      </c>
      <c r="Q1548" s="17" t="str">
        <f t="shared" si="74"/>
        <v>Weekends</v>
      </c>
      <c r="R1548" s="17" t="str">
        <f t="shared" si="72"/>
        <v>Night</v>
      </c>
      <c r="S1548" s="9" t="str">
        <f t="shared" si="73"/>
        <v>Clear</v>
      </c>
    </row>
    <row r="1549" spans="1:19" x14ac:dyDescent="0.25">
      <c r="A1549">
        <v>946</v>
      </c>
      <c r="B1549" s="19">
        <v>40586</v>
      </c>
      <c r="C1549">
        <v>1</v>
      </c>
      <c r="D1549">
        <v>2</v>
      </c>
      <c r="E1549">
        <v>0</v>
      </c>
      <c r="F1549" t="b">
        <v>0</v>
      </c>
      <c r="G1549">
        <v>6</v>
      </c>
      <c r="H1549">
        <v>1</v>
      </c>
      <c r="I1549">
        <v>0.16</v>
      </c>
      <c r="K1549">
        <v>0.19700000000000001</v>
      </c>
      <c r="L1549">
        <v>0.69</v>
      </c>
      <c r="M1549">
        <v>8.9599999999999999E-2</v>
      </c>
      <c r="N1549">
        <v>3</v>
      </c>
      <c r="O1549">
        <v>27</v>
      </c>
      <c r="P1549">
        <v>30</v>
      </c>
      <c r="Q1549" s="17" t="str">
        <f t="shared" si="74"/>
        <v>Weekends</v>
      </c>
      <c r="R1549" s="17" t="str">
        <f t="shared" si="72"/>
        <v>Morning</v>
      </c>
      <c r="S1549" s="9" t="str">
        <f t="shared" si="73"/>
        <v>Clear</v>
      </c>
    </row>
    <row r="1550" spans="1:19" x14ac:dyDescent="0.25">
      <c r="A1550">
        <v>947</v>
      </c>
      <c r="B1550" s="19">
        <v>40586</v>
      </c>
      <c r="C1550">
        <v>1</v>
      </c>
      <c r="D1550">
        <v>2</v>
      </c>
      <c r="E1550">
        <v>1</v>
      </c>
      <c r="F1550" t="b">
        <v>0</v>
      </c>
      <c r="G1550">
        <v>6</v>
      </c>
      <c r="H1550">
        <v>1</v>
      </c>
      <c r="I1550">
        <v>0.14000000000000001</v>
      </c>
      <c r="K1550">
        <v>0.21210000000000001</v>
      </c>
      <c r="L1550">
        <v>0.86</v>
      </c>
      <c r="M1550">
        <v>0</v>
      </c>
      <c r="N1550">
        <v>2</v>
      </c>
      <c r="O1550">
        <v>22</v>
      </c>
      <c r="P1550">
        <v>24</v>
      </c>
      <c r="Q1550" s="17" t="str">
        <f t="shared" si="74"/>
        <v>Weekends</v>
      </c>
      <c r="R1550" s="17" t="str">
        <f t="shared" si="72"/>
        <v>Morning</v>
      </c>
      <c r="S1550" s="9" t="str">
        <f t="shared" si="73"/>
        <v>Clear</v>
      </c>
    </row>
    <row r="1551" spans="1:19" x14ac:dyDescent="0.25">
      <c r="A1551">
        <v>948</v>
      </c>
      <c r="B1551" s="19">
        <v>40586</v>
      </c>
      <c r="C1551">
        <v>1</v>
      </c>
      <c r="D1551">
        <v>2</v>
      </c>
      <c r="E1551">
        <v>2</v>
      </c>
      <c r="F1551" t="b">
        <v>0</v>
      </c>
      <c r="G1551">
        <v>6</v>
      </c>
      <c r="H1551">
        <v>1</v>
      </c>
      <c r="I1551">
        <v>0.14000000000000001</v>
      </c>
      <c r="K1551">
        <v>0.21210000000000001</v>
      </c>
      <c r="L1551">
        <v>0.8</v>
      </c>
      <c r="M1551">
        <v>0</v>
      </c>
      <c r="N1551">
        <v>2</v>
      </c>
      <c r="O1551">
        <v>13</v>
      </c>
      <c r="P1551">
        <v>15</v>
      </c>
      <c r="Q1551" s="17" t="str">
        <f t="shared" si="74"/>
        <v>Weekends</v>
      </c>
      <c r="R1551" s="17" t="str">
        <f t="shared" si="72"/>
        <v>Morning</v>
      </c>
      <c r="S1551" s="9" t="str">
        <f t="shared" si="73"/>
        <v>Clear</v>
      </c>
    </row>
    <row r="1552" spans="1:19" x14ac:dyDescent="0.25">
      <c r="A1552">
        <v>949</v>
      </c>
      <c r="B1552" s="19">
        <v>40586</v>
      </c>
      <c r="C1552">
        <v>1</v>
      </c>
      <c r="D1552">
        <v>2</v>
      </c>
      <c r="E1552">
        <v>3</v>
      </c>
      <c r="F1552" t="b">
        <v>0</v>
      </c>
      <c r="G1552">
        <v>6</v>
      </c>
      <c r="H1552">
        <v>1</v>
      </c>
      <c r="I1552">
        <v>0.12</v>
      </c>
      <c r="K1552">
        <v>0.19700000000000001</v>
      </c>
      <c r="L1552">
        <v>0.8</v>
      </c>
      <c r="M1552">
        <v>0</v>
      </c>
      <c r="N1552">
        <v>3</v>
      </c>
      <c r="O1552">
        <v>7</v>
      </c>
      <c r="P1552">
        <v>10</v>
      </c>
      <c r="Q1552" s="17" t="str">
        <f t="shared" si="74"/>
        <v>Weekends</v>
      </c>
      <c r="R1552" s="17" t="str">
        <f t="shared" si="72"/>
        <v>Morning</v>
      </c>
      <c r="S1552" s="9" t="str">
        <f t="shared" si="73"/>
        <v>Clear</v>
      </c>
    </row>
    <row r="1553" spans="1:19" x14ac:dyDescent="0.25">
      <c r="A1553">
        <v>950</v>
      </c>
      <c r="B1553" s="19">
        <v>40586</v>
      </c>
      <c r="C1553">
        <v>1</v>
      </c>
      <c r="D1553">
        <v>2</v>
      </c>
      <c r="E1553">
        <v>4</v>
      </c>
      <c r="F1553" t="b">
        <v>0</v>
      </c>
      <c r="G1553">
        <v>6</v>
      </c>
      <c r="H1553">
        <v>1</v>
      </c>
      <c r="I1553">
        <v>0.12</v>
      </c>
      <c r="K1553">
        <v>0.16669999999999999</v>
      </c>
      <c r="L1553">
        <v>0.74</v>
      </c>
      <c r="M1553">
        <v>8.9599999999999999E-2</v>
      </c>
      <c r="N1553">
        <v>0</v>
      </c>
      <c r="O1553">
        <v>4</v>
      </c>
      <c r="P1553">
        <v>4</v>
      </c>
      <c r="Q1553" s="17" t="str">
        <f t="shared" si="74"/>
        <v>Weekends</v>
      </c>
      <c r="R1553" s="17" t="str">
        <f t="shared" si="72"/>
        <v>Morning</v>
      </c>
      <c r="S1553" s="9" t="str">
        <f t="shared" si="73"/>
        <v>Clear</v>
      </c>
    </row>
    <row r="1554" spans="1:19" x14ac:dyDescent="0.25">
      <c r="A1554">
        <v>951</v>
      </c>
      <c r="B1554" s="19">
        <v>40586</v>
      </c>
      <c r="C1554">
        <v>1</v>
      </c>
      <c r="D1554">
        <v>2</v>
      </c>
      <c r="E1554">
        <v>5</v>
      </c>
      <c r="F1554" t="b">
        <v>0</v>
      </c>
      <c r="G1554">
        <v>6</v>
      </c>
      <c r="H1554">
        <v>1</v>
      </c>
      <c r="I1554">
        <v>0.12</v>
      </c>
      <c r="K1554">
        <v>0.16669999999999999</v>
      </c>
      <c r="L1554">
        <v>0.74</v>
      </c>
      <c r="M1554">
        <v>8.9599999999999999E-2</v>
      </c>
      <c r="N1554">
        <v>0</v>
      </c>
      <c r="O1554">
        <v>1</v>
      </c>
      <c r="P1554">
        <v>1</v>
      </c>
      <c r="Q1554" s="17" t="str">
        <f t="shared" si="74"/>
        <v>Weekends</v>
      </c>
      <c r="R1554" s="17" t="str">
        <f t="shared" si="72"/>
        <v>Morning</v>
      </c>
      <c r="S1554" s="9" t="str">
        <f t="shared" si="73"/>
        <v>Clear</v>
      </c>
    </row>
    <row r="1555" spans="1:19" x14ac:dyDescent="0.25">
      <c r="A1555">
        <v>952</v>
      </c>
      <c r="B1555" s="19">
        <v>40586</v>
      </c>
      <c r="C1555">
        <v>1</v>
      </c>
      <c r="D1555">
        <v>2</v>
      </c>
      <c r="E1555">
        <v>6</v>
      </c>
      <c r="F1555" t="b">
        <v>0</v>
      </c>
      <c r="G1555">
        <v>6</v>
      </c>
      <c r="H1555">
        <v>1</v>
      </c>
      <c r="I1555">
        <v>0.12</v>
      </c>
      <c r="K1555">
        <v>0.13639999999999999</v>
      </c>
      <c r="L1555">
        <v>0.93</v>
      </c>
      <c r="M1555">
        <v>0.19400000000000001</v>
      </c>
      <c r="N1555">
        <v>1</v>
      </c>
      <c r="O1555">
        <v>1</v>
      </c>
      <c r="P1555">
        <v>2</v>
      </c>
      <c r="Q1555" s="17" t="str">
        <f t="shared" si="74"/>
        <v>Weekends</v>
      </c>
      <c r="R1555" s="17" t="str">
        <f t="shared" si="72"/>
        <v>Morning</v>
      </c>
      <c r="S1555" s="9" t="str">
        <f t="shared" si="73"/>
        <v>Clear</v>
      </c>
    </row>
    <row r="1556" spans="1:19" x14ac:dyDescent="0.25">
      <c r="A1556">
        <v>953</v>
      </c>
      <c r="B1556" s="19">
        <v>40586</v>
      </c>
      <c r="C1556">
        <v>1</v>
      </c>
      <c r="D1556">
        <v>2</v>
      </c>
      <c r="E1556">
        <v>7</v>
      </c>
      <c r="F1556" t="b">
        <v>0</v>
      </c>
      <c r="G1556">
        <v>6</v>
      </c>
      <c r="H1556">
        <v>1</v>
      </c>
      <c r="I1556">
        <v>0.12</v>
      </c>
      <c r="K1556">
        <v>0.1515</v>
      </c>
      <c r="L1556">
        <v>0.8</v>
      </c>
      <c r="M1556">
        <v>0.1045</v>
      </c>
      <c r="N1556">
        <v>2</v>
      </c>
      <c r="O1556">
        <v>9</v>
      </c>
      <c r="P1556">
        <v>11</v>
      </c>
      <c r="Q1556" s="17" t="str">
        <f t="shared" si="74"/>
        <v>Weekends</v>
      </c>
      <c r="R1556" s="17" t="str">
        <f t="shared" si="72"/>
        <v>Morning</v>
      </c>
      <c r="S1556" s="9" t="str">
        <f t="shared" si="73"/>
        <v>Clear</v>
      </c>
    </row>
    <row r="1557" spans="1:19" x14ac:dyDescent="0.25">
      <c r="A1557">
        <v>954</v>
      </c>
      <c r="B1557" s="19">
        <v>40586</v>
      </c>
      <c r="C1557">
        <v>1</v>
      </c>
      <c r="D1557">
        <v>2</v>
      </c>
      <c r="E1557">
        <v>8</v>
      </c>
      <c r="F1557" t="b">
        <v>0</v>
      </c>
      <c r="G1557">
        <v>6</v>
      </c>
      <c r="H1557">
        <v>1</v>
      </c>
      <c r="I1557">
        <v>0.14000000000000001</v>
      </c>
      <c r="K1557">
        <v>0.1515</v>
      </c>
      <c r="L1557">
        <v>0.86</v>
      </c>
      <c r="M1557">
        <v>0.1343</v>
      </c>
      <c r="N1557">
        <v>2</v>
      </c>
      <c r="O1557">
        <v>28</v>
      </c>
      <c r="P1557">
        <v>30</v>
      </c>
      <c r="Q1557" s="17" t="str">
        <f t="shared" si="74"/>
        <v>Weekends</v>
      </c>
      <c r="R1557" s="17" t="str">
        <f t="shared" si="72"/>
        <v>Morning</v>
      </c>
      <c r="S1557" s="9" t="str">
        <f t="shared" si="73"/>
        <v>Clear</v>
      </c>
    </row>
    <row r="1558" spans="1:19" x14ac:dyDescent="0.25">
      <c r="A1558">
        <v>955</v>
      </c>
      <c r="B1558" s="19">
        <v>40586</v>
      </c>
      <c r="C1558">
        <v>1</v>
      </c>
      <c r="D1558">
        <v>2</v>
      </c>
      <c r="E1558">
        <v>9</v>
      </c>
      <c r="F1558" t="b">
        <v>0</v>
      </c>
      <c r="G1558">
        <v>6</v>
      </c>
      <c r="H1558">
        <v>1</v>
      </c>
      <c r="I1558">
        <v>0.16</v>
      </c>
      <c r="K1558">
        <v>0.18179999999999999</v>
      </c>
      <c r="L1558">
        <v>0.64</v>
      </c>
      <c r="M1558">
        <v>0.1343</v>
      </c>
      <c r="N1558">
        <v>5</v>
      </c>
      <c r="O1558">
        <v>38</v>
      </c>
      <c r="P1558">
        <v>43</v>
      </c>
      <c r="Q1558" s="17" t="str">
        <f t="shared" si="74"/>
        <v>Weekends</v>
      </c>
      <c r="R1558" s="17" t="str">
        <f t="shared" si="72"/>
        <v>Morning</v>
      </c>
      <c r="S1558" s="9" t="str">
        <f t="shared" si="73"/>
        <v>Clear</v>
      </c>
    </row>
    <row r="1559" spans="1:19" x14ac:dyDescent="0.25">
      <c r="A1559">
        <v>956</v>
      </c>
      <c r="B1559" s="19">
        <v>40586</v>
      </c>
      <c r="C1559">
        <v>1</v>
      </c>
      <c r="D1559">
        <v>2</v>
      </c>
      <c r="E1559">
        <v>10</v>
      </c>
      <c r="F1559" t="b">
        <v>0</v>
      </c>
      <c r="G1559">
        <v>6</v>
      </c>
      <c r="H1559">
        <v>1</v>
      </c>
      <c r="I1559">
        <v>0.22</v>
      </c>
      <c r="K1559">
        <v>0.21210000000000001</v>
      </c>
      <c r="L1559">
        <v>0.41</v>
      </c>
      <c r="M1559">
        <v>0.25369999999999998</v>
      </c>
      <c r="N1559">
        <v>13</v>
      </c>
      <c r="O1559">
        <v>71</v>
      </c>
      <c r="P1559">
        <v>84</v>
      </c>
      <c r="Q1559" s="17" t="str">
        <f t="shared" si="74"/>
        <v>Weekends</v>
      </c>
      <c r="R1559" s="17" t="str">
        <f t="shared" si="72"/>
        <v>Morning</v>
      </c>
      <c r="S1559" s="9" t="str">
        <f t="shared" si="73"/>
        <v>Clear</v>
      </c>
    </row>
    <row r="1560" spans="1:19" x14ac:dyDescent="0.25">
      <c r="A1560">
        <v>957</v>
      </c>
      <c r="B1560" s="19">
        <v>40586</v>
      </c>
      <c r="C1560">
        <v>1</v>
      </c>
      <c r="D1560">
        <v>2</v>
      </c>
      <c r="E1560">
        <v>11</v>
      </c>
      <c r="F1560" t="b">
        <v>0</v>
      </c>
      <c r="G1560">
        <v>6</v>
      </c>
      <c r="H1560">
        <v>1</v>
      </c>
      <c r="I1560">
        <v>0.3</v>
      </c>
      <c r="K1560">
        <v>0.2727</v>
      </c>
      <c r="L1560">
        <v>0.28000000000000003</v>
      </c>
      <c r="M1560">
        <v>0.32840000000000003</v>
      </c>
      <c r="N1560">
        <v>30</v>
      </c>
      <c r="O1560">
        <v>84</v>
      </c>
      <c r="P1560">
        <v>114</v>
      </c>
      <c r="Q1560" s="17" t="str">
        <f t="shared" si="74"/>
        <v>Weekends</v>
      </c>
      <c r="R1560" s="17" t="str">
        <f t="shared" si="72"/>
        <v>Morning</v>
      </c>
      <c r="S1560" s="9" t="str">
        <f t="shared" si="73"/>
        <v>Clear</v>
      </c>
    </row>
    <row r="1561" spans="1:19" x14ac:dyDescent="0.25">
      <c r="A1561">
        <v>958</v>
      </c>
      <c r="B1561" s="19">
        <v>40586</v>
      </c>
      <c r="C1561">
        <v>1</v>
      </c>
      <c r="D1561">
        <v>2</v>
      </c>
      <c r="E1561">
        <v>12</v>
      </c>
      <c r="F1561" t="b">
        <v>0</v>
      </c>
      <c r="G1561">
        <v>6</v>
      </c>
      <c r="H1561">
        <v>1</v>
      </c>
      <c r="I1561">
        <v>0.3</v>
      </c>
      <c r="K1561">
        <v>0.2727</v>
      </c>
      <c r="L1561">
        <v>0.39</v>
      </c>
      <c r="M1561">
        <v>0.4627</v>
      </c>
      <c r="N1561">
        <v>27</v>
      </c>
      <c r="O1561">
        <v>93</v>
      </c>
      <c r="P1561">
        <v>120</v>
      </c>
      <c r="Q1561" s="17" t="str">
        <f t="shared" si="74"/>
        <v>Weekends</v>
      </c>
      <c r="R1561" s="17" t="str">
        <f t="shared" si="72"/>
        <v>Afternoon</v>
      </c>
      <c r="S1561" s="9" t="str">
        <f t="shared" si="73"/>
        <v>Clear</v>
      </c>
    </row>
    <row r="1562" spans="1:19" x14ac:dyDescent="0.25">
      <c r="A1562">
        <v>959</v>
      </c>
      <c r="B1562" s="19">
        <v>40586</v>
      </c>
      <c r="C1562">
        <v>1</v>
      </c>
      <c r="D1562">
        <v>2</v>
      </c>
      <c r="E1562">
        <v>13</v>
      </c>
      <c r="F1562" t="b">
        <v>0</v>
      </c>
      <c r="G1562">
        <v>6</v>
      </c>
      <c r="H1562">
        <v>1</v>
      </c>
      <c r="I1562">
        <v>0.3</v>
      </c>
      <c r="K1562">
        <v>0.2727</v>
      </c>
      <c r="L1562">
        <v>0.39</v>
      </c>
      <c r="M1562">
        <v>0.41789999999999999</v>
      </c>
      <c r="N1562">
        <v>32</v>
      </c>
      <c r="O1562">
        <v>103</v>
      </c>
      <c r="P1562">
        <v>135</v>
      </c>
      <c r="Q1562" s="17" t="str">
        <f t="shared" si="74"/>
        <v>Weekends</v>
      </c>
      <c r="R1562" s="17" t="str">
        <f t="shared" si="72"/>
        <v>Afternoon</v>
      </c>
      <c r="S1562" s="9" t="str">
        <f t="shared" si="73"/>
        <v>Clear</v>
      </c>
    </row>
    <row r="1563" spans="1:19" x14ac:dyDescent="0.25">
      <c r="A1563">
        <v>960</v>
      </c>
      <c r="B1563" s="19">
        <v>40586</v>
      </c>
      <c r="C1563">
        <v>1</v>
      </c>
      <c r="D1563">
        <v>2</v>
      </c>
      <c r="E1563">
        <v>14</v>
      </c>
      <c r="F1563" t="b">
        <v>0</v>
      </c>
      <c r="G1563">
        <v>6</v>
      </c>
      <c r="H1563">
        <v>1</v>
      </c>
      <c r="I1563">
        <v>0.34</v>
      </c>
      <c r="K1563">
        <v>0.31819999999999998</v>
      </c>
      <c r="L1563">
        <v>0.31</v>
      </c>
      <c r="M1563">
        <v>0.28360000000000002</v>
      </c>
      <c r="N1563">
        <v>30</v>
      </c>
      <c r="O1563">
        <v>90</v>
      </c>
      <c r="P1563">
        <v>120</v>
      </c>
      <c r="Q1563" s="17" t="str">
        <f t="shared" si="74"/>
        <v>Weekends</v>
      </c>
      <c r="R1563" s="17" t="str">
        <f t="shared" si="72"/>
        <v>Afternoon</v>
      </c>
      <c r="S1563" s="9" t="str">
        <f t="shared" si="73"/>
        <v>Clear</v>
      </c>
    </row>
    <row r="1564" spans="1:19" x14ac:dyDescent="0.25">
      <c r="A1564">
        <v>961</v>
      </c>
      <c r="B1564" s="19">
        <v>40586</v>
      </c>
      <c r="C1564">
        <v>1</v>
      </c>
      <c r="D1564">
        <v>2</v>
      </c>
      <c r="E1564">
        <v>15</v>
      </c>
      <c r="F1564" t="b">
        <v>0</v>
      </c>
      <c r="G1564">
        <v>6</v>
      </c>
      <c r="H1564">
        <v>1</v>
      </c>
      <c r="I1564">
        <v>0.34</v>
      </c>
      <c r="K1564">
        <v>0.30299999999999999</v>
      </c>
      <c r="L1564">
        <v>0.28999999999999998</v>
      </c>
      <c r="M1564">
        <v>0.41789999999999999</v>
      </c>
      <c r="N1564">
        <v>47</v>
      </c>
      <c r="O1564">
        <v>127</v>
      </c>
      <c r="P1564">
        <v>174</v>
      </c>
      <c r="Q1564" s="17" t="str">
        <f t="shared" si="74"/>
        <v>Weekends</v>
      </c>
      <c r="R1564" s="17" t="str">
        <f t="shared" si="72"/>
        <v>Afternoon</v>
      </c>
      <c r="S1564" s="9" t="str">
        <f t="shared" si="73"/>
        <v>Clear</v>
      </c>
    </row>
    <row r="1565" spans="1:19" x14ac:dyDescent="0.25">
      <c r="A1565">
        <v>962</v>
      </c>
      <c r="B1565" s="19">
        <v>40586</v>
      </c>
      <c r="C1565">
        <v>1</v>
      </c>
      <c r="D1565">
        <v>2</v>
      </c>
      <c r="E1565">
        <v>16</v>
      </c>
      <c r="F1565" t="b">
        <v>0</v>
      </c>
      <c r="G1565">
        <v>6</v>
      </c>
      <c r="H1565">
        <v>1</v>
      </c>
      <c r="I1565">
        <v>0.34</v>
      </c>
      <c r="K1565">
        <v>0.30299999999999999</v>
      </c>
      <c r="L1565">
        <v>0.28999999999999998</v>
      </c>
      <c r="M1565">
        <v>0.41789999999999999</v>
      </c>
      <c r="N1565">
        <v>42</v>
      </c>
      <c r="O1565">
        <v>103</v>
      </c>
      <c r="P1565">
        <v>145</v>
      </c>
      <c r="Q1565" s="17" t="str">
        <f t="shared" si="74"/>
        <v>Weekends</v>
      </c>
      <c r="R1565" s="17" t="str">
        <f t="shared" si="72"/>
        <v>Evening</v>
      </c>
      <c r="S1565" s="9" t="str">
        <f t="shared" si="73"/>
        <v>Clear</v>
      </c>
    </row>
    <row r="1566" spans="1:19" x14ac:dyDescent="0.25">
      <c r="A1566">
        <v>963</v>
      </c>
      <c r="B1566" s="19">
        <v>40586</v>
      </c>
      <c r="C1566">
        <v>1</v>
      </c>
      <c r="D1566">
        <v>2</v>
      </c>
      <c r="E1566">
        <v>17</v>
      </c>
      <c r="F1566" t="b">
        <v>0</v>
      </c>
      <c r="G1566">
        <v>6</v>
      </c>
      <c r="H1566">
        <v>1</v>
      </c>
      <c r="I1566">
        <v>0.32</v>
      </c>
      <c r="K1566">
        <v>0.28789999999999999</v>
      </c>
      <c r="L1566">
        <v>0.31</v>
      </c>
      <c r="M1566">
        <v>0.52239999999999998</v>
      </c>
      <c r="N1566">
        <v>24</v>
      </c>
      <c r="O1566">
        <v>113</v>
      </c>
      <c r="P1566">
        <v>137</v>
      </c>
      <c r="Q1566" s="17" t="str">
        <f t="shared" si="74"/>
        <v>Weekends</v>
      </c>
      <c r="R1566" s="17" t="str">
        <f t="shared" si="72"/>
        <v>Evening</v>
      </c>
      <c r="S1566" s="9" t="str">
        <f t="shared" si="73"/>
        <v>Clear</v>
      </c>
    </row>
    <row r="1567" spans="1:19" x14ac:dyDescent="0.25">
      <c r="A1567">
        <v>964</v>
      </c>
      <c r="B1567" s="19">
        <v>40586</v>
      </c>
      <c r="C1567">
        <v>1</v>
      </c>
      <c r="D1567">
        <v>2</v>
      </c>
      <c r="E1567">
        <v>18</v>
      </c>
      <c r="F1567" t="b">
        <v>0</v>
      </c>
      <c r="G1567">
        <v>6</v>
      </c>
      <c r="H1567">
        <v>1</v>
      </c>
      <c r="I1567">
        <v>0.28000000000000003</v>
      </c>
      <c r="K1567">
        <v>0.2576</v>
      </c>
      <c r="L1567">
        <v>0.38</v>
      </c>
      <c r="M1567">
        <v>0.32840000000000003</v>
      </c>
      <c r="N1567">
        <v>4</v>
      </c>
      <c r="O1567">
        <v>60</v>
      </c>
      <c r="P1567">
        <v>64</v>
      </c>
      <c r="Q1567" s="17" t="str">
        <f t="shared" si="74"/>
        <v>Weekends</v>
      </c>
      <c r="R1567" s="17" t="str">
        <f t="shared" si="72"/>
        <v>Evening</v>
      </c>
      <c r="S1567" s="9" t="str">
        <f t="shared" si="73"/>
        <v>Clear</v>
      </c>
    </row>
    <row r="1568" spans="1:19" x14ac:dyDescent="0.25">
      <c r="A1568">
        <v>965</v>
      </c>
      <c r="B1568" s="19">
        <v>40586</v>
      </c>
      <c r="C1568">
        <v>1</v>
      </c>
      <c r="D1568">
        <v>2</v>
      </c>
      <c r="E1568">
        <v>19</v>
      </c>
      <c r="F1568" t="b">
        <v>0</v>
      </c>
      <c r="G1568">
        <v>6</v>
      </c>
      <c r="H1568">
        <v>1</v>
      </c>
      <c r="I1568">
        <v>0.28000000000000003</v>
      </c>
      <c r="K1568">
        <v>0.2727</v>
      </c>
      <c r="L1568">
        <v>0.38</v>
      </c>
      <c r="M1568">
        <v>0.16420000000000001</v>
      </c>
      <c r="N1568">
        <v>2</v>
      </c>
      <c r="O1568">
        <v>39</v>
      </c>
      <c r="P1568">
        <v>41</v>
      </c>
      <c r="Q1568" s="17" t="str">
        <f t="shared" si="74"/>
        <v>Weekends</v>
      </c>
      <c r="R1568" s="17" t="str">
        <f t="shared" si="72"/>
        <v>Evening</v>
      </c>
      <c r="S1568" s="9" t="str">
        <f t="shared" si="73"/>
        <v>Clear</v>
      </c>
    </row>
    <row r="1569" spans="1:19" x14ac:dyDescent="0.25">
      <c r="A1569">
        <v>966</v>
      </c>
      <c r="B1569" s="19">
        <v>40586</v>
      </c>
      <c r="C1569">
        <v>1</v>
      </c>
      <c r="D1569">
        <v>2</v>
      </c>
      <c r="E1569">
        <v>20</v>
      </c>
      <c r="F1569" t="b">
        <v>0</v>
      </c>
      <c r="G1569">
        <v>6</v>
      </c>
      <c r="H1569">
        <v>1</v>
      </c>
      <c r="I1569">
        <v>0.26</v>
      </c>
      <c r="K1569">
        <v>0.2576</v>
      </c>
      <c r="L1569">
        <v>0.41</v>
      </c>
      <c r="M1569">
        <v>0.22389999999999999</v>
      </c>
      <c r="N1569">
        <v>1</v>
      </c>
      <c r="O1569">
        <v>39</v>
      </c>
      <c r="P1569">
        <v>40</v>
      </c>
      <c r="Q1569" s="17" t="str">
        <f t="shared" si="74"/>
        <v>Weekends</v>
      </c>
      <c r="R1569" s="17" t="str">
        <f t="shared" si="72"/>
        <v>Evening</v>
      </c>
      <c r="S1569" s="9" t="str">
        <f t="shared" si="73"/>
        <v>Clear</v>
      </c>
    </row>
    <row r="1570" spans="1:19" x14ac:dyDescent="0.25">
      <c r="A1570">
        <v>967</v>
      </c>
      <c r="B1570" s="19">
        <v>40586</v>
      </c>
      <c r="C1570">
        <v>1</v>
      </c>
      <c r="D1570">
        <v>2</v>
      </c>
      <c r="E1570">
        <v>21</v>
      </c>
      <c r="F1570" t="b">
        <v>0</v>
      </c>
      <c r="G1570">
        <v>6</v>
      </c>
      <c r="H1570">
        <v>1</v>
      </c>
      <c r="I1570">
        <v>0.26</v>
      </c>
      <c r="K1570">
        <v>0.30299999999999999</v>
      </c>
      <c r="L1570">
        <v>0.41</v>
      </c>
      <c r="M1570">
        <v>0</v>
      </c>
      <c r="N1570">
        <v>9</v>
      </c>
      <c r="O1570">
        <v>42</v>
      </c>
      <c r="P1570">
        <v>51</v>
      </c>
      <c r="Q1570" s="17" t="str">
        <f t="shared" si="74"/>
        <v>Weekends</v>
      </c>
      <c r="R1570" s="17" t="str">
        <f t="shared" si="72"/>
        <v>Night</v>
      </c>
      <c r="S1570" s="9" t="str">
        <f t="shared" si="73"/>
        <v>Clear</v>
      </c>
    </row>
    <row r="1571" spans="1:19" x14ac:dyDescent="0.25">
      <c r="A1571">
        <v>968</v>
      </c>
      <c r="B1571" s="19">
        <v>40586</v>
      </c>
      <c r="C1571">
        <v>1</v>
      </c>
      <c r="D1571">
        <v>2</v>
      </c>
      <c r="E1571">
        <v>22</v>
      </c>
      <c r="F1571" t="b">
        <v>0</v>
      </c>
      <c r="G1571">
        <v>6</v>
      </c>
      <c r="H1571">
        <v>1</v>
      </c>
      <c r="I1571">
        <v>0.24</v>
      </c>
      <c r="K1571">
        <v>0.2576</v>
      </c>
      <c r="L1571">
        <v>0.44</v>
      </c>
      <c r="M1571">
        <v>8.9599999999999999E-2</v>
      </c>
      <c r="N1571">
        <v>6</v>
      </c>
      <c r="O1571">
        <v>39</v>
      </c>
      <c r="P1571">
        <v>45</v>
      </c>
      <c r="Q1571" s="17" t="str">
        <f t="shared" si="74"/>
        <v>Weekends</v>
      </c>
      <c r="R1571" s="17" t="str">
        <f t="shared" si="72"/>
        <v>Night</v>
      </c>
      <c r="S1571" s="9" t="str">
        <f t="shared" si="73"/>
        <v>Clear</v>
      </c>
    </row>
    <row r="1572" spans="1:19" x14ac:dyDescent="0.25">
      <c r="A1572">
        <v>969</v>
      </c>
      <c r="B1572" s="19">
        <v>40586</v>
      </c>
      <c r="C1572">
        <v>1</v>
      </c>
      <c r="D1572">
        <v>2</v>
      </c>
      <c r="E1572">
        <v>23</v>
      </c>
      <c r="F1572" t="b">
        <v>0</v>
      </c>
      <c r="G1572">
        <v>6</v>
      </c>
      <c r="H1572">
        <v>1</v>
      </c>
      <c r="I1572">
        <v>0.22</v>
      </c>
      <c r="K1572">
        <v>0.2273</v>
      </c>
      <c r="L1572">
        <v>0.51</v>
      </c>
      <c r="M1572">
        <v>0.1343</v>
      </c>
      <c r="N1572">
        <v>1</v>
      </c>
      <c r="O1572">
        <v>31</v>
      </c>
      <c r="P1572">
        <v>32</v>
      </c>
      <c r="Q1572" s="17" t="str">
        <f t="shared" si="74"/>
        <v>Weekends</v>
      </c>
      <c r="R1572" s="17" t="str">
        <f t="shared" si="72"/>
        <v>Night</v>
      </c>
      <c r="S1572" s="9" t="str">
        <f t="shared" si="73"/>
        <v>Clear</v>
      </c>
    </row>
    <row r="1573" spans="1:19" x14ac:dyDescent="0.25">
      <c r="A1573">
        <v>970</v>
      </c>
      <c r="B1573" s="19">
        <v>40587</v>
      </c>
      <c r="C1573">
        <v>1</v>
      </c>
      <c r="D1573">
        <v>2</v>
      </c>
      <c r="E1573">
        <v>0</v>
      </c>
      <c r="F1573" t="b">
        <v>0</v>
      </c>
      <c r="G1573">
        <v>0</v>
      </c>
      <c r="H1573">
        <v>1</v>
      </c>
      <c r="I1573">
        <v>0.2</v>
      </c>
      <c r="K1573">
        <v>0.2273</v>
      </c>
      <c r="L1573">
        <v>0.64</v>
      </c>
      <c r="M1573">
        <v>0.1045</v>
      </c>
      <c r="N1573">
        <v>5</v>
      </c>
      <c r="O1573">
        <v>34</v>
      </c>
      <c r="P1573">
        <v>39</v>
      </c>
      <c r="Q1573" s="17" t="str">
        <f t="shared" si="74"/>
        <v>Weekdays</v>
      </c>
      <c r="R1573" s="17" t="str">
        <f t="shared" si="72"/>
        <v>Morning</v>
      </c>
      <c r="S1573" s="9" t="str">
        <f t="shared" si="73"/>
        <v>Clear</v>
      </c>
    </row>
    <row r="1574" spans="1:19" x14ac:dyDescent="0.25">
      <c r="A1574">
        <v>971</v>
      </c>
      <c r="B1574" s="19">
        <v>40587</v>
      </c>
      <c r="C1574">
        <v>1</v>
      </c>
      <c r="D1574">
        <v>2</v>
      </c>
      <c r="E1574">
        <v>1</v>
      </c>
      <c r="F1574" t="b">
        <v>0</v>
      </c>
      <c r="G1574">
        <v>0</v>
      </c>
      <c r="H1574">
        <v>1</v>
      </c>
      <c r="I1574">
        <v>0.2</v>
      </c>
      <c r="K1574">
        <v>0.2273</v>
      </c>
      <c r="L1574">
        <v>0.59</v>
      </c>
      <c r="M1574">
        <v>8.9599999999999999E-2</v>
      </c>
      <c r="N1574">
        <v>1</v>
      </c>
      <c r="O1574">
        <v>23</v>
      </c>
      <c r="P1574">
        <v>24</v>
      </c>
      <c r="Q1574" s="17" t="str">
        <f t="shared" si="74"/>
        <v>Weekdays</v>
      </c>
      <c r="R1574" s="17" t="str">
        <f t="shared" si="72"/>
        <v>Morning</v>
      </c>
      <c r="S1574" s="9" t="str">
        <f t="shared" si="73"/>
        <v>Clear</v>
      </c>
    </row>
    <row r="1575" spans="1:19" x14ac:dyDescent="0.25">
      <c r="A1575">
        <v>972</v>
      </c>
      <c r="B1575" s="19">
        <v>40587</v>
      </c>
      <c r="C1575">
        <v>1</v>
      </c>
      <c r="D1575">
        <v>2</v>
      </c>
      <c r="E1575">
        <v>2</v>
      </c>
      <c r="F1575" t="b">
        <v>0</v>
      </c>
      <c r="G1575">
        <v>0</v>
      </c>
      <c r="H1575">
        <v>2</v>
      </c>
      <c r="I1575">
        <v>0.2</v>
      </c>
      <c r="K1575">
        <v>0.2273</v>
      </c>
      <c r="L1575">
        <v>0.75</v>
      </c>
      <c r="M1575">
        <v>8.9599999999999999E-2</v>
      </c>
      <c r="N1575">
        <v>1</v>
      </c>
      <c r="O1575">
        <v>19</v>
      </c>
      <c r="P1575">
        <v>20</v>
      </c>
      <c r="Q1575" s="17" t="str">
        <f t="shared" si="74"/>
        <v>Weekdays</v>
      </c>
      <c r="R1575" s="17" t="str">
        <f t="shared" si="72"/>
        <v>Morning</v>
      </c>
      <c r="S1575" s="9" t="str">
        <f t="shared" si="73"/>
        <v>Mist</v>
      </c>
    </row>
    <row r="1576" spans="1:19" x14ac:dyDescent="0.25">
      <c r="A1576">
        <v>973</v>
      </c>
      <c r="B1576" s="19">
        <v>40587</v>
      </c>
      <c r="C1576">
        <v>1</v>
      </c>
      <c r="D1576">
        <v>2</v>
      </c>
      <c r="E1576">
        <v>3</v>
      </c>
      <c r="F1576" t="b">
        <v>0</v>
      </c>
      <c r="G1576">
        <v>0</v>
      </c>
      <c r="H1576">
        <v>2</v>
      </c>
      <c r="I1576">
        <v>0.2</v>
      </c>
      <c r="K1576">
        <v>0.2273</v>
      </c>
      <c r="L1576">
        <v>0.69</v>
      </c>
      <c r="M1576">
        <v>0.1045</v>
      </c>
      <c r="N1576">
        <v>4</v>
      </c>
      <c r="O1576">
        <v>8</v>
      </c>
      <c r="P1576">
        <v>12</v>
      </c>
      <c r="Q1576" s="17" t="str">
        <f t="shared" si="74"/>
        <v>Weekdays</v>
      </c>
      <c r="R1576" s="17" t="str">
        <f t="shared" si="72"/>
        <v>Morning</v>
      </c>
      <c r="S1576" s="9" t="str">
        <f t="shared" si="73"/>
        <v>Mist</v>
      </c>
    </row>
    <row r="1577" spans="1:19" x14ac:dyDescent="0.25">
      <c r="A1577">
        <v>974</v>
      </c>
      <c r="B1577" s="19">
        <v>40587</v>
      </c>
      <c r="C1577">
        <v>1</v>
      </c>
      <c r="D1577">
        <v>2</v>
      </c>
      <c r="E1577">
        <v>4</v>
      </c>
      <c r="F1577" t="b">
        <v>0</v>
      </c>
      <c r="G1577">
        <v>0</v>
      </c>
      <c r="H1577">
        <v>2</v>
      </c>
      <c r="I1577">
        <v>0.2</v>
      </c>
      <c r="K1577">
        <v>0.21210000000000001</v>
      </c>
      <c r="L1577">
        <v>0.69</v>
      </c>
      <c r="M1577">
        <v>0.16420000000000001</v>
      </c>
      <c r="N1577">
        <v>0</v>
      </c>
      <c r="O1577">
        <v>2</v>
      </c>
      <c r="P1577">
        <v>2</v>
      </c>
      <c r="Q1577" s="17" t="str">
        <f t="shared" si="74"/>
        <v>Weekdays</v>
      </c>
      <c r="R1577" s="17" t="str">
        <f t="shared" si="72"/>
        <v>Morning</v>
      </c>
      <c r="S1577" s="9" t="str">
        <f t="shared" si="73"/>
        <v>Mist</v>
      </c>
    </row>
    <row r="1578" spans="1:19" x14ac:dyDescent="0.25">
      <c r="A1578">
        <v>975</v>
      </c>
      <c r="B1578" s="19">
        <v>40587</v>
      </c>
      <c r="C1578">
        <v>1</v>
      </c>
      <c r="D1578">
        <v>2</v>
      </c>
      <c r="E1578">
        <v>6</v>
      </c>
      <c r="F1578" t="b">
        <v>0</v>
      </c>
      <c r="G1578">
        <v>0</v>
      </c>
      <c r="H1578">
        <v>2</v>
      </c>
      <c r="I1578">
        <v>0.2</v>
      </c>
      <c r="K1578">
        <v>0.21210000000000001</v>
      </c>
      <c r="L1578">
        <v>0.69</v>
      </c>
      <c r="M1578">
        <v>0.1343</v>
      </c>
      <c r="N1578">
        <v>2</v>
      </c>
      <c r="O1578">
        <v>3</v>
      </c>
      <c r="P1578">
        <v>5</v>
      </c>
      <c r="Q1578" s="17" t="str">
        <f t="shared" si="74"/>
        <v>Weekdays</v>
      </c>
      <c r="R1578" s="17" t="str">
        <f t="shared" si="72"/>
        <v>Morning</v>
      </c>
      <c r="S1578" s="9" t="str">
        <f t="shared" si="73"/>
        <v>Mist</v>
      </c>
    </row>
    <row r="1579" spans="1:19" x14ac:dyDescent="0.25">
      <c r="A1579">
        <v>976</v>
      </c>
      <c r="B1579" s="19">
        <v>40587</v>
      </c>
      <c r="C1579">
        <v>1</v>
      </c>
      <c r="D1579">
        <v>2</v>
      </c>
      <c r="E1579">
        <v>7</v>
      </c>
      <c r="F1579" t="b">
        <v>0</v>
      </c>
      <c r="G1579">
        <v>0</v>
      </c>
      <c r="H1579">
        <v>2</v>
      </c>
      <c r="I1579">
        <v>0.22</v>
      </c>
      <c r="K1579">
        <v>0.2727</v>
      </c>
      <c r="L1579">
        <v>0.55000000000000004</v>
      </c>
      <c r="M1579">
        <v>0</v>
      </c>
      <c r="N1579">
        <v>0</v>
      </c>
      <c r="O1579">
        <v>3</v>
      </c>
      <c r="P1579">
        <v>3</v>
      </c>
      <c r="Q1579" s="17" t="str">
        <f t="shared" si="74"/>
        <v>Weekdays</v>
      </c>
      <c r="R1579" s="17" t="str">
        <f t="shared" si="72"/>
        <v>Morning</v>
      </c>
      <c r="S1579" s="9" t="str">
        <f t="shared" si="73"/>
        <v>Mist</v>
      </c>
    </row>
    <row r="1580" spans="1:19" x14ac:dyDescent="0.25">
      <c r="A1580">
        <v>977</v>
      </c>
      <c r="B1580" s="19">
        <v>40587</v>
      </c>
      <c r="C1580">
        <v>1</v>
      </c>
      <c r="D1580">
        <v>2</v>
      </c>
      <c r="E1580">
        <v>8</v>
      </c>
      <c r="F1580" t="b">
        <v>0</v>
      </c>
      <c r="G1580">
        <v>0</v>
      </c>
      <c r="H1580">
        <v>2</v>
      </c>
      <c r="I1580">
        <v>0.22</v>
      </c>
      <c r="K1580">
        <v>0.2273</v>
      </c>
      <c r="L1580">
        <v>0.64</v>
      </c>
      <c r="M1580">
        <v>0.19400000000000001</v>
      </c>
      <c r="N1580">
        <v>1</v>
      </c>
      <c r="O1580">
        <v>11</v>
      </c>
      <c r="P1580">
        <v>12</v>
      </c>
      <c r="Q1580" s="17" t="str">
        <f t="shared" si="74"/>
        <v>Weekdays</v>
      </c>
      <c r="R1580" s="17" t="str">
        <f t="shared" si="72"/>
        <v>Morning</v>
      </c>
      <c r="S1580" s="9" t="str">
        <f t="shared" si="73"/>
        <v>Mist</v>
      </c>
    </row>
    <row r="1581" spans="1:19" x14ac:dyDescent="0.25">
      <c r="A1581">
        <v>978</v>
      </c>
      <c r="B1581" s="19">
        <v>40587</v>
      </c>
      <c r="C1581">
        <v>1</v>
      </c>
      <c r="D1581">
        <v>2</v>
      </c>
      <c r="E1581">
        <v>9</v>
      </c>
      <c r="F1581" t="b">
        <v>0</v>
      </c>
      <c r="G1581">
        <v>0</v>
      </c>
      <c r="H1581">
        <v>2</v>
      </c>
      <c r="I1581">
        <v>0.24</v>
      </c>
      <c r="K1581">
        <v>0.2273</v>
      </c>
      <c r="L1581">
        <v>0.6</v>
      </c>
      <c r="M1581">
        <v>0.22389999999999999</v>
      </c>
      <c r="N1581">
        <v>12</v>
      </c>
      <c r="O1581">
        <v>35</v>
      </c>
      <c r="P1581">
        <v>47</v>
      </c>
      <c r="Q1581" s="17" t="str">
        <f t="shared" si="74"/>
        <v>Weekdays</v>
      </c>
      <c r="R1581" s="17" t="str">
        <f t="shared" si="72"/>
        <v>Morning</v>
      </c>
      <c r="S1581" s="9" t="str">
        <f t="shared" si="73"/>
        <v>Mist</v>
      </c>
    </row>
    <row r="1582" spans="1:19" x14ac:dyDescent="0.25">
      <c r="A1582">
        <v>979</v>
      </c>
      <c r="B1582" s="19">
        <v>40587</v>
      </c>
      <c r="C1582">
        <v>1</v>
      </c>
      <c r="D1582">
        <v>2</v>
      </c>
      <c r="E1582">
        <v>10</v>
      </c>
      <c r="F1582" t="b">
        <v>0</v>
      </c>
      <c r="G1582">
        <v>0</v>
      </c>
      <c r="H1582">
        <v>1</v>
      </c>
      <c r="I1582">
        <v>0.3</v>
      </c>
      <c r="K1582">
        <v>0.2727</v>
      </c>
      <c r="L1582">
        <v>0.45</v>
      </c>
      <c r="M1582">
        <v>0.32840000000000003</v>
      </c>
      <c r="N1582">
        <v>19</v>
      </c>
      <c r="O1582">
        <v>86</v>
      </c>
      <c r="P1582">
        <v>105</v>
      </c>
      <c r="Q1582" s="17" t="str">
        <f t="shared" si="74"/>
        <v>Weekdays</v>
      </c>
      <c r="R1582" s="17" t="str">
        <f t="shared" si="72"/>
        <v>Morning</v>
      </c>
      <c r="S1582" s="9" t="str">
        <f t="shared" si="73"/>
        <v>Clear</v>
      </c>
    </row>
    <row r="1583" spans="1:19" x14ac:dyDescent="0.25">
      <c r="A1583">
        <v>980</v>
      </c>
      <c r="B1583" s="19">
        <v>40587</v>
      </c>
      <c r="C1583">
        <v>1</v>
      </c>
      <c r="D1583">
        <v>2</v>
      </c>
      <c r="E1583">
        <v>11</v>
      </c>
      <c r="F1583" t="b">
        <v>0</v>
      </c>
      <c r="G1583">
        <v>0</v>
      </c>
      <c r="H1583">
        <v>1</v>
      </c>
      <c r="I1583">
        <v>0.32</v>
      </c>
      <c r="K1583">
        <v>0.28789999999999999</v>
      </c>
      <c r="L1583">
        <v>0.39</v>
      </c>
      <c r="M1583">
        <v>0.44779999999999998</v>
      </c>
      <c r="N1583">
        <v>26</v>
      </c>
      <c r="O1583">
        <v>86</v>
      </c>
      <c r="P1583">
        <v>112</v>
      </c>
      <c r="Q1583" s="17" t="str">
        <f t="shared" si="74"/>
        <v>Weekdays</v>
      </c>
      <c r="R1583" s="17" t="str">
        <f t="shared" si="72"/>
        <v>Morning</v>
      </c>
      <c r="S1583" s="9" t="str">
        <f t="shared" si="73"/>
        <v>Clear</v>
      </c>
    </row>
    <row r="1584" spans="1:19" x14ac:dyDescent="0.25">
      <c r="A1584">
        <v>981</v>
      </c>
      <c r="B1584" s="19">
        <v>40587</v>
      </c>
      <c r="C1584">
        <v>1</v>
      </c>
      <c r="D1584">
        <v>2</v>
      </c>
      <c r="E1584">
        <v>12</v>
      </c>
      <c r="F1584" t="b">
        <v>0</v>
      </c>
      <c r="G1584">
        <v>0</v>
      </c>
      <c r="H1584">
        <v>1</v>
      </c>
      <c r="I1584">
        <v>0.36</v>
      </c>
      <c r="K1584">
        <v>0.31819999999999998</v>
      </c>
      <c r="L1584">
        <v>0.32</v>
      </c>
      <c r="M1584">
        <v>0.4627</v>
      </c>
      <c r="N1584">
        <v>58</v>
      </c>
      <c r="O1584">
        <v>94</v>
      </c>
      <c r="P1584">
        <v>152</v>
      </c>
      <c r="Q1584" s="17" t="str">
        <f t="shared" si="74"/>
        <v>Weekdays</v>
      </c>
      <c r="R1584" s="17" t="str">
        <f t="shared" si="72"/>
        <v>Afternoon</v>
      </c>
      <c r="S1584" s="9" t="str">
        <f t="shared" si="73"/>
        <v>Clear</v>
      </c>
    </row>
    <row r="1585" spans="1:19" x14ac:dyDescent="0.25">
      <c r="A1585">
        <v>982</v>
      </c>
      <c r="B1585" s="19">
        <v>40587</v>
      </c>
      <c r="C1585">
        <v>1</v>
      </c>
      <c r="D1585">
        <v>2</v>
      </c>
      <c r="E1585">
        <v>13</v>
      </c>
      <c r="F1585" t="b">
        <v>0</v>
      </c>
      <c r="G1585">
        <v>0</v>
      </c>
      <c r="H1585">
        <v>1</v>
      </c>
      <c r="I1585">
        <v>0.38</v>
      </c>
      <c r="K1585">
        <v>0.39389999999999997</v>
      </c>
      <c r="L1585">
        <v>0.28999999999999998</v>
      </c>
      <c r="M1585">
        <v>0.35820000000000002</v>
      </c>
      <c r="N1585">
        <v>62</v>
      </c>
      <c r="O1585">
        <v>92</v>
      </c>
      <c r="P1585">
        <v>154</v>
      </c>
      <c r="Q1585" s="17" t="str">
        <f t="shared" si="74"/>
        <v>Weekdays</v>
      </c>
      <c r="R1585" s="17" t="str">
        <f t="shared" si="72"/>
        <v>Afternoon</v>
      </c>
      <c r="S1585" s="9" t="str">
        <f t="shared" si="73"/>
        <v>Clear</v>
      </c>
    </row>
    <row r="1586" spans="1:19" x14ac:dyDescent="0.25">
      <c r="A1586">
        <v>983</v>
      </c>
      <c r="B1586" s="19">
        <v>40587</v>
      </c>
      <c r="C1586">
        <v>1</v>
      </c>
      <c r="D1586">
        <v>2</v>
      </c>
      <c r="E1586">
        <v>14</v>
      </c>
      <c r="F1586" t="b">
        <v>0</v>
      </c>
      <c r="G1586">
        <v>0</v>
      </c>
      <c r="H1586">
        <v>2</v>
      </c>
      <c r="I1586">
        <v>0.4</v>
      </c>
      <c r="K1586">
        <v>0.40910000000000002</v>
      </c>
      <c r="L1586">
        <v>0.3</v>
      </c>
      <c r="M1586">
        <v>0.41789999999999999</v>
      </c>
      <c r="N1586">
        <v>51</v>
      </c>
      <c r="O1586">
        <v>110</v>
      </c>
      <c r="P1586">
        <v>161</v>
      </c>
      <c r="Q1586" s="17" t="str">
        <f t="shared" si="74"/>
        <v>Weekdays</v>
      </c>
      <c r="R1586" s="17" t="str">
        <f t="shared" si="72"/>
        <v>Afternoon</v>
      </c>
      <c r="S1586" s="9" t="str">
        <f t="shared" si="73"/>
        <v>Mist</v>
      </c>
    </row>
    <row r="1587" spans="1:19" x14ac:dyDescent="0.25">
      <c r="A1587">
        <v>984</v>
      </c>
      <c r="B1587" s="19">
        <v>40587</v>
      </c>
      <c r="C1587">
        <v>1</v>
      </c>
      <c r="D1587">
        <v>2</v>
      </c>
      <c r="E1587">
        <v>15</v>
      </c>
      <c r="F1587" t="b">
        <v>0</v>
      </c>
      <c r="G1587">
        <v>0</v>
      </c>
      <c r="H1587">
        <v>2</v>
      </c>
      <c r="I1587">
        <v>0.4</v>
      </c>
      <c r="K1587">
        <v>0.40910000000000002</v>
      </c>
      <c r="L1587">
        <v>0.3</v>
      </c>
      <c r="M1587">
        <v>0.29849999999999999</v>
      </c>
      <c r="N1587">
        <v>40</v>
      </c>
      <c r="O1587">
        <v>122</v>
      </c>
      <c r="P1587">
        <v>162</v>
      </c>
      <c r="Q1587" s="17" t="str">
        <f t="shared" si="74"/>
        <v>Weekdays</v>
      </c>
      <c r="R1587" s="17" t="str">
        <f t="shared" si="72"/>
        <v>Afternoon</v>
      </c>
      <c r="S1587" s="9" t="str">
        <f t="shared" si="73"/>
        <v>Mist</v>
      </c>
    </row>
    <row r="1588" spans="1:19" x14ac:dyDescent="0.25">
      <c r="A1588">
        <v>985</v>
      </c>
      <c r="B1588" s="19">
        <v>40587</v>
      </c>
      <c r="C1588">
        <v>1</v>
      </c>
      <c r="D1588">
        <v>2</v>
      </c>
      <c r="E1588">
        <v>16</v>
      </c>
      <c r="F1588" t="b">
        <v>0</v>
      </c>
      <c r="G1588">
        <v>0</v>
      </c>
      <c r="H1588">
        <v>2</v>
      </c>
      <c r="I1588">
        <v>0.42</v>
      </c>
      <c r="K1588">
        <v>0.42420000000000002</v>
      </c>
      <c r="L1588">
        <v>0.28000000000000003</v>
      </c>
      <c r="M1588">
        <v>0.32840000000000003</v>
      </c>
      <c r="N1588">
        <v>28</v>
      </c>
      <c r="O1588">
        <v>106</v>
      </c>
      <c r="P1588">
        <v>134</v>
      </c>
      <c r="Q1588" s="17" t="str">
        <f t="shared" si="74"/>
        <v>Weekdays</v>
      </c>
      <c r="R1588" s="17" t="str">
        <f t="shared" si="72"/>
        <v>Evening</v>
      </c>
      <c r="S1588" s="9" t="str">
        <f t="shared" si="73"/>
        <v>Mist</v>
      </c>
    </row>
    <row r="1589" spans="1:19" x14ac:dyDescent="0.25">
      <c r="A1589">
        <v>986</v>
      </c>
      <c r="B1589" s="19">
        <v>40587</v>
      </c>
      <c r="C1589">
        <v>1</v>
      </c>
      <c r="D1589">
        <v>2</v>
      </c>
      <c r="E1589">
        <v>17</v>
      </c>
      <c r="F1589" t="b">
        <v>0</v>
      </c>
      <c r="G1589">
        <v>0</v>
      </c>
      <c r="H1589">
        <v>1</v>
      </c>
      <c r="I1589">
        <v>0.42</v>
      </c>
      <c r="K1589">
        <v>0.42420000000000002</v>
      </c>
      <c r="L1589">
        <v>0.28000000000000003</v>
      </c>
      <c r="M1589">
        <v>0.32840000000000003</v>
      </c>
      <c r="N1589">
        <v>30</v>
      </c>
      <c r="O1589">
        <v>95</v>
      </c>
      <c r="P1589">
        <v>125</v>
      </c>
      <c r="Q1589" s="17" t="str">
        <f t="shared" si="74"/>
        <v>Weekdays</v>
      </c>
      <c r="R1589" s="17" t="str">
        <f t="shared" si="72"/>
        <v>Evening</v>
      </c>
      <c r="S1589" s="9" t="str">
        <f t="shared" si="73"/>
        <v>Clear</v>
      </c>
    </row>
    <row r="1590" spans="1:19" x14ac:dyDescent="0.25">
      <c r="A1590">
        <v>987</v>
      </c>
      <c r="B1590" s="19">
        <v>40587</v>
      </c>
      <c r="C1590">
        <v>1</v>
      </c>
      <c r="D1590">
        <v>2</v>
      </c>
      <c r="E1590">
        <v>18</v>
      </c>
      <c r="F1590" t="b">
        <v>0</v>
      </c>
      <c r="G1590">
        <v>0</v>
      </c>
      <c r="H1590">
        <v>1</v>
      </c>
      <c r="I1590">
        <v>0.4</v>
      </c>
      <c r="K1590">
        <v>0.40910000000000002</v>
      </c>
      <c r="L1590">
        <v>0.32</v>
      </c>
      <c r="M1590">
        <v>0.29849999999999999</v>
      </c>
      <c r="N1590">
        <v>17</v>
      </c>
      <c r="O1590">
        <v>78</v>
      </c>
      <c r="P1590">
        <v>95</v>
      </c>
      <c r="Q1590" s="17" t="str">
        <f t="shared" si="74"/>
        <v>Weekdays</v>
      </c>
      <c r="R1590" s="17" t="str">
        <f t="shared" si="72"/>
        <v>Evening</v>
      </c>
      <c r="S1590" s="9" t="str">
        <f t="shared" si="73"/>
        <v>Clear</v>
      </c>
    </row>
    <row r="1591" spans="1:19" x14ac:dyDescent="0.25">
      <c r="A1591">
        <v>988</v>
      </c>
      <c r="B1591" s="19">
        <v>40587</v>
      </c>
      <c r="C1591">
        <v>1</v>
      </c>
      <c r="D1591">
        <v>2</v>
      </c>
      <c r="E1591">
        <v>19</v>
      </c>
      <c r="F1591" t="b">
        <v>0</v>
      </c>
      <c r="G1591">
        <v>0</v>
      </c>
      <c r="H1591">
        <v>1</v>
      </c>
      <c r="I1591">
        <v>0.4</v>
      </c>
      <c r="K1591">
        <v>0.40910000000000002</v>
      </c>
      <c r="L1591">
        <v>0.35</v>
      </c>
      <c r="M1591">
        <v>0.28360000000000002</v>
      </c>
      <c r="N1591">
        <v>11</v>
      </c>
      <c r="O1591">
        <v>50</v>
      </c>
      <c r="P1591">
        <v>61</v>
      </c>
      <c r="Q1591" s="17" t="str">
        <f t="shared" si="74"/>
        <v>Weekdays</v>
      </c>
      <c r="R1591" s="17" t="str">
        <f t="shared" si="72"/>
        <v>Evening</v>
      </c>
      <c r="S1591" s="9" t="str">
        <f t="shared" si="73"/>
        <v>Clear</v>
      </c>
    </row>
    <row r="1592" spans="1:19" x14ac:dyDescent="0.25">
      <c r="A1592">
        <v>989</v>
      </c>
      <c r="B1592" s="19">
        <v>40587</v>
      </c>
      <c r="C1592">
        <v>1</v>
      </c>
      <c r="D1592">
        <v>2</v>
      </c>
      <c r="E1592">
        <v>20</v>
      </c>
      <c r="F1592" t="b">
        <v>0</v>
      </c>
      <c r="G1592">
        <v>0</v>
      </c>
      <c r="H1592">
        <v>1</v>
      </c>
      <c r="I1592">
        <v>0.4</v>
      </c>
      <c r="K1592">
        <v>0.40910000000000002</v>
      </c>
      <c r="L1592">
        <v>0.35</v>
      </c>
      <c r="M1592">
        <v>0.32840000000000003</v>
      </c>
      <c r="N1592">
        <v>15</v>
      </c>
      <c r="O1592">
        <v>32</v>
      </c>
      <c r="P1592">
        <v>47</v>
      </c>
      <c r="Q1592" s="17" t="str">
        <f t="shared" si="74"/>
        <v>Weekdays</v>
      </c>
      <c r="R1592" s="17" t="str">
        <f t="shared" si="72"/>
        <v>Evening</v>
      </c>
      <c r="S1592" s="9" t="str">
        <f t="shared" si="73"/>
        <v>Clear</v>
      </c>
    </row>
    <row r="1593" spans="1:19" x14ac:dyDescent="0.25">
      <c r="A1593">
        <v>990</v>
      </c>
      <c r="B1593" s="19">
        <v>40587</v>
      </c>
      <c r="C1593">
        <v>1</v>
      </c>
      <c r="D1593">
        <v>2</v>
      </c>
      <c r="E1593">
        <v>21</v>
      </c>
      <c r="F1593" t="b">
        <v>0</v>
      </c>
      <c r="G1593">
        <v>0</v>
      </c>
      <c r="H1593">
        <v>1</v>
      </c>
      <c r="I1593">
        <v>0.4</v>
      </c>
      <c r="K1593">
        <v>0.40910000000000002</v>
      </c>
      <c r="L1593">
        <v>0.35</v>
      </c>
      <c r="M1593">
        <v>0.35820000000000002</v>
      </c>
      <c r="N1593">
        <v>6</v>
      </c>
      <c r="O1593">
        <v>45</v>
      </c>
      <c r="P1593">
        <v>51</v>
      </c>
      <c r="Q1593" s="17" t="str">
        <f t="shared" si="74"/>
        <v>Weekdays</v>
      </c>
      <c r="R1593" s="17" t="str">
        <f t="shared" si="72"/>
        <v>Night</v>
      </c>
      <c r="S1593" s="9" t="str">
        <f t="shared" si="73"/>
        <v>Clear</v>
      </c>
    </row>
    <row r="1594" spans="1:19" x14ac:dyDescent="0.25">
      <c r="A1594">
        <v>991</v>
      </c>
      <c r="B1594" s="19">
        <v>40587</v>
      </c>
      <c r="C1594">
        <v>1</v>
      </c>
      <c r="D1594">
        <v>2</v>
      </c>
      <c r="E1594">
        <v>22</v>
      </c>
      <c r="F1594" t="b">
        <v>0</v>
      </c>
      <c r="G1594">
        <v>0</v>
      </c>
      <c r="H1594">
        <v>1</v>
      </c>
      <c r="I1594">
        <v>0.4</v>
      </c>
      <c r="K1594">
        <v>0.40910000000000002</v>
      </c>
      <c r="L1594">
        <v>0.35</v>
      </c>
      <c r="M1594">
        <v>0.29849999999999999</v>
      </c>
      <c r="N1594">
        <v>5</v>
      </c>
      <c r="O1594">
        <v>31</v>
      </c>
      <c r="P1594">
        <v>36</v>
      </c>
      <c r="Q1594" s="17" t="str">
        <f t="shared" si="74"/>
        <v>Weekdays</v>
      </c>
      <c r="R1594" s="17" t="str">
        <f t="shared" si="72"/>
        <v>Night</v>
      </c>
      <c r="S1594" s="9" t="str">
        <f t="shared" si="73"/>
        <v>Clear</v>
      </c>
    </row>
    <row r="1595" spans="1:19" x14ac:dyDescent="0.25">
      <c r="A1595">
        <v>992</v>
      </c>
      <c r="B1595" s="19">
        <v>40587</v>
      </c>
      <c r="C1595">
        <v>1</v>
      </c>
      <c r="D1595">
        <v>2</v>
      </c>
      <c r="E1595">
        <v>23</v>
      </c>
      <c r="F1595" t="b">
        <v>0</v>
      </c>
      <c r="G1595">
        <v>0</v>
      </c>
      <c r="H1595">
        <v>1</v>
      </c>
      <c r="I1595">
        <v>0.4</v>
      </c>
      <c r="K1595">
        <v>0.40910000000000002</v>
      </c>
      <c r="L1595">
        <v>0.35</v>
      </c>
      <c r="M1595">
        <v>0.35820000000000002</v>
      </c>
      <c r="N1595">
        <v>3</v>
      </c>
      <c r="O1595">
        <v>27</v>
      </c>
      <c r="P1595">
        <v>30</v>
      </c>
      <c r="Q1595" s="17" t="str">
        <f t="shared" si="74"/>
        <v>Weekdays</v>
      </c>
      <c r="R1595" s="17" t="str">
        <f t="shared" si="72"/>
        <v>Night</v>
      </c>
      <c r="S1595" s="9" t="str">
        <f t="shared" si="73"/>
        <v>Clear</v>
      </c>
    </row>
    <row r="1596" spans="1:19" x14ac:dyDescent="0.25">
      <c r="A1596">
        <v>993</v>
      </c>
      <c r="B1596" s="19">
        <v>40588</v>
      </c>
      <c r="C1596">
        <v>1</v>
      </c>
      <c r="D1596">
        <v>2</v>
      </c>
      <c r="E1596">
        <v>0</v>
      </c>
      <c r="F1596" t="b">
        <v>0</v>
      </c>
      <c r="G1596">
        <v>1</v>
      </c>
      <c r="H1596">
        <v>1</v>
      </c>
      <c r="I1596">
        <v>0.38</v>
      </c>
      <c r="K1596">
        <v>0.39389999999999997</v>
      </c>
      <c r="L1596">
        <v>0.37</v>
      </c>
      <c r="M1596">
        <v>0.35820000000000002</v>
      </c>
      <c r="N1596">
        <v>3</v>
      </c>
      <c r="O1596">
        <v>8</v>
      </c>
      <c r="P1596">
        <v>11</v>
      </c>
      <c r="Q1596" s="17" t="str">
        <f t="shared" si="74"/>
        <v>Weekdays</v>
      </c>
      <c r="R1596" s="17" t="str">
        <f t="shared" si="72"/>
        <v>Morning</v>
      </c>
      <c r="S1596" s="9" t="str">
        <f t="shared" si="73"/>
        <v>Clear</v>
      </c>
    </row>
    <row r="1597" spans="1:19" x14ac:dyDescent="0.25">
      <c r="A1597">
        <v>994</v>
      </c>
      <c r="B1597" s="19">
        <v>40588</v>
      </c>
      <c r="C1597">
        <v>1</v>
      </c>
      <c r="D1597">
        <v>2</v>
      </c>
      <c r="E1597">
        <v>1</v>
      </c>
      <c r="F1597" t="b">
        <v>0</v>
      </c>
      <c r="G1597">
        <v>1</v>
      </c>
      <c r="H1597">
        <v>1</v>
      </c>
      <c r="I1597">
        <v>0.38</v>
      </c>
      <c r="K1597">
        <v>0.39389999999999997</v>
      </c>
      <c r="L1597">
        <v>0.37</v>
      </c>
      <c r="M1597">
        <v>0.35820000000000002</v>
      </c>
      <c r="N1597">
        <v>1</v>
      </c>
      <c r="O1597">
        <v>6</v>
      </c>
      <c r="P1597">
        <v>7</v>
      </c>
      <c r="Q1597" s="17" t="str">
        <f t="shared" si="74"/>
        <v>Weekdays</v>
      </c>
      <c r="R1597" s="17" t="str">
        <f t="shared" si="72"/>
        <v>Morning</v>
      </c>
      <c r="S1597" s="9" t="str">
        <f t="shared" si="73"/>
        <v>Clear</v>
      </c>
    </row>
    <row r="1598" spans="1:19" x14ac:dyDescent="0.25">
      <c r="A1598">
        <v>995</v>
      </c>
      <c r="B1598" s="19">
        <v>40588</v>
      </c>
      <c r="C1598">
        <v>1</v>
      </c>
      <c r="D1598">
        <v>2</v>
      </c>
      <c r="E1598">
        <v>2</v>
      </c>
      <c r="F1598" t="b">
        <v>0</v>
      </c>
      <c r="G1598">
        <v>1</v>
      </c>
      <c r="H1598">
        <v>1</v>
      </c>
      <c r="I1598">
        <v>0.36</v>
      </c>
      <c r="K1598">
        <v>0.33329999999999999</v>
      </c>
      <c r="L1598">
        <v>0.4</v>
      </c>
      <c r="M1598">
        <v>0.29849999999999999</v>
      </c>
      <c r="N1598">
        <v>0</v>
      </c>
      <c r="O1598">
        <v>2</v>
      </c>
      <c r="P1598">
        <v>2</v>
      </c>
      <c r="Q1598" s="17" t="str">
        <f t="shared" si="74"/>
        <v>Weekdays</v>
      </c>
      <c r="R1598" s="17" t="str">
        <f t="shared" si="72"/>
        <v>Morning</v>
      </c>
      <c r="S1598" s="9" t="str">
        <f t="shared" si="73"/>
        <v>Clear</v>
      </c>
    </row>
    <row r="1599" spans="1:19" x14ac:dyDescent="0.25">
      <c r="A1599">
        <v>996</v>
      </c>
      <c r="B1599" s="19">
        <v>40588</v>
      </c>
      <c r="C1599">
        <v>1</v>
      </c>
      <c r="D1599">
        <v>2</v>
      </c>
      <c r="E1599">
        <v>3</v>
      </c>
      <c r="F1599" t="b">
        <v>0</v>
      </c>
      <c r="G1599">
        <v>1</v>
      </c>
      <c r="H1599">
        <v>1</v>
      </c>
      <c r="I1599">
        <v>0.34</v>
      </c>
      <c r="K1599">
        <v>0.31819999999999998</v>
      </c>
      <c r="L1599">
        <v>0.46</v>
      </c>
      <c r="M1599">
        <v>0.22389999999999999</v>
      </c>
      <c r="N1599">
        <v>1</v>
      </c>
      <c r="O1599">
        <v>1</v>
      </c>
      <c r="P1599">
        <v>2</v>
      </c>
      <c r="Q1599" s="17" t="str">
        <f t="shared" si="74"/>
        <v>Weekdays</v>
      </c>
      <c r="R1599" s="17" t="str">
        <f t="shared" si="72"/>
        <v>Morning</v>
      </c>
      <c r="S1599" s="9" t="str">
        <f t="shared" si="73"/>
        <v>Clear</v>
      </c>
    </row>
    <row r="1600" spans="1:19" x14ac:dyDescent="0.25">
      <c r="A1600">
        <v>997</v>
      </c>
      <c r="B1600" s="19">
        <v>40588</v>
      </c>
      <c r="C1600">
        <v>1</v>
      </c>
      <c r="D1600">
        <v>2</v>
      </c>
      <c r="E1600">
        <v>4</v>
      </c>
      <c r="F1600" t="b">
        <v>0</v>
      </c>
      <c r="G1600">
        <v>1</v>
      </c>
      <c r="H1600">
        <v>1</v>
      </c>
      <c r="I1600">
        <v>0.32</v>
      </c>
      <c r="K1600">
        <v>0.30299999999999999</v>
      </c>
      <c r="L1600">
        <v>0.53</v>
      </c>
      <c r="M1600">
        <v>0.28360000000000002</v>
      </c>
      <c r="N1600">
        <v>0</v>
      </c>
      <c r="O1600">
        <v>2</v>
      </c>
      <c r="P1600">
        <v>2</v>
      </c>
      <c r="Q1600" s="17" t="str">
        <f t="shared" si="74"/>
        <v>Weekdays</v>
      </c>
      <c r="R1600" s="17" t="str">
        <f t="shared" si="72"/>
        <v>Morning</v>
      </c>
      <c r="S1600" s="9" t="str">
        <f t="shared" si="73"/>
        <v>Clear</v>
      </c>
    </row>
    <row r="1601" spans="1:19" x14ac:dyDescent="0.25">
      <c r="A1601">
        <v>998</v>
      </c>
      <c r="B1601" s="19">
        <v>40588</v>
      </c>
      <c r="C1601">
        <v>1</v>
      </c>
      <c r="D1601">
        <v>2</v>
      </c>
      <c r="E1601">
        <v>5</v>
      </c>
      <c r="F1601" t="b">
        <v>0</v>
      </c>
      <c r="G1601">
        <v>1</v>
      </c>
      <c r="H1601">
        <v>1</v>
      </c>
      <c r="I1601">
        <v>0.32</v>
      </c>
      <c r="K1601">
        <v>0.30299999999999999</v>
      </c>
      <c r="L1601">
        <v>0.53</v>
      </c>
      <c r="M1601">
        <v>0.28360000000000002</v>
      </c>
      <c r="N1601">
        <v>0</v>
      </c>
      <c r="O1601">
        <v>3</v>
      </c>
      <c r="P1601">
        <v>3</v>
      </c>
      <c r="Q1601" s="17" t="str">
        <f t="shared" si="74"/>
        <v>Weekdays</v>
      </c>
      <c r="R1601" s="17" t="str">
        <f t="shared" si="72"/>
        <v>Morning</v>
      </c>
      <c r="S1601" s="9" t="str">
        <f t="shared" si="73"/>
        <v>Clear</v>
      </c>
    </row>
    <row r="1602" spans="1:19" x14ac:dyDescent="0.25">
      <c r="A1602">
        <v>999</v>
      </c>
      <c r="B1602" s="19">
        <v>40588</v>
      </c>
      <c r="C1602">
        <v>1</v>
      </c>
      <c r="D1602">
        <v>2</v>
      </c>
      <c r="E1602">
        <v>6</v>
      </c>
      <c r="F1602" t="b">
        <v>0</v>
      </c>
      <c r="G1602">
        <v>1</v>
      </c>
      <c r="H1602">
        <v>1</v>
      </c>
      <c r="I1602">
        <v>0.34</v>
      </c>
      <c r="K1602">
        <v>0.30299999999999999</v>
      </c>
      <c r="L1602">
        <v>0.46</v>
      </c>
      <c r="M1602">
        <v>0.29849999999999999</v>
      </c>
      <c r="N1602">
        <v>1</v>
      </c>
      <c r="O1602">
        <v>25</v>
      </c>
      <c r="P1602">
        <v>26</v>
      </c>
      <c r="Q1602" s="17" t="str">
        <f t="shared" si="74"/>
        <v>Weekdays</v>
      </c>
      <c r="R1602" s="17" t="str">
        <f t="shared" ref="R1602:R1612" si="75">IF(E1602&lt;12,"Morning",IF(E1602&lt;16,"Afternoon",IF(E1602&lt;21,"Evening","Night")))</f>
        <v>Morning</v>
      </c>
      <c r="S1602" s="9" t="str">
        <f t="shared" ref="S1602:S1612" si="76">IF(H1602=1,"Clear",IF(H1602=2,"Mist",IF(H1602=3,"Light Snow/Rain","Heavy Rain/Snow")))</f>
        <v>Clear</v>
      </c>
    </row>
    <row r="1603" spans="1:19" x14ac:dyDescent="0.25">
      <c r="A1603">
        <v>1000</v>
      </c>
      <c r="B1603" s="19">
        <v>40588</v>
      </c>
      <c r="C1603">
        <v>1</v>
      </c>
      <c r="D1603">
        <v>2</v>
      </c>
      <c r="E1603">
        <v>7</v>
      </c>
      <c r="F1603" t="b">
        <v>0</v>
      </c>
      <c r="G1603">
        <v>1</v>
      </c>
      <c r="H1603">
        <v>1</v>
      </c>
      <c r="I1603">
        <v>0.34</v>
      </c>
      <c r="K1603">
        <v>0.30299999999999999</v>
      </c>
      <c r="L1603">
        <v>0.46</v>
      </c>
      <c r="M1603">
        <v>0.29849999999999999</v>
      </c>
      <c r="N1603">
        <v>2</v>
      </c>
      <c r="O1603">
        <v>96</v>
      </c>
      <c r="P1603">
        <v>98</v>
      </c>
      <c r="Q1603" s="17" t="str">
        <f t="shared" ref="Q1603:Q1612" si="77">IF(G1603&gt;=5,"Weekends","Weekdays")</f>
        <v>Weekdays</v>
      </c>
      <c r="R1603" s="17" t="str">
        <f t="shared" si="75"/>
        <v>Morning</v>
      </c>
      <c r="S1603" s="9" t="str">
        <f t="shared" si="76"/>
        <v>Clear</v>
      </c>
    </row>
    <row r="1604" spans="1:19" x14ac:dyDescent="0.25">
      <c r="A1604">
        <v>1001</v>
      </c>
      <c r="B1604" s="19">
        <v>40571</v>
      </c>
      <c r="C1604">
        <v>1</v>
      </c>
      <c r="D1604">
        <v>1</v>
      </c>
      <c r="E1604">
        <v>16</v>
      </c>
      <c r="F1604" t="b">
        <v>0</v>
      </c>
      <c r="G1604">
        <v>5</v>
      </c>
      <c r="H1604">
        <v>1</v>
      </c>
      <c r="I1604">
        <v>0.22</v>
      </c>
      <c r="K1604">
        <v>0.2727</v>
      </c>
      <c r="L1604">
        <v>0.8</v>
      </c>
      <c r="M1604">
        <v>0</v>
      </c>
      <c r="N1604">
        <v>10</v>
      </c>
      <c r="O1604">
        <v>70</v>
      </c>
      <c r="P1604">
        <v>80</v>
      </c>
      <c r="Q1604" s="17" t="str">
        <f t="shared" si="77"/>
        <v>Weekends</v>
      </c>
      <c r="R1604" s="17" t="str">
        <f t="shared" si="75"/>
        <v>Evening</v>
      </c>
      <c r="S1604" s="9" t="str">
        <f t="shared" si="76"/>
        <v>Clear</v>
      </c>
    </row>
    <row r="1605" spans="1:19" x14ac:dyDescent="0.25">
      <c r="A1605">
        <v>1002</v>
      </c>
      <c r="B1605" s="19">
        <v>40571</v>
      </c>
      <c r="C1605">
        <v>1</v>
      </c>
      <c r="D1605">
        <v>1</v>
      </c>
      <c r="E1605">
        <v>17</v>
      </c>
      <c r="F1605" t="b">
        <v>0</v>
      </c>
      <c r="G1605">
        <v>5</v>
      </c>
      <c r="H1605">
        <v>1</v>
      </c>
      <c r="I1605">
        <v>0.24</v>
      </c>
      <c r="K1605">
        <v>0.2424</v>
      </c>
      <c r="L1605">
        <v>0.75</v>
      </c>
      <c r="M1605">
        <v>0.1343</v>
      </c>
      <c r="N1605">
        <v>2</v>
      </c>
      <c r="O1605">
        <v>147</v>
      </c>
      <c r="P1605">
        <v>149</v>
      </c>
      <c r="Q1605" s="17" t="str">
        <f t="shared" si="77"/>
        <v>Weekends</v>
      </c>
      <c r="R1605" s="17" t="str">
        <f t="shared" si="75"/>
        <v>Evening</v>
      </c>
      <c r="S1605" s="9" t="str">
        <f t="shared" si="76"/>
        <v>Clear</v>
      </c>
    </row>
    <row r="1606" spans="1:19" x14ac:dyDescent="0.25">
      <c r="A1606">
        <v>1003</v>
      </c>
      <c r="B1606" s="19">
        <v>40571</v>
      </c>
      <c r="C1606">
        <v>1</v>
      </c>
      <c r="D1606">
        <v>1</v>
      </c>
      <c r="E1606">
        <v>18</v>
      </c>
      <c r="F1606" t="b">
        <v>0</v>
      </c>
      <c r="G1606">
        <v>5</v>
      </c>
      <c r="H1606">
        <v>1</v>
      </c>
      <c r="I1606">
        <v>0.24</v>
      </c>
      <c r="K1606">
        <v>0.2273</v>
      </c>
      <c r="L1606">
        <v>0.75</v>
      </c>
      <c r="M1606">
        <v>0.19400000000000001</v>
      </c>
      <c r="N1606">
        <v>2</v>
      </c>
      <c r="O1606">
        <v>107</v>
      </c>
      <c r="P1606">
        <v>109</v>
      </c>
      <c r="Q1606" s="17" t="str">
        <f t="shared" si="77"/>
        <v>Weekends</v>
      </c>
      <c r="R1606" s="17" t="str">
        <f t="shared" si="75"/>
        <v>Evening</v>
      </c>
      <c r="S1606" s="9" t="str">
        <f t="shared" si="76"/>
        <v>Clear</v>
      </c>
    </row>
    <row r="1607" spans="1:19" x14ac:dyDescent="0.25">
      <c r="A1607">
        <v>1004</v>
      </c>
      <c r="B1607" s="19">
        <v>40571</v>
      </c>
      <c r="C1607">
        <v>1</v>
      </c>
      <c r="D1607">
        <v>1</v>
      </c>
      <c r="E1607">
        <v>19</v>
      </c>
      <c r="F1607" t="b">
        <v>0</v>
      </c>
      <c r="G1607">
        <v>5</v>
      </c>
      <c r="H1607">
        <v>2</v>
      </c>
      <c r="I1607">
        <v>0.24</v>
      </c>
      <c r="K1607">
        <v>0.2424</v>
      </c>
      <c r="L1607">
        <v>0.75</v>
      </c>
      <c r="M1607">
        <v>0.1343</v>
      </c>
      <c r="N1607">
        <v>5</v>
      </c>
      <c r="O1607">
        <v>84</v>
      </c>
      <c r="P1607">
        <v>89</v>
      </c>
      <c r="Q1607" s="17" t="str">
        <f t="shared" si="77"/>
        <v>Weekends</v>
      </c>
      <c r="R1607" s="17" t="str">
        <f t="shared" si="75"/>
        <v>Evening</v>
      </c>
      <c r="S1607" s="9" t="str">
        <f t="shared" si="76"/>
        <v>Mist</v>
      </c>
    </row>
    <row r="1608" spans="1:19" x14ac:dyDescent="0.25">
      <c r="A1608">
        <v>1005</v>
      </c>
      <c r="B1608" s="19">
        <v>40571</v>
      </c>
      <c r="C1608">
        <v>1</v>
      </c>
      <c r="D1608">
        <v>1</v>
      </c>
      <c r="E1608">
        <v>20</v>
      </c>
      <c r="F1608" t="b">
        <v>0</v>
      </c>
      <c r="G1608">
        <v>5</v>
      </c>
      <c r="H1608">
        <v>2</v>
      </c>
      <c r="I1608">
        <v>0.24</v>
      </c>
      <c r="K1608">
        <v>0.2273</v>
      </c>
      <c r="L1608">
        <v>0.7</v>
      </c>
      <c r="M1608">
        <v>0.19400000000000001</v>
      </c>
      <c r="N1608">
        <v>1</v>
      </c>
      <c r="O1608">
        <v>61</v>
      </c>
      <c r="P1608">
        <v>62</v>
      </c>
      <c r="Q1608" s="17" t="str">
        <f t="shared" si="77"/>
        <v>Weekends</v>
      </c>
      <c r="R1608" s="17" t="str">
        <f t="shared" si="75"/>
        <v>Evening</v>
      </c>
      <c r="S1608" s="9" t="str">
        <f t="shared" si="76"/>
        <v>Mist</v>
      </c>
    </row>
    <row r="1609" spans="1:19" x14ac:dyDescent="0.25">
      <c r="A1609">
        <v>1006</v>
      </c>
      <c r="B1609" s="19">
        <v>40571</v>
      </c>
      <c r="C1609">
        <v>1</v>
      </c>
      <c r="D1609">
        <v>1</v>
      </c>
      <c r="E1609">
        <v>21</v>
      </c>
      <c r="F1609" t="b">
        <v>0</v>
      </c>
      <c r="G1609">
        <v>5</v>
      </c>
      <c r="H1609">
        <v>2</v>
      </c>
      <c r="I1609">
        <v>0.22</v>
      </c>
      <c r="K1609">
        <v>0.2273</v>
      </c>
      <c r="L1609">
        <v>0.75</v>
      </c>
      <c r="M1609">
        <v>0.1343</v>
      </c>
      <c r="N1609">
        <v>1</v>
      </c>
      <c r="O1609">
        <v>57</v>
      </c>
      <c r="P1609">
        <v>58</v>
      </c>
      <c r="Q1609" s="17" t="str">
        <f t="shared" si="77"/>
        <v>Weekends</v>
      </c>
      <c r="R1609" s="17" t="str">
        <f t="shared" si="75"/>
        <v>Night</v>
      </c>
      <c r="S1609" s="9" t="str">
        <f t="shared" si="76"/>
        <v>Mist</v>
      </c>
    </row>
    <row r="1610" spans="1:19" x14ac:dyDescent="0.25">
      <c r="A1610">
        <v>1007</v>
      </c>
      <c r="B1610" s="19">
        <v>40571</v>
      </c>
      <c r="C1610">
        <v>1</v>
      </c>
      <c r="D1610">
        <v>1</v>
      </c>
      <c r="E1610">
        <v>22</v>
      </c>
      <c r="F1610" t="b">
        <v>0</v>
      </c>
      <c r="G1610">
        <v>5</v>
      </c>
      <c r="H1610">
        <v>1</v>
      </c>
      <c r="I1610">
        <v>0.24</v>
      </c>
      <c r="K1610">
        <v>0.21210000000000001</v>
      </c>
      <c r="L1610">
        <v>0.65</v>
      </c>
      <c r="M1610">
        <v>0.35820000000000002</v>
      </c>
      <c r="N1610">
        <v>0</v>
      </c>
      <c r="O1610">
        <v>26</v>
      </c>
      <c r="P1610">
        <v>26</v>
      </c>
      <c r="Q1610" s="17" t="str">
        <f t="shared" si="77"/>
        <v>Weekends</v>
      </c>
      <c r="R1610" s="17" t="str">
        <f t="shared" si="75"/>
        <v>Night</v>
      </c>
      <c r="S1610" s="9" t="str">
        <f t="shared" si="76"/>
        <v>Clear</v>
      </c>
    </row>
    <row r="1611" spans="1:19" x14ac:dyDescent="0.25">
      <c r="A1611">
        <v>1008</v>
      </c>
      <c r="B1611" s="19">
        <v>40571</v>
      </c>
      <c r="C1611">
        <v>1</v>
      </c>
      <c r="D1611">
        <v>1</v>
      </c>
      <c r="E1611">
        <v>23</v>
      </c>
      <c r="F1611" t="b">
        <v>0</v>
      </c>
      <c r="G1611">
        <v>5</v>
      </c>
      <c r="H1611">
        <v>1</v>
      </c>
      <c r="I1611">
        <v>0.24</v>
      </c>
      <c r="K1611">
        <v>0.2273</v>
      </c>
      <c r="L1611">
        <v>0.6</v>
      </c>
      <c r="M1611">
        <v>0.22389999999999999</v>
      </c>
      <c r="N1611">
        <v>1</v>
      </c>
      <c r="O1611">
        <v>22</v>
      </c>
      <c r="P1611">
        <v>23</v>
      </c>
      <c r="Q1611" s="17" t="str">
        <f t="shared" si="77"/>
        <v>Weekends</v>
      </c>
      <c r="R1611" s="17" t="str">
        <f t="shared" si="75"/>
        <v>Night</v>
      </c>
      <c r="S1611" s="9" t="str">
        <f t="shared" si="76"/>
        <v>Clear</v>
      </c>
    </row>
    <row r="1612" spans="1:19" x14ac:dyDescent="0.25">
      <c r="A1612">
        <v>1009</v>
      </c>
      <c r="B1612" s="19">
        <v>40572</v>
      </c>
      <c r="C1612">
        <v>1</v>
      </c>
      <c r="D1612">
        <v>1</v>
      </c>
      <c r="E1612">
        <v>0</v>
      </c>
      <c r="F1612" t="b">
        <v>0</v>
      </c>
      <c r="G1612">
        <v>6</v>
      </c>
      <c r="H1612">
        <v>1</v>
      </c>
      <c r="I1612">
        <v>0.22</v>
      </c>
      <c r="K1612">
        <v>0.19700000000000001</v>
      </c>
      <c r="L1612">
        <v>0.64</v>
      </c>
      <c r="M1612">
        <v>0.35820000000000002</v>
      </c>
      <c r="N1612">
        <v>2</v>
      </c>
      <c r="O1612">
        <v>26</v>
      </c>
      <c r="P1612">
        <v>28</v>
      </c>
      <c r="Q1612" s="17" t="str">
        <f t="shared" si="77"/>
        <v>Weekends</v>
      </c>
      <c r="R1612" s="17" t="str">
        <f t="shared" si="75"/>
        <v>Morning</v>
      </c>
      <c r="S1612" s="9" t="str">
        <f t="shared" si="76"/>
        <v>Clear</v>
      </c>
    </row>
  </sheetData>
  <conditionalFormatting sqref="P1:P1048576">
    <cfRule type="top10" dxfId="30" priority="4" rank="10"/>
  </conditionalFormatting>
  <conditionalFormatting sqref="I1:I1048576">
    <cfRule type="top10" dxfId="29" priority="3" rank="10"/>
  </conditionalFormatting>
  <conditionalFormatting sqref="S1:S1048576">
    <cfRule type="top10" dxfId="28" priority="2" rank="10"/>
  </conditionalFormatting>
  <conditionalFormatting sqref="H1:H1048576">
    <cfRule type="top10" dxfId="24" priority="1" rank="10"/>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AA14-DB65-4C3D-A810-C998BA2439CC}">
  <dimension ref="A1:U31"/>
  <sheetViews>
    <sheetView topLeftCell="A5" workbookViewId="0">
      <selection activeCell="O26" sqref="O26:P26"/>
    </sheetView>
  </sheetViews>
  <sheetFormatPr defaultRowHeight="13.2" x14ac:dyDescent="0.25"/>
  <cols>
    <col min="1" max="1" width="11.33203125" bestFit="1" customWidth="1"/>
    <col min="2" max="2" width="13.21875" style="29" bestFit="1" customWidth="1"/>
    <col min="3" max="3" width="10.88671875" bestFit="1" customWidth="1"/>
    <col min="4" max="4" width="11.77734375" bestFit="1" customWidth="1"/>
    <col min="5" max="5" width="12.21875" bestFit="1" customWidth="1"/>
    <col min="6" max="6" width="16.5546875" style="29" bestFit="1" customWidth="1"/>
    <col min="7" max="7" width="20" style="29" bestFit="1" customWidth="1"/>
    <col min="8" max="8" width="15.33203125" style="29" bestFit="1" customWidth="1"/>
  </cols>
  <sheetData>
    <row r="1" spans="1:21" x14ac:dyDescent="0.25">
      <c r="A1" s="36" t="s">
        <v>57</v>
      </c>
      <c r="B1" s="37"/>
      <c r="C1" s="37"/>
      <c r="D1" s="37"/>
      <c r="E1" s="37"/>
      <c r="F1" s="37"/>
      <c r="G1" s="37"/>
      <c r="H1" s="37"/>
      <c r="I1" s="37"/>
      <c r="J1" s="37"/>
      <c r="K1" s="37"/>
      <c r="L1" s="37"/>
      <c r="M1" s="37"/>
      <c r="N1" s="37"/>
      <c r="O1" s="37"/>
      <c r="P1" s="37"/>
      <c r="Q1" s="37"/>
      <c r="R1" s="37"/>
      <c r="S1" s="37"/>
      <c r="T1" s="33"/>
      <c r="U1" s="33"/>
    </row>
    <row r="2" spans="1:21" x14ac:dyDescent="0.25">
      <c r="A2" s="37"/>
      <c r="B2" s="37"/>
      <c r="C2" s="37"/>
      <c r="D2" s="37"/>
      <c r="E2" s="37"/>
      <c r="F2" s="37"/>
      <c r="G2" s="37"/>
      <c r="H2" s="37"/>
      <c r="I2" s="37"/>
      <c r="J2" s="37"/>
      <c r="K2" s="37"/>
      <c r="L2" s="37"/>
      <c r="M2" s="37"/>
      <c r="N2" s="37"/>
      <c r="O2" s="37"/>
      <c r="P2" s="37"/>
      <c r="Q2" s="37"/>
      <c r="R2" s="37"/>
      <c r="S2" s="37"/>
      <c r="T2" s="33"/>
      <c r="U2" s="33"/>
    </row>
    <row r="3" spans="1:21" x14ac:dyDescent="0.25">
      <c r="A3" s="37"/>
      <c r="B3" s="37"/>
      <c r="C3" s="37"/>
      <c r="D3" s="37"/>
      <c r="E3" s="37"/>
      <c r="F3" s="37"/>
      <c r="G3" s="37"/>
      <c r="H3" s="37"/>
      <c r="I3" s="37"/>
      <c r="J3" s="37"/>
      <c r="K3" s="37"/>
      <c r="L3" s="37"/>
      <c r="M3" s="37"/>
      <c r="N3" s="37"/>
      <c r="O3" s="37"/>
      <c r="P3" s="37"/>
      <c r="Q3" s="37"/>
      <c r="R3" s="37"/>
      <c r="S3" s="37"/>
      <c r="T3" s="33"/>
      <c r="U3" s="33"/>
    </row>
    <row r="4" spans="1:21" x14ac:dyDescent="0.25">
      <c r="A4" s="37"/>
      <c r="B4" s="37"/>
      <c r="C4" s="37"/>
      <c r="D4" s="37"/>
      <c r="E4" s="37"/>
      <c r="F4" s="37"/>
      <c r="G4" s="37"/>
      <c r="H4" s="37"/>
      <c r="I4" s="37"/>
      <c r="J4" s="37"/>
      <c r="K4" s="37"/>
      <c r="L4" s="37"/>
      <c r="M4" s="37"/>
      <c r="N4" s="37"/>
      <c r="O4" s="37"/>
      <c r="P4" s="37"/>
      <c r="Q4" s="37"/>
      <c r="R4" s="37"/>
      <c r="S4" s="37"/>
      <c r="T4" s="33"/>
      <c r="U4" s="33"/>
    </row>
    <row r="6" spans="1:21" x14ac:dyDescent="0.25">
      <c r="A6" s="10" t="s">
        <v>5</v>
      </c>
      <c r="B6" s="29" t="s">
        <v>56</v>
      </c>
      <c r="C6" t="s">
        <v>49</v>
      </c>
      <c r="D6" t="s">
        <v>44</v>
      </c>
      <c r="E6" t="s">
        <v>43</v>
      </c>
      <c r="F6" s="29" t="s">
        <v>26</v>
      </c>
      <c r="G6" s="29" t="s">
        <v>27</v>
      </c>
      <c r="H6" s="29" t="s">
        <v>55</v>
      </c>
    </row>
    <row r="7" spans="1:21" x14ac:dyDescent="0.25">
      <c r="A7" s="11">
        <v>0</v>
      </c>
      <c r="B7" s="29">
        <v>17.418604651162791</v>
      </c>
      <c r="C7" s="28">
        <v>749</v>
      </c>
      <c r="D7" s="28">
        <v>2</v>
      </c>
      <c r="E7" s="28">
        <v>39</v>
      </c>
      <c r="F7" s="29">
        <v>2.558139534883721</v>
      </c>
      <c r="G7" s="29">
        <v>14.86046511627907</v>
      </c>
      <c r="H7" s="29">
        <v>0.19069767441860466</v>
      </c>
    </row>
    <row r="8" spans="1:21" x14ac:dyDescent="0.25">
      <c r="A8" s="11">
        <v>1</v>
      </c>
      <c r="B8" s="29">
        <v>14.813953488372093</v>
      </c>
      <c r="C8" s="28">
        <v>637</v>
      </c>
      <c r="D8" s="28">
        <v>3</v>
      </c>
      <c r="E8" s="28">
        <v>44</v>
      </c>
      <c r="F8" s="29">
        <v>2.2790697674418605</v>
      </c>
      <c r="G8" s="29">
        <v>12.534883720930232</v>
      </c>
      <c r="H8" s="29">
        <v>0.1841860465116279</v>
      </c>
    </row>
    <row r="9" spans="1:21" x14ac:dyDescent="0.25">
      <c r="A9" s="11">
        <v>2</v>
      </c>
      <c r="B9" s="29">
        <v>12.390243902439025</v>
      </c>
      <c r="C9" s="28">
        <v>508</v>
      </c>
      <c r="D9" s="28">
        <v>1</v>
      </c>
      <c r="E9" s="28">
        <v>20</v>
      </c>
      <c r="F9" s="29">
        <v>2.1219512195121952</v>
      </c>
      <c r="G9" s="29">
        <v>10.268292682926829</v>
      </c>
      <c r="H9" s="29">
        <v>0.1824390243902439</v>
      </c>
    </row>
    <row r="10" spans="1:21" x14ac:dyDescent="0.25">
      <c r="A10" s="11">
        <v>3</v>
      </c>
      <c r="B10" s="29">
        <v>10.67741935483871</v>
      </c>
      <c r="C10" s="28">
        <v>331</v>
      </c>
      <c r="D10" s="28">
        <v>1</v>
      </c>
      <c r="E10" s="28">
        <v>16</v>
      </c>
      <c r="F10" s="29">
        <v>2.064516129032258</v>
      </c>
      <c r="G10" s="29">
        <v>8.612903225806452</v>
      </c>
      <c r="H10" s="29">
        <v>0.18193548387096778</v>
      </c>
    </row>
    <row r="11" spans="1:21" x14ac:dyDescent="0.25">
      <c r="A11" s="11">
        <v>4</v>
      </c>
      <c r="B11" s="29">
        <v>10.96875</v>
      </c>
      <c r="C11" s="28">
        <v>351</v>
      </c>
      <c r="D11" s="28">
        <v>1</v>
      </c>
      <c r="E11" s="28">
        <v>16</v>
      </c>
      <c r="F11" s="29">
        <v>1.9375</v>
      </c>
      <c r="G11" s="29">
        <v>9.03125</v>
      </c>
      <c r="H11" s="29">
        <v>0.18812500000000001</v>
      </c>
    </row>
    <row r="12" spans="1:21" x14ac:dyDescent="0.25">
      <c r="A12" s="11">
        <v>5</v>
      </c>
      <c r="B12" s="29">
        <v>11.615384615384615</v>
      </c>
      <c r="C12" s="28">
        <v>453</v>
      </c>
      <c r="D12" s="28">
        <v>1</v>
      </c>
      <c r="E12" s="28">
        <v>16</v>
      </c>
      <c r="F12" s="29">
        <v>1.8717948717948718</v>
      </c>
      <c r="G12" s="29">
        <v>9.7435897435897427</v>
      </c>
      <c r="H12" s="29">
        <v>0.16564102564102567</v>
      </c>
    </row>
    <row r="13" spans="1:21" x14ac:dyDescent="0.25">
      <c r="A13" s="11">
        <v>6</v>
      </c>
      <c r="B13" s="29">
        <v>18.142857142857142</v>
      </c>
      <c r="C13" s="28">
        <v>762</v>
      </c>
      <c r="D13" s="28">
        <v>1</v>
      </c>
      <c r="E13" s="28">
        <v>43</v>
      </c>
      <c r="F13" s="29">
        <v>2.0714285714285716</v>
      </c>
      <c r="G13" s="29">
        <v>16.071428571428573</v>
      </c>
      <c r="H13" s="29">
        <v>0.16714285714285715</v>
      </c>
    </row>
    <row r="14" spans="1:21" x14ac:dyDescent="0.25">
      <c r="A14" s="11">
        <v>7</v>
      </c>
      <c r="B14" s="29">
        <v>31.674418604651162</v>
      </c>
      <c r="C14" s="28">
        <v>1362</v>
      </c>
      <c r="D14" s="28">
        <v>3</v>
      </c>
      <c r="E14" s="28">
        <v>100</v>
      </c>
      <c r="F14" s="29">
        <v>2.3255813953488373</v>
      </c>
      <c r="G14" s="29">
        <v>29.348837209302324</v>
      </c>
      <c r="H14" s="29">
        <v>0.16418604651162791</v>
      </c>
    </row>
    <row r="15" spans="1:21" x14ac:dyDescent="0.25">
      <c r="A15" s="11">
        <v>8</v>
      </c>
      <c r="B15" s="29">
        <v>59.19047619047619</v>
      </c>
      <c r="C15" s="28">
        <v>2486</v>
      </c>
      <c r="D15" s="28">
        <v>10</v>
      </c>
      <c r="E15" s="28">
        <v>243</v>
      </c>
      <c r="F15" s="29">
        <v>2.9761904761904763</v>
      </c>
      <c r="G15" s="29">
        <v>56.214285714285715</v>
      </c>
      <c r="H15" s="29">
        <v>0.16523809523809524</v>
      </c>
    </row>
    <row r="16" spans="1:21" x14ac:dyDescent="0.25">
      <c r="A16" s="11">
        <v>9</v>
      </c>
      <c r="B16" s="29">
        <v>45.047619047619051</v>
      </c>
      <c r="C16" s="28">
        <v>1892</v>
      </c>
      <c r="D16" s="28">
        <v>16</v>
      </c>
      <c r="E16" s="28">
        <v>140</v>
      </c>
      <c r="F16" s="29">
        <v>3.5</v>
      </c>
      <c r="G16" s="29">
        <v>41.547619047619051</v>
      </c>
      <c r="H16" s="29">
        <v>0.180952380952381</v>
      </c>
    </row>
    <row r="17" spans="1:15" x14ac:dyDescent="0.25">
      <c r="A17" s="11">
        <v>10</v>
      </c>
      <c r="B17" s="29">
        <v>32.571428571428569</v>
      </c>
      <c r="C17" s="28">
        <v>1368</v>
      </c>
      <c r="D17" s="28">
        <v>16</v>
      </c>
      <c r="E17" s="28">
        <v>105</v>
      </c>
      <c r="F17" s="29">
        <v>4.1190476190476186</v>
      </c>
      <c r="G17" s="29">
        <v>28.452380952380953</v>
      </c>
      <c r="H17" s="29">
        <v>0.19619047619047617</v>
      </c>
    </row>
    <row r="18" spans="1:15" x14ac:dyDescent="0.25">
      <c r="A18" s="11">
        <v>11</v>
      </c>
      <c r="B18" s="29">
        <v>34.642857142857146</v>
      </c>
      <c r="C18" s="28">
        <v>1455</v>
      </c>
      <c r="D18" s="28">
        <v>16</v>
      </c>
      <c r="E18" s="28">
        <v>117</v>
      </c>
      <c r="F18" s="29">
        <v>5.3095238095238093</v>
      </c>
      <c r="G18" s="29">
        <v>29.333333333333332</v>
      </c>
      <c r="H18" s="29">
        <v>0.21428571428571433</v>
      </c>
    </row>
    <row r="19" spans="1:15" x14ac:dyDescent="0.25">
      <c r="A19" s="11">
        <v>12</v>
      </c>
      <c r="B19" s="29">
        <v>41.372093023255815</v>
      </c>
      <c r="C19" s="28">
        <v>1779</v>
      </c>
      <c r="D19" s="28">
        <v>16</v>
      </c>
      <c r="E19" s="28">
        <v>174</v>
      </c>
      <c r="F19" s="29">
        <v>6.7674418604651159</v>
      </c>
      <c r="G19" s="29">
        <v>34.604651162790695</v>
      </c>
      <c r="H19" s="29">
        <v>0.23023255813953494</v>
      </c>
    </row>
    <row r="20" spans="1:15" x14ac:dyDescent="0.25">
      <c r="A20" s="11">
        <v>13</v>
      </c>
      <c r="B20" s="29">
        <v>41.697674418604649</v>
      </c>
      <c r="C20" s="28">
        <v>1793</v>
      </c>
      <c r="D20" s="28">
        <v>16</v>
      </c>
      <c r="E20" s="28">
        <v>182</v>
      </c>
      <c r="F20" s="29">
        <v>7.2325581395348841</v>
      </c>
      <c r="G20" s="29">
        <v>34.465116279069768</v>
      </c>
      <c r="H20" s="29">
        <v>0.24232558139534888</v>
      </c>
    </row>
    <row r="21" spans="1:15" x14ac:dyDescent="0.25">
      <c r="A21" s="11">
        <v>14</v>
      </c>
      <c r="B21" s="29">
        <v>41.97674418604651</v>
      </c>
      <c r="C21" s="28">
        <v>1805</v>
      </c>
      <c r="D21" s="28">
        <v>16</v>
      </c>
      <c r="E21" s="28">
        <v>161</v>
      </c>
      <c r="F21" s="29">
        <v>7.0930232558139537</v>
      </c>
      <c r="G21" s="29">
        <v>34.883720930232556</v>
      </c>
      <c r="H21" s="29">
        <v>0.25488372093023254</v>
      </c>
    </row>
    <row r="22" spans="1:15" x14ac:dyDescent="0.25">
      <c r="A22" s="11">
        <v>15</v>
      </c>
      <c r="B22" s="29">
        <v>54.660550458715598</v>
      </c>
      <c r="C22" s="28">
        <v>35748</v>
      </c>
      <c r="D22" s="28">
        <v>0</v>
      </c>
      <c r="E22" s="28">
        <v>249</v>
      </c>
      <c r="F22" s="29">
        <v>4.6957186544342511</v>
      </c>
      <c r="G22" s="29">
        <v>49.964831804281346</v>
      </c>
      <c r="H22" s="29">
        <v>0.20373088685015475</v>
      </c>
    </row>
    <row r="23" spans="1:15" x14ac:dyDescent="0.25">
      <c r="A23" s="11">
        <v>16</v>
      </c>
      <c r="B23" s="29">
        <v>49.090909090909093</v>
      </c>
      <c r="C23" s="28">
        <v>2160</v>
      </c>
      <c r="D23" s="28">
        <v>16</v>
      </c>
      <c r="E23" s="28">
        <v>157</v>
      </c>
      <c r="F23" s="29">
        <v>7.2954545454545459</v>
      </c>
      <c r="G23" s="29">
        <v>41.795454545454547</v>
      </c>
      <c r="H23" s="29">
        <v>0.25409090909090915</v>
      </c>
    </row>
    <row r="24" spans="1:15" x14ac:dyDescent="0.25">
      <c r="A24" s="11">
        <v>17</v>
      </c>
      <c r="B24" s="29">
        <v>69.340909090909093</v>
      </c>
      <c r="C24" s="28">
        <v>3051</v>
      </c>
      <c r="D24" s="28">
        <v>16</v>
      </c>
      <c r="E24" s="28">
        <v>216</v>
      </c>
      <c r="F24" s="29">
        <v>6.0909090909090908</v>
      </c>
      <c r="G24" s="29">
        <v>63.25</v>
      </c>
      <c r="H24" s="29">
        <v>0.24318181818181819</v>
      </c>
    </row>
    <row r="25" spans="1:15" x14ac:dyDescent="0.25">
      <c r="A25" s="11">
        <v>18</v>
      </c>
      <c r="B25" s="29">
        <v>60.860465116279073</v>
      </c>
      <c r="C25" s="28">
        <v>2617</v>
      </c>
      <c r="D25" s="28">
        <v>16</v>
      </c>
      <c r="E25" s="28">
        <v>182</v>
      </c>
      <c r="F25" s="29">
        <v>3.9767441860465116</v>
      </c>
      <c r="G25" s="29">
        <v>56.883720930232556</v>
      </c>
      <c r="H25" s="29">
        <v>0.23209302325581396</v>
      </c>
    </row>
    <row r="26" spans="1:15" x14ac:dyDescent="0.25">
      <c r="A26" s="11">
        <v>19</v>
      </c>
      <c r="B26" s="29">
        <v>43.348837209302324</v>
      </c>
      <c r="C26" s="28">
        <v>1864</v>
      </c>
      <c r="D26" s="28">
        <v>16</v>
      </c>
      <c r="E26" s="28">
        <v>128</v>
      </c>
      <c r="F26" s="29">
        <v>3.441860465116279</v>
      </c>
      <c r="G26" s="29">
        <v>39.906976744186046</v>
      </c>
      <c r="H26" s="29">
        <v>0.22232558139534889</v>
      </c>
      <c r="O26" t="s">
        <v>66</v>
      </c>
    </row>
    <row r="27" spans="1:15" x14ac:dyDescent="0.25">
      <c r="A27" s="11">
        <v>20</v>
      </c>
      <c r="B27" s="29">
        <v>35.604651162790695</v>
      </c>
      <c r="C27" s="28">
        <v>1531</v>
      </c>
      <c r="D27" s="28">
        <v>16</v>
      </c>
      <c r="E27" s="28">
        <v>109</v>
      </c>
      <c r="F27" s="29">
        <v>3.1627906976744184</v>
      </c>
      <c r="G27" s="29">
        <v>32.441860465116278</v>
      </c>
      <c r="H27" s="29">
        <v>0.21069767441860465</v>
      </c>
    </row>
    <row r="28" spans="1:15" x14ac:dyDescent="0.25">
      <c r="A28" s="11">
        <v>21</v>
      </c>
      <c r="B28" s="29">
        <v>31.093023255813954</v>
      </c>
      <c r="C28" s="28">
        <v>1337</v>
      </c>
      <c r="D28" s="28">
        <v>16</v>
      </c>
      <c r="E28" s="28">
        <v>83</v>
      </c>
      <c r="F28" s="29">
        <v>2.9534883720930232</v>
      </c>
      <c r="G28" s="29">
        <v>28.13953488372093</v>
      </c>
      <c r="H28" s="29">
        <v>0.20232558139534881</v>
      </c>
    </row>
    <row r="29" spans="1:15" x14ac:dyDescent="0.25">
      <c r="A29" s="11">
        <v>22</v>
      </c>
      <c r="B29" s="29">
        <v>25.255813953488371</v>
      </c>
      <c r="C29" s="28">
        <v>1086</v>
      </c>
      <c r="D29" s="28">
        <v>16</v>
      </c>
      <c r="E29" s="28">
        <v>62</v>
      </c>
      <c r="F29" s="29">
        <v>2.9069767441860463</v>
      </c>
      <c r="G29" s="29">
        <v>22.348837209302324</v>
      </c>
      <c r="H29" s="29">
        <v>0.19627906976744186</v>
      </c>
    </row>
    <row r="30" spans="1:15" x14ac:dyDescent="0.25">
      <c r="A30" s="11">
        <v>23</v>
      </c>
      <c r="B30" s="29">
        <v>21.837209302325583</v>
      </c>
      <c r="C30" s="28">
        <v>939</v>
      </c>
      <c r="D30" s="28">
        <v>12</v>
      </c>
      <c r="E30" s="28">
        <v>59</v>
      </c>
      <c r="F30" s="29">
        <v>2.9767441860465116</v>
      </c>
      <c r="G30" s="29">
        <v>18.86046511627907</v>
      </c>
      <c r="H30" s="29">
        <v>0.19488372093023257</v>
      </c>
    </row>
    <row r="31" spans="1:15" x14ac:dyDescent="0.25">
      <c r="A31" s="11" t="s">
        <v>18</v>
      </c>
      <c r="B31" s="29">
        <v>42.249534450651772</v>
      </c>
      <c r="C31" s="28">
        <v>68064</v>
      </c>
      <c r="D31" s="28">
        <v>0</v>
      </c>
      <c r="E31" s="28">
        <v>249</v>
      </c>
      <c r="F31" s="29">
        <v>4.1905648665425206</v>
      </c>
      <c r="G31" s="29">
        <v>38.058969584109249</v>
      </c>
      <c r="H31" s="29">
        <v>0.20366232153941316</v>
      </c>
    </row>
  </sheetData>
  <mergeCells count="1">
    <mergeCell ref="A1:S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4698-5908-4C17-ABA4-04F1640CC8F9}">
  <dimension ref="A1:M10"/>
  <sheetViews>
    <sheetView workbookViewId="0">
      <selection activeCell="C7" sqref="C7"/>
    </sheetView>
  </sheetViews>
  <sheetFormatPr defaultRowHeight="13.2" x14ac:dyDescent="0.25"/>
  <cols>
    <col min="1" max="1" width="11.33203125" bestFit="1" customWidth="1"/>
    <col min="2" max="2" width="13.77734375" bestFit="1" customWidth="1"/>
    <col min="3" max="3" width="10.88671875" bestFit="1" customWidth="1"/>
    <col min="4" max="4" width="16.5546875" bestFit="1" customWidth="1"/>
    <col min="5" max="5" width="20" bestFit="1" customWidth="1"/>
  </cols>
  <sheetData>
    <row r="1" spans="1:13" x14ac:dyDescent="0.25">
      <c r="A1" s="26" t="s">
        <v>29</v>
      </c>
      <c r="B1" s="26"/>
      <c r="C1" s="26"/>
      <c r="D1" s="26"/>
      <c r="E1" s="26"/>
      <c r="F1" s="26"/>
      <c r="G1" s="26"/>
      <c r="H1" s="26"/>
      <c r="I1" s="26"/>
      <c r="J1" s="26"/>
      <c r="K1" s="26"/>
      <c r="L1" s="26"/>
      <c r="M1" s="26"/>
    </row>
    <row r="2" spans="1:13" x14ac:dyDescent="0.25">
      <c r="A2" s="26"/>
      <c r="B2" s="26"/>
      <c r="C2" s="26"/>
      <c r="D2" s="26"/>
      <c r="E2" s="26"/>
      <c r="F2" s="26"/>
      <c r="G2" s="26"/>
      <c r="H2" s="26"/>
      <c r="I2" s="26"/>
      <c r="J2" s="26"/>
      <c r="K2" s="26"/>
      <c r="L2" s="26"/>
      <c r="M2" s="26"/>
    </row>
    <row r="3" spans="1:13" x14ac:dyDescent="0.25">
      <c r="A3" s="26"/>
      <c r="B3" s="26"/>
      <c r="C3" s="26"/>
      <c r="D3" s="26"/>
      <c r="E3" s="26"/>
      <c r="F3" s="26"/>
      <c r="G3" s="26"/>
      <c r="H3" s="26"/>
      <c r="I3" s="26"/>
      <c r="J3" s="26"/>
      <c r="K3" s="26"/>
      <c r="L3" s="26"/>
      <c r="M3" s="26"/>
    </row>
    <row r="4" spans="1:13" x14ac:dyDescent="0.25">
      <c r="A4" s="26"/>
      <c r="B4" s="26"/>
      <c r="C4" s="26"/>
      <c r="D4" s="26"/>
      <c r="E4" s="26"/>
      <c r="F4" s="26"/>
      <c r="G4" s="26"/>
      <c r="H4" s="26"/>
      <c r="I4" s="26"/>
      <c r="J4" s="26"/>
      <c r="K4" s="26"/>
      <c r="L4" s="26"/>
      <c r="M4" s="26"/>
    </row>
    <row r="7" spans="1:13" x14ac:dyDescent="0.25">
      <c r="A7" s="10" t="s">
        <v>28</v>
      </c>
      <c r="B7" t="s">
        <v>67</v>
      </c>
      <c r="C7" t="s">
        <v>49</v>
      </c>
      <c r="D7" t="s">
        <v>26</v>
      </c>
      <c r="E7" t="s">
        <v>27</v>
      </c>
    </row>
    <row r="8" spans="1:13" x14ac:dyDescent="0.25">
      <c r="A8" s="11" t="s">
        <v>23</v>
      </c>
      <c r="B8" s="28">
        <v>33.995689655172413</v>
      </c>
      <c r="C8" s="28">
        <v>23661</v>
      </c>
      <c r="D8" s="28">
        <v>3.8721264367816093</v>
      </c>
      <c r="E8" s="28">
        <v>30.123563218390803</v>
      </c>
    </row>
    <row r="9" spans="1:13" x14ac:dyDescent="0.25">
      <c r="A9" s="11" t="s">
        <v>24</v>
      </c>
      <c r="B9" s="28">
        <v>48.527868852459015</v>
      </c>
      <c r="C9" s="28">
        <v>44403</v>
      </c>
      <c r="D9" s="28">
        <v>4.4327868852459016</v>
      </c>
      <c r="E9" s="28">
        <v>44.095081967213112</v>
      </c>
    </row>
    <row r="10" spans="1:13" x14ac:dyDescent="0.25">
      <c r="A10" s="11" t="s">
        <v>18</v>
      </c>
      <c r="B10" s="28">
        <v>42.249534450651772</v>
      </c>
      <c r="C10" s="28">
        <v>68064</v>
      </c>
      <c r="D10" s="28">
        <v>4.1905648665425206</v>
      </c>
      <c r="E10" s="28">
        <v>38.058969584109249</v>
      </c>
    </row>
  </sheetData>
  <mergeCells count="1">
    <mergeCell ref="A1:M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ACD96-7B90-43F2-9D1F-65647697DD6B}">
  <dimension ref="A1:N13"/>
  <sheetViews>
    <sheetView workbookViewId="0">
      <selection activeCell="D7" sqref="D7"/>
    </sheetView>
  </sheetViews>
  <sheetFormatPr defaultRowHeight="13.2" x14ac:dyDescent="0.25"/>
  <cols>
    <col min="1" max="1" width="11.33203125" bestFit="1" customWidth="1"/>
    <col min="2" max="2" width="16" bestFit="1" customWidth="1"/>
    <col min="3" max="3" width="20" bestFit="1" customWidth="1"/>
    <col min="4" max="4" width="10.33203125" bestFit="1" customWidth="1"/>
    <col min="5" max="5" width="16.5546875" bestFit="1" customWidth="1"/>
  </cols>
  <sheetData>
    <row r="1" spans="1:14" x14ac:dyDescent="0.25">
      <c r="A1" s="26" t="s">
        <v>64</v>
      </c>
      <c r="B1" s="26"/>
      <c r="C1" s="26"/>
      <c r="D1" s="26"/>
      <c r="E1" s="26"/>
      <c r="F1" s="26"/>
      <c r="G1" s="26"/>
      <c r="H1" s="26"/>
      <c r="I1" s="26"/>
      <c r="J1" s="26"/>
      <c r="K1" s="26"/>
      <c r="L1" s="26"/>
      <c r="M1" s="26"/>
      <c r="N1" s="26"/>
    </row>
    <row r="2" spans="1:14" x14ac:dyDescent="0.25">
      <c r="A2" s="26"/>
      <c r="B2" s="26"/>
      <c r="C2" s="26"/>
      <c r="D2" s="26"/>
      <c r="E2" s="26"/>
      <c r="F2" s="26"/>
      <c r="G2" s="26"/>
      <c r="H2" s="26"/>
      <c r="I2" s="26"/>
      <c r="J2" s="26"/>
      <c r="K2" s="26"/>
      <c r="L2" s="26"/>
      <c r="M2" s="26"/>
      <c r="N2" s="26"/>
    </row>
    <row r="3" spans="1:14" x14ac:dyDescent="0.25">
      <c r="A3" s="26"/>
      <c r="B3" s="26"/>
      <c r="C3" s="26"/>
      <c r="D3" s="26"/>
      <c r="E3" s="26"/>
      <c r="F3" s="26"/>
      <c r="G3" s="26"/>
      <c r="H3" s="26"/>
      <c r="I3" s="26"/>
      <c r="J3" s="26"/>
      <c r="K3" s="26"/>
      <c r="L3" s="26"/>
      <c r="M3" s="26"/>
      <c r="N3" s="26"/>
    </row>
    <row r="4" spans="1:14" x14ac:dyDescent="0.25">
      <c r="A4" s="26"/>
      <c r="B4" s="26"/>
      <c r="C4" s="26"/>
      <c r="D4" s="26"/>
      <c r="E4" s="26"/>
      <c r="F4" s="26"/>
      <c r="G4" s="26"/>
      <c r="H4" s="26"/>
      <c r="I4" s="26"/>
      <c r="J4" s="26"/>
      <c r="K4" s="26"/>
      <c r="L4" s="26"/>
      <c r="M4" s="26"/>
      <c r="N4" s="26"/>
    </row>
    <row r="7" spans="1:14" x14ac:dyDescent="0.25">
      <c r="A7" s="10" t="s">
        <v>63</v>
      </c>
      <c r="B7" t="s">
        <v>42</v>
      </c>
      <c r="C7" t="s">
        <v>27</v>
      </c>
      <c r="D7" t="s">
        <v>65</v>
      </c>
      <c r="E7" t="s">
        <v>26</v>
      </c>
    </row>
    <row r="8" spans="1:14" x14ac:dyDescent="0.25">
      <c r="A8" s="11" t="s">
        <v>32</v>
      </c>
      <c r="B8" s="28">
        <v>52.522349936143037</v>
      </c>
      <c r="C8" s="28">
        <v>47.441890166028095</v>
      </c>
      <c r="D8" s="28">
        <v>41125</v>
      </c>
      <c r="E8" s="28">
        <v>5.0804597701149428</v>
      </c>
    </row>
    <row r="9" spans="1:14" x14ac:dyDescent="0.25">
      <c r="A9" s="11" t="s">
        <v>33</v>
      </c>
      <c r="B9" s="28">
        <v>51.718894009216591</v>
      </c>
      <c r="C9" s="28">
        <v>46.907834101382491</v>
      </c>
      <c r="D9" s="28">
        <v>11223</v>
      </c>
      <c r="E9" s="28">
        <v>4.8110599078341014</v>
      </c>
    </row>
    <row r="10" spans="1:14" x14ac:dyDescent="0.25">
      <c r="A10" s="11" t="s">
        <v>34</v>
      </c>
      <c r="B10" s="28">
        <v>25.630705394190873</v>
      </c>
      <c r="C10" s="28">
        <v>22.831950207468878</v>
      </c>
      <c r="D10" s="28">
        <v>12354</v>
      </c>
      <c r="E10" s="28">
        <v>2.7987551867219915</v>
      </c>
    </row>
    <row r="11" spans="1:14" x14ac:dyDescent="0.25">
      <c r="A11" s="11" t="s">
        <v>59</v>
      </c>
      <c r="B11" s="28">
        <v>26.062015503875969</v>
      </c>
      <c r="C11" s="28">
        <v>23.11627906976744</v>
      </c>
      <c r="D11" s="28">
        <v>3362</v>
      </c>
      <c r="E11" s="28">
        <v>2.945736434108527</v>
      </c>
    </row>
    <row r="12" spans="1:14" x14ac:dyDescent="0.25">
      <c r="A12" s="11" t="s">
        <v>30</v>
      </c>
      <c r="B12" s="28"/>
      <c r="C12" s="28"/>
      <c r="D12" s="28"/>
      <c r="E12" s="28"/>
    </row>
    <row r="13" spans="1:14" x14ac:dyDescent="0.25">
      <c r="A13" s="11" t="s">
        <v>18</v>
      </c>
      <c r="B13" s="28">
        <v>42.249534450651772</v>
      </c>
      <c r="C13" s="28">
        <v>38.058969584109249</v>
      </c>
      <c r="D13" s="28">
        <v>68064</v>
      </c>
      <c r="E13" s="28">
        <v>4.1905648665425206</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1E5D-F6FA-4376-A611-E43E03A1270D}">
  <dimension ref="A1:N30"/>
  <sheetViews>
    <sheetView workbookViewId="0">
      <selection activeCell="L27" sqref="L27"/>
    </sheetView>
  </sheetViews>
  <sheetFormatPr defaultRowHeight="13.2" x14ac:dyDescent="0.25"/>
  <cols>
    <col min="1" max="1" width="14.33203125" bestFit="1" customWidth="1"/>
    <col min="2" max="2" width="16.5546875" style="29" bestFit="1" customWidth="1"/>
    <col min="3" max="3" width="20" style="29" bestFit="1" customWidth="1"/>
  </cols>
  <sheetData>
    <row r="1" spans="1:14" x14ac:dyDescent="0.25">
      <c r="A1" s="36" t="s">
        <v>61</v>
      </c>
      <c r="B1" s="36"/>
      <c r="C1" s="36"/>
      <c r="D1" s="36"/>
      <c r="E1" s="36"/>
      <c r="F1" s="36"/>
      <c r="G1" s="36"/>
      <c r="H1" s="36"/>
      <c r="I1" s="36"/>
      <c r="J1" s="36"/>
      <c r="K1" s="36"/>
      <c r="L1" s="36"/>
      <c r="M1" s="36"/>
      <c r="N1" s="36"/>
    </row>
    <row r="2" spans="1:14" x14ac:dyDescent="0.25">
      <c r="A2" s="36"/>
      <c r="B2" s="36"/>
      <c r="C2" s="36"/>
      <c r="D2" s="36"/>
      <c r="E2" s="36"/>
      <c r="F2" s="36"/>
      <c r="G2" s="36"/>
      <c r="H2" s="36"/>
      <c r="I2" s="36"/>
      <c r="J2" s="36"/>
      <c r="K2" s="36"/>
      <c r="L2" s="36"/>
      <c r="M2" s="36"/>
      <c r="N2" s="36"/>
    </row>
    <row r="3" spans="1:14" x14ac:dyDescent="0.25">
      <c r="A3" s="36"/>
      <c r="B3" s="36"/>
      <c r="C3" s="36"/>
      <c r="D3" s="36"/>
      <c r="E3" s="36"/>
      <c r="F3" s="36"/>
      <c r="G3" s="36"/>
      <c r="H3" s="36"/>
      <c r="I3" s="36"/>
      <c r="J3" s="36"/>
      <c r="K3" s="36"/>
      <c r="L3" s="36"/>
      <c r="M3" s="36"/>
      <c r="N3" s="36"/>
    </row>
    <row r="4" spans="1:14" x14ac:dyDescent="0.25">
      <c r="A4" s="36"/>
      <c r="B4" s="36"/>
      <c r="C4" s="36"/>
      <c r="D4" s="36"/>
      <c r="E4" s="36"/>
      <c r="F4" s="36"/>
      <c r="G4" s="36"/>
      <c r="H4" s="36"/>
      <c r="I4" s="36"/>
      <c r="J4" s="36"/>
      <c r="K4" s="36"/>
      <c r="L4" s="36"/>
      <c r="M4" s="36"/>
      <c r="N4" s="36"/>
    </row>
    <row r="6" spans="1:14" x14ac:dyDescent="0.25">
      <c r="A6" s="10" t="s">
        <v>60</v>
      </c>
      <c r="B6" s="29" t="s">
        <v>26</v>
      </c>
      <c r="C6" s="29" t="s">
        <v>27</v>
      </c>
    </row>
    <row r="7" spans="1:14" x14ac:dyDescent="0.25">
      <c r="A7" s="11">
        <v>0.02</v>
      </c>
      <c r="B7" s="29">
        <v>3</v>
      </c>
      <c r="C7" s="29">
        <v>13</v>
      </c>
    </row>
    <row r="8" spans="1:14" x14ac:dyDescent="0.25">
      <c r="A8" s="11">
        <v>0.04</v>
      </c>
      <c r="B8" s="29">
        <v>3</v>
      </c>
      <c r="C8" s="29">
        <v>13</v>
      </c>
    </row>
    <row r="9" spans="1:14" x14ac:dyDescent="0.25">
      <c r="A9" s="11">
        <v>0.06</v>
      </c>
      <c r="B9" s="29">
        <v>2.4666666666666668</v>
      </c>
      <c r="C9" s="29">
        <v>19.333333333333332</v>
      </c>
    </row>
    <row r="10" spans="1:14" x14ac:dyDescent="0.25">
      <c r="A10" s="11">
        <v>0.08</v>
      </c>
      <c r="B10" s="29">
        <v>2.4166666666666665</v>
      </c>
      <c r="C10" s="29">
        <v>16.333333333333332</v>
      </c>
    </row>
    <row r="11" spans="1:14" x14ac:dyDescent="0.25">
      <c r="A11" s="11">
        <v>0.1</v>
      </c>
      <c r="B11" s="29">
        <v>2.5</v>
      </c>
      <c r="C11" s="29">
        <v>32.375</v>
      </c>
    </row>
    <row r="12" spans="1:14" x14ac:dyDescent="0.25">
      <c r="A12" s="11">
        <v>0.12</v>
      </c>
      <c r="B12" s="29">
        <v>2.6136363636363638</v>
      </c>
      <c r="C12" s="29">
        <v>21.704545454545453</v>
      </c>
    </row>
    <row r="13" spans="1:14" x14ac:dyDescent="0.25">
      <c r="A13" s="11">
        <v>0.14000000000000001</v>
      </c>
      <c r="B13" s="29">
        <v>2.50561797752809</v>
      </c>
      <c r="C13" s="29">
        <v>24.943820224719101</v>
      </c>
    </row>
    <row r="14" spans="1:14" x14ac:dyDescent="0.25">
      <c r="A14" s="11">
        <v>0.16</v>
      </c>
      <c r="B14" s="29">
        <v>2.6384615384615384</v>
      </c>
      <c r="C14" s="29">
        <v>29.53846153846154</v>
      </c>
    </row>
    <row r="15" spans="1:14" x14ac:dyDescent="0.25">
      <c r="A15" s="11">
        <v>0.18</v>
      </c>
      <c r="B15" s="29">
        <v>2.962025316455696</v>
      </c>
      <c r="C15" s="29">
        <v>26.481012658227847</v>
      </c>
    </row>
    <row r="16" spans="1:14" x14ac:dyDescent="0.25">
      <c r="A16" s="11">
        <v>0.2</v>
      </c>
      <c r="B16" s="29">
        <v>4.2045760430686405</v>
      </c>
      <c r="C16" s="29">
        <v>46.014804845222073</v>
      </c>
    </row>
    <row r="17" spans="1:3" x14ac:dyDescent="0.25">
      <c r="A17" s="11">
        <v>0.22</v>
      </c>
      <c r="B17" s="29">
        <v>3.4338235294117645</v>
      </c>
      <c r="C17" s="29">
        <v>26.816176470588236</v>
      </c>
    </row>
    <row r="18" spans="1:3" x14ac:dyDescent="0.25">
      <c r="A18" s="11">
        <v>0.24</v>
      </c>
      <c r="B18" s="29">
        <v>3.7325581395348837</v>
      </c>
      <c r="C18" s="29">
        <v>41.372093023255815</v>
      </c>
    </row>
    <row r="19" spans="1:3" x14ac:dyDescent="0.25">
      <c r="A19" s="11">
        <v>0.26</v>
      </c>
      <c r="B19" s="29">
        <v>3.2857142857142856</v>
      </c>
      <c r="C19" s="29">
        <v>24.553571428571427</v>
      </c>
    </row>
    <row r="20" spans="1:3" x14ac:dyDescent="0.25">
      <c r="A20" s="11">
        <v>0.28000000000000003</v>
      </c>
      <c r="B20" s="29">
        <v>4.8518518518518521</v>
      </c>
      <c r="C20" s="29">
        <v>40.629629629629626</v>
      </c>
    </row>
    <row r="21" spans="1:3" x14ac:dyDescent="0.25">
      <c r="A21" s="11">
        <v>0.3</v>
      </c>
      <c r="B21" s="29">
        <v>8.7567567567567561</v>
      </c>
      <c r="C21" s="29">
        <v>48.594594594594597</v>
      </c>
    </row>
    <row r="22" spans="1:3" x14ac:dyDescent="0.25">
      <c r="A22" s="11">
        <v>0.32</v>
      </c>
      <c r="B22" s="29">
        <v>6.625</v>
      </c>
      <c r="C22" s="29">
        <v>44.583333333333336</v>
      </c>
    </row>
    <row r="23" spans="1:3" x14ac:dyDescent="0.25">
      <c r="A23" s="11">
        <v>0.34</v>
      </c>
      <c r="B23" s="29">
        <v>20.55</v>
      </c>
      <c r="C23" s="29">
        <v>82.15</v>
      </c>
    </row>
    <row r="24" spans="1:3" x14ac:dyDescent="0.25">
      <c r="A24" s="11">
        <v>0.36</v>
      </c>
      <c r="B24" s="29">
        <v>8.7333333333333325</v>
      </c>
      <c r="C24" s="29">
        <v>45.466666666666669</v>
      </c>
    </row>
    <row r="25" spans="1:3" x14ac:dyDescent="0.25">
      <c r="A25" s="11">
        <v>0.38</v>
      </c>
      <c r="B25" s="29">
        <v>10.111111111111111</v>
      </c>
      <c r="C25" s="29">
        <v>35.333333333333336</v>
      </c>
    </row>
    <row r="26" spans="1:3" x14ac:dyDescent="0.25">
      <c r="A26" s="11">
        <v>0.4</v>
      </c>
      <c r="B26" s="29">
        <v>10.75</v>
      </c>
      <c r="C26" s="29">
        <v>37.4375</v>
      </c>
    </row>
    <row r="27" spans="1:3" x14ac:dyDescent="0.25">
      <c r="A27" s="11">
        <v>0.42</v>
      </c>
      <c r="B27" s="29">
        <v>9.5</v>
      </c>
      <c r="C27" s="29">
        <v>34.875</v>
      </c>
    </row>
    <row r="28" spans="1:3" x14ac:dyDescent="0.25">
      <c r="A28" s="11">
        <v>0.44</v>
      </c>
      <c r="B28" s="29">
        <v>3</v>
      </c>
      <c r="C28" s="29">
        <v>13</v>
      </c>
    </row>
    <row r="29" spans="1:3" x14ac:dyDescent="0.25">
      <c r="A29" s="11">
        <v>0.46</v>
      </c>
      <c r="B29" s="29">
        <v>3</v>
      </c>
      <c r="C29" s="29">
        <v>13</v>
      </c>
    </row>
    <row r="30" spans="1:3" x14ac:dyDescent="0.25">
      <c r="A30" s="11" t="s">
        <v>18</v>
      </c>
      <c r="B30" s="29">
        <v>4.1905648665425206</v>
      </c>
      <c r="C30" s="29">
        <v>38.058969584109249</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DE3D7-60C5-48DB-8A9B-B7D805B7757E}">
  <dimension ref="A1:N13"/>
  <sheetViews>
    <sheetView workbookViewId="0">
      <selection sqref="A1:N4"/>
    </sheetView>
  </sheetViews>
  <sheetFormatPr defaultRowHeight="13.2" x14ac:dyDescent="0.25"/>
  <cols>
    <col min="1" max="1" width="16.21875" bestFit="1" customWidth="1"/>
    <col min="2" max="2" width="16.5546875" bestFit="1" customWidth="1"/>
    <col min="3" max="3" width="11.88671875" bestFit="1" customWidth="1"/>
    <col min="4" max="4" width="16.5546875" bestFit="1" customWidth="1"/>
    <col min="5" max="5" width="20" bestFit="1" customWidth="1"/>
  </cols>
  <sheetData>
    <row r="1" spans="1:14" x14ac:dyDescent="0.25">
      <c r="A1" s="26" t="s">
        <v>41</v>
      </c>
      <c r="B1" s="26"/>
      <c r="C1" s="26"/>
      <c r="D1" s="26"/>
      <c r="E1" s="26"/>
      <c r="F1" s="26"/>
      <c r="G1" s="26"/>
      <c r="H1" s="26"/>
      <c r="I1" s="26"/>
      <c r="J1" s="26"/>
      <c r="K1" s="26"/>
      <c r="L1" s="26"/>
      <c r="M1" s="26"/>
      <c r="N1" s="26"/>
    </row>
    <row r="2" spans="1:14" x14ac:dyDescent="0.25">
      <c r="A2" s="26"/>
      <c r="B2" s="26"/>
      <c r="C2" s="26"/>
      <c r="D2" s="26"/>
      <c r="E2" s="26"/>
      <c r="F2" s="26"/>
      <c r="G2" s="26"/>
      <c r="H2" s="26"/>
      <c r="I2" s="26"/>
      <c r="J2" s="26"/>
      <c r="K2" s="26"/>
      <c r="L2" s="26"/>
      <c r="M2" s="26"/>
      <c r="N2" s="26"/>
    </row>
    <row r="3" spans="1:14" x14ac:dyDescent="0.25">
      <c r="A3" s="26"/>
      <c r="B3" s="26"/>
      <c r="C3" s="26"/>
      <c r="D3" s="26"/>
      <c r="E3" s="26"/>
      <c r="F3" s="26"/>
      <c r="G3" s="26"/>
      <c r="H3" s="26"/>
      <c r="I3" s="26"/>
      <c r="J3" s="26"/>
      <c r="K3" s="26"/>
      <c r="L3" s="26"/>
      <c r="M3" s="26"/>
      <c r="N3" s="26"/>
    </row>
    <row r="4" spans="1:14" x14ac:dyDescent="0.25">
      <c r="A4" s="26"/>
      <c r="B4" s="26"/>
      <c r="C4" s="26"/>
      <c r="D4" s="26"/>
      <c r="E4" s="26"/>
      <c r="F4" s="26"/>
      <c r="G4" s="26"/>
      <c r="H4" s="26"/>
      <c r="I4" s="26"/>
      <c r="J4" s="26"/>
      <c r="K4" s="26"/>
      <c r="L4" s="26"/>
      <c r="M4" s="26"/>
      <c r="N4" s="26"/>
    </row>
    <row r="7" spans="1:14" x14ac:dyDescent="0.25">
      <c r="A7" s="10" t="s">
        <v>35</v>
      </c>
      <c r="B7" t="s">
        <v>39</v>
      </c>
      <c r="C7" t="s">
        <v>40</v>
      </c>
      <c r="D7" t="s">
        <v>26</v>
      </c>
      <c r="E7" t="s">
        <v>27</v>
      </c>
    </row>
    <row r="8" spans="1:14" x14ac:dyDescent="0.25">
      <c r="A8" s="11" t="s">
        <v>36</v>
      </c>
      <c r="B8" s="28">
        <v>35.128712871287128</v>
      </c>
      <c r="C8" s="28">
        <v>21288</v>
      </c>
      <c r="D8" s="28">
        <v>4.4092409240924093</v>
      </c>
      <c r="E8" s="28">
        <v>30.71947194719472</v>
      </c>
    </row>
    <row r="9" spans="1:14" x14ac:dyDescent="0.25">
      <c r="A9" s="11" t="s">
        <v>62</v>
      </c>
      <c r="B9" s="28">
        <v>16</v>
      </c>
      <c r="C9" s="28">
        <v>16</v>
      </c>
      <c r="D9" s="28">
        <v>3</v>
      </c>
      <c r="E9" s="28">
        <v>13</v>
      </c>
    </row>
    <row r="10" spans="1:14" x14ac:dyDescent="0.25">
      <c r="A10" s="11" t="s">
        <v>37</v>
      </c>
      <c r="B10" s="28">
        <v>24.738095238095237</v>
      </c>
      <c r="C10" s="28">
        <v>2078</v>
      </c>
      <c r="D10" s="28">
        <v>2.5119047619047619</v>
      </c>
      <c r="E10" s="28">
        <v>22.226190476190474</v>
      </c>
    </row>
    <row r="11" spans="1:14" x14ac:dyDescent="0.25">
      <c r="A11" s="11" t="s">
        <v>38</v>
      </c>
      <c r="B11" s="28">
        <v>48.567391304347829</v>
      </c>
      <c r="C11" s="28">
        <v>44682</v>
      </c>
      <c r="D11" s="28">
        <v>4.2010869565217392</v>
      </c>
      <c r="E11" s="28">
        <v>44.366304347826087</v>
      </c>
    </row>
    <row r="12" spans="1:14" x14ac:dyDescent="0.25">
      <c r="A12" s="11" t="s">
        <v>30</v>
      </c>
      <c r="B12" s="28"/>
      <c r="C12" s="28"/>
      <c r="D12" s="28"/>
      <c r="E12" s="28"/>
    </row>
    <row r="13" spans="1:14" x14ac:dyDescent="0.25">
      <c r="A13" s="11" t="s">
        <v>18</v>
      </c>
      <c r="B13" s="28">
        <v>42.249534450651772</v>
      </c>
      <c r="C13" s="28">
        <v>68064</v>
      </c>
      <c r="D13" s="28">
        <v>4.1905648665425206</v>
      </c>
      <c r="E13" s="28">
        <v>38.058969584109249</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3A4D-FE02-476B-92B9-64007C813897}">
  <dimension ref="A1:X36"/>
  <sheetViews>
    <sheetView showGridLines="0" tabSelected="1" workbookViewId="0">
      <selection activeCell="K17" sqref="K17"/>
    </sheetView>
  </sheetViews>
  <sheetFormatPr defaultRowHeight="13.2" x14ac:dyDescent="0.25"/>
  <sheetData>
    <row r="1" spans="1:24" x14ac:dyDescent="0.25">
      <c r="A1" s="32" t="s">
        <v>58</v>
      </c>
      <c r="B1" s="32"/>
      <c r="C1" s="32"/>
      <c r="D1" s="32"/>
      <c r="E1" s="32"/>
      <c r="F1" s="32"/>
      <c r="G1" s="32"/>
      <c r="H1" s="32"/>
      <c r="I1" s="32"/>
      <c r="J1" s="32"/>
      <c r="K1" s="32"/>
      <c r="L1" s="32"/>
      <c r="M1" s="32"/>
      <c r="N1" s="32"/>
      <c r="O1" s="32"/>
      <c r="P1" s="32"/>
      <c r="Q1" s="32"/>
      <c r="R1" s="32"/>
      <c r="S1" s="32"/>
      <c r="T1" s="32"/>
      <c r="U1" s="32"/>
      <c r="V1" s="32"/>
      <c r="W1" s="32"/>
      <c r="X1" s="33"/>
    </row>
    <row r="2" spans="1:24" x14ac:dyDescent="0.25">
      <c r="A2" s="32"/>
      <c r="B2" s="32"/>
      <c r="C2" s="32"/>
      <c r="D2" s="32"/>
      <c r="E2" s="32"/>
      <c r="F2" s="32"/>
      <c r="G2" s="32"/>
      <c r="H2" s="32"/>
      <c r="I2" s="32"/>
      <c r="J2" s="32"/>
      <c r="K2" s="32"/>
      <c r="L2" s="32"/>
      <c r="M2" s="32"/>
      <c r="N2" s="32"/>
      <c r="O2" s="32"/>
      <c r="P2" s="32"/>
      <c r="Q2" s="32"/>
      <c r="R2" s="32"/>
      <c r="S2" s="32"/>
      <c r="T2" s="32"/>
      <c r="U2" s="32"/>
      <c r="V2" s="32"/>
      <c r="W2" s="32"/>
      <c r="X2" s="33"/>
    </row>
    <row r="3" spans="1:24" x14ac:dyDescent="0.25">
      <c r="A3" s="32"/>
      <c r="B3" s="32"/>
      <c r="C3" s="32"/>
      <c r="D3" s="32"/>
      <c r="E3" s="32"/>
      <c r="F3" s="32"/>
      <c r="G3" s="32"/>
      <c r="H3" s="32"/>
      <c r="I3" s="32"/>
      <c r="J3" s="32"/>
      <c r="K3" s="32"/>
      <c r="L3" s="32"/>
      <c r="M3" s="32"/>
      <c r="N3" s="32"/>
      <c r="O3" s="32"/>
      <c r="P3" s="32"/>
      <c r="Q3" s="32"/>
      <c r="R3" s="32"/>
      <c r="S3" s="32"/>
      <c r="T3" s="32"/>
      <c r="U3" s="32"/>
      <c r="V3" s="32"/>
      <c r="W3" s="32"/>
      <c r="X3" s="33"/>
    </row>
    <row r="4" spans="1:24" x14ac:dyDescent="0.25">
      <c r="A4" s="30"/>
      <c r="B4" s="30"/>
      <c r="C4" s="30"/>
      <c r="D4" s="30"/>
      <c r="E4" s="30"/>
      <c r="F4" s="30"/>
      <c r="G4" s="30"/>
      <c r="H4" s="30"/>
      <c r="I4" s="30"/>
      <c r="J4" s="30"/>
      <c r="K4" s="30"/>
      <c r="L4" s="30"/>
      <c r="M4" s="30"/>
      <c r="N4" s="30"/>
      <c r="O4" s="30"/>
      <c r="P4" s="30"/>
      <c r="Q4" s="30"/>
      <c r="R4" s="30"/>
      <c r="S4" s="30"/>
      <c r="T4" s="30"/>
      <c r="U4" s="30"/>
      <c r="V4" s="30"/>
      <c r="W4" s="30"/>
      <c r="X4" s="30"/>
    </row>
    <row r="5" spans="1:24" x14ac:dyDescent="0.25">
      <c r="A5" s="30"/>
      <c r="B5" s="30"/>
      <c r="C5" s="30"/>
      <c r="D5" s="30"/>
      <c r="E5" s="30"/>
      <c r="F5" s="30"/>
      <c r="G5" s="30"/>
      <c r="H5" s="30"/>
      <c r="I5" s="30"/>
      <c r="J5" s="30"/>
      <c r="K5" s="30"/>
      <c r="L5" s="30"/>
      <c r="M5" s="30"/>
      <c r="N5" s="30"/>
      <c r="O5" s="30"/>
      <c r="P5" s="30"/>
      <c r="Q5" s="30"/>
      <c r="R5" s="30"/>
      <c r="S5" s="30"/>
      <c r="T5" s="30"/>
      <c r="U5" s="30"/>
      <c r="V5" s="30"/>
      <c r="W5" s="30"/>
      <c r="X5" s="30"/>
    </row>
    <row r="6" spans="1:24" x14ac:dyDescent="0.25">
      <c r="A6" s="30"/>
      <c r="B6" s="30"/>
      <c r="C6" s="30"/>
      <c r="D6" s="30"/>
      <c r="E6" s="30"/>
      <c r="F6" s="30"/>
      <c r="G6" s="30"/>
      <c r="H6" s="30"/>
      <c r="I6" s="30"/>
      <c r="J6" s="30"/>
      <c r="K6" s="30"/>
      <c r="L6" s="30"/>
      <c r="M6" s="30"/>
      <c r="N6" s="30"/>
      <c r="O6" s="30"/>
      <c r="P6" s="30"/>
      <c r="Q6" s="30"/>
      <c r="R6" s="30"/>
      <c r="S6" s="30"/>
      <c r="T6" s="30"/>
      <c r="U6" s="30"/>
      <c r="V6" s="30"/>
      <c r="W6" s="30"/>
      <c r="X6" s="30"/>
    </row>
    <row r="7" spans="1:24" x14ac:dyDescent="0.25">
      <c r="A7" s="30"/>
      <c r="B7" s="30"/>
      <c r="C7" s="30"/>
      <c r="D7" s="30"/>
      <c r="E7" s="30"/>
      <c r="F7" s="30"/>
      <c r="G7" s="30"/>
      <c r="H7" s="30"/>
      <c r="I7" s="30"/>
      <c r="J7" s="30"/>
      <c r="K7" s="30"/>
      <c r="L7" s="30"/>
      <c r="M7" s="30"/>
      <c r="N7" s="30"/>
      <c r="O7" s="30"/>
      <c r="P7" s="30"/>
      <c r="Q7" s="30"/>
      <c r="R7" s="30"/>
      <c r="S7" s="30"/>
      <c r="T7" s="30"/>
      <c r="U7" s="30"/>
      <c r="V7" s="30"/>
      <c r="W7" s="30"/>
      <c r="X7" s="30"/>
    </row>
    <row r="8" spans="1:24" x14ac:dyDescent="0.25">
      <c r="A8" s="30"/>
      <c r="B8" s="30"/>
      <c r="C8" s="30"/>
      <c r="D8" s="30"/>
      <c r="E8" s="30"/>
      <c r="F8" s="30"/>
      <c r="G8" s="30"/>
      <c r="H8" s="30"/>
      <c r="I8" s="30"/>
      <c r="J8" s="30"/>
      <c r="K8" s="30"/>
      <c r="L8" s="30"/>
      <c r="M8" s="30"/>
      <c r="N8" s="30"/>
      <c r="O8" s="30"/>
      <c r="P8" s="30"/>
      <c r="Q8" s="30"/>
      <c r="R8" s="30"/>
      <c r="S8" s="30"/>
      <c r="T8" s="30"/>
      <c r="U8" s="30"/>
      <c r="V8" s="30"/>
      <c r="W8" s="30"/>
      <c r="X8" s="30"/>
    </row>
    <row r="9" spans="1:24" x14ac:dyDescent="0.25">
      <c r="A9" s="30"/>
      <c r="B9" s="30"/>
      <c r="C9" s="30"/>
      <c r="D9" s="30"/>
      <c r="E9" s="30"/>
      <c r="F9" s="30"/>
      <c r="G9" s="30"/>
      <c r="H9" s="30"/>
      <c r="I9" s="30"/>
      <c r="J9" s="30"/>
      <c r="K9" s="30"/>
      <c r="L9" s="30"/>
      <c r="M9" s="30"/>
      <c r="N9" s="30"/>
      <c r="O9" s="30"/>
      <c r="P9" s="30"/>
      <c r="Q9" s="30"/>
      <c r="R9" s="30"/>
      <c r="S9" s="30"/>
      <c r="T9" s="30"/>
      <c r="U9" s="30"/>
      <c r="V9" s="30"/>
      <c r="W9" s="30"/>
      <c r="X9" s="30"/>
    </row>
    <row r="10" spans="1:24" x14ac:dyDescent="0.25">
      <c r="A10" s="30"/>
      <c r="B10" s="30"/>
      <c r="C10" s="30"/>
      <c r="D10" s="30"/>
      <c r="E10" s="30"/>
      <c r="F10" s="30"/>
      <c r="G10" s="30"/>
      <c r="H10" s="30"/>
      <c r="I10" s="30"/>
      <c r="J10" s="30"/>
      <c r="K10" s="30"/>
      <c r="L10" s="30"/>
      <c r="M10" s="30"/>
      <c r="N10" s="30"/>
      <c r="O10" s="30"/>
      <c r="P10" s="30"/>
      <c r="Q10" s="30"/>
      <c r="R10" s="30"/>
      <c r="S10" s="30"/>
      <c r="T10" s="30"/>
      <c r="U10" s="30"/>
      <c r="V10" s="30"/>
      <c r="W10" s="30"/>
      <c r="X10" s="30"/>
    </row>
    <row r="11" spans="1:24" x14ac:dyDescent="0.25">
      <c r="A11" s="30"/>
      <c r="B11" s="30"/>
      <c r="C11" s="30"/>
      <c r="D11" s="30"/>
      <c r="E11" s="30"/>
      <c r="F11" s="30"/>
      <c r="G11" s="30"/>
      <c r="H11" s="30"/>
      <c r="I11" s="30"/>
      <c r="J11" s="30"/>
      <c r="K11" s="30"/>
      <c r="L11" s="30"/>
      <c r="M11" s="30"/>
      <c r="N11" s="30"/>
      <c r="O11" s="30"/>
      <c r="P11" s="30"/>
      <c r="Q11" s="30"/>
      <c r="R11" s="30"/>
      <c r="S11" s="30"/>
      <c r="T11" s="30"/>
      <c r="U11" s="30"/>
      <c r="V11" s="30"/>
      <c r="W11" s="30"/>
      <c r="X11" s="30"/>
    </row>
    <row r="12" spans="1:24" x14ac:dyDescent="0.25">
      <c r="A12" s="30"/>
      <c r="B12" s="30"/>
      <c r="C12" s="30"/>
      <c r="D12" s="30"/>
      <c r="E12" s="30"/>
      <c r="F12" s="30"/>
      <c r="G12" s="30"/>
      <c r="H12" s="30"/>
      <c r="I12" s="30"/>
      <c r="J12" s="30"/>
      <c r="K12" s="30"/>
      <c r="L12" s="30"/>
      <c r="M12" s="30"/>
      <c r="N12" s="30"/>
      <c r="O12" s="30"/>
      <c r="P12" s="30"/>
      <c r="Q12" s="30"/>
      <c r="R12" s="30"/>
      <c r="S12" s="30"/>
      <c r="T12" s="30"/>
      <c r="U12" s="30"/>
      <c r="V12" s="30"/>
      <c r="W12" s="30"/>
      <c r="X12" s="30"/>
    </row>
    <row r="13" spans="1:24" x14ac:dyDescent="0.25">
      <c r="A13" s="30"/>
      <c r="B13" s="30"/>
      <c r="C13" s="30"/>
      <c r="D13" s="30"/>
      <c r="E13" s="30"/>
      <c r="F13" s="30"/>
      <c r="G13" s="30"/>
      <c r="H13" s="30"/>
      <c r="I13" s="30"/>
      <c r="J13" s="30"/>
      <c r="K13" s="30"/>
      <c r="L13" s="30"/>
      <c r="M13" s="30"/>
      <c r="N13" s="30"/>
      <c r="O13" s="30"/>
      <c r="P13" s="30"/>
      <c r="Q13" s="30"/>
      <c r="R13" s="30"/>
      <c r="S13" s="30"/>
      <c r="T13" s="30"/>
      <c r="U13" s="30"/>
      <c r="V13" s="30"/>
      <c r="W13" s="30"/>
      <c r="X13" s="30"/>
    </row>
    <row r="14" spans="1:24" ht="13.8" thickBot="1" x14ac:dyDescent="0.3">
      <c r="A14" s="30"/>
      <c r="B14" s="30"/>
      <c r="C14" s="30"/>
      <c r="D14" s="30"/>
      <c r="E14" s="30"/>
      <c r="F14" s="30"/>
      <c r="G14" s="30"/>
      <c r="H14" s="30"/>
      <c r="I14" s="30"/>
      <c r="J14" s="30"/>
      <c r="K14" s="30"/>
      <c r="L14" s="30"/>
      <c r="M14" s="30"/>
      <c r="N14" s="30"/>
      <c r="O14" s="30"/>
      <c r="P14" s="30"/>
      <c r="Q14" s="30"/>
      <c r="R14" s="30"/>
      <c r="S14" s="30"/>
      <c r="T14" s="30"/>
      <c r="U14" s="30"/>
      <c r="V14" s="30"/>
      <c r="W14" s="30"/>
      <c r="X14" s="30"/>
    </row>
    <row r="15" spans="1:24" ht="13.8" thickBot="1" x14ac:dyDescent="0.3">
      <c r="A15" s="30"/>
      <c r="B15" s="30"/>
      <c r="C15" s="30"/>
      <c r="D15" s="30"/>
      <c r="E15" s="30"/>
      <c r="F15" s="30"/>
      <c r="G15" s="30"/>
      <c r="H15" s="30"/>
      <c r="I15" s="30"/>
      <c r="J15" s="30"/>
      <c r="K15" s="30"/>
      <c r="L15" s="30"/>
      <c r="M15" s="30"/>
      <c r="N15" s="31"/>
      <c r="O15" s="30"/>
      <c r="P15" s="30"/>
      <c r="Q15" s="30"/>
      <c r="R15" s="30"/>
      <c r="S15" s="30"/>
      <c r="T15" s="30"/>
      <c r="U15" s="30"/>
      <c r="V15" s="30"/>
      <c r="W15" s="30"/>
      <c r="X15" s="30"/>
    </row>
    <row r="16" spans="1:24" x14ac:dyDescent="0.25">
      <c r="A16" s="30"/>
      <c r="B16" s="30"/>
      <c r="C16" s="30"/>
      <c r="D16" s="30"/>
      <c r="E16" s="30"/>
      <c r="F16" s="30"/>
      <c r="G16" s="30"/>
      <c r="H16" s="30"/>
      <c r="I16" s="30"/>
      <c r="J16" s="30"/>
      <c r="K16" s="30"/>
      <c r="L16" s="30"/>
      <c r="M16" s="30"/>
      <c r="N16" s="30"/>
      <c r="O16" s="30"/>
      <c r="P16" s="30"/>
      <c r="Q16" s="30"/>
      <c r="R16" s="30"/>
      <c r="S16" s="30"/>
      <c r="T16" s="30"/>
      <c r="U16" s="30"/>
      <c r="V16" s="30"/>
      <c r="W16" s="30"/>
      <c r="X16" s="30"/>
    </row>
    <row r="17" spans="1:24" x14ac:dyDescent="0.25">
      <c r="A17" s="30"/>
      <c r="B17" s="30"/>
      <c r="C17" s="30"/>
      <c r="D17" s="30"/>
      <c r="E17" s="30"/>
      <c r="F17" s="30"/>
      <c r="G17" s="30"/>
      <c r="H17" s="30"/>
      <c r="I17" s="30"/>
      <c r="J17" s="30"/>
      <c r="K17" s="30"/>
      <c r="L17" s="30"/>
      <c r="M17" s="30"/>
      <c r="N17" s="30"/>
      <c r="O17" s="30"/>
      <c r="P17" s="30"/>
      <c r="Q17" s="30"/>
      <c r="R17" s="30"/>
      <c r="S17" s="30"/>
      <c r="T17" s="30"/>
      <c r="U17" s="30"/>
      <c r="V17" s="30"/>
      <c r="W17" s="30"/>
      <c r="X17" s="30"/>
    </row>
    <row r="18" spans="1:24" x14ac:dyDescent="0.25">
      <c r="A18" s="30"/>
      <c r="B18" s="30"/>
      <c r="C18" s="30"/>
      <c r="D18" s="30"/>
      <c r="E18" s="30"/>
      <c r="F18" s="30"/>
      <c r="G18" s="30"/>
      <c r="H18" s="30"/>
      <c r="I18" s="30"/>
      <c r="J18" s="30"/>
      <c r="K18" s="30"/>
      <c r="L18" s="30"/>
      <c r="M18" s="30"/>
      <c r="N18" s="30"/>
      <c r="O18" s="30"/>
      <c r="P18" s="30"/>
      <c r="Q18" s="30"/>
      <c r="R18" s="30"/>
      <c r="S18" s="30"/>
      <c r="T18" s="30"/>
      <c r="U18" s="30"/>
      <c r="V18" s="30"/>
      <c r="W18" s="30"/>
      <c r="X18" s="30"/>
    </row>
    <row r="19" spans="1:24" x14ac:dyDescent="0.25">
      <c r="A19" s="30"/>
      <c r="B19" s="30"/>
      <c r="C19" s="30"/>
      <c r="D19" s="30"/>
      <c r="E19" s="30"/>
      <c r="F19" s="30"/>
      <c r="G19" s="30"/>
      <c r="H19" s="30"/>
      <c r="I19" s="30"/>
      <c r="J19" s="30"/>
      <c r="K19" s="30"/>
      <c r="L19" s="30"/>
      <c r="M19" s="30"/>
      <c r="N19" s="30"/>
      <c r="O19" s="30"/>
      <c r="P19" s="30"/>
      <c r="Q19" s="30"/>
      <c r="R19" s="30"/>
      <c r="S19" s="30"/>
      <c r="T19" s="30"/>
      <c r="U19" s="30"/>
      <c r="V19" s="30"/>
      <c r="W19" s="30"/>
      <c r="X19" s="30"/>
    </row>
    <row r="20" spans="1:24" x14ac:dyDescent="0.25">
      <c r="A20" s="30"/>
      <c r="B20" s="30"/>
      <c r="C20" s="30"/>
      <c r="D20" s="30"/>
      <c r="E20" s="30"/>
      <c r="F20" s="30"/>
      <c r="G20" s="30"/>
      <c r="H20" s="30"/>
      <c r="I20" s="30"/>
      <c r="J20" s="30"/>
      <c r="K20" s="30"/>
      <c r="L20" s="30"/>
      <c r="M20" s="30"/>
      <c r="N20" s="30"/>
      <c r="O20" s="30"/>
      <c r="P20" s="30"/>
      <c r="Q20" s="30"/>
      <c r="R20" s="30"/>
      <c r="S20" s="30"/>
      <c r="T20" s="30"/>
      <c r="U20" s="30"/>
      <c r="V20" s="30"/>
      <c r="W20" s="30"/>
      <c r="X20" s="30"/>
    </row>
    <row r="21" spans="1:24" x14ac:dyDescent="0.25">
      <c r="A21" s="30"/>
      <c r="B21" s="30"/>
      <c r="C21" s="30"/>
      <c r="D21" s="30"/>
      <c r="E21" s="30"/>
      <c r="F21" s="30"/>
      <c r="G21" s="30"/>
      <c r="H21" s="30"/>
      <c r="I21" s="30"/>
      <c r="J21" s="30"/>
      <c r="K21" s="30"/>
      <c r="L21" s="30"/>
      <c r="M21" s="30"/>
      <c r="N21" s="30"/>
      <c r="O21" s="30"/>
      <c r="P21" s="30"/>
      <c r="Q21" s="30"/>
      <c r="R21" s="30"/>
      <c r="S21" s="30"/>
      <c r="T21" s="30"/>
      <c r="U21" s="30"/>
      <c r="V21" s="30"/>
      <c r="W21" s="30"/>
      <c r="X21" s="30"/>
    </row>
    <row r="22" spans="1:24" x14ac:dyDescent="0.25">
      <c r="A22" s="30"/>
      <c r="B22" s="30"/>
      <c r="C22" s="30"/>
      <c r="D22" s="30"/>
      <c r="E22" s="30"/>
      <c r="F22" s="30"/>
      <c r="G22" s="30"/>
      <c r="H22" s="30"/>
      <c r="I22" s="30"/>
      <c r="J22" s="30"/>
      <c r="K22" s="30"/>
      <c r="L22" s="30"/>
      <c r="M22" s="30"/>
      <c r="N22" s="30"/>
      <c r="O22" s="30"/>
      <c r="P22" s="30"/>
      <c r="Q22" s="30"/>
      <c r="R22" s="30"/>
      <c r="S22" s="30"/>
      <c r="T22" s="30"/>
      <c r="U22" s="30"/>
      <c r="V22" s="30"/>
      <c r="W22" s="30"/>
      <c r="X22" s="30"/>
    </row>
    <row r="23" spans="1:24" x14ac:dyDescent="0.25">
      <c r="A23" s="30"/>
      <c r="B23" s="30"/>
      <c r="C23" s="30"/>
      <c r="D23" s="30"/>
      <c r="E23" s="30"/>
      <c r="F23" s="30"/>
      <c r="G23" s="30"/>
      <c r="H23" s="30"/>
      <c r="I23" s="30"/>
      <c r="J23" s="30"/>
      <c r="K23" s="30"/>
      <c r="L23" s="30"/>
      <c r="M23" s="30"/>
      <c r="N23" s="30"/>
      <c r="O23" s="30"/>
      <c r="P23" s="30"/>
      <c r="Q23" s="30"/>
      <c r="R23" s="30"/>
      <c r="S23" s="30"/>
      <c r="T23" s="30"/>
      <c r="U23" s="30"/>
      <c r="V23" s="30"/>
      <c r="W23" s="30"/>
      <c r="X23" s="30"/>
    </row>
    <row r="24" spans="1:24" x14ac:dyDescent="0.25">
      <c r="A24" s="30"/>
      <c r="B24" s="30"/>
      <c r="C24" s="30"/>
      <c r="D24" s="30"/>
      <c r="E24" s="30"/>
      <c r="F24" s="30"/>
      <c r="G24" s="30"/>
      <c r="H24" s="30"/>
      <c r="I24" s="30"/>
      <c r="J24" s="30"/>
      <c r="K24" s="30"/>
      <c r="L24" s="30"/>
      <c r="M24" s="30"/>
      <c r="N24" s="30"/>
      <c r="O24" s="30"/>
      <c r="P24" s="30"/>
      <c r="Q24" s="30"/>
      <c r="R24" s="30"/>
      <c r="S24" s="30"/>
      <c r="T24" s="30"/>
      <c r="U24" s="30"/>
      <c r="V24" s="30"/>
      <c r="W24" s="30"/>
      <c r="X24" s="30"/>
    </row>
    <row r="25" spans="1:24"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row>
    <row r="26" spans="1:24"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row>
    <row r="27" spans="1:24"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row>
    <row r="28" spans="1:24"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row>
    <row r="29" spans="1:24"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row>
    <row r="30" spans="1:24"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row>
    <row r="31" spans="1:24" x14ac:dyDescent="0.25">
      <c r="A31" s="30"/>
      <c r="B31" s="30"/>
      <c r="C31" s="30"/>
      <c r="D31" s="30"/>
      <c r="E31" s="30"/>
      <c r="F31" s="30"/>
      <c r="G31" s="30"/>
      <c r="H31" s="30"/>
      <c r="I31" s="30"/>
      <c r="J31" s="30"/>
      <c r="K31" s="30"/>
      <c r="L31" s="30"/>
      <c r="M31" s="30"/>
      <c r="N31" s="30"/>
      <c r="O31" s="30"/>
      <c r="P31" s="30"/>
      <c r="Q31" s="30"/>
      <c r="R31" s="30"/>
      <c r="S31" s="30"/>
      <c r="T31" s="30"/>
      <c r="U31" s="30"/>
      <c r="V31" s="30"/>
      <c r="W31" s="30"/>
      <c r="X31" s="30"/>
    </row>
    <row r="32" spans="1:24" x14ac:dyDescent="0.25">
      <c r="A32" s="30"/>
      <c r="B32" s="30"/>
      <c r="C32" s="30"/>
      <c r="D32" s="30"/>
      <c r="E32" s="30"/>
      <c r="F32" s="30"/>
      <c r="G32" s="30"/>
      <c r="H32" s="30"/>
      <c r="I32" s="30"/>
      <c r="J32" s="30"/>
      <c r="K32" s="30"/>
      <c r="L32" s="30"/>
      <c r="M32" s="30"/>
      <c r="N32" s="30"/>
      <c r="O32" s="30"/>
      <c r="P32" s="30"/>
      <c r="Q32" s="30"/>
      <c r="R32" s="30"/>
      <c r="S32" s="30"/>
      <c r="T32" s="30"/>
      <c r="U32" s="30"/>
      <c r="V32" s="30"/>
      <c r="W32" s="30"/>
      <c r="X32" s="30"/>
    </row>
    <row r="33" spans="1:24" x14ac:dyDescent="0.25">
      <c r="A33" s="30"/>
      <c r="B33" s="30"/>
      <c r="C33" s="30"/>
      <c r="D33" s="30"/>
      <c r="E33" s="30"/>
      <c r="F33" s="30"/>
      <c r="G33" s="30"/>
      <c r="H33" s="30"/>
      <c r="I33" s="30"/>
      <c r="J33" s="30"/>
      <c r="K33" s="30"/>
      <c r="L33" s="30"/>
      <c r="M33" s="30"/>
      <c r="N33" s="30"/>
      <c r="O33" s="30"/>
      <c r="P33" s="30"/>
      <c r="Q33" s="30"/>
      <c r="R33" s="30"/>
      <c r="S33" s="30"/>
      <c r="T33" s="30"/>
      <c r="U33" s="30"/>
      <c r="V33" s="30"/>
      <c r="W33" s="30"/>
      <c r="X33" s="30"/>
    </row>
    <row r="34" spans="1:24" x14ac:dyDescent="0.25">
      <c r="A34" s="30"/>
      <c r="B34" s="30"/>
      <c r="C34" s="30"/>
      <c r="D34" s="30"/>
      <c r="E34" s="30"/>
      <c r="F34" s="30"/>
      <c r="G34" s="30"/>
      <c r="H34" s="30"/>
      <c r="I34" s="30"/>
      <c r="J34" s="30"/>
      <c r="K34" s="30"/>
      <c r="L34" s="30"/>
      <c r="M34" s="30"/>
      <c r="N34" s="30"/>
      <c r="O34" s="30"/>
      <c r="P34" s="30"/>
      <c r="Q34" s="30"/>
      <c r="R34" s="30"/>
      <c r="S34" s="30"/>
      <c r="T34" s="30"/>
      <c r="U34" s="30"/>
      <c r="V34" s="30"/>
      <c r="W34" s="30"/>
      <c r="X34" s="30"/>
    </row>
    <row r="35" spans="1:24"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row>
    <row r="36" spans="1:24"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FBB592-70BF-4644-893E-EA8AAB2105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Dataset_1</vt:lpstr>
      <vt:lpstr>Dataset_2</vt:lpstr>
      <vt:lpstr>Dataset_A</vt:lpstr>
      <vt:lpstr>Hourly rental</vt:lpstr>
      <vt:lpstr>seasonal rents</vt:lpstr>
      <vt:lpstr>weather imp</vt:lpstr>
      <vt:lpstr>casual vs registerd</vt:lpstr>
      <vt:lpstr>Temp effect</vt:lpstr>
      <vt:lpstr>Dataset_3</vt:lpstr>
      <vt:lpstr>Dataset_B</vt:lpstr>
      <vt:lpstr>Average rental </vt:lpstr>
      <vt:lpstr>weekdays vs weekensa</vt:lpstr>
      <vt:lpstr>Time period</vt:lpstr>
      <vt:lpstr>Temperature effect</vt:lpstr>
      <vt:lpstr>weather impact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karan rajput</cp:lastModifiedBy>
  <dcterms:created xsi:type="dcterms:W3CDTF">2026-05-15T18:41:25Z</dcterms:created>
  <dcterms:modified xsi:type="dcterms:W3CDTF">2026-05-23T20:03:28Z</dcterms:modified>
</cp:coreProperties>
</file>